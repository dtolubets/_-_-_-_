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bookViews>
    <workbookView xWindow="0" yWindow="0" windowWidth="21570" windowHeight="9915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доп.67'!$A$1:$K$471</definedName>
  </definedNames>
  <calcPr calcId="162913" iterate="1"/>
</workbook>
</file>

<file path=xl/calcChain.xml><?xml version="1.0" encoding="utf-8"?>
<calcChain xmlns="http://schemas.openxmlformats.org/spreadsheetml/2006/main">
  <c r="H469" i="7" l="1"/>
  <c r="H466" i="7"/>
  <c r="C469" i="7"/>
  <c r="C466" i="7"/>
  <c r="J463" i="7"/>
  <c r="H463" i="7"/>
  <c r="C463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14" i="7" s="1"/>
  <c r="I462" i="7"/>
  <c r="J462" i="7"/>
  <c r="I461" i="7"/>
  <c r="J461" i="7"/>
  <c r="A460" i="7"/>
  <c r="J458" i="7"/>
  <c r="H458" i="7"/>
  <c r="C458" i="7"/>
  <c r="J457" i="7"/>
  <c r="H457" i="7"/>
  <c r="C457" i="7"/>
  <c r="J456" i="7"/>
  <c r="H456" i="7"/>
  <c r="C456" i="7"/>
  <c r="I455" i="7"/>
  <c r="J455" i="7"/>
  <c r="I454" i="7"/>
  <c r="J454" i="7"/>
  <c r="A453" i="7"/>
  <c r="I451" i="7"/>
  <c r="J451" i="7"/>
  <c r="I450" i="7"/>
  <c r="J450" i="7"/>
  <c r="AQ449" i="7"/>
  <c r="A449" i="7"/>
  <c r="H445" i="7"/>
  <c r="J445" i="7"/>
  <c r="I443" i="7"/>
  <c r="H443" i="7"/>
  <c r="E443" i="7"/>
  <c r="K442" i="7"/>
  <c r="J442" i="7"/>
  <c r="E442" i="7"/>
  <c r="J441" i="7"/>
  <c r="E441" i="7"/>
  <c r="K440" i="7"/>
  <c r="J440" i="7"/>
  <c r="I440" i="7"/>
  <c r="H440" i="7"/>
  <c r="F440" i="7"/>
  <c r="K439" i="7"/>
  <c r="J439" i="7"/>
  <c r="I439" i="7"/>
  <c r="H439" i="7"/>
  <c r="F439" i="7"/>
  <c r="K438" i="7"/>
  <c r="J438" i="7"/>
  <c r="I438" i="7"/>
  <c r="H438" i="7"/>
  <c r="F438" i="7"/>
  <c r="K437" i="7"/>
  <c r="J437" i="7"/>
  <c r="I437" i="7"/>
  <c r="H437" i="7"/>
  <c r="F437" i="7"/>
  <c r="C436" i="7"/>
  <c r="V435" i="7"/>
  <c r="T435" i="7"/>
  <c r="R435" i="7"/>
  <c r="K441" i="7" s="1"/>
  <c r="U435" i="7"/>
  <c r="S435" i="7"/>
  <c r="I442" i="7" s="1"/>
  <c r="Q435" i="7"/>
  <c r="I441" i="7" s="1"/>
  <c r="E435" i="7"/>
  <c r="D435" i="7"/>
  <c r="B435" i="7"/>
  <c r="H432" i="7"/>
  <c r="J432" i="7"/>
  <c r="I430" i="7"/>
  <c r="H430" i="7"/>
  <c r="E430" i="7"/>
  <c r="J429" i="7"/>
  <c r="I429" i="7"/>
  <c r="E429" i="7"/>
  <c r="J428" i="7"/>
  <c r="E428" i="7"/>
  <c r="K427" i="7"/>
  <c r="J427" i="7"/>
  <c r="H427" i="7"/>
  <c r="I427" i="7"/>
  <c r="F427" i="7"/>
  <c r="V427" i="7"/>
  <c r="T427" i="7"/>
  <c r="R427" i="7"/>
  <c r="U427" i="7"/>
  <c r="S427" i="7"/>
  <c r="Q427" i="7"/>
  <c r="I428" i="7" s="1"/>
  <c r="E427" i="7"/>
  <c r="D427" i="7"/>
  <c r="B427" i="7"/>
  <c r="K426" i="7"/>
  <c r="J426" i="7"/>
  <c r="I426" i="7"/>
  <c r="H426" i="7"/>
  <c r="F426" i="7"/>
  <c r="K425" i="7"/>
  <c r="J425" i="7"/>
  <c r="I425" i="7"/>
  <c r="H425" i="7"/>
  <c r="F425" i="7"/>
  <c r="K424" i="7"/>
  <c r="J424" i="7"/>
  <c r="I424" i="7"/>
  <c r="H433" i="7" s="1"/>
  <c r="H424" i="7"/>
  <c r="F424" i="7"/>
  <c r="K423" i="7"/>
  <c r="J423" i="7"/>
  <c r="I423" i="7"/>
  <c r="H423" i="7"/>
  <c r="F423" i="7"/>
  <c r="C422" i="7"/>
  <c r="V421" i="7"/>
  <c r="T421" i="7"/>
  <c r="R421" i="7"/>
  <c r="K428" i="7" s="1"/>
  <c r="U421" i="7"/>
  <c r="S421" i="7"/>
  <c r="Q421" i="7"/>
  <c r="E421" i="7"/>
  <c r="D421" i="7"/>
  <c r="B421" i="7"/>
  <c r="P419" i="7"/>
  <c r="J419" i="7"/>
  <c r="K418" i="7"/>
  <c r="J418" i="7"/>
  <c r="I418" i="7"/>
  <c r="H418" i="7"/>
  <c r="F418" i="7"/>
  <c r="V418" i="7"/>
  <c r="T418" i="7"/>
  <c r="R418" i="7"/>
  <c r="U418" i="7"/>
  <c r="S418" i="7"/>
  <c r="Q418" i="7"/>
  <c r="E418" i="7"/>
  <c r="D418" i="7"/>
  <c r="B418" i="7"/>
  <c r="O416" i="7"/>
  <c r="H416" i="7"/>
  <c r="K415" i="7"/>
  <c r="J415" i="7"/>
  <c r="I415" i="7"/>
  <c r="H415" i="7"/>
  <c r="F415" i="7"/>
  <c r="V415" i="7"/>
  <c r="T415" i="7"/>
  <c r="R415" i="7"/>
  <c r="U415" i="7"/>
  <c r="S415" i="7"/>
  <c r="Q415" i="7"/>
  <c r="E415" i="7"/>
  <c r="D415" i="7"/>
  <c r="B415" i="7"/>
  <c r="H412" i="7"/>
  <c r="J412" i="7"/>
  <c r="I410" i="7"/>
  <c r="H410" i="7"/>
  <c r="E410" i="7"/>
  <c r="K409" i="7"/>
  <c r="J409" i="7"/>
  <c r="E409" i="7"/>
  <c r="J408" i="7"/>
  <c r="E408" i="7"/>
  <c r="K407" i="7"/>
  <c r="J407" i="7"/>
  <c r="H407" i="7"/>
  <c r="I407" i="7"/>
  <c r="F407" i="7"/>
  <c r="V407" i="7"/>
  <c r="T407" i="7"/>
  <c r="R407" i="7"/>
  <c r="K408" i="7" s="1"/>
  <c r="U407" i="7"/>
  <c r="S407" i="7"/>
  <c r="Q407" i="7"/>
  <c r="E407" i="7"/>
  <c r="D407" i="7"/>
  <c r="B407" i="7"/>
  <c r="K406" i="7"/>
  <c r="J406" i="7"/>
  <c r="I406" i="7"/>
  <c r="H406" i="7"/>
  <c r="F406" i="7"/>
  <c r="K405" i="7"/>
  <c r="J405" i="7"/>
  <c r="I405" i="7"/>
  <c r="H405" i="7"/>
  <c r="F405" i="7"/>
  <c r="V404" i="7"/>
  <c r="T404" i="7"/>
  <c r="R404" i="7"/>
  <c r="U404" i="7"/>
  <c r="S404" i="7"/>
  <c r="I409" i="7" s="1"/>
  <c r="Q404" i="7"/>
  <c r="I408" i="7" s="1"/>
  <c r="E404" i="7"/>
  <c r="D404" i="7"/>
  <c r="B404" i="7"/>
  <c r="H401" i="7"/>
  <c r="J401" i="7"/>
  <c r="I399" i="7"/>
  <c r="H399" i="7"/>
  <c r="E399" i="7"/>
  <c r="K398" i="7"/>
  <c r="J398" i="7"/>
  <c r="E398" i="7"/>
  <c r="K397" i="7"/>
  <c r="J397" i="7"/>
  <c r="E397" i="7"/>
  <c r="K396" i="7"/>
  <c r="J396" i="7"/>
  <c r="I396" i="7"/>
  <c r="H396" i="7"/>
  <c r="F396" i="7"/>
  <c r="K395" i="7"/>
  <c r="J395" i="7"/>
  <c r="I395" i="7"/>
  <c r="H395" i="7"/>
  <c r="F395" i="7"/>
  <c r="K394" i="7"/>
  <c r="J394" i="7"/>
  <c r="I394" i="7"/>
  <c r="H394" i="7"/>
  <c r="F394" i="7"/>
  <c r="K393" i="7"/>
  <c r="J393" i="7"/>
  <c r="I393" i="7"/>
  <c r="H393" i="7"/>
  <c r="F393" i="7"/>
  <c r="V392" i="7"/>
  <c r="T392" i="7"/>
  <c r="R392" i="7"/>
  <c r="U392" i="7"/>
  <c r="S392" i="7"/>
  <c r="I398" i="7" s="1"/>
  <c r="Q392" i="7"/>
  <c r="I397" i="7" s="1"/>
  <c r="E392" i="7"/>
  <c r="D392" i="7"/>
  <c r="B392" i="7"/>
  <c r="P390" i="7"/>
  <c r="J390" i="7"/>
  <c r="K389" i="7"/>
  <c r="J389" i="7"/>
  <c r="I389" i="7"/>
  <c r="H389" i="7"/>
  <c r="F389" i="7"/>
  <c r="V389" i="7"/>
  <c r="T389" i="7"/>
  <c r="R389" i="7"/>
  <c r="U389" i="7"/>
  <c r="S389" i="7"/>
  <c r="Q389" i="7"/>
  <c r="E389" i="7"/>
  <c r="D389" i="7"/>
  <c r="B389" i="7"/>
  <c r="H386" i="7"/>
  <c r="J386" i="7"/>
  <c r="I384" i="7"/>
  <c r="H384" i="7"/>
  <c r="E384" i="7"/>
  <c r="J383" i="7"/>
  <c r="E383" i="7"/>
  <c r="J382" i="7"/>
  <c r="E382" i="7"/>
  <c r="K381" i="7"/>
  <c r="J381" i="7"/>
  <c r="H381" i="7"/>
  <c r="I381" i="7"/>
  <c r="F381" i="7"/>
  <c r="V381" i="7"/>
  <c r="T381" i="7"/>
  <c r="R381" i="7"/>
  <c r="U381" i="7"/>
  <c r="S381" i="7"/>
  <c r="Q381" i="7"/>
  <c r="I382" i="7" s="1"/>
  <c r="O387" i="7" s="1"/>
  <c r="E381" i="7"/>
  <c r="D381" i="7"/>
  <c r="B381" i="7"/>
  <c r="K380" i="7"/>
  <c r="J380" i="7"/>
  <c r="I380" i="7"/>
  <c r="H380" i="7"/>
  <c r="F380" i="7"/>
  <c r="K379" i="7"/>
  <c r="J379" i="7"/>
  <c r="I379" i="7"/>
  <c r="H379" i="7"/>
  <c r="F379" i="7"/>
  <c r="K378" i="7"/>
  <c r="J378" i="7"/>
  <c r="I378" i="7"/>
  <c r="H378" i="7"/>
  <c r="F378" i="7"/>
  <c r="K377" i="7"/>
  <c r="J377" i="7"/>
  <c r="I377" i="7"/>
  <c r="H385" i="7" s="1"/>
  <c r="H377" i="7"/>
  <c r="F377" i="7"/>
  <c r="V376" i="7"/>
  <c r="T376" i="7"/>
  <c r="K383" i="7" s="1"/>
  <c r="R376" i="7"/>
  <c r="K382" i="7" s="1"/>
  <c r="P387" i="7" s="1"/>
  <c r="U376" i="7"/>
  <c r="S376" i="7"/>
  <c r="I383" i="7" s="1"/>
  <c r="Q376" i="7"/>
  <c r="E376" i="7"/>
  <c r="D376" i="7"/>
  <c r="B376" i="7"/>
  <c r="H373" i="7"/>
  <c r="J373" i="7"/>
  <c r="I371" i="7"/>
  <c r="H371" i="7"/>
  <c r="E371" i="7"/>
  <c r="J370" i="7"/>
  <c r="E370" i="7"/>
  <c r="J369" i="7"/>
  <c r="E369" i="7"/>
  <c r="K368" i="7"/>
  <c r="J368" i="7"/>
  <c r="H368" i="7"/>
  <c r="I368" i="7"/>
  <c r="F368" i="7"/>
  <c r="V368" i="7"/>
  <c r="T368" i="7"/>
  <c r="R368" i="7"/>
  <c r="U368" i="7"/>
  <c r="S368" i="7"/>
  <c r="Q368" i="7"/>
  <c r="E368" i="7"/>
  <c r="D368" i="7"/>
  <c r="B368" i="7"/>
  <c r="K367" i="7"/>
  <c r="J367" i="7"/>
  <c r="H367" i="7"/>
  <c r="I367" i="7"/>
  <c r="F367" i="7"/>
  <c r="V367" i="7"/>
  <c r="T367" i="7"/>
  <c r="R367" i="7"/>
  <c r="U367" i="7"/>
  <c r="S367" i="7"/>
  <c r="Q367" i="7"/>
  <c r="E367" i="7"/>
  <c r="D367" i="7"/>
  <c r="B367" i="7"/>
  <c r="K366" i="7"/>
  <c r="J366" i="7"/>
  <c r="H366" i="7"/>
  <c r="I366" i="7"/>
  <c r="F366" i="7"/>
  <c r="V366" i="7"/>
  <c r="T366" i="7"/>
  <c r="R366" i="7"/>
  <c r="K369" i="7" s="1"/>
  <c r="U366" i="7"/>
  <c r="S366" i="7"/>
  <c r="Q366" i="7"/>
  <c r="E366" i="7"/>
  <c r="D366" i="7"/>
  <c r="B366" i="7"/>
  <c r="K365" i="7"/>
  <c r="J365" i="7"/>
  <c r="I365" i="7"/>
  <c r="H365" i="7"/>
  <c r="F365" i="7"/>
  <c r="K364" i="7"/>
  <c r="J364" i="7"/>
  <c r="I364" i="7"/>
  <c r="H364" i="7"/>
  <c r="F364" i="7"/>
  <c r="K363" i="7"/>
  <c r="J363" i="7"/>
  <c r="I363" i="7"/>
  <c r="H363" i="7"/>
  <c r="F363" i="7"/>
  <c r="K362" i="7"/>
  <c r="J362" i="7"/>
  <c r="I362" i="7"/>
  <c r="H362" i="7"/>
  <c r="F362" i="7"/>
  <c r="C361" i="7"/>
  <c r="V360" i="7"/>
  <c r="T360" i="7"/>
  <c r="K370" i="7" s="1"/>
  <c r="R360" i="7"/>
  <c r="U360" i="7"/>
  <c r="S360" i="7"/>
  <c r="I370" i="7" s="1"/>
  <c r="Q360" i="7"/>
  <c r="I369" i="7" s="1"/>
  <c r="E360" i="7"/>
  <c r="D360" i="7"/>
  <c r="B360" i="7"/>
  <c r="O358" i="7"/>
  <c r="J358" i="7"/>
  <c r="K357" i="7"/>
  <c r="P358" i="7" s="1"/>
  <c r="J357" i="7"/>
  <c r="I357" i="7"/>
  <c r="H358" i="7" s="1"/>
  <c r="H357" i="7"/>
  <c r="F357" i="7"/>
  <c r="V357" i="7"/>
  <c r="T357" i="7"/>
  <c r="R357" i="7"/>
  <c r="U357" i="7"/>
  <c r="S357" i="7"/>
  <c r="Q357" i="7"/>
  <c r="E357" i="7"/>
  <c r="D357" i="7"/>
  <c r="B357" i="7"/>
  <c r="H355" i="7"/>
  <c r="P355" i="7"/>
  <c r="K354" i="7"/>
  <c r="J355" i="7" s="1"/>
  <c r="J354" i="7"/>
  <c r="I354" i="7"/>
  <c r="O355" i="7" s="1"/>
  <c r="H354" i="7"/>
  <c r="F354" i="7"/>
  <c r="V354" i="7"/>
  <c r="T354" i="7"/>
  <c r="R354" i="7"/>
  <c r="U354" i="7"/>
  <c r="S354" i="7"/>
  <c r="Q354" i="7"/>
  <c r="E354" i="7"/>
  <c r="D354" i="7"/>
  <c r="B354" i="7"/>
  <c r="H351" i="7"/>
  <c r="J351" i="7"/>
  <c r="I349" i="7"/>
  <c r="H349" i="7"/>
  <c r="E349" i="7"/>
  <c r="K348" i="7"/>
  <c r="J350" i="7" s="1"/>
  <c r="J348" i="7"/>
  <c r="E348" i="7"/>
  <c r="K347" i="7"/>
  <c r="J347" i="7"/>
  <c r="E347" i="7"/>
  <c r="K346" i="7"/>
  <c r="J346" i="7"/>
  <c r="H346" i="7"/>
  <c r="I346" i="7"/>
  <c r="F346" i="7"/>
  <c r="V346" i="7"/>
  <c r="T346" i="7"/>
  <c r="R346" i="7"/>
  <c r="U346" i="7"/>
  <c r="S346" i="7"/>
  <c r="Q346" i="7"/>
  <c r="E346" i="7"/>
  <c r="D346" i="7"/>
  <c r="B346" i="7"/>
  <c r="K345" i="7"/>
  <c r="J345" i="7"/>
  <c r="I345" i="7"/>
  <c r="H350" i="7" s="1"/>
  <c r="H345" i="7"/>
  <c r="F345" i="7"/>
  <c r="K344" i="7"/>
  <c r="J344" i="7"/>
  <c r="I344" i="7"/>
  <c r="H344" i="7"/>
  <c r="F344" i="7"/>
  <c r="K343" i="7"/>
  <c r="J343" i="7"/>
  <c r="I343" i="7"/>
  <c r="H343" i="7"/>
  <c r="F343" i="7"/>
  <c r="K342" i="7"/>
  <c r="J342" i="7"/>
  <c r="I342" i="7"/>
  <c r="H342" i="7"/>
  <c r="F342" i="7"/>
  <c r="C341" i="7"/>
  <c r="V340" i="7"/>
  <c r="T340" i="7"/>
  <c r="R340" i="7"/>
  <c r="U340" i="7"/>
  <c r="S340" i="7"/>
  <c r="I348" i="7" s="1"/>
  <c r="Q340" i="7"/>
  <c r="I347" i="7" s="1"/>
  <c r="E340" i="7"/>
  <c r="D340" i="7"/>
  <c r="B340" i="7"/>
  <c r="O338" i="7"/>
  <c r="H338" i="7"/>
  <c r="K337" i="7"/>
  <c r="J337" i="7"/>
  <c r="I337" i="7"/>
  <c r="H337" i="7"/>
  <c r="F337" i="7"/>
  <c r="V337" i="7"/>
  <c r="T337" i="7"/>
  <c r="R337" i="7"/>
  <c r="U337" i="7"/>
  <c r="S337" i="7"/>
  <c r="Q337" i="7"/>
  <c r="E337" i="7"/>
  <c r="D337" i="7"/>
  <c r="B337" i="7"/>
  <c r="H334" i="7"/>
  <c r="J334" i="7"/>
  <c r="I332" i="7"/>
  <c r="H332" i="7"/>
  <c r="E332" i="7"/>
  <c r="J331" i="7"/>
  <c r="E331" i="7"/>
  <c r="J330" i="7"/>
  <c r="E330" i="7"/>
  <c r="K329" i="7"/>
  <c r="J329" i="7"/>
  <c r="I329" i="7"/>
  <c r="H329" i="7"/>
  <c r="F329" i="7"/>
  <c r="K328" i="7"/>
  <c r="J328" i="7"/>
  <c r="I328" i="7"/>
  <c r="H328" i="7"/>
  <c r="F328" i="7"/>
  <c r="K327" i="7"/>
  <c r="J327" i="7"/>
  <c r="I327" i="7"/>
  <c r="H327" i="7"/>
  <c r="F327" i="7"/>
  <c r="V326" i="7"/>
  <c r="T326" i="7"/>
  <c r="K331" i="7" s="1"/>
  <c r="R326" i="7"/>
  <c r="K330" i="7" s="1"/>
  <c r="U326" i="7"/>
  <c r="S326" i="7"/>
  <c r="I331" i="7" s="1"/>
  <c r="Q326" i="7"/>
  <c r="I330" i="7" s="1"/>
  <c r="E326" i="7"/>
  <c r="D326" i="7"/>
  <c r="B326" i="7"/>
  <c r="H323" i="7"/>
  <c r="J323" i="7"/>
  <c r="I321" i="7"/>
  <c r="H321" i="7"/>
  <c r="E321" i="7"/>
  <c r="K320" i="7"/>
  <c r="J320" i="7"/>
  <c r="E320" i="7"/>
  <c r="J319" i="7"/>
  <c r="E319" i="7"/>
  <c r="K318" i="7"/>
  <c r="J318" i="7"/>
  <c r="H318" i="7"/>
  <c r="I318" i="7"/>
  <c r="F318" i="7"/>
  <c r="V318" i="7"/>
  <c r="T318" i="7"/>
  <c r="R318" i="7"/>
  <c r="U318" i="7"/>
  <c r="S318" i="7"/>
  <c r="Q318" i="7"/>
  <c r="E318" i="7"/>
  <c r="D318" i="7"/>
  <c r="B318" i="7"/>
  <c r="K317" i="7"/>
  <c r="J317" i="7"/>
  <c r="I317" i="7"/>
  <c r="H322" i="7" s="1"/>
  <c r="H317" i="7"/>
  <c r="F317" i="7"/>
  <c r="K316" i="7"/>
  <c r="J316" i="7"/>
  <c r="I316" i="7"/>
  <c r="H316" i="7"/>
  <c r="F316" i="7"/>
  <c r="K315" i="7"/>
  <c r="J315" i="7"/>
  <c r="I315" i="7"/>
  <c r="H315" i="7"/>
  <c r="F315" i="7"/>
  <c r="K314" i="7"/>
  <c r="J314" i="7"/>
  <c r="I314" i="7"/>
  <c r="H314" i="7"/>
  <c r="F314" i="7"/>
  <c r="V313" i="7"/>
  <c r="T313" i="7"/>
  <c r="R313" i="7"/>
  <c r="K319" i="7" s="1"/>
  <c r="U313" i="7"/>
  <c r="S313" i="7"/>
  <c r="I320" i="7" s="1"/>
  <c r="Q313" i="7"/>
  <c r="I319" i="7" s="1"/>
  <c r="E313" i="7"/>
  <c r="D313" i="7"/>
  <c r="B313" i="7"/>
  <c r="H310" i="7"/>
  <c r="J310" i="7"/>
  <c r="I308" i="7"/>
  <c r="H308" i="7"/>
  <c r="E308" i="7"/>
  <c r="J307" i="7"/>
  <c r="I307" i="7"/>
  <c r="E307" i="7"/>
  <c r="J306" i="7"/>
  <c r="E306" i="7"/>
  <c r="K305" i="7"/>
  <c r="J305" i="7"/>
  <c r="H305" i="7"/>
  <c r="I305" i="7"/>
  <c r="F305" i="7"/>
  <c r="V305" i="7"/>
  <c r="T305" i="7"/>
  <c r="R305" i="7"/>
  <c r="U305" i="7"/>
  <c r="S305" i="7"/>
  <c r="Q305" i="7"/>
  <c r="I306" i="7" s="1"/>
  <c r="E305" i="7"/>
  <c r="D305" i="7"/>
  <c r="B305" i="7"/>
  <c r="K304" i="7"/>
  <c r="J304" i="7"/>
  <c r="H304" i="7"/>
  <c r="I304" i="7"/>
  <c r="F304" i="7"/>
  <c r="V304" i="7"/>
  <c r="T304" i="7"/>
  <c r="R304" i="7"/>
  <c r="U304" i="7"/>
  <c r="S304" i="7"/>
  <c r="Q304" i="7"/>
  <c r="E304" i="7"/>
  <c r="D304" i="7"/>
  <c r="B304" i="7"/>
  <c r="K303" i="7"/>
  <c r="J303" i="7"/>
  <c r="I303" i="7"/>
  <c r="H311" i="7" s="1"/>
  <c r="H303" i="7"/>
  <c r="F303" i="7"/>
  <c r="K302" i="7"/>
  <c r="J302" i="7"/>
  <c r="I302" i="7"/>
  <c r="H302" i="7"/>
  <c r="F302" i="7"/>
  <c r="K301" i="7"/>
  <c r="J311" i="7" s="1"/>
  <c r="J301" i="7"/>
  <c r="I301" i="7"/>
  <c r="H301" i="7"/>
  <c r="F301" i="7"/>
  <c r="V300" i="7"/>
  <c r="T300" i="7"/>
  <c r="K307" i="7" s="1"/>
  <c r="R300" i="7"/>
  <c r="K306" i="7" s="1"/>
  <c r="U300" i="7"/>
  <c r="S300" i="7"/>
  <c r="Q300" i="7"/>
  <c r="E300" i="7"/>
  <c r="D300" i="7"/>
  <c r="B300" i="7"/>
  <c r="P298" i="7"/>
  <c r="J298" i="7"/>
  <c r="K297" i="7"/>
  <c r="J297" i="7"/>
  <c r="I297" i="7"/>
  <c r="H297" i="7"/>
  <c r="F297" i="7"/>
  <c r="V297" i="7"/>
  <c r="T297" i="7"/>
  <c r="R297" i="7"/>
  <c r="U297" i="7"/>
  <c r="S297" i="7"/>
  <c r="Q297" i="7"/>
  <c r="E297" i="7"/>
  <c r="D297" i="7"/>
  <c r="B297" i="7"/>
  <c r="H294" i="7"/>
  <c r="J294" i="7"/>
  <c r="I292" i="7"/>
  <c r="H292" i="7"/>
  <c r="E292" i="7"/>
  <c r="J291" i="7"/>
  <c r="E291" i="7"/>
  <c r="J290" i="7"/>
  <c r="E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I288" i="7"/>
  <c r="H288" i="7"/>
  <c r="F288" i="7"/>
  <c r="K287" i="7"/>
  <c r="J287" i="7"/>
  <c r="I287" i="7"/>
  <c r="H287" i="7"/>
  <c r="F287" i="7"/>
  <c r="K286" i="7"/>
  <c r="J286" i="7"/>
  <c r="I286" i="7"/>
  <c r="H286" i="7"/>
  <c r="F286" i="7"/>
  <c r="K285" i="7"/>
  <c r="J285" i="7"/>
  <c r="I285" i="7"/>
  <c r="H285" i="7"/>
  <c r="F285" i="7"/>
  <c r="C284" i="7"/>
  <c r="V283" i="7"/>
  <c r="T283" i="7"/>
  <c r="K291" i="7" s="1"/>
  <c r="R283" i="7"/>
  <c r="K290" i="7" s="1"/>
  <c r="U283" i="7"/>
  <c r="S283" i="7"/>
  <c r="Q283" i="7"/>
  <c r="I290" i="7" s="1"/>
  <c r="E283" i="7"/>
  <c r="D283" i="7"/>
  <c r="B283" i="7"/>
  <c r="A282" i="7"/>
  <c r="I280" i="7"/>
  <c r="J280" i="7"/>
  <c r="I279" i="7"/>
  <c r="J279" i="7"/>
  <c r="A278" i="7"/>
  <c r="H275" i="7"/>
  <c r="K274" i="7"/>
  <c r="P275" i="7" s="1"/>
  <c r="J274" i="7"/>
  <c r="I274" i="7"/>
  <c r="O275" i="7" s="1"/>
  <c r="H274" i="7"/>
  <c r="F274" i="7"/>
  <c r="V274" i="7"/>
  <c r="T274" i="7"/>
  <c r="R274" i="7"/>
  <c r="U274" i="7"/>
  <c r="S274" i="7"/>
  <c r="Q274" i="7"/>
  <c r="E274" i="7"/>
  <c r="D274" i="7"/>
  <c r="B274" i="7"/>
  <c r="H271" i="7"/>
  <c r="J271" i="7"/>
  <c r="I269" i="7"/>
  <c r="H269" i="7"/>
  <c r="E269" i="7"/>
  <c r="K268" i="7"/>
  <c r="J270" i="7" s="1"/>
  <c r="J268" i="7"/>
  <c r="E268" i="7"/>
  <c r="K267" i="7"/>
  <c r="J267" i="7"/>
  <c r="E267" i="7"/>
  <c r="K266" i="7"/>
  <c r="J266" i="7"/>
  <c r="I266" i="7"/>
  <c r="H266" i="7"/>
  <c r="F266" i="7"/>
  <c r="K265" i="7"/>
  <c r="J265" i="7"/>
  <c r="I265" i="7"/>
  <c r="H265" i="7"/>
  <c r="F265" i="7"/>
  <c r="K264" i="7"/>
  <c r="J264" i="7"/>
  <c r="I264" i="7"/>
  <c r="H270" i="7" s="1"/>
  <c r="H264" i="7"/>
  <c r="F264" i="7"/>
  <c r="K263" i="7"/>
  <c r="J263" i="7"/>
  <c r="I263" i="7"/>
  <c r="H263" i="7"/>
  <c r="F263" i="7"/>
  <c r="V262" i="7"/>
  <c r="T262" i="7"/>
  <c r="R262" i="7"/>
  <c r="U262" i="7"/>
  <c r="S262" i="7"/>
  <c r="I268" i="7" s="1"/>
  <c r="Q262" i="7"/>
  <c r="I267" i="7" s="1"/>
  <c r="E262" i="7"/>
  <c r="D262" i="7"/>
  <c r="B262" i="7"/>
  <c r="H259" i="7"/>
  <c r="J259" i="7"/>
  <c r="I257" i="7"/>
  <c r="H257" i="7"/>
  <c r="E257" i="7"/>
  <c r="K256" i="7"/>
  <c r="J256" i="7"/>
  <c r="E256" i="7"/>
  <c r="K255" i="7"/>
  <c r="J255" i="7"/>
  <c r="E255" i="7"/>
  <c r="K254" i="7"/>
  <c r="J258" i="7" s="1"/>
  <c r="J254" i="7"/>
  <c r="I254" i="7"/>
  <c r="H254" i="7"/>
  <c r="F254" i="7"/>
  <c r="K253" i="7"/>
  <c r="J253" i="7"/>
  <c r="I253" i="7"/>
  <c r="H253" i="7"/>
  <c r="F253" i="7"/>
  <c r="K252" i="7"/>
  <c r="J252" i="7"/>
  <c r="I252" i="7"/>
  <c r="H258" i="7" s="1"/>
  <c r="H252" i="7"/>
  <c r="F252" i="7"/>
  <c r="K251" i="7"/>
  <c r="J251" i="7"/>
  <c r="I251" i="7"/>
  <c r="H251" i="7"/>
  <c r="F251" i="7"/>
  <c r="C250" i="7"/>
  <c r="V249" i="7"/>
  <c r="T249" i="7"/>
  <c r="R249" i="7"/>
  <c r="U249" i="7"/>
  <c r="S249" i="7"/>
  <c r="I256" i="7" s="1"/>
  <c r="Q249" i="7"/>
  <c r="I255" i="7" s="1"/>
  <c r="E249" i="7"/>
  <c r="D249" i="7"/>
  <c r="B249" i="7"/>
  <c r="H246" i="7"/>
  <c r="J246" i="7"/>
  <c r="I244" i="7"/>
  <c r="H244" i="7"/>
  <c r="E244" i="7"/>
  <c r="J243" i="7"/>
  <c r="E243" i="7"/>
  <c r="J242" i="7"/>
  <c r="E242" i="7"/>
  <c r="K241" i="7"/>
  <c r="J241" i="7"/>
  <c r="H241" i="7"/>
  <c r="I241" i="7"/>
  <c r="F241" i="7"/>
  <c r="V241" i="7"/>
  <c r="T241" i="7"/>
  <c r="R241" i="7"/>
  <c r="U241" i="7"/>
  <c r="S241" i="7"/>
  <c r="Q241" i="7"/>
  <c r="E241" i="7"/>
  <c r="D241" i="7"/>
  <c r="B241" i="7"/>
  <c r="K240" i="7"/>
  <c r="J240" i="7"/>
  <c r="I240" i="7"/>
  <c r="H240" i="7"/>
  <c r="F240" i="7"/>
  <c r="K239" i="7"/>
  <c r="J239" i="7"/>
  <c r="I239" i="7"/>
  <c r="H239" i="7"/>
  <c r="F239" i="7"/>
  <c r="K238" i="7"/>
  <c r="J238" i="7"/>
  <c r="I238" i="7"/>
  <c r="H238" i="7"/>
  <c r="F238" i="7"/>
  <c r="K237" i="7"/>
  <c r="J237" i="7"/>
  <c r="I237" i="7"/>
  <c r="H237" i="7"/>
  <c r="F237" i="7"/>
  <c r="C236" i="7"/>
  <c r="V235" i="7"/>
  <c r="T235" i="7"/>
  <c r="K243" i="7" s="1"/>
  <c r="R235" i="7"/>
  <c r="K242" i="7" s="1"/>
  <c r="U235" i="7"/>
  <c r="S235" i="7"/>
  <c r="I243" i="7" s="1"/>
  <c r="Q235" i="7"/>
  <c r="I242" i="7" s="1"/>
  <c r="E235" i="7"/>
  <c r="D235" i="7"/>
  <c r="B235" i="7"/>
  <c r="H232" i="7"/>
  <c r="J232" i="7"/>
  <c r="I230" i="7"/>
  <c r="H230" i="7"/>
  <c r="E230" i="7"/>
  <c r="J229" i="7"/>
  <c r="E229" i="7"/>
  <c r="K228" i="7"/>
  <c r="J228" i="7"/>
  <c r="E228" i="7"/>
  <c r="K227" i="7"/>
  <c r="J227" i="7"/>
  <c r="H227" i="7"/>
  <c r="I227" i="7"/>
  <c r="F227" i="7"/>
  <c r="V227" i="7"/>
  <c r="T227" i="7"/>
  <c r="R227" i="7"/>
  <c r="U227" i="7"/>
  <c r="S227" i="7"/>
  <c r="Q227" i="7"/>
  <c r="E227" i="7"/>
  <c r="D227" i="7"/>
  <c r="B227" i="7"/>
  <c r="K226" i="7"/>
  <c r="J226" i="7"/>
  <c r="H226" i="7"/>
  <c r="I226" i="7"/>
  <c r="F226" i="7"/>
  <c r="V226" i="7"/>
  <c r="T226" i="7"/>
  <c r="K229" i="7" s="1"/>
  <c r="J231" i="7" s="1"/>
  <c r="R226" i="7"/>
  <c r="U226" i="7"/>
  <c r="S226" i="7"/>
  <c r="Q226" i="7"/>
  <c r="E226" i="7"/>
  <c r="D226" i="7"/>
  <c r="B226" i="7"/>
  <c r="K225" i="7"/>
  <c r="J225" i="7"/>
  <c r="I225" i="7"/>
  <c r="H225" i="7"/>
  <c r="F225" i="7"/>
  <c r="K224" i="7"/>
  <c r="J224" i="7"/>
  <c r="I224" i="7"/>
  <c r="H224" i="7"/>
  <c r="F224" i="7"/>
  <c r="K223" i="7"/>
  <c r="J223" i="7"/>
  <c r="I223" i="7"/>
  <c r="H223" i="7"/>
  <c r="F223" i="7"/>
  <c r="C222" i="7"/>
  <c r="V221" i="7"/>
  <c r="T221" i="7"/>
  <c r="R221" i="7"/>
  <c r="U221" i="7"/>
  <c r="S221" i="7"/>
  <c r="I229" i="7" s="1"/>
  <c r="Q221" i="7"/>
  <c r="E221" i="7"/>
  <c r="D221" i="7"/>
  <c r="B221" i="7"/>
  <c r="P219" i="7"/>
  <c r="J219" i="7"/>
  <c r="K218" i="7"/>
  <c r="J218" i="7"/>
  <c r="I218" i="7"/>
  <c r="O219" i="7" s="1"/>
  <c r="H218" i="7"/>
  <c r="F218" i="7"/>
  <c r="V218" i="7"/>
  <c r="T218" i="7"/>
  <c r="R218" i="7"/>
  <c r="U218" i="7"/>
  <c r="S218" i="7"/>
  <c r="Q218" i="7"/>
  <c r="E218" i="7"/>
  <c r="D218" i="7"/>
  <c r="B218" i="7"/>
  <c r="O216" i="7"/>
  <c r="H216" i="7"/>
  <c r="K215" i="7"/>
  <c r="P216" i="7" s="1"/>
  <c r="J215" i="7"/>
  <c r="I215" i="7"/>
  <c r="H215" i="7"/>
  <c r="F215" i="7"/>
  <c r="V215" i="7"/>
  <c r="T215" i="7"/>
  <c r="R215" i="7"/>
  <c r="U215" i="7"/>
  <c r="S215" i="7"/>
  <c r="Q215" i="7"/>
  <c r="E215" i="7"/>
  <c r="D215" i="7"/>
  <c r="B215" i="7"/>
  <c r="P213" i="7"/>
  <c r="J213" i="7"/>
  <c r="K212" i="7"/>
  <c r="J212" i="7"/>
  <c r="I212" i="7"/>
  <c r="O213" i="7" s="1"/>
  <c r="H212" i="7"/>
  <c r="F212" i="7"/>
  <c r="V212" i="7"/>
  <c r="T212" i="7"/>
  <c r="R212" i="7"/>
  <c r="U212" i="7"/>
  <c r="S212" i="7"/>
  <c r="Q212" i="7"/>
  <c r="E212" i="7"/>
  <c r="D212" i="7"/>
  <c r="B212" i="7"/>
  <c r="O210" i="7"/>
  <c r="H210" i="7"/>
  <c r="K209" i="7"/>
  <c r="P210" i="7" s="1"/>
  <c r="J209" i="7"/>
  <c r="I209" i="7"/>
  <c r="H209" i="7"/>
  <c r="F209" i="7"/>
  <c r="V209" i="7"/>
  <c r="T209" i="7"/>
  <c r="R209" i="7"/>
  <c r="U209" i="7"/>
  <c r="S209" i="7"/>
  <c r="Q209" i="7"/>
  <c r="E209" i="7"/>
  <c r="D209" i="7"/>
  <c r="B209" i="7"/>
  <c r="H206" i="7"/>
  <c r="J206" i="7"/>
  <c r="I204" i="7"/>
  <c r="H204" i="7"/>
  <c r="E204" i="7"/>
  <c r="K203" i="7"/>
  <c r="J205" i="7" s="1"/>
  <c r="J203" i="7"/>
  <c r="E203" i="7"/>
  <c r="K202" i="7"/>
  <c r="J202" i="7"/>
  <c r="E202" i="7"/>
  <c r="K201" i="7"/>
  <c r="J201" i="7"/>
  <c r="H201" i="7"/>
  <c r="I201" i="7"/>
  <c r="F201" i="7"/>
  <c r="V201" i="7"/>
  <c r="T201" i="7"/>
  <c r="R201" i="7"/>
  <c r="U201" i="7"/>
  <c r="S201" i="7"/>
  <c r="Q201" i="7"/>
  <c r="E201" i="7"/>
  <c r="D201" i="7"/>
  <c r="B201" i="7"/>
  <c r="K200" i="7"/>
  <c r="J200" i="7"/>
  <c r="H200" i="7"/>
  <c r="I200" i="7"/>
  <c r="F200" i="7"/>
  <c r="V200" i="7"/>
  <c r="T200" i="7"/>
  <c r="R200" i="7"/>
  <c r="U200" i="7"/>
  <c r="S200" i="7"/>
  <c r="Q200" i="7"/>
  <c r="E200" i="7"/>
  <c r="D200" i="7"/>
  <c r="B200" i="7"/>
  <c r="K199" i="7"/>
  <c r="J199" i="7"/>
  <c r="I199" i="7"/>
  <c r="H199" i="7"/>
  <c r="F199" i="7"/>
  <c r="K198" i="7"/>
  <c r="J198" i="7"/>
  <c r="I198" i="7"/>
  <c r="H198" i="7"/>
  <c r="F198" i="7"/>
  <c r="K197" i="7"/>
  <c r="J197" i="7"/>
  <c r="I197" i="7"/>
  <c r="H205" i="7" s="1"/>
  <c r="H197" i="7"/>
  <c r="F197" i="7"/>
  <c r="K196" i="7"/>
  <c r="J196" i="7"/>
  <c r="I196" i="7"/>
  <c r="H196" i="7"/>
  <c r="F196" i="7"/>
  <c r="C195" i="7"/>
  <c r="V194" i="7"/>
  <c r="T194" i="7"/>
  <c r="R194" i="7"/>
  <c r="U194" i="7"/>
  <c r="S194" i="7"/>
  <c r="I203" i="7" s="1"/>
  <c r="Q194" i="7"/>
  <c r="I202" i="7" s="1"/>
  <c r="E194" i="7"/>
  <c r="D194" i="7"/>
  <c r="B194" i="7"/>
  <c r="H191" i="7"/>
  <c r="J191" i="7"/>
  <c r="I189" i="7"/>
  <c r="H189" i="7"/>
  <c r="E189" i="7"/>
  <c r="J188" i="7"/>
  <c r="E188" i="7"/>
  <c r="J187" i="7"/>
  <c r="E187" i="7"/>
  <c r="K186" i="7"/>
  <c r="J186" i="7"/>
  <c r="H186" i="7"/>
  <c r="I186" i="7"/>
  <c r="F186" i="7"/>
  <c r="V186" i="7"/>
  <c r="T186" i="7"/>
  <c r="R186" i="7"/>
  <c r="U186" i="7"/>
  <c r="S186" i="7"/>
  <c r="Q186" i="7"/>
  <c r="E186" i="7"/>
  <c r="D186" i="7"/>
  <c r="B186" i="7"/>
  <c r="K185" i="7"/>
  <c r="J185" i="7"/>
  <c r="I185" i="7"/>
  <c r="H185" i="7"/>
  <c r="F185" i="7"/>
  <c r="K184" i="7"/>
  <c r="J184" i="7"/>
  <c r="I184" i="7"/>
  <c r="H184" i="7"/>
  <c r="F184" i="7"/>
  <c r="K183" i="7"/>
  <c r="J183" i="7"/>
  <c r="I183" i="7"/>
  <c r="H183" i="7"/>
  <c r="F183" i="7"/>
  <c r="K182" i="7"/>
  <c r="J182" i="7"/>
  <c r="I182" i="7"/>
  <c r="H182" i="7"/>
  <c r="F182" i="7"/>
  <c r="C181" i="7"/>
  <c r="V180" i="7"/>
  <c r="T180" i="7"/>
  <c r="K188" i="7" s="1"/>
  <c r="R180" i="7"/>
  <c r="U180" i="7"/>
  <c r="S180" i="7"/>
  <c r="I188" i="7" s="1"/>
  <c r="Q180" i="7"/>
  <c r="I187" i="7" s="1"/>
  <c r="E180" i="7"/>
  <c r="D180" i="7"/>
  <c r="B180" i="7"/>
  <c r="P178" i="7"/>
  <c r="J178" i="7"/>
  <c r="K177" i="7"/>
  <c r="J177" i="7"/>
  <c r="I177" i="7"/>
  <c r="O178" i="7" s="1"/>
  <c r="H177" i="7"/>
  <c r="F177" i="7"/>
  <c r="V177" i="7"/>
  <c r="T177" i="7"/>
  <c r="R177" i="7"/>
  <c r="U177" i="7"/>
  <c r="S177" i="7"/>
  <c r="Q177" i="7"/>
  <c r="E177" i="7"/>
  <c r="D177" i="7"/>
  <c r="B177" i="7"/>
  <c r="O175" i="7"/>
  <c r="H175" i="7"/>
  <c r="K174" i="7"/>
  <c r="P175" i="7" s="1"/>
  <c r="J174" i="7"/>
  <c r="I174" i="7"/>
  <c r="H174" i="7"/>
  <c r="F174" i="7"/>
  <c r="V174" i="7"/>
  <c r="T174" i="7"/>
  <c r="R174" i="7"/>
  <c r="U174" i="7"/>
  <c r="S174" i="7"/>
  <c r="Q174" i="7"/>
  <c r="E174" i="7"/>
  <c r="D174" i="7"/>
  <c r="B174" i="7"/>
  <c r="H171" i="7"/>
  <c r="J171" i="7"/>
  <c r="I169" i="7"/>
  <c r="H169" i="7"/>
  <c r="E169" i="7"/>
  <c r="K168" i="7"/>
  <c r="J170" i="7" s="1"/>
  <c r="J168" i="7"/>
  <c r="E168" i="7"/>
  <c r="K167" i="7"/>
  <c r="J167" i="7"/>
  <c r="E167" i="7"/>
  <c r="K166" i="7"/>
  <c r="J166" i="7"/>
  <c r="H166" i="7"/>
  <c r="I166" i="7"/>
  <c r="F166" i="7"/>
  <c r="V166" i="7"/>
  <c r="T166" i="7"/>
  <c r="R166" i="7"/>
  <c r="U166" i="7"/>
  <c r="S166" i="7"/>
  <c r="Q166" i="7"/>
  <c r="E166" i="7"/>
  <c r="D166" i="7"/>
  <c r="B166" i="7"/>
  <c r="K165" i="7"/>
  <c r="J165" i="7"/>
  <c r="H165" i="7"/>
  <c r="I165" i="7"/>
  <c r="F165" i="7"/>
  <c r="V165" i="7"/>
  <c r="T165" i="7"/>
  <c r="R165" i="7"/>
  <c r="U165" i="7"/>
  <c r="S165" i="7"/>
  <c r="Q165" i="7"/>
  <c r="E165" i="7"/>
  <c r="D165" i="7"/>
  <c r="B165" i="7"/>
  <c r="K164" i="7"/>
  <c r="J164" i="7"/>
  <c r="I164" i="7"/>
  <c r="H164" i="7"/>
  <c r="F164" i="7"/>
  <c r="K163" i="7"/>
  <c r="J163" i="7"/>
  <c r="I163" i="7"/>
  <c r="H163" i="7"/>
  <c r="F163" i="7"/>
  <c r="K162" i="7"/>
  <c r="J162" i="7"/>
  <c r="I162" i="7"/>
  <c r="H170" i="7" s="1"/>
  <c r="H162" i="7"/>
  <c r="F162" i="7"/>
  <c r="K161" i="7"/>
  <c r="J161" i="7"/>
  <c r="I161" i="7"/>
  <c r="H161" i="7"/>
  <c r="F161" i="7"/>
  <c r="C160" i="7"/>
  <c r="V159" i="7"/>
  <c r="T159" i="7"/>
  <c r="R159" i="7"/>
  <c r="U159" i="7"/>
  <c r="S159" i="7"/>
  <c r="I168" i="7" s="1"/>
  <c r="Q159" i="7"/>
  <c r="I167" i="7" s="1"/>
  <c r="E159" i="7"/>
  <c r="D159" i="7"/>
  <c r="B159" i="7"/>
  <c r="H156" i="7"/>
  <c r="J156" i="7"/>
  <c r="I154" i="7"/>
  <c r="H154" i="7"/>
  <c r="E154" i="7"/>
  <c r="J153" i="7"/>
  <c r="E153" i="7"/>
  <c r="J152" i="7"/>
  <c r="E152" i="7"/>
  <c r="K151" i="7"/>
  <c r="J151" i="7"/>
  <c r="H151" i="7"/>
  <c r="I151" i="7"/>
  <c r="F151" i="7"/>
  <c r="V151" i="7"/>
  <c r="T151" i="7"/>
  <c r="R151" i="7"/>
  <c r="U151" i="7"/>
  <c r="S151" i="7"/>
  <c r="Q151" i="7"/>
  <c r="E151" i="7"/>
  <c r="D151" i="7"/>
  <c r="B151" i="7"/>
  <c r="K150" i="7"/>
  <c r="J150" i="7"/>
  <c r="H150" i="7"/>
  <c r="I150" i="7"/>
  <c r="F150" i="7"/>
  <c r="V150" i="7"/>
  <c r="T150" i="7"/>
  <c r="R150" i="7"/>
  <c r="U150" i="7"/>
  <c r="S150" i="7"/>
  <c r="Q150" i="7"/>
  <c r="E150" i="7"/>
  <c r="D150" i="7"/>
  <c r="B150" i="7"/>
  <c r="K149" i="7"/>
  <c r="J149" i="7"/>
  <c r="I149" i="7"/>
  <c r="H149" i="7"/>
  <c r="F149" i="7"/>
  <c r="K148" i="7"/>
  <c r="J148" i="7"/>
  <c r="I148" i="7"/>
  <c r="H148" i="7"/>
  <c r="F148" i="7"/>
  <c r="K147" i="7"/>
  <c r="J147" i="7"/>
  <c r="I147" i="7"/>
  <c r="H147" i="7"/>
  <c r="F147" i="7"/>
  <c r="K146" i="7"/>
  <c r="J146" i="7"/>
  <c r="I146" i="7"/>
  <c r="H146" i="7"/>
  <c r="F146" i="7"/>
  <c r="C145" i="7"/>
  <c r="V144" i="7"/>
  <c r="T144" i="7"/>
  <c r="K153" i="7" s="1"/>
  <c r="R144" i="7"/>
  <c r="K152" i="7" s="1"/>
  <c r="U144" i="7"/>
  <c r="S144" i="7"/>
  <c r="Q144" i="7"/>
  <c r="I152" i="7" s="1"/>
  <c r="E144" i="7"/>
  <c r="D144" i="7"/>
  <c r="B144" i="7"/>
  <c r="H141" i="7"/>
  <c r="J141" i="7"/>
  <c r="I139" i="7"/>
  <c r="H139" i="7"/>
  <c r="E139" i="7"/>
  <c r="J138" i="7"/>
  <c r="I138" i="7"/>
  <c r="E138" i="7"/>
  <c r="J137" i="7"/>
  <c r="E137" i="7"/>
  <c r="K136" i="7"/>
  <c r="J136" i="7"/>
  <c r="H136" i="7"/>
  <c r="I136" i="7"/>
  <c r="F136" i="7"/>
  <c r="V136" i="7"/>
  <c r="T136" i="7"/>
  <c r="R136" i="7"/>
  <c r="U136" i="7"/>
  <c r="S136" i="7"/>
  <c r="Q136" i="7"/>
  <c r="I137" i="7" s="1"/>
  <c r="E136" i="7"/>
  <c r="D136" i="7"/>
  <c r="B136" i="7"/>
  <c r="K135" i="7"/>
  <c r="J135" i="7"/>
  <c r="H135" i="7"/>
  <c r="I135" i="7"/>
  <c r="F135" i="7"/>
  <c r="V135" i="7"/>
  <c r="T135" i="7"/>
  <c r="R135" i="7"/>
  <c r="U135" i="7"/>
  <c r="S135" i="7"/>
  <c r="Q135" i="7"/>
  <c r="E135" i="7"/>
  <c r="D135" i="7"/>
  <c r="B135" i="7"/>
  <c r="K134" i="7"/>
  <c r="J134" i="7"/>
  <c r="I134" i="7"/>
  <c r="H142" i="7" s="1"/>
  <c r="H134" i="7"/>
  <c r="F134" i="7"/>
  <c r="K133" i="7"/>
  <c r="J133" i="7"/>
  <c r="I133" i="7"/>
  <c r="H133" i="7"/>
  <c r="F133" i="7"/>
  <c r="K132" i="7"/>
  <c r="J132" i="7"/>
  <c r="I132" i="7"/>
  <c r="H132" i="7"/>
  <c r="F132" i="7"/>
  <c r="C131" i="7"/>
  <c r="V130" i="7"/>
  <c r="T130" i="7"/>
  <c r="R130" i="7"/>
  <c r="K137" i="7" s="1"/>
  <c r="U130" i="7"/>
  <c r="S130" i="7"/>
  <c r="Q130" i="7"/>
  <c r="E130" i="7"/>
  <c r="D130" i="7"/>
  <c r="B130" i="7"/>
  <c r="H128" i="7"/>
  <c r="P128" i="7"/>
  <c r="J128" i="7"/>
  <c r="K127" i="7"/>
  <c r="J127" i="7"/>
  <c r="I127" i="7"/>
  <c r="O128" i="7" s="1"/>
  <c r="H127" i="7"/>
  <c r="F127" i="7"/>
  <c r="V127" i="7"/>
  <c r="T127" i="7"/>
  <c r="R127" i="7"/>
  <c r="U127" i="7"/>
  <c r="S127" i="7"/>
  <c r="Q127" i="7"/>
  <c r="E127" i="7"/>
  <c r="D127" i="7"/>
  <c r="B127" i="7"/>
  <c r="O125" i="7"/>
  <c r="J125" i="7"/>
  <c r="K124" i="7"/>
  <c r="P125" i="7" s="1"/>
  <c r="J124" i="7"/>
  <c r="I124" i="7"/>
  <c r="H125" i="7" s="1"/>
  <c r="H124" i="7"/>
  <c r="F124" i="7"/>
  <c r="V124" i="7"/>
  <c r="T124" i="7"/>
  <c r="R124" i="7"/>
  <c r="U124" i="7"/>
  <c r="S124" i="7"/>
  <c r="Q124" i="7"/>
  <c r="E124" i="7"/>
  <c r="D124" i="7"/>
  <c r="B124" i="7"/>
  <c r="H121" i="7"/>
  <c r="J122" i="7"/>
  <c r="J121" i="7"/>
  <c r="I119" i="7"/>
  <c r="H119" i="7"/>
  <c r="E119" i="7"/>
  <c r="J118" i="7"/>
  <c r="I118" i="7"/>
  <c r="E118" i="7"/>
  <c r="J117" i="7"/>
  <c r="E117" i="7"/>
  <c r="K116" i="7"/>
  <c r="J116" i="7"/>
  <c r="H116" i="7"/>
  <c r="I116" i="7"/>
  <c r="F116" i="7"/>
  <c r="V116" i="7"/>
  <c r="T116" i="7"/>
  <c r="R116" i="7"/>
  <c r="U116" i="7"/>
  <c r="S116" i="7"/>
  <c r="Q116" i="7"/>
  <c r="E116" i="7"/>
  <c r="D116" i="7"/>
  <c r="B116" i="7"/>
  <c r="K115" i="7"/>
  <c r="J115" i="7"/>
  <c r="H115" i="7"/>
  <c r="I115" i="7"/>
  <c r="F115" i="7"/>
  <c r="V115" i="7"/>
  <c r="T115" i="7"/>
  <c r="R115" i="7"/>
  <c r="U115" i="7"/>
  <c r="S115" i="7"/>
  <c r="Q115" i="7"/>
  <c r="E115" i="7"/>
  <c r="D115" i="7"/>
  <c r="B115" i="7"/>
  <c r="K114" i="7"/>
  <c r="J114" i="7"/>
  <c r="I114" i="7"/>
  <c r="H114" i="7"/>
  <c r="F114" i="7"/>
  <c r="K113" i="7"/>
  <c r="J113" i="7"/>
  <c r="I113" i="7"/>
  <c r="H113" i="7"/>
  <c r="F113" i="7"/>
  <c r="K112" i="7"/>
  <c r="J112" i="7"/>
  <c r="I112" i="7"/>
  <c r="H112" i="7"/>
  <c r="F112" i="7"/>
  <c r="K111" i="7"/>
  <c r="J111" i="7"/>
  <c r="I111" i="7"/>
  <c r="H111" i="7"/>
  <c r="F111" i="7"/>
  <c r="C110" i="7"/>
  <c r="V109" i="7"/>
  <c r="T109" i="7"/>
  <c r="K118" i="7" s="1"/>
  <c r="R109" i="7"/>
  <c r="K117" i="7" s="1"/>
  <c r="U109" i="7"/>
  <c r="S109" i="7"/>
  <c r="Q109" i="7"/>
  <c r="I117" i="7" s="1"/>
  <c r="H122" i="7" s="1"/>
  <c r="E109" i="7"/>
  <c r="D109" i="7"/>
  <c r="B109" i="7"/>
  <c r="O107" i="7"/>
  <c r="K106" i="7"/>
  <c r="J106" i="7"/>
  <c r="I106" i="7"/>
  <c r="H107" i="7" s="1"/>
  <c r="H106" i="7"/>
  <c r="F106" i="7"/>
  <c r="V106" i="7"/>
  <c r="T106" i="7"/>
  <c r="R106" i="7"/>
  <c r="U106" i="7"/>
  <c r="S106" i="7"/>
  <c r="Q106" i="7"/>
  <c r="E106" i="7"/>
  <c r="D106" i="7"/>
  <c r="B106" i="7"/>
  <c r="H103" i="7"/>
  <c r="J103" i="7"/>
  <c r="I101" i="7"/>
  <c r="H101" i="7"/>
  <c r="E101" i="7"/>
  <c r="J100" i="7"/>
  <c r="E100" i="7"/>
  <c r="J99" i="7"/>
  <c r="E99" i="7"/>
  <c r="K98" i="7"/>
  <c r="J98" i="7"/>
  <c r="H98" i="7"/>
  <c r="I98" i="7"/>
  <c r="F98" i="7"/>
  <c r="V98" i="7"/>
  <c r="T98" i="7"/>
  <c r="R98" i="7"/>
  <c r="U98" i="7"/>
  <c r="S98" i="7"/>
  <c r="Q98" i="7"/>
  <c r="E98" i="7"/>
  <c r="D98" i="7"/>
  <c r="B98" i="7"/>
  <c r="K97" i="7"/>
  <c r="J97" i="7"/>
  <c r="I97" i="7"/>
  <c r="H97" i="7"/>
  <c r="F97" i="7"/>
  <c r="K96" i="7"/>
  <c r="J96" i="7"/>
  <c r="I96" i="7"/>
  <c r="H96" i="7"/>
  <c r="F96" i="7"/>
  <c r="K95" i="7"/>
  <c r="J95" i="7"/>
  <c r="I95" i="7"/>
  <c r="H95" i="7"/>
  <c r="F95" i="7"/>
  <c r="K94" i="7"/>
  <c r="J94" i="7"/>
  <c r="I94" i="7"/>
  <c r="H94" i="7"/>
  <c r="F94" i="7"/>
  <c r="V93" i="7"/>
  <c r="T93" i="7"/>
  <c r="K100" i="7" s="1"/>
  <c r="R93" i="7"/>
  <c r="U93" i="7"/>
  <c r="S93" i="7"/>
  <c r="I100" i="7" s="1"/>
  <c r="Q93" i="7"/>
  <c r="I99" i="7" s="1"/>
  <c r="E93" i="7"/>
  <c r="D93" i="7"/>
  <c r="B93" i="7"/>
  <c r="O91" i="7"/>
  <c r="J90" i="7"/>
  <c r="I88" i="7"/>
  <c r="H88" i="7"/>
  <c r="E88" i="7"/>
  <c r="J87" i="7"/>
  <c r="E87" i="7"/>
  <c r="J86" i="7"/>
  <c r="E86" i="7"/>
  <c r="K85" i="7"/>
  <c r="J85" i="7"/>
  <c r="H85" i="7"/>
  <c r="I85" i="7"/>
  <c r="H90" i="7" s="1"/>
  <c r="F85" i="7"/>
  <c r="V85" i="7"/>
  <c r="T85" i="7"/>
  <c r="R85" i="7"/>
  <c r="U85" i="7"/>
  <c r="S85" i="7"/>
  <c r="Q85" i="7"/>
  <c r="E85" i="7"/>
  <c r="D85" i="7"/>
  <c r="B85" i="7"/>
  <c r="K84" i="7"/>
  <c r="J84" i="7"/>
  <c r="I84" i="7"/>
  <c r="H84" i="7"/>
  <c r="F84" i="7"/>
  <c r="K83" i="7"/>
  <c r="J83" i="7"/>
  <c r="I83" i="7"/>
  <c r="H83" i="7"/>
  <c r="F83" i="7"/>
  <c r="K82" i="7"/>
  <c r="J82" i="7"/>
  <c r="I82" i="7"/>
  <c r="H82" i="7"/>
  <c r="F82" i="7"/>
  <c r="K81" i="7"/>
  <c r="J81" i="7"/>
  <c r="I81" i="7"/>
  <c r="H81" i="7"/>
  <c r="F81" i="7"/>
  <c r="V80" i="7"/>
  <c r="T80" i="7"/>
  <c r="K87" i="7" s="1"/>
  <c r="R80" i="7"/>
  <c r="K86" i="7" s="1"/>
  <c r="P91" i="7" s="1"/>
  <c r="U80" i="7"/>
  <c r="S80" i="7"/>
  <c r="I87" i="7" s="1"/>
  <c r="Q80" i="7"/>
  <c r="I86" i="7" s="1"/>
  <c r="E80" i="7"/>
  <c r="D80" i="7"/>
  <c r="B80" i="7"/>
  <c r="P78" i="7"/>
  <c r="K77" i="7"/>
  <c r="J78" i="7" s="1"/>
  <c r="J77" i="7"/>
  <c r="I77" i="7"/>
  <c r="H77" i="7"/>
  <c r="F77" i="7"/>
  <c r="V77" i="7"/>
  <c r="T77" i="7"/>
  <c r="R77" i="7"/>
  <c r="U77" i="7"/>
  <c r="S77" i="7"/>
  <c r="Q77" i="7"/>
  <c r="E77" i="7"/>
  <c r="D77" i="7"/>
  <c r="B77" i="7"/>
  <c r="H74" i="7"/>
  <c r="J74" i="7"/>
  <c r="I72" i="7"/>
  <c r="H72" i="7"/>
  <c r="E72" i="7"/>
  <c r="J71" i="7"/>
  <c r="E71" i="7"/>
  <c r="J70" i="7"/>
  <c r="E70" i="7"/>
  <c r="K69" i="7"/>
  <c r="J69" i="7"/>
  <c r="I69" i="7"/>
  <c r="H69" i="7"/>
  <c r="F69" i="7"/>
  <c r="V68" i="7"/>
  <c r="T68" i="7"/>
  <c r="K71" i="7" s="1"/>
  <c r="R68" i="7"/>
  <c r="K70" i="7" s="1"/>
  <c r="P75" i="7" s="1"/>
  <c r="U68" i="7"/>
  <c r="S68" i="7"/>
  <c r="I71" i="7" s="1"/>
  <c r="O75" i="7" s="1"/>
  <c r="Q68" i="7"/>
  <c r="I70" i="7" s="1"/>
  <c r="E68" i="7"/>
  <c r="D68" i="7"/>
  <c r="B68" i="7"/>
  <c r="H65" i="7"/>
  <c r="J65" i="7"/>
  <c r="I63" i="7"/>
  <c r="H63" i="7"/>
  <c r="E63" i="7"/>
  <c r="J62" i="7"/>
  <c r="E62" i="7"/>
  <c r="J61" i="7"/>
  <c r="E61" i="7"/>
  <c r="K60" i="7"/>
  <c r="J60" i="7"/>
  <c r="I60" i="7"/>
  <c r="H60" i="7"/>
  <c r="F60" i="7"/>
  <c r="K59" i="7"/>
  <c r="J59" i="7"/>
  <c r="I59" i="7"/>
  <c r="H59" i="7"/>
  <c r="F59" i="7"/>
  <c r="K58" i="7"/>
  <c r="J58" i="7"/>
  <c r="I58" i="7"/>
  <c r="H58" i="7"/>
  <c r="F58" i="7"/>
  <c r="K57" i="7"/>
  <c r="J57" i="7"/>
  <c r="I57" i="7"/>
  <c r="H57" i="7"/>
  <c r="F57" i="7"/>
  <c r="V56" i="7"/>
  <c r="T56" i="7"/>
  <c r="K62" i="7" s="1"/>
  <c r="R56" i="7"/>
  <c r="K61" i="7" s="1"/>
  <c r="J64" i="7" s="1"/>
  <c r="U56" i="7"/>
  <c r="S56" i="7"/>
  <c r="I62" i="7" s="1"/>
  <c r="Q56" i="7"/>
  <c r="I61" i="7" s="1"/>
  <c r="E56" i="7"/>
  <c r="D56" i="7"/>
  <c r="B56" i="7"/>
  <c r="H53" i="7"/>
  <c r="J53" i="7"/>
  <c r="I51" i="7"/>
  <c r="H51" i="7"/>
  <c r="E51" i="7"/>
  <c r="J50" i="7"/>
  <c r="I50" i="7"/>
  <c r="E50" i="7"/>
  <c r="J49" i="7"/>
  <c r="E49" i="7"/>
  <c r="K48" i="7"/>
  <c r="J48" i="7"/>
  <c r="I48" i="7"/>
  <c r="H48" i="7"/>
  <c r="F48" i="7"/>
  <c r="K47" i="7"/>
  <c r="J47" i="7"/>
  <c r="I47" i="7"/>
  <c r="H47" i="7"/>
  <c r="F47" i="7"/>
  <c r="K46" i="7"/>
  <c r="J46" i="7"/>
  <c r="I46" i="7"/>
  <c r="H46" i="7"/>
  <c r="F46" i="7"/>
  <c r="K45" i="7"/>
  <c r="J52" i="7" s="1"/>
  <c r="J45" i="7"/>
  <c r="I45" i="7"/>
  <c r="H45" i="7"/>
  <c r="F45" i="7"/>
  <c r="V44" i="7"/>
  <c r="T44" i="7"/>
  <c r="K50" i="7" s="1"/>
  <c r="R44" i="7"/>
  <c r="K49" i="7" s="1"/>
  <c r="U44" i="7"/>
  <c r="S44" i="7"/>
  <c r="Q44" i="7"/>
  <c r="I49" i="7" s="1"/>
  <c r="E44" i="7"/>
  <c r="D44" i="7"/>
  <c r="B44" i="7"/>
  <c r="H41" i="7"/>
  <c r="J41" i="7"/>
  <c r="I39" i="7"/>
  <c r="H39" i="7"/>
  <c r="E39" i="7"/>
  <c r="J38" i="7"/>
  <c r="E38" i="7"/>
  <c r="J37" i="7"/>
  <c r="E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H34" i="7"/>
  <c r="F34" i="7"/>
  <c r="K33" i="7"/>
  <c r="J33" i="7"/>
  <c r="I33" i="7"/>
  <c r="H33" i="7"/>
  <c r="F33" i="7"/>
  <c r="V32" i="7"/>
  <c r="T32" i="7"/>
  <c r="K38" i="7" s="1"/>
  <c r="R32" i="7"/>
  <c r="K37" i="7" s="1"/>
  <c r="U32" i="7"/>
  <c r="S32" i="7"/>
  <c r="I38" i="7" s="1"/>
  <c r="Q32" i="7"/>
  <c r="I37" i="7" s="1"/>
  <c r="E32" i="7"/>
  <c r="D32" i="7"/>
  <c r="B32" i="7"/>
  <c r="A31" i="7"/>
  <c r="A29" i="7"/>
  <c r="A11" i="7"/>
  <c r="A6" i="7"/>
  <c r="A1" i="7"/>
  <c r="P54" i="7" l="1"/>
  <c r="H64" i="7"/>
  <c r="H40" i="7"/>
  <c r="J40" i="7"/>
  <c r="H52" i="7"/>
  <c r="P42" i="7"/>
  <c r="J322" i="7"/>
  <c r="O42" i="7"/>
  <c r="P66" i="7"/>
  <c r="J66" i="7"/>
  <c r="J120" i="7"/>
  <c r="J42" i="7"/>
  <c r="H42" i="7"/>
  <c r="J54" i="7"/>
  <c r="H54" i="7"/>
  <c r="H75" i="7"/>
  <c r="H91" i="7"/>
  <c r="K99" i="7"/>
  <c r="J102" i="7" s="1"/>
  <c r="K138" i="7"/>
  <c r="J142" i="7" s="1"/>
  <c r="P172" i="7"/>
  <c r="P207" i="7"/>
  <c r="I228" i="7"/>
  <c r="O260" i="7"/>
  <c r="P272" i="7"/>
  <c r="P324" i="7"/>
  <c r="J333" i="7"/>
  <c r="O352" i="7"/>
  <c r="J372" i="7"/>
  <c r="H400" i="7"/>
  <c r="H411" i="7"/>
  <c r="P416" i="7"/>
  <c r="J416" i="7"/>
  <c r="O446" i="7"/>
  <c r="H102" i="7"/>
  <c r="O104" i="7"/>
  <c r="H104" i="7"/>
  <c r="H190" i="7"/>
  <c r="O192" i="7"/>
  <c r="H192" i="7"/>
  <c r="O233" i="7"/>
  <c r="H233" i="7"/>
  <c r="H231" i="7"/>
  <c r="J245" i="7"/>
  <c r="J295" i="7"/>
  <c r="J293" i="7"/>
  <c r="O298" i="7"/>
  <c r="H298" i="7"/>
  <c r="H309" i="7"/>
  <c r="P338" i="7"/>
  <c r="J338" i="7"/>
  <c r="H372" i="7"/>
  <c r="O374" i="7"/>
  <c r="H374" i="7"/>
  <c r="J400" i="7"/>
  <c r="P402" i="7"/>
  <c r="J402" i="7"/>
  <c r="J411" i="7"/>
  <c r="P413" i="7"/>
  <c r="J413" i="7"/>
  <c r="H444" i="7"/>
  <c r="O54" i="7"/>
  <c r="O66" i="7"/>
  <c r="H66" i="7"/>
  <c r="O78" i="7"/>
  <c r="H78" i="7"/>
  <c r="H120" i="7"/>
  <c r="H140" i="7"/>
  <c r="J155" i="7"/>
  <c r="P157" i="7"/>
  <c r="J157" i="7"/>
  <c r="J75" i="7"/>
  <c r="J91" i="7"/>
  <c r="J89" i="7"/>
  <c r="O172" i="7"/>
  <c r="O207" i="7"/>
  <c r="P260" i="7"/>
  <c r="O272" i="7"/>
  <c r="O324" i="7"/>
  <c r="H333" i="7"/>
  <c r="P352" i="7"/>
  <c r="H387" i="7"/>
  <c r="O419" i="7"/>
  <c r="H419" i="7"/>
  <c r="K429" i="7"/>
  <c r="J433" i="7" s="1"/>
  <c r="J444" i="7"/>
  <c r="P446" i="7"/>
  <c r="J446" i="7"/>
  <c r="P107" i="7"/>
  <c r="J107" i="7"/>
  <c r="J140" i="7"/>
  <c r="P142" i="7"/>
  <c r="I153" i="7"/>
  <c r="H155" i="7" s="1"/>
  <c r="K187" i="7"/>
  <c r="J190" i="7" s="1"/>
  <c r="P233" i="7"/>
  <c r="H245" i="7"/>
  <c r="O247" i="7"/>
  <c r="H247" i="7"/>
  <c r="I291" i="7"/>
  <c r="O295" i="7" s="1"/>
  <c r="P295" i="7"/>
  <c r="J309" i="7"/>
  <c r="P311" i="7"/>
  <c r="P374" i="7"/>
  <c r="J387" i="7"/>
  <c r="J385" i="7"/>
  <c r="O390" i="7"/>
  <c r="H390" i="7"/>
  <c r="O402" i="7"/>
  <c r="O413" i="7"/>
  <c r="H431" i="7"/>
  <c r="J14" i="7"/>
  <c r="J73" i="7"/>
  <c r="H73" i="7"/>
  <c r="H89" i="7"/>
  <c r="J104" i="7"/>
  <c r="P122" i="7"/>
  <c r="O122" i="7"/>
  <c r="O142" i="7"/>
  <c r="J192" i="7"/>
  <c r="J247" i="7"/>
  <c r="H293" i="7"/>
  <c r="O311" i="7"/>
  <c r="J335" i="7"/>
  <c r="H335" i="7"/>
  <c r="J374" i="7"/>
  <c r="H402" i="7"/>
  <c r="H413" i="7"/>
  <c r="P433" i="7"/>
  <c r="O433" i="7"/>
  <c r="H446" i="7"/>
  <c r="P104" i="7"/>
  <c r="O157" i="7"/>
  <c r="J172" i="7"/>
  <c r="H172" i="7"/>
  <c r="J175" i="7"/>
  <c r="H178" i="7"/>
  <c r="P192" i="7"/>
  <c r="J207" i="7"/>
  <c r="H207" i="7"/>
  <c r="J210" i="7"/>
  <c r="H213" i="7"/>
  <c r="J216" i="7"/>
  <c r="H219" i="7"/>
  <c r="J233" i="7"/>
  <c r="P247" i="7"/>
  <c r="J260" i="7"/>
  <c r="H260" i="7"/>
  <c r="J272" i="7"/>
  <c r="H272" i="7"/>
  <c r="J275" i="7"/>
  <c r="J324" i="7"/>
  <c r="H324" i="7"/>
  <c r="P335" i="7"/>
  <c r="O335" i="7"/>
  <c r="J352" i="7"/>
  <c r="H352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1" i="3"/>
  <c r="Y1" i="3"/>
  <c r="CV1" i="3" s="1"/>
  <c r="CU1" i="3"/>
  <c r="CY1" i="3"/>
  <c r="CZ1" i="3"/>
  <c r="DA1" i="3"/>
  <c r="DB1" i="3"/>
  <c r="DC1" i="3"/>
  <c r="A2" i="3"/>
  <c r="Y2" i="3"/>
  <c r="CX2" i="3" s="1"/>
  <c r="CW2" i="3"/>
  <c r="CY2" i="3"/>
  <c r="CZ2" i="3"/>
  <c r="DB2" i="3" s="1"/>
  <c r="DA2" i="3"/>
  <c r="DC2" i="3"/>
  <c r="A3" i="3"/>
  <c r="Y3" i="3"/>
  <c r="CW3" i="3"/>
  <c r="CX3" i="3"/>
  <c r="CY3" i="3"/>
  <c r="CZ3" i="3"/>
  <c r="DA3" i="3"/>
  <c r="DB3" i="3"/>
  <c r="DC3" i="3"/>
  <c r="A4" i="3"/>
  <c r="Y4" i="3"/>
  <c r="CX4" i="3" s="1"/>
  <c r="CY4" i="3"/>
  <c r="CZ4" i="3"/>
  <c r="DB4" i="3" s="1"/>
  <c r="DA4" i="3"/>
  <c r="DC4" i="3"/>
  <c r="A5" i="3"/>
  <c r="Y5" i="3"/>
  <c r="CW5" i="3"/>
  <c r="CX5" i="3"/>
  <c r="CY5" i="3"/>
  <c r="CZ5" i="3"/>
  <c r="DA5" i="3"/>
  <c r="DB5" i="3"/>
  <c r="DC5" i="3"/>
  <c r="A6" i="3"/>
  <c r="Y6" i="3"/>
  <c r="CX6" i="3" s="1"/>
  <c r="CW6" i="3"/>
  <c r="CY6" i="3"/>
  <c r="CZ6" i="3"/>
  <c r="DB6" i="3" s="1"/>
  <c r="DA6" i="3"/>
  <c r="DC6" i="3"/>
  <c r="DF6" i="3"/>
  <c r="DG6" i="3"/>
  <c r="DJ6" i="3" s="1"/>
  <c r="A7" i="3"/>
  <c r="Y7" i="3"/>
  <c r="CX7" i="3"/>
  <c r="DG7" i="3" s="1"/>
  <c r="CY7" i="3"/>
  <c r="CZ7" i="3"/>
  <c r="DB7" i="3" s="1"/>
  <c r="DA7" i="3"/>
  <c r="DC7" i="3"/>
  <c r="DF7" i="3"/>
  <c r="DH7" i="3"/>
  <c r="DI7" i="3"/>
  <c r="DJ7" i="3"/>
  <c r="A8" i="3"/>
  <c r="Y8" i="3"/>
  <c r="CX8" i="3"/>
  <c r="CY8" i="3"/>
  <c r="CZ8" i="3"/>
  <c r="DA8" i="3"/>
  <c r="DB8" i="3"/>
  <c r="DC8" i="3"/>
  <c r="A9" i="3"/>
  <c r="Y9" i="3"/>
  <c r="CX9" i="3" s="1"/>
  <c r="CY9" i="3"/>
  <c r="CZ9" i="3"/>
  <c r="DA9" i="3"/>
  <c r="DB9" i="3"/>
  <c r="DC9" i="3"/>
  <c r="A10" i="3"/>
  <c r="Y10" i="3"/>
  <c r="CX10" i="3" s="1"/>
  <c r="CY10" i="3"/>
  <c r="CZ10" i="3"/>
  <c r="DB10" i="3" s="1"/>
  <c r="DA10" i="3"/>
  <c r="DC10" i="3"/>
  <c r="DF10" i="3"/>
  <c r="DJ10" i="3" s="1"/>
  <c r="DG10" i="3"/>
  <c r="A11" i="3"/>
  <c r="Y11" i="3"/>
  <c r="CU11" i="3"/>
  <c r="CV11" i="3"/>
  <c r="CX11" i="3"/>
  <c r="CY11" i="3"/>
  <c r="CZ11" i="3"/>
  <c r="DA11" i="3"/>
  <c r="DB11" i="3"/>
  <c r="DC11" i="3"/>
  <c r="DG11" i="3"/>
  <c r="A12" i="3"/>
  <c r="Y12" i="3"/>
  <c r="CY12" i="3"/>
  <c r="CZ12" i="3"/>
  <c r="DB12" i="3" s="1"/>
  <c r="DA12" i="3"/>
  <c r="DC12" i="3"/>
  <c r="A13" i="3"/>
  <c r="Y13" i="3"/>
  <c r="CW13" i="3"/>
  <c r="CX13" i="3"/>
  <c r="CY13" i="3"/>
  <c r="CZ13" i="3"/>
  <c r="DA13" i="3"/>
  <c r="DB13" i="3"/>
  <c r="DC13" i="3"/>
  <c r="DG13" i="3"/>
  <c r="DJ13" i="3" s="1"/>
  <c r="A14" i="3"/>
  <c r="Y14" i="3"/>
  <c r="CY14" i="3"/>
  <c r="CZ14" i="3"/>
  <c r="DB14" i="3" s="1"/>
  <c r="DA14" i="3"/>
  <c r="DC14" i="3"/>
  <c r="A15" i="3"/>
  <c r="Y15" i="3"/>
  <c r="CW15" i="3"/>
  <c r="CX15" i="3"/>
  <c r="CY15" i="3"/>
  <c r="CZ15" i="3"/>
  <c r="DA15" i="3"/>
  <c r="DB15" i="3"/>
  <c r="DC15" i="3"/>
  <c r="DG15" i="3"/>
  <c r="DJ15" i="3" s="1"/>
  <c r="A16" i="3"/>
  <c r="Y16" i="3"/>
  <c r="CY16" i="3"/>
  <c r="CZ16" i="3"/>
  <c r="DB16" i="3" s="1"/>
  <c r="DA16" i="3"/>
  <c r="DC16" i="3"/>
  <c r="A17" i="3"/>
  <c r="Y17" i="3"/>
  <c r="CX17" i="3"/>
  <c r="CY17" i="3"/>
  <c r="CZ17" i="3"/>
  <c r="DA17" i="3"/>
  <c r="DB17" i="3"/>
  <c r="DC17" i="3"/>
  <c r="DH17" i="3"/>
  <c r="DI17" i="3"/>
  <c r="A18" i="3"/>
  <c r="Y18" i="3"/>
  <c r="CX18" i="3"/>
  <c r="CY18" i="3"/>
  <c r="CZ18" i="3"/>
  <c r="DA18" i="3"/>
  <c r="DB18" i="3"/>
  <c r="DC18" i="3"/>
  <c r="A19" i="3"/>
  <c r="Y19" i="3"/>
  <c r="CX19" i="3" s="1"/>
  <c r="CY19" i="3"/>
  <c r="CZ19" i="3"/>
  <c r="DB19" i="3" s="1"/>
  <c r="DA19" i="3"/>
  <c r="DC19" i="3"/>
  <c r="A20" i="3"/>
  <c r="Y20" i="3"/>
  <c r="CX20" i="3"/>
  <c r="DG20" i="3" s="1"/>
  <c r="CY20" i="3"/>
  <c r="CZ20" i="3"/>
  <c r="DB20" i="3" s="1"/>
  <c r="DA20" i="3"/>
  <c r="DC20" i="3"/>
  <c r="DF20" i="3"/>
  <c r="DJ20" i="3" s="1"/>
  <c r="DH20" i="3"/>
  <c r="DI20" i="3"/>
  <c r="A21" i="3"/>
  <c r="Y21" i="3"/>
  <c r="CX21" i="3" s="1"/>
  <c r="CU21" i="3"/>
  <c r="CV21" i="3"/>
  <c r="CY21" i="3"/>
  <c r="CZ21" i="3"/>
  <c r="DB21" i="3" s="1"/>
  <c r="DA21" i="3"/>
  <c r="DC21" i="3"/>
  <c r="DG21" i="3"/>
  <c r="A22" i="3"/>
  <c r="Y22" i="3"/>
  <c r="CW22" i="3"/>
  <c r="CX22" i="3"/>
  <c r="CY22" i="3"/>
  <c r="CZ22" i="3"/>
  <c r="DA22" i="3"/>
  <c r="DB22" i="3"/>
  <c r="DC22" i="3"/>
  <c r="DH22" i="3"/>
  <c r="DI22" i="3"/>
  <c r="A23" i="3"/>
  <c r="Y23" i="3"/>
  <c r="CX23" i="3" s="1"/>
  <c r="CW23" i="3"/>
  <c r="CY23" i="3"/>
  <c r="CZ23" i="3"/>
  <c r="DB23" i="3" s="1"/>
  <c r="DA23" i="3"/>
  <c r="DC23" i="3"/>
  <c r="DF23" i="3"/>
  <c r="A24" i="3"/>
  <c r="Y24" i="3"/>
  <c r="CW24" i="3"/>
  <c r="CX24" i="3"/>
  <c r="CY24" i="3"/>
  <c r="CZ24" i="3"/>
  <c r="DA24" i="3"/>
  <c r="DB24" i="3"/>
  <c r="DC24" i="3"/>
  <c r="DH24" i="3"/>
  <c r="A25" i="3"/>
  <c r="Y25" i="3"/>
  <c r="CX25" i="3"/>
  <c r="CY25" i="3"/>
  <c r="CZ25" i="3"/>
  <c r="DA25" i="3"/>
  <c r="DB25" i="3"/>
  <c r="DC25" i="3"/>
  <c r="A26" i="3"/>
  <c r="Y26" i="3"/>
  <c r="CX26" i="3" s="1"/>
  <c r="CY26" i="3"/>
  <c r="CZ26" i="3"/>
  <c r="DB26" i="3" s="1"/>
  <c r="DA26" i="3"/>
  <c r="DC26" i="3"/>
  <c r="DF26" i="3"/>
  <c r="DG26" i="3"/>
  <c r="DJ26" i="3"/>
  <c r="A27" i="3"/>
  <c r="Y27" i="3"/>
  <c r="CX27" i="3"/>
  <c r="DG27" i="3" s="1"/>
  <c r="CY27" i="3"/>
  <c r="CZ27" i="3"/>
  <c r="DB27" i="3" s="1"/>
  <c r="DA27" i="3"/>
  <c r="DC27" i="3"/>
  <c r="DF27" i="3"/>
  <c r="DJ27" i="3" s="1"/>
  <c r="DH27" i="3"/>
  <c r="DI27" i="3"/>
  <c r="A28" i="3"/>
  <c r="Y28" i="3"/>
  <c r="CX28" i="3"/>
  <c r="CY28" i="3"/>
  <c r="CZ28" i="3"/>
  <c r="DA28" i="3"/>
  <c r="DB28" i="3"/>
  <c r="DC28" i="3"/>
  <c r="DH28" i="3"/>
  <c r="A29" i="3"/>
  <c r="Y29" i="3"/>
  <c r="CX29" i="3"/>
  <c r="CY29" i="3"/>
  <c r="CZ29" i="3"/>
  <c r="DA29" i="3"/>
  <c r="DB29" i="3"/>
  <c r="DC29" i="3"/>
  <c r="A30" i="3"/>
  <c r="Y30" i="3"/>
  <c r="CV30" i="3" s="1"/>
  <c r="CU30" i="3"/>
  <c r="CX30" i="3"/>
  <c r="CY30" i="3"/>
  <c r="CZ30" i="3"/>
  <c r="DA30" i="3"/>
  <c r="DB30" i="3"/>
  <c r="DC30" i="3"/>
  <c r="A31" i="3"/>
  <c r="Y31" i="3"/>
  <c r="CX31" i="3" s="1"/>
  <c r="CY31" i="3"/>
  <c r="CZ31" i="3"/>
  <c r="DB31" i="3" s="1"/>
  <c r="DA31" i="3"/>
  <c r="DC31" i="3"/>
  <c r="A32" i="3"/>
  <c r="Y32" i="3"/>
  <c r="CW32" i="3" s="1"/>
  <c r="CX32" i="3"/>
  <c r="CY32" i="3"/>
  <c r="CZ32" i="3"/>
  <c r="DA32" i="3"/>
  <c r="DB32" i="3"/>
  <c r="DC32" i="3"/>
  <c r="A33" i="3"/>
  <c r="Y33" i="3"/>
  <c r="CX33" i="3" s="1"/>
  <c r="CY33" i="3"/>
  <c r="CZ33" i="3"/>
  <c r="DB33" i="3" s="1"/>
  <c r="DA33" i="3"/>
  <c r="DC33" i="3"/>
  <c r="A34" i="3"/>
  <c r="Y34" i="3"/>
  <c r="CX34" i="3" s="1"/>
  <c r="CY34" i="3"/>
  <c r="CZ34" i="3"/>
  <c r="DB34" i="3" s="1"/>
  <c r="DA34" i="3"/>
  <c r="DC34" i="3"/>
  <c r="DF34" i="3"/>
  <c r="DJ34" i="3" s="1"/>
  <c r="DI34" i="3"/>
  <c r="A35" i="3"/>
  <c r="Y35" i="3"/>
  <c r="CX35" i="3"/>
  <c r="CY35" i="3"/>
  <c r="CZ35" i="3"/>
  <c r="DA35" i="3"/>
  <c r="DB35" i="3"/>
  <c r="DC35" i="3"/>
  <c r="A36" i="3"/>
  <c r="Y36" i="3"/>
  <c r="CX36" i="3"/>
  <c r="CY36" i="3"/>
  <c r="CZ36" i="3"/>
  <c r="DA36" i="3"/>
  <c r="DB36" i="3"/>
  <c r="DC36" i="3"/>
  <c r="DG36" i="3"/>
  <c r="A37" i="3"/>
  <c r="Y37" i="3"/>
  <c r="CX37" i="3" s="1"/>
  <c r="CY37" i="3"/>
  <c r="CZ37" i="3"/>
  <c r="DB37" i="3" s="1"/>
  <c r="DA37" i="3"/>
  <c r="DC37" i="3"/>
  <c r="DF37" i="3"/>
  <c r="DJ37" i="3" s="1"/>
  <c r="A38" i="3"/>
  <c r="Y38" i="3"/>
  <c r="CX38" i="3" s="1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X59" i="3" s="1"/>
  <c r="CU59" i="3"/>
  <c r="CV59" i="3"/>
  <c r="CY59" i="3"/>
  <c r="CZ59" i="3"/>
  <c r="DB59" i="3" s="1"/>
  <c r="DA59" i="3"/>
  <c r="DC59" i="3"/>
  <c r="DG59" i="3"/>
  <c r="A60" i="3"/>
  <c r="Y60" i="3"/>
  <c r="CW60" i="3"/>
  <c r="CX60" i="3"/>
  <c r="CY60" i="3"/>
  <c r="CZ60" i="3"/>
  <c r="DA60" i="3"/>
  <c r="DB60" i="3"/>
  <c r="DC60" i="3"/>
  <c r="DH60" i="3"/>
  <c r="DI60" i="3"/>
  <c r="A61" i="3"/>
  <c r="Y61" i="3"/>
  <c r="CX61" i="3" s="1"/>
  <c r="CW61" i="3"/>
  <c r="CY61" i="3"/>
  <c r="CZ61" i="3"/>
  <c r="DB61" i="3" s="1"/>
  <c r="DA61" i="3"/>
  <c r="DC61" i="3"/>
  <c r="DF61" i="3"/>
  <c r="DG61" i="3"/>
  <c r="DJ61" i="3" s="1"/>
  <c r="A62" i="3"/>
  <c r="Y62" i="3"/>
  <c r="CW62" i="3"/>
  <c r="CX62" i="3"/>
  <c r="CY62" i="3"/>
  <c r="CZ62" i="3"/>
  <c r="DA62" i="3"/>
  <c r="DB62" i="3"/>
  <c r="DC62" i="3"/>
  <c r="DH62" i="3"/>
  <c r="DI62" i="3"/>
  <c r="A63" i="3"/>
  <c r="Y63" i="3"/>
  <c r="CX63" i="3"/>
  <c r="CY63" i="3"/>
  <c r="CZ63" i="3"/>
  <c r="DA63" i="3"/>
  <c r="DB63" i="3"/>
  <c r="DC63" i="3"/>
  <c r="A64" i="3"/>
  <c r="Y64" i="3"/>
  <c r="CX64" i="3" s="1"/>
  <c r="CY64" i="3"/>
  <c r="CZ64" i="3"/>
  <c r="DB64" i="3" s="1"/>
  <c r="DA64" i="3"/>
  <c r="DC64" i="3"/>
  <c r="DG64" i="3"/>
  <c r="A65" i="3"/>
  <c r="Y65" i="3"/>
  <c r="CX65" i="3"/>
  <c r="DG65" i="3" s="1"/>
  <c r="CY65" i="3"/>
  <c r="CZ65" i="3"/>
  <c r="DB65" i="3" s="1"/>
  <c r="DA65" i="3"/>
  <c r="DC65" i="3"/>
  <c r="DF65" i="3"/>
  <c r="DJ65" i="3" s="1"/>
  <c r="DH65" i="3"/>
  <c r="DI65" i="3"/>
  <c r="A66" i="3"/>
  <c r="Y66" i="3"/>
  <c r="CX66" i="3"/>
  <c r="CY66" i="3"/>
  <c r="CZ66" i="3"/>
  <c r="DA66" i="3"/>
  <c r="DB66" i="3"/>
  <c r="DC66" i="3"/>
  <c r="DH66" i="3"/>
  <c r="DI66" i="3"/>
  <c r="A67" i="3"/>
  <c r="Y67" i="3"/>
  <c r="CX67" i="3"/>
  <c r="CY67" i="3"/>
  <c r="CZ67" i="3"/>
  <c r="DA67" i="3"/>
  <c r="DB67" i="3"/>
  <c r="DC67" i="3"/>
  <c r="A68" i="3"/>
  <c r="Y68" i="3"/>
  <c r="CV68" i="3" s="1"/>
  <c r="CU68" i="3"/>
  <c r="CX68" i="3"/>
  <c r="DH68" i="3" s="1"/>
  <c r="CY68" i="3"/>
  <c r="CZ68" i="3"/>
  <c r="DA68" i="3"/>
  <c r="DB68" i="3"/>
  <c r="DC68" i="3"/>
  <c r="A69" i="3"/>
  <c r="Y69" i="3"/>
  <c r="CX69" i="3" s="1"/>
  <c r="CY69" i="3"/>
  <c r="CZ69" i="3"/>
  <c r="DB69" i="3" s="1"/>
  <c r="DA69" i="3"/>
  <c r="DC69" i="3"/>
  <c r="A70" i="3"/>
  <c r="Y70" i="3"/>
  <c r="CW70" i="3"/>
  <c r="CX70" i="3"/>
  <c r="CY70" i="3"/>
  <c r="CZ70" i="3"/>
  <c r="DA70" i="3"/>
  <c r="DB70" i="3"/>
  <c r="DC70" i="3"/>
  <c r="A71" i="3"/>
  <c r="Y71" i="3"/>
  <c r="CX71" i="3" s="1"/>
  <c r="CY71" i="3"/>
  <c r="CZ71" i="3"/>
  <c r="DB71" i="3" s="1"/>
  <c r="DA71" i="3"/>
  <c r="DC71" i="3"/>
  <c r="DF71" i="3"/>
  <c r="DG71" i="3"/>
  <c r="DJ71" i="3" s="1"/>
  <c r="A72" i="3"/>
  <c r="Y72" i="3"/>
  <c r="CX72" i="3"/>
  <c r="DG72" i="3" s="1"/>
  <c r="CY72" i="3"/>
  <c r="CZ72" i="3"/>
  <c r="DB72" i="3" s="1"/>
  <c r="DA72" i="3"/>
  <c r="DC72" i="3"/>
  <c r="DF72" i="3"/>
  <c r="DH72" i="3"/>
  <c r="DI72" i="3"/>
  <c r="DJ72" i="3"/>
  <c r="A73" i="3"/>
  <c r="Y73" i="3"/>
  <c r="CX73" i="3"/>
  <c r="DH73" i="3" s="1"/>
  <c r="CY73" i="3"/>
  <c r="CZ73" i="3"/>
  <c r="DA73" i="3"/>
  <c r="DB73" i="3"/>
  <c r="DC73" i="3"/>
  <c r="A74" i="3"/>
  <c r="Y74" i="3"/>
  <c r="CX74" i="3" s="1"/>
  <c r="CY74" i="3"/>
  <c r="CZ74" i="3"/>
  <c r="DA74" i="3"/>
  <c r="DB74" i="3"/>
  <c r="DC74" i="3"/>
  <c r="A75" i="3"/>
  <c r="Y75" i="3"/>
  <c r="CX75" i="3" s="1"/>
  <c r="CY75" i="3"/>
  <c r="CZ75" i="3"/>
  <c r="DB75" i="3" s="1"/>
  <c r="DA75" i="3"/>
  <c r="DC75" i="3"/>
  <c r="DF75" i="3"/>
  <c r="DJ75" i="3" s="1"/>
  <c r="DG75" i="3"/>
  <c r="A76" i="3"/>
  <c r="Y76" i="3"/>
  <c r="CX76" i="3"/>
  <c r="DG76" i="3" s="1"/>
  <c r="CY76" i="3"/>
  <c r="CZ76" i="3"/>
  <c r="DB76" i="3" s="1"/>
  <c r="DA76" i="3"/>
  <c r="DC76" i="3"/>
  <c r="DF76" i="3"/>
  <c r="DH76" i="3"/>
  <c r="DI76" i="3"/>
  <c r="DJ76" i="3"/>
  <c r="A77" i="3"/>
  <c r="Y77" i="3"/>
  <c r="CX77" i="3" s="1"/>
  <c r="CU77" i="3"/>
  <c r="CV77" i="3"/>
  <c r="CY77" i="3"/>
  <c r="CZ77" i="3"/>
  <c r="DB77" i="3" s="1"/>
  <c r="DA77" i="3"/>
  <c r="DC77" i="3"/>
  <c r="DF77" i="3"/>
  <c r="DG77" i="3"/>
  <c r="A78" i="3"/>
  <c r="Y78" i="3"/>
  <c r="CU78" i="3"/>
  <c r="CV78" i="3"/>
  <c r="CX78" i="3"/>
  <c r="DI78" i="3" s="1"/>
  <c r="DJ78" i="3" s="1"/>
  <c r="CY78" i="3"/>
  <c r="CZ78" i="3"/>
  <c r="DA78" i="3"/>
  <c r="DB78" i="3"/>
  <c r="DC78" i="3"/>
  <c r="DH78" i="3"/>
  <c r="A79" i="3"/>
  <c r="Y79" i="3"/>
  <c r="CX79" i="3" s="1"/>
  <c r="CU79" i="3"/>
  <c r="CY79" i="3"/>
  <c r="CZ79" i="3"/>
  <c r="DA79" i="3"/>
  <c r="DB79" i="3"/>
  <c r="DC79" i="3"/>
  <c r="A80" i="3"/>
  <c r="Y80" i="3"/>
  <c r="CX80" i="3" s="1"/>
  <c r="DH80" i="3" s="1"/>
  <c r="CY80" i="3"/>
  <c r="CZ80" i="3"/>
  <c r="DB80" i="3" s="1"/>
  <c r="DA80" i="3"/>
  <c r="DC80" i="3"/>
  <c r="DI80" i="3"/>
  <c r="A81" i="3"/>
  <c r="Y81" i="3"/>
  <c r="CW81" i="3"/>
  <c r="CX81" i="3"/>
  <c r="DF81" i="3" s="1"/>
  <c r="CY81" i="3"/>
  <c r="CZ81" i="3"/>
  <c r="DA81" i="3"/>
  <c r="DB81" i="3"/>
  <c r="DC81" i="3"/>
  <c r="DG81" i="3"/>
  <c r="DJ81" i="3" s="1"/>
  <c r="DH81" i="3"/>
  <c r="DI81" i="3"/>
  <c r="A82" i="3"/>
  <c r="Y82" i="3"/>
  <c r="CX82" i="3" s="1"/>
  <c r="DG82" i="3" s="1"/>
  <c r="DJ82" i="3" s="1"/>
  <c r="CW82" i="3"/>
  <c r="CY82" i="3"/>
  <c r="CZ82" i="3"/>
  <c r="DB82" i="3" s="1"/>
  <c r="DA82" i="3"/>
  <c r="DC82" i="3"/>
  <c r="DH82" i="3"/>
  <c r="DI82" i="3"/>
  <c r="A83" i="3"/>
  <c r="Y83" i="3"/>
  <c r="CX83" i="3"/>
  <c r="DF83" i="3" s="1"/>
  <c r="DJ83" i="3" s="1"/>
  <c r="CY83" i="3"/>
  <c r="CZ83" i="3"/>
  <c r="DA83" i="3"/>
  <c r="DB83" i="3"/>
  <c r="DC83" i="3"/>
  <c r="DH83" i="3"/>
  <c r="A84" i="3"/>
  <c r="Y84" i="3"/>
  <c r="CX84" i="3" s="1"/>
  <c r="CY84" i="3"/>
  <c r="CZ84" i="3"/>
  <c r="DB84" i="3" s="1"/>
  <c r="DA84" i="3"/>
  <c r="DC84" i="3"/>
  <c r="A85" i="3"/>
  <c r="Y85" i="3"/>
  <c r="CX85" i="3" s="1"/>
  <c r="CY85" i="3"/>
  <c r="CZ85" i="3"/>
  <c r="DB85" i="3" s="1"/>
  <c r="DA85" i="3"/>
  <c r="DC85" i="3"/>
  <c r="A86" i="3"/>
  <c r="Y86" i="3"/>
  <c r="CX86" i="3"/>
  <c r="DG86" i="3" s="1"/>
  <c r="CY86" i="3"/>
  <c r="CZ86" i="3"/>
  <c r="DA86" i="3"/>
  <c r="DB86" i="3"/>
  <c r="DC86" i="3"/>
  <c r="DH86" i="3"/>
  <c r="DI86" i="3"/>
  <c r="A87" i="3"/>
  <c r="Y87" i="3"/>
  <c r="CX87" i="3" s="1"/>
  <c r="CU87" i="3"/>
  <c r="CY87" i="3"/>
  <c r="CZ87" i="3"/>
  <c r="DB87" i="3" s="1"/>
  <c r="DA87" i="3"/>
  <c r="DC87" i="3"/>
  <c r="A88" i="3"/>
  <c r="Y88" i="3"/>
  <c r="CW88" i="3"/>
  <c r="CX88" i="3"/>
  <c r="DF88" i="3" s="1"/>
  <c r="CY88" i="3"/>
  <c r="CZ88" i="3"/>
  <c r="DA88" i="3"/>
  <c r="DB88" i="3"/>
  <c r="DC88" i="3"/>
  <c r="DH88" i="3"/>
  <c r="A89" i="3"/>
  <c r="Y89" i="3"/>
  <c r="CX89" i="3" s="1"/>
  <c r="CY89" i="3"/>
  <c r="CZ89" i="3"/>
  <c r="DB89" i="3" s="1"/>
  <c r="DA89" i="3"/>
  <c r="DC89" i="3"/>
  <c r="A90" i="3"/>
  <c r="Y90" i="3"/>
  <c r="CW90" i="3"/>
  <c r="CX90" i="3"/>
  <c r="DF90" i="3" s="1"/>
  <c r="CY90" i="3"/>
  <c r="CZ90" i="3"/>
  <c r="DA90" i="3"/>
  <c r="DB90" i="3"/>
  <c r="DC90" i="3"/>
  <c r="DH90" i="3"/>
  <c r="A91" i="3"/>
  <c r="Y91" i="3"/>
  <c r="CX91" i="3" s="1"/>
  <c r="CY91" i="3"/>
  <c r="CZ91" i="3"/>
  <c r="DB91" i="3" s="1"/>
  <c r="DA91" i="3"/>
  <c r="DC91" i="3"/>
  <c r="A92" i="3"/>
  <c r="Y92" i="3"/>
  <c r="CX92" i="3" s="1"/>
  <c r="CY92" i="3"/>
  <c r="CZ92" i="3"/>
  <c r="DB92" i="3" s="1"/>
  <c r="DA92" i="3"/>
  <c r="DC92" i="3"/>
  <c r="A93" i="3"/>
  <c r="Y93" i="3"/>
  <c r="CX93" i="3"/>
  <c r="DG93" i="3" s="1"/>
  <c r="CY93" i="3"/>
  <c r="CZ93" i="3"/>
  <c r="DA93" i="3"/>
  <c r="DB93" i="3"/>
  <c r="DC93" i="3"/>
  <c r="DH93" i="3"/>
  <c r="DI93" i="3"/>
  <c r="A94" i="3"/>
  <c r="Y94" i="3"/>
  <c r="CX94" i="3"/>
  <c r="DF94" i="3" s="1"/>
  <c r="DJ94" i="3" s="1"/>
  <c r="CY94" i="3"/>
  <c r="CZ94" i="3"/>
  <c r="DA94" i="3"/>
  <c r="DB94" i="3"/>
  <c r="DC94" i="3"/>
  <c r="DH94" i="3"/>
  <c r="A95" i="3"/>
  <c r="Y95" i="3"/>
  <c r="CV95" i="3" s="1"/>
  <c r="CU95" i="3"/>
  <c r="CY95" i="3"/>
  <c r="CZ95" i="3"/>
  <c r="DA95" i="3"/>
  <c r="DB95" i="3"/>
  <c r="DC95" i="3"/>
  <c r="A96" i="3"/>
  <c r="Y96" i="3"/>
  <c r="CX96" i="3" s="1"/>
  <c r="CW96" i="3"/>
  <c r="CY96" i="3"/>
  <c r="CZ96" i="3"/>
  <c r="DB96" i="3" s="1"/>
  <c r="DA96" i="3"/>
  <c r="DC96" i="3"/>
  <c r="A97" i="3"/>
  <c r="Y97" i="3"/>
  <c r="CW97" i="3" s="1"/>
  <c r="CX97" i="3"/>
  <c r="DG97" i="3" s="1"/>
  <c r="DJ97" i="3" s="1"/>
  <c r="CY97" i="3"/>
  <c r="CZ97" i="3"/>
  <c r="DA97" i="3"/>
  <c r="DB97" i="3"/>
  <c r="DC97" i="3"/>
  <c r="DH97" i="3"/>
  <c r="DI97" i="3"/>
  <c r="A98" i="3"/>
  <c r="Y98" i="3"/>
  <c r="CX98" i="3" s="1"/>
  <c r="CW98" i="3"/>
  <c r="CY98" i="3"/>
  <c r="CZ98" i="3"/>
  <c r="DB98" i="3" s="1"/>
  <c r="DA98" i="3"/>
  <c r="DC98" i="3"/>
  <c r="DG98" i="3"/>
  <c r="DJ98" i="3" s="1"/>
  <c r="A99" i="3"/>
  <c r="Y99" i="3"/>
  <c r="CW99" i="3" s="1"/>
  <c r="CX99" i="3"/>
  <c r="DG99" i="3" s="1"/>
  <c r="DJ99" i="3" s="1"/>
  <c r="CY99" i="3"/>
  <c r="CZ99" i="3"/>
  <c r="DA99" i="3"/>
  <c r="DB99" i="3"/>
  <c r="DC99" i="3"/>
  <c r="DH99" i="3"/>
  <c r="DI99" i="3"/>
  <c r="A100" i="3"/>
  <c r="Y100" i="3"/>
  <c r="CX100" i="3"/>
  <c r="CY100" i="3"/>
  <c r="CZ100" i="3"/>
  <c r="DA100" i="3"/>
  <c r="DB100" i="3"/>
  <c r="DC100" i="3"/>
  <c r="A101" i="3"/>
  <c r="Y101" i="3"/>
  <c r="CX101" i="3" s="1"/>
  <c r="CY101" i="3"/>
  <c r="CZ101" i="3"/>
  <c r="DB101" i="3" s="1"/>
  <c r="DA101" i="3"/>
  <c r="DC101" i="3"/>
  <c r="A102" i="3"/>
  <c r="Y102" i="3"/>
  <c r="CU102" i="3"/>
  <c r="CV102" i="3"/>
  <c r="CX102" i="3"/>
  <c r="CY102" i="3"/>
  <c r="CZ102" i="3"/>
  <c r="DA102" i="3"/>
  <c r="DB102" i="3"/>
  <c r="DC102" i="3"/>
  <c r="DH102" i="3"/>
  <c r="A103" i="3"/>
  <c r="Y103" i="3"/>
  <c r="CY103" i="3"/>
  <c r="CZ103" i="3"/>
  <c r="DB103" i="3" s="1"/>
  <c r="DA103" i="3"/>
  <c r="DC103" i="3"/>
  <c r="A104" i="3"/>
  <c r="Y104" i="3"/>
  <c r="CW104" i="3"/>
  <c r="CX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W106" i="3"/>
  <c r="CX106" i="3"/>
  <c r="CY106" i="3"/>
  <c r="CZ106" i="3"/>
  <c r="DA106" i="3"/>
  <c r="DB106" i="3"/>
  <c r="DC106" i="3"/>
  <c r="A107" i="3"/>
  <c r="Y107" i="3"/>
  <c r="CX107" i="3" s="1"/>
  <c r="CY107" i="3"/>
  <c r="CZ107" i="3"/>
  <c r="DB107" i="3" s="1"/>
  <c r="DA107" i="3"/>
  <c r="DC107" i="3"/>
  <c r="A108" i="3"/>
  <c r="Y108" i="3"/>
  <c r="CX108" i="3" s="1"/>
  <c r="CY108" i="3"/>
  <c r="CZ108" i="3"/>
  <c r="DB108" i="3" s="1"/>
  <c r="DA108" i="3"/>
  <c r="DC108" i="3"/>
  <c r="DF108" i="3"/>
  <c r="DI108" i="3"/>
  <c r="DJ108" i="3"/>
  <c r="A109" i="3"/>
  <c r="Y109" i="3"/>
  <c r="CU109" i="3"/>
  <c r="CV109" i="3"/>
  <c r="CX109" i="3"/>
  <c r="DI109" i="3" s="1"/>
  <c r="CY109" i="3"/>
  <c r="CZ109" i="3"/>
  <c r="DB109" i="3" s="1"/>
  <c r="DA109" i="3"/>
  <c r="DC109" i="3"/>
  <c r="DF109" i="3"/>
  <c r="DG109" i="3"/>
  <c r="DH109" i="3"/>
  <c r="DJ109" i="3"/>
  <c r="A110" i="3"/>
  <c r="Y110" i="3"/>
  <c r="CW110" i="3" s="1"/>
  <c r="CX110" i="3"/>
  <c r="CY110" i="3"/>
  <c r="CZ110" i="3"/>
  <c r="DA110" i="3"/>
  <c r="DB110" i="3"/>
  <c r="DC110" i="3"/>
  <c r="A111" i="3"/>
  <c r="Y111" i="3"/>
  <c r="CX111" i="3" s="1"/>
  <c r="CW111" i="3"/>
  <c r="CY111" i="3"/>
  <c r="CZ111" i="3"/>
  <c r="DB111" i="3" s="1"/>
  <c r="DA111" i="3"/>
  <c r="DC111" i="3"/>
  <c r="DF111" i="3"/>
  <c r="DG111" i="3"/>
  <c r="DJ111" i="3" s="1"/>
  <c r="A112" i="3"/>
  <c r="Y112" i="3"/>
  <c r="CW112" i="3" s="1"/>
  <c r="CX112" i="3"/>
  <c r="CY112" i="3"/>
  <c r="CZ112" i="3"/>
  <c r="DA112" i="3"/>
  <c r="DB112" i="3"/>
  <c r="DC112" i="3"/>
  <c r="A113" i="3"/>
  <c r="Y113" i="3"/>
  <c r="CX113" i="3"/>
  <c r="CY113" i="3"/>
  <c r="CZ113" i="3"/>
  <c r="DA113" i="3"/>
  <c r="DB113" i="3"/>
  <c r="DC113" i="3"/>
  <c r="DG113" i="3"/>
  <c r="A114" i="3"/>
  <c r="Y114" i="3"/>
  <c r="CX114" i="3" s="1"/>
  <c r="CY114" i="3"/>
  <c r="CZ114" i="3"/>
  <c r="DB114" i="3" s="1"/>
  <c r="DA114" i="3"/>
  <c r="DC114" i="3"/>
  <c r="DF114" i="3"/>
  <c r="DJ114" i="3" s="1"/>
  <c r="A115" i="3"/>
  <c r="Y115" i="3"/>
  <c r="CX115" i="3"/>
  <c r="DG115" i="3" s="1"/>
  <c r="CY115" i="3"/>
  <c r="CZ115" i="3"/>
  <c r="DB115" i="3" s="1"/>
  <c r="DA115" i="3"/>
  <c r="DC115" i="3"/>
  <c r="DF115" i="3"/>
  <c r="DJ115" i="3" s="1"/>
  <c r="DH115" i="3"/>
  <c r="DI115" i="3"/>
  <c r="A116" i="3"/>
  <c r="Y116" i="3"/>
  <c r="CX116" i="3"/>
  <c r="DF116" i="3" s="1"/>
  <c r="DJ116" i="3" s="1"/>
  <c r="CY116" i="3"/>
  <c r="CZ116" i="3"/>
  <c r="DA116" i="3"/>
  <c r="DB116" i="3"/>
  <c r="DC116" i="3"/>
  <c r="DI116" i="3"/>
  <c r="A117" i="3"/>
  <c r="Y117" i="3"/>
  <c r="CX117" i="3"/>
  <c r="DF117" i="3" s="1"/>
  <c r="DJ117" i="3" s="1"/>
  <c r="CY117" i="3"/>
  <c r="CZ117" i="3"/>
  <c r="DA117" i="3"/>
  <c r="DB117" i="3"/>
  <c r="DC117" i="3"/>
  <c r="DH117" i="3"/>
  <c r="DI117" i="3"/>
  <c r="A118" i="3"/>
  <c r="Y118" i="3"/>
  <c r="CX118" i="3"/>
  <c r="DI118" i="3" s="1"/>
  <c r="CY118" i="3"/>
  <c r="CZ118" i="3"/>
  <c r="DA118" i="3"/>
  <c r="DB118" i="3"/>
  <c r="DC118" i="3"/>
  <c r="DH118" i="3"/>
  <c r="A119" i="3"/>
  <c r="Y119" i="3"/>
  <c r="CX119" i="3" s="1"/>
  <c r="CY119" i="3"/>
  <c r="CZ119" i="3"/>
  <c r="DB119" i="3" s="1"/>
  <c r="DA119" i="3"/>
  <c r="DC119" i="3"/>
  <c r="A120" i="3"/>
  <c r="Y120" i="3"/>
  <c r="CU120" i="3"/>
  <c r="CV120" i="3"/>
  <c r="CX120" i="3"/>
  <c r="DI120" i="3" s="1"/>
  <c r="DJ120" i="3" s="1"/>
  <c r="CY120" i="3"/>
  <c r="CZ120" i="3"/>
  <c r="DA120" i="3"/>
  <c r="DB120" i="3"/>
  <c r="DC120" i="3"/>
  <c r="DH120" i="3"/>
  <c r="A121" i="3"/>
  <c r="Y121" i="3"/>
  <c r="CW121" i="3" s="1"/>
  <c r="CY121" i="3"/>
  <c r="CZ121" i="3"/>
  <c r="DB121" i="3" s="1"/>
  <c r="DA121" i="3"/>
  <c r="DC121" i="3"/>
  <c r="A122" i="3"/>
  <c r="Y122" i="3"/>
  <c r="CW122" i="3"/>
  <c r="CX122" i="3"/>
  <c r="DI122" i="3" s="1"/>
  <c r="CY122" i="3"/>
  <c r="CZ122" i="3"/>
  <c r="DA122" i="3"/>
  <c r="DB122" i="3"/>
  <c r="DC122" i="3"/>
  <c r="DH122" i="3"/>
  <c r="A123" i="3"/>
  <c r="Y123" i="3"/>
  <c r="CW123" i="3" s="1"/>
  <c r="CY123" i="3"/>
  <c r="CZ123" i="3"/>
  <c r="DB123" i="3" s="1"/>
  <c r="DA123" i="3"/>
  <c r="DC123" i="3"/>
  <c r="A124" i="3"/>
  <c r="Y124" i="3"/>
  <c r="CX124" i="3"/>
  <c r="DF124" i="3" s="1"/>
  <c r="DJ124" i="3" s="1"/>
  <c r="CY124" i="3"/>
  <c r="CZ124" i="3"/>
  <c r="DA124" i="3"/>
  <c r="DB124" i="3"/>
  <c r="DC124" i="3"/>
  <c r="DH124" i="3"/>
  <c r="DI124" i="3"/>
  <c r="A125" i="3"/>
  <c r="Y125" i="3"/>
  <c r="CX125" i="3"/>
  <c r="DI125" i="3" s="1"/>
  <c r="CY125" i="3"/>
  <c r="CZ125" i="3"/>
  <c r="DA125" i="3"/>
  <c r="DB125" i="3"/>
  <c r="DC125" i="3"/>
  <c r="DH125" i="3"/>
  <c r="A126" i="3"/>
  <c r="Y126" i="3"/>
  <c r="CX126" i="3" s="1"/>
  <c r="CY126" i="3"/>
  <c r="CZ126" i="3"/>
  <c r="DB126" i="3" s="1"/>
  <c r="DA126" i="3"/>
  <c r="DC126" i="3"/>
  <c r="A127" i="3"/>
  <c r="Y127" i="3"/>
  <c r="CX127" i="3"/>
  <c r="DG127" i="3" s="1"/>
  <c r="CY127" i="3"/>
  <c r="CZ127" i="3"/>
  <c r="DB127" i="3" s="1"/>
  <c r="DA127" i="3"/>
  <c r="DC127" i="3"/>
  <c r="DF127" i="3"/>
  <c r="DH127" i="3"/>
  <c r="DI127" i="3"/>
  <c r="DJ127" i="3"/>
  <c r="A128" i="3"/>
  <c r="Y128" i="3"/>
  <c r="CX128" i="3"/>
  <c r="DF128" i="3" s="1"/>
  <c r="DJ128" i="3" s="1"/>
  <c r="CY128" i="3"/>
  <c r="CZ128" i="3"/>
  <c r="DA128" i="3"/>
  <c r="DB128" i="3"/>
  <c r="DC128" i="3"/>
  <c r="DH128" i="3"/>
  <c r="DI128" i="3"/>
  <c r="A129" i="3"/>
  <c r="Y129" i="3"/>
  <c r="CX129" i="3"/>
  <c r="DI129" i="3" s="1"/>
  <c r="CY129" i="3"/>
  <c r="CZ129" i="3"/>
  <c r="DA129" i="3"/>
  <c r="DB129" i="3"/>
  <c r="DC129" i="3"/>
  <c r="DH129" i="3"/>
  <c r="A130" i="3"/>
  <c r="Y130" i="3"/>
  <c r="CX130" i="3" s="1"/>
  <c r="CY130" i="3"/>
  <c r="CZ130" i="3"/>
  <c r="DB130" i="3" s="1"/>
  <c r="DA130" i="3"/>
  <c r="DC130" i="3"/>
  <c r="A131" i="3"/>
  <c r="Y131" i="3"/>
  <c r="CU131" i="3"/>
  <c r="CV131" i="3"/>
  <c r="CX131" i="3"/>
  <c r="DI131" i="3" s="1"/>
  <c r="DJ131" i="3" s="1"/>
  <c r="CY131" i="3"/>
  <c r="CZ131" i="3"/>
  <c r="DA131" i="3"/>
  <c r="DB131" i="3"/>
  <c r="DC131" i="3"/>
  <c r="DH131" i="3"/>
  <c r="A132" i="3"/>
  <c r="Y132" i="3"/>
  <c r="CV132" i="3" s="1"/>
  <c r="CU132" i="3"/>
  <c r="CY132" i="3"/>
  <c r="CZ132" i="3"/>
  <c r="DA132" i="3"/>
  <c r="DB132" i="3"/>
  <c r="DC132" i="3"/>
  <c r="A133" i="3"/>
  <c r="Y133" i="3"/>
  <c r="CY133" i="3"/>
  <c r="CZ133" i="3"/>
  <c r="DB133" i="3" s="1"/>
  <c r="DA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V157" i="3" s="1"/>
  <c r="CU157" i="3"/>
  <c r="CY157" i="3"/>
  <c r="CZ157" i="3"/>
  <c r="DB157" i="3" s="1"/>
  <c r="DA157" i="3"/>
  <c r="DC157" i="3"/>
  <c r="A158" i="3"/>
  <c r="Y158" i="3"/>
  <c r="CW158" i="3"/>
  <c r="CX158" i="3"/>
  <c r="DI158" i="3" s="1"/>
  <c r="CY158" i="3"/>
  <c r="CZ158" i="3"/>
  <c r="DA158" i="3"/>
  <c r="DB158" i="3"/>
  <c r="DC158" i="3"/>
  <c r="DH158" i="3"/>
  <c r="A159" i="3"/>
  <c r="Y159" i="3"/>
  <c r="CX159" i="3" s="1"/>
  <c r="CY159" i="3"/>
  <c r="CZ159" i="3"/>
  <c r="DB159" i="3" s="1"/>
  <c r="DA159" i="3"/>
  <c r="DC159" i="3"/>
  <c r="A160" i="3"/>
  <c r="Y160" i="3"/>
  <c r="CX160" i="3"/>
  <c r="DG160" i="3" s="1"/>
  <c r="CY160" i="3"/>
  <c r="CZ160" i="3"/>
  <c r="DB160" i="3" s="1"/>
  <c r="DA160" i="3"/>
  <c r="DC160" i="3"/>
  <c r="DF160" i="3"/>
  <c r="DH160" i="3"/>
  <c r="DI160" i="3"/>
  <c r="DJ160" i="3"/>
  <c r="A161" i="3"/>
  <c r="Y161" i="3"/>
  <c r="CX161" i="3" s="1"/>
  <c r="CU161" i="3"/>
  <c r="CV161" i="3"/>
  <c r="CY161" i="3"/>
  <c r="CZ161" i="3"/>
  <c r="DB161" i="3" s="1"/>
  <c r="DA161" i="3"/>
  <c r="DC161" i="3"/>
  <c r="A162" i="3"/>
  <c r="Y162" i="3"/>
  <c r="CW162" i="3"/>
  <c r="CX162" i="3"/>
  <c r="DF162" i="3" s="1"/>
  <c r="CY162" i="3"/>
  <c r="CZ162" i="3"/>
  <c r="DA162" i="3"/>
  <c r="DB162" i="3"/>
  <c r="DC162" i="3"/>
  <c r="DH162" i="3"/>
  <c r="DI162" i="3"/>
  <c r="A163" i="3"/>
  <c r="Y163" i="3"/>
  <c r="CX163" i="3"/>
  <c r="DI163" i="3" s="1"/>
  <c r="CY163" i="3"/>
  <c r="CZ163" i="3"/>
  <c r="DA163" i="3"/>
  <c r="DB163" i="3"/>
  <c r="DC163" i="3"/>
  <c r="DH163" i="3"/>
  <c r="A164" i="3"/>
  <c r="Y164" i="3"/>
  <c r="CX164" i="3" s="1"/>
  <c r="DG164" i="3" s="1"/>
  <c r="CY164" i="3"/>
  <c r="CZ164" i="3"/>
  <c r="DB164" i="3" s="1"/>
  <c r="DA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B178" i="3" s="1"/>
  <c r="DA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X183" i="3" s="1"/>
  <c r="CU183" i="3"/>
  <c r="CY183" i="3"/>
  <c r="CZ183" i="3"/>
  <c r="DB183" i="3" s="1"/>
  <c r="DA183" i="3"/>
  <c r="DC183" i="3"/>
  <c r="A184" i="3"/>
  <c r="Y184" i="3"/>
  <c r="CW184" i="3"/>
  <c r="CX184" i="3"/>
  <c r="DF184" i="3" s="1"/>
  <c r="CY184" i="3"/>
  <c r="CZ184" i="3"/>
  <c r="DA184" i="3"/>
  <c r="DB184" i="3"/>
  <c r="DC184" i="3"/>
  <c r="DG184" i="3"/>
  <c r="DJ184" i="3" s="1"/>
  <c r="DH184" i="3"/>
  <c r="A185" i="3"/>
  <c r="Y185" i="3"/>
  <c r="CX185" i="3" s="1"/>
  <c r="CY185" i="3"/>
  <c r="CZ185" i="3"/>
  <c r="DB185" i="3" s="1"/>
  <c r="DA185" i="3"/>
  <c r="DC185" i="3"/>
  <c r="A186" i="3"/>
  <c r="Y186" i="3"/>
  <c r="CX186" i="3"/>
  <c r="DG186" i="3" s="1"/>
  <c r="CY186" i="3"/>
  <c r="CZ186" i="3"/>
  <c r="DA186" i="3"/>
  <c r="DB186" i="3"/>
  <c r="DC186" i="3"/>
  <c r="DH186" i="3"/>
  <c r="A187" i="3"/>
  <c r="Y187" i="3"/>
  <c r="CX187" i="3" s="1"/>
  <c r="CY187" i="3"/>
  <c r="CZ187" i="3"/>
  <c r="DA187" i="3"/>
  <c r="DB187" i="3"/>
  <c r="DC187" i="3"/>
  <c r="A188" i="3"/>
  <c r="Y188" i="3"/>
  <c r="CX188" i="3" s="1"/>
  <c r="CY188" i="3"/>
  <c r="CZ188" i="3"/>
  <c r="DB188" i="3" s="1"/>
  <c r="DA188" i="3"/>
  <c r="DC188" i="3"/>
  <c r="A189" i="3"/>
  <c r="Y189" i="3"/>
  <c r="CX189" i="3"/>
  <c r="DG189" i="3" s="1"/>
  <c r="CY189" i="3"/>
  <c r="CZ189" i="3"/>
  <c r="DB189" i="3" s="1"/>
  <c r="DA189" i="3"/>
  <c r="DC189" i="3"/>
  <c r="DF189" i="3"/>
  <c r="DH189" i="3"/>
  <c r="DI189" i="3"/>
  <c r="DJ189" i="3"/>
  <c r="A190" i="3"/>
  <c r="Y190" i="3"/>
  <c r="CX190" i="3" s="1"/>
  <c r="CU190" i="3"/>
  <c r="CV190" i="3"/>
  <c r="CY190" i="3"/>
  <c r="CZ190" i="3"/>
  <c r="DB190" i="3" s="1"/>
  <c r="DA190" i="3"/>
  <c r="DC190" i="3"/>
  <c r="A191" i="3"/>
  <c r="Y191" i="3"/>
  <c r="CW191" i="3"/>
  <c r="CX191" i="3"/>
  <c r="DG191" i="3" s="1"/>
  <c r="DJ191" i="3" s="1"/>
  <c r="CY191" i="3"/>
  <c r="CZ191" i="3"/>
  <c r="DA191" i="3"/>
  <c r="DB191" i="3"/>
  <c r="DC191" i="3"/>
  <c r="DH191" i="3"/>
  <c r="A192" i="3"/>
  <c r="Y192" i="3"/>
  <c r="CW192" i="3" s="1"/>
  <c r="CY192" i="3"/>
  <c r="CZ192" i="3"/>
  <c r="DB192" i="3" s="1"/>
  <c r="DA192" i="3"/>
  <c r="DC192" i="3"/>
  <c r="A193" i="3"/>
  <c r="Y193" i="3"/>
  <c r="CX193" i="3"/>
  <c r="DG193" i="3" s="1"/>
  <c r="CY193" i="3"/>
  <c r="CZ193" i="3"/>
  <c r="DB193" i="3" s="1"/>
  <c r="DA193" i="3"/>
  <c r="DC193" i="3"/>
  <c r="DF193" i="3"/>
  <c r="DH193" i="3"/>
  <c r="DI193" i="3"/>
  <c r="DJ193" i="3"/>
  <c r="A194" i="3"/>
  <c r="Y194" i="3"/>
  <c r="CX194" i="3"/>
  <c r="DG194" i="3" s="1"/>
  <c r="CY194" i="3"/>
  <c r="CZ194" i="3"/>
  <c r="DA194" i="3"/>
  <c r="DB194" i="3"/>
  <c r="DC194" i="3"/>
  <c r="DH194" i="3"/>
  <c r="A195" i="3"/>
  <c r="Y195" i="3"/>
  <c r="CX195" i="3" s="1"/>
  <c r="CY195" i="3"/>
  <c r="CZ195" i="3"/>
  <c r="DA195" i="3"/>
  <c r="DB195" i="3"/>
  <c r="DC195" i="3"/>
  <c r="A196" i="3"/>
  <c r="Y196" i="3"/>
  <c r="CX196" i="3" s="1"/>
  <c r="CY196" i="3"/>
  <c r="CZ196" i="3"/>
  <c r="DB196" i="3" s="1"/>
  <c r="DA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B268" i="3" s="1"/>
  <c r="DA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A279" i="3"/>
  <c r="DB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B285" i="3" s="1"/>
  <c r="DA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B307" i="3" s="1"/>
  <c r="DA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A309" i="3"/>
  <c r="DB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B324" i="3" s="1"/>
  <c r="DA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B361" i="3" s="1"/>
  <c r="DA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A368" i="3"/>
  <c r="DB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B370" i="3" s="1"/>
  <c r="DA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A390" i="3"/>
  <c r="DB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B395" i="3" s="1"/>
  <c r="DA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B399" i="3" s="1"/>
  <c r="DA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A401" i="3"/>
  <c r="DB401" i="3"/>
  <c r="DC401" i="3"/>
  <c r="A402" i="3"/>
  <c r="Y402" i="3"/>
  <c r="CY402" i="3"/>
  <c r="CZ402" i="3"/>
  <c r="DB402" i="3" s="1"/>
  <c r="DA402" i="3"/>
  <c r="DC402" i="3"/>
  <c r="A403" i="3"/>
  <c r="Y403" i="3"/>
  <c r="CY403" i="3"/>
  <c r="CZ403" i="3"/>
  <c r="DA403" i="3"/>
  <c r="DB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A405" i="3"/>
  <c r="DB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B413" i="3" s="1"/>
  <c r="DA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B417" i="3" s="1"/>
  <c r="DA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B420" i="3" s="1"/>
  <c r="DA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A427" i="3"/>
  <c r="DB427" i="3"/>
  <c r="DC427" i="3"/>
  <c r="A428" i="3"/>
  <c r="Y428" i="3"/>
  <c r="CY428" i="3"/>
  <c r="CZ428" i="3"/>
  <c r="DB428" i="3" s="1"/>
  <c r="DA428" i="3"/>
  <c r="DC428" i="3"/>
  <c r="A429" i="3"/>
  <c r="Y429" i="3"/>
  <c r="CY429" i="3"/>
  <c r="CZ429" i="3"/>
  <c r="DA429" i="3"/>
  <c r="DB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B437" i="3" s="1"/>
  <c r="DA437" i="3"/>
  <c r="DC437" i="3"/>
  <c r="A438" i="3"/>
  <c r="Y438" i="3"/>
  <c r="CY438" i="3"/>
  <c r="CZ438" i="3"/>
  <c r="DA438" i="3"/>
  <c r="DB438" i="3"/>
  <c r="DC438" i="3"/>
  <c r="A439" i="3"/>
  <c r="Y439" i="3"/>
  <c r="CY439" i="3"/>
  <c r="CZ439" i="3"/>
  <c r="DB439" i="3" s="1"/>
  <c r="DA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B441" i="3" s="1"/>
  <c r="DA441" i="3"/>
  <c r="DC441" i="3"/>
  <c r="A442" i="3"/>
  <c r="Y442" i="3"/>
  <c r="CY442" i="3"/>
  <c r="CZ442" i="3"/>
  <c r="DB442" i="3" s="1"/>
  <c r="DA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V445" i="3" s="1"/>
  <c r="CU445" i="3"/>
  <c r="CX445" i="3"/>
  <c r="DG445" i="3" s="1"/>
  <c r="CY445" i="3"/>
  <c r="CZ445" i="3"/>
  <c r="DA445" i="3"/>
  <c r="DB445" i="3"/>
  <c r="DC445" i="3"/>
  <c r="DH445" i="3"/>
  <c r="A446" i="3"/>
  <c r="Y446" i="3"/>
  <c r="CW446" i="3" s="1"/>
  <c r="CY446" i="3"/>
  <c r="CZ446" i="3"/>
  <c r="DB446" i="3" s="1"/>
  <c r="DA446" i="3"/>
  <c r="DC446" i="3"/>
  <c r="A447" i="3"/>
  <c r="Y447" i="3"/>
  <c r="CW447" i="3" s="1"/>
  <c r="CX447" i="3"/>
  <c r="DG447" i="3" s="1"/>
  <c r="DJ447" i="3" s="1"/>
  <c r="CY447" i="3"/>
  <c r="CZ447" i="3"/>
  <c r="DA447" i="3"/>
  <c r="DB447" i="3"/>
  <c r="DC447" i="3"/>
  <c r="DH447" i="3"/>
  <c r="A448" i="3"/>
  <c r="Y448" i="3"/>
  <c r="CX448" i="3" s="1"/>
  <c r="CY448" i="3"/>
  <c r="CZ448" i="3"/>
  <c r="DA448" i="3"/>
  <c r="DB448" i="3"/>
  <c r="DC448" i="3"/>
  <c r="A449" i="3"/>
  <c r="Y449" i="3"/>
  <c r="CX449" i="3" s="1"/>
  <c r="CY449" i="3"/>
  <c r="CZ449" i="3"/>
  <c r="DB449" i="3" s="1"/>
  <c r="DA449" i="3"/>
  <c r="DC449" i="3"/>
  <c r="A450" i="3"/>
  <c r="Y450" i="3"/>
  <c r="CX450" i="3" s="1"/>
  <c r="CY450" i="3"/>
  <c r="CZ450" i="3"/>
  <c r="DB450" i="3" s="1"/>
  <c r="DA450" i="3"/>
  <c r="DC450" i="3"/>
  <c r="A451" i="3"/>
  <c r="Y451" i="3"/>
  <c r="CU451" i="3"/>
  <c r="CV451" i="3"/>
  <c r="CX451" i="3"/>
  <c r="DI451" i="3" s="1"/>
  <c r="DJ451" i="3" s="1"/>
  <c r="CY451" i="3"/>
  <c r="CZ451" i="3"/>
  <c r="DB451" i="3" s="1"/>
  <c r="DA451" i="3"/>
  <c r="DC451" i="3"/>
  <c r="DF451" i="3"/>
  <c r="DG451" i="3"/>
  <c r="DH451" i="3"/>
  <c r="A452" i="3"/>
  <c r="Y452" i="3"/>
  <c r="CW452" i="3" s="1"/>
  <c r="CX452" i="3"/>
  <c r="DG452" i="3" s="1"/>
  <c r="DJ452" i="3" s="1"/>
  <c r="CY452" i="3"/>
  <c r="CZ452" i="3"/>
  <c r="DA452" i="3"/>
  <c r="DB452" i="3"/>
  <c r="DC452" i="3"/>
  <c r="DH452" i="3"/>
  <c r="A453" i="3"/>
  <c r="Y453" i="3"/>
  <c r="CW453" i="3" s="1"/>
  <c r="CY453" i="3"/>
  <c r="CZ453" i="3"/>
  <c r="DB453" i="3" s="1"/>
  <c r="DA453" i="3"/>
  <c r="DC453" i="3"/>
  <c r="A454" i="3"/>
  <c r="Y454" i="3"/>
  <c r="CX454" i="3" s="1"/>
  <c r="CY454" i="3"/>
  <c r="CZ454" i="3"/>
  <c r="DB454" i="3" s="1"/>
  <c r="DA454" i="3"/>
  <c r="DC454" i="3"/>
  <c r="A455" i="3"/>
  <c r="Y455" i="3"/>
  <c r="CX455" i="3"/>
  <c r="DG455" i="3" s="1"/>
  <c r="CY455" i="3"/>
  <c r="CZ455" i="3"/>
  <c r="DA455" i="3"/>
  <c r="DB455" i="3"/>
  <c r="DC455" i="3"/>
  <c r="DH455" i="3"/>
  <c r="A456" i="3"/>
  <c r="Y456" i="3"/>
  <c r="CX456" i="3" s="1"/>
  <c r="CY456" i="3"/>
  <c r="CZ456" i="3"/>
  <c r="DA456" i="3"/>
  <c r="DB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A463" i="3"/>
  <c r="DB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B465" i="3" s="1"/>
  <c r="DA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B468" i="3" s="1"/>
  <c r="DA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B478" i="3" s="1"/>
  <c r="DA478" i="3"/>
  <c r="DC478" i="3"/>
  <c r="A479" i="3"/>
  <c r="Y479" i="3"/>
  <c r="CU479" i="3"/>
  <c r="CV479" i="3"/>
  <c r="CX479" i="3"/>
  <c r="DI479" i="3" s="1"/>
  <c r="DJ479" i="3" s="1"/>
  <c r="CY479" i="3"/>
  <c r="CZ479" i="3"/>
  <c r="DB479" i="3" s="1"/>
  <c r="DA479" i="3"/>
  <c r="DC479" i="3"/>
  <c r="DF479" i="3"/>
  <c r="DG479" i="3"/>
  <c r="DH479" i="3"/>
  <c r="A480" i="3"/>
  <c r="Y480" i="3"/>
  <c r="CW480" i="3" s="1"/>
  <c r="CX480" i="3"/>
  <c r="DG480" i="3" s="1"/>
  <c r="DJ480" i="3" s="1"/>
  <c r="CY480" i="3"/>
  <c r="CZ480" i="3"/>
  <c r="DA480" i="3"/>
  <c r="DB480" i="3"/>
  <c r="DC480" i="3"/>
  <c r="DH480" i="3"/>
  <c r="A481" i="3"/>
  <c r="Y481" i="3"/>
  <c r="CX481" i="3" s="1"/>
  <c r="CY481" i="3"/>
  <c r="CZ481" i="3"/>
  <c r="DA481" i="3"/>
  <c r="DB481" i="3"/>
  <c r="DC481" i="3"/>
  <c r="A482" i="3"/>
  <c r="Y482" i="3"/>
  <c r="CX482" i="3" s="1"/>
  <c r="CY482" i="3"/>
  <c r="CZ482" i="3"/>
  <c r="DB482" i="3" s="1"/>
  <c r="DA482" i="3"/>
  <c r="DC482" i="3"/>
  <c r="A483" i="3"/>
  <c r="Y483" i="3"/>
  <c r="CX483" i="3" s="1"/>
  <c r="CY483" i="3"/>
  <c r="CZ483" i="3"/>
  <c r="DB483" i="3" s="1"/>
  <c r="DA483" i="3"/>
  <c r="DC483" i="3"/>
  <c r="A484" i="3"/>
  <c r="Y484" i="3"/>
  <c r="CX484" i="3"/>
  <c r="DG484" i="3" s="1"/>
  <c r="CY484" i="3"/>
  <c r="CZ484" i="3"/>
  <c r="DA484" i="3"/>
  <c r="DB484" i="3"/>
  <c r="DC484" i="3"/>
  <c r="DH484" i="3"/>
  <c r="A485" i="3"/>
  <c r="Y485" i="3"/>
  <c r="CX485" i="3" s="1"/>
  <c r="CY485" i="3"/>
  <c r="CZ485" i="3"/>
  <c r="DA485" i="3"/>
  <c r="DB485" i="3"/>
  <c r="DC485" i="3"/>
  <c r="A486" i="3"/>
  <c r="Y486" i="3"/>
  <c r="CV486" i="3" s="1"/>
  <c r="CU486" i="3"/>
  <c r="CX486" i="3"/>
  <c r="DG486" i="3" s="1"/>
  <c r="CY486" i="3"/>
  <c r="CZ486" i="3"/>
  <c r="DA486" i="3"/>
  <c r="DB486" i="3"/>
  <c r="DC486" i="3"/>
  <c r="DH486" i="3"/>
  <c r="A487" i="3"/>
  <c r="Y487" i="3"/>
  <c r="CW487" i="3" s="1"/>
  <c r="CY487" i="3"/>
  <c r="CZ487" i="3"/>
  <c r="DB487" i="3" s="1"/>
  <c r="DA487" i="3"/>
  <c r="DC487" i="3"/>
  <c r="A488" i="3"/>
  <c r="Y488" i="3"/>
  <c r="CX488" i="3"/>
  <c r="DG488" i="3" s="1"/>
  <c r="CY488" i="3"/>
  <c r="CZ488" i="3"/>
  <c r="DB488" i="3" s="1"/>
  <c r="DA488" i="3"/>
  <c r="DC488" i="3"/>
  <c r="DF488" i="3"/>
  <c r="DH488" i="3"/>
  <c r="DI488" i="3"/>
  <c r="DJ488" i="3"/>
  <c r="A489" i="3"/>
  <c r="Y489" i="3"/>
  <c r="CX489" i="3"/>
  <c r="DG489" i="3" s="1"/>
  <c r="CY489" i="3"/>
  <c r="CZ489" i="3"/>
  <c r="DA489" i="3"/>
  <c r="DB489" i="3"/>
  <c r="DC489" i="3"/>
  <c r="DH489" i="3"/>
  <c r="A490" i="3"/>
  <c r="Y490" i="3"/>
  <c r="CX490" i="3" s="1"/>
  <c r="CY490" i="3"/>
  <c r="CZ490" i="3"/>
  <c r="DA490" i="3"/>
  <c r="DB490" i="3"/>
  <c r="DC490" i="3"/>
  <c r="A491" i="3"/>
  <c r="Y491" i="3"/>
  <c r="CX491" i="3" s="1"/>
  <c r="CY491" i="3"/>
  <c r="CZ491" i="3"/>
  <c r="DB491" i="3" s="1"/>
  <c r="DA491" i="3"/>
  <c r="DC491" i="3"/>
  <c r="A492" i="3"/>
  <c r="Y492" i="3"/>
  <c r="CX492" i="3"/>
  <c r="DG492" i="3" s="1"/>
  <c r="CY492" i="3"/>
  <c r="CZ492" i="3"/>
  <c r="DB492" i="3" s="1"/>
  <c r="DA492" i="3"/>
  <c r="DC492" i="3"/>
  <c r="DF492" i="3"/>
  <c r="DH492" i="3"/>
  <c r="DI492" i="3"/>
  <c r="DJ492" i="3"/>
  <c r="A493" i="3"/>
  <c r="Y493" i="3"/>
  <c r="CY493" i="3"/>
  <c r="CZ493" i="3"/>
  <c r="DB493" i="3" s="1"/>
  <c r="DA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B504" i="3" s="1"/>
  <c r="DA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B511" i="3" s="1"/>
  <c r="DA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A514" i="3"/>
  <c r="DB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A522" i="3"/>
  <c r="DB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B528" i="3" s="1"/>
  <c r="DA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B533" i="3" s="1"/>
  <c r="DA533" i="3"/>
  <c r="DC533" i="3"/>
  <c r="A534" i="3"/>
  <c r="Y534" i="3"/>
  <c r="CY534" i="3"/>
  <c r="CZ534" i="3"/>
  <c r="DA534" i="3"/>
  <c r="DB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V539" i="3" s="1"/>
  <c r="CU539" i="3"/>
  <c r="CX539" i="3"/>
  <c r="CY539" i="3"/>
  <c r="CZ539" i="3"/>
  <c r="DA539" i="3"/>
  <c r="DB539" i="3"/>
  <c r="DC539" i="3"/>
  <c r="DH539" i="3"/>
  <c r="A540" i="3"/>
  <c r="Y540" i="3"/>
  <c r="CX540" i="3" s="1"/>
  <c r="DF540" i="3" s="1"/>
  <c r="CW540" i="3"/>
  <c r="CY540" i="3"/>
  <c r="CZ540" i="3"/>
  <c r="DB540" i="3" s="1"/>
  <c r="DA540" i="3"/>
  <c r="DC540" i="3"/>
  <c r="DG540" i="3"/>
  <c r="DJ540" i="3" s="1"/>
  <c r="A541" i="3"/>
  <c r="Y541" i="3"/>
  <c r="CX541" i="3" s="1"/>
  <c r="CY541" i="3"/>
  <c r="CZ541" i="3"/>
  <c r="DB541" i="3" s="1"/>
  <c r="DA541" i="3"/>
  <c r="DC541" i="3"/>
  <c r="DF541" i="3"/>
  <c r="DI541" i="3"/>
  <c r="DJ541" i="3"/>
  <c r="A542" i="3"/>
  <c r="Y542" i="3"/>
  <c r="CX542" i="3"/>
  <c r="DH542" i="3" s="1"/>
  <c r="CY542" i="3"/>
  <c r="CZ542" i="3"/>
  <c r="DA542" i="3"/>
  <c r="DB542" i="3"/>
  <c r="DC542" i="3"/>
  <c r="DI542" i="3"/>
  <c r="A543" i="3"/>
  <c r="Y543" i="3"/>
  <c r="CX543" i="3" s="1"/>
  <c r="CY543" i="3"/>
  <c r="CZ543" i="3"/>
  <c r="DA543" i="3"/>
  <c r="DB543" i="3"/>
  <c r="DC543" i="3"/>
  <c r="A544" i="3"/>
  <c r="Y544" i="3"/>
  <c r="CX544" i="3" s="1"/>
  <c r="CY544" i="3"/>
  <c r="CZ544" i="3"/>
  <c r="DB544" i="3" s="1"/>
  <c r="DA544" i="3"/>
  <c r="DC544" i="3"/>
  <c r="DG544" i="3"/>
  <c r="A545" i="3"/>
  <c r="Y545" i="3"/>
  <c r="CU545" i="3"/>
  <c r="CV545" i="3"/>
  <c r="CX545" i="3"/>
  <c r="DI545" i="3" s="1"/>
  <c r="DJ545" i="3" s="1"/>
  <c r="CY545" i="3"/>
  <c r="CZ545" i="3"/>
  <c r="DB545" i="3" s="1"/>
  <c r="DA545" i="3"/>
  <c r="DC545" i="3"/>
  <c r="DF545" i="3"/>
  <c r="DH545" i="3"/>
  <c r="A546" i="3"/>
  <c r="Y546" i="3"/>
  <c r="CW546" i="3" s="1"/>
  <c r="CX546" i="3"/>
  <c r="DG546" i="3" s="1"/>
  <c r="DJ546" i="3" s="1"/>
  <c r="CY546" i="3"/>
  <c r="CZ546" i="3"/>
  <c r="DA546" i="3"/>
  <c r="DB546" i="3"/>
  <c r="DC546" i="3"/>
  <c r="DH546" i="3"/>
  <c r="A547" i="3"/>
  <c r="Y547" i="3"/>
  <c r="CX547" i="3" s="1"/>
  <c r="CY547" i="3"/>
  <c r="CZ547" i="3"/>
  <c r="DB547" i="3" s="1"/>
  <c r="DA547" i="3"/>
  <c r="DC547" i="3"/>
  <c r="A548" i="3"/>
  <c r="Y548" i="3"/>
  <c r="CX548" i="3"/>
  <c r="DI548" i="3" s="1"/>
  <c r="CY548" i="3"/>
  <c r="CZ548" i="3"/>
  <c r="DB548" i="3" s="1"/>
  <c r="DA548" i="3"/>
  <c r="DC548" i="3"/>
  <c r="DF548" i="3"/>
  <c r="DH548" i="3"/>
  <c r="DJ548" i="3"/>
  <c r="A549" i="3"/>
  <c r="Y549" i="3"/>
  <c r="CX549" i="3" s="1"/>
  <c r="CY549" i="3"/>
  <c r="CZ549" i="3"/>
  <c r="DA549" i="3"/>
  <c r="DB549" i="3"/>
  <c r="DC549" i="3"/>
  <c r="A550" i="3"/>
  <c r="Y550" i="3"/>
  <c r="CX550" i="3"/>
  <c r="DG550" i="3" s="1"/>
  <c r="CY550" i="3"/>
  <c r="CZ550" i="3"/>
  <c r="DA550" i="3"/>
  <c r="DB550" i="3"/>
  <c r="DC550" i="3"/>
  <c r="DH550" i="3"/>
  <c r="A551" i="3"/>
  <c r="Y551" i="3"/>
  <c r="CY551" i="3"/>
  <c r="CZ551" i="3"/>
  <c r="DA551" i="3"/>
  <c r="DB551" i="3"/>
  <c r="DC551" i="3"/>
  <c r="A552" i="3"/>
  <c r="Y552" i="3"/>
  <c r="CY552" i="3"/>
  <c r="CZ552" i="3"/>
  <c r="DB552" i="3" s="1"/>
  <c r="DA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A557" i="3"/>
  <c r="DB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B568" i="3" s="1"/>
  <c r="DA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B579" i="3" s="1"/>
  <c r="DA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B586" i="3" s="1"/>
  <c r="DA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B589" i="3" s="1"/>
  <c r="DA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A600" i="3"/>
  <c r="DB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B605" i="3" s="1"/>
  <c r="DA605" i="3"/>
  <c r="DC605" i="3"/>
  <c r="A606" i="3"/>
  <c r="Y606" i="3"/>
  <c r="CY606" i="3"/>
  <c r="CZ606" i="3"/>
  <c r="DA606" i="3"/>
  <c r="DB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B615" i="3" s="1"/>
  <c r="DA615" i="3"/>
  <c r="DC615" i="3"/>
  <c r="A616" i="3"/>
  <c r="Y616" i="3"/>
  <c r="CY616" i="3"/>
  <c r="CZ616" i="3"/>
  <c r="DB616" i="3" s="1"/>
  <c r="DA616" i="3"/>
  <c r="DC616" i="3"/>
  <c r="A617" i="3"/>
  <c r="Y617" i="3"/>
  <c r="CY617" i="3"/>
  <c r="CZ617" i="3"/>
  <c r="DA617" i="3"/>
  <c r="DB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B620" i="3" s="1"/>
  <c r="DA620" i="3"/>
  <c r="DC620" i="3"/>
  <c r="A621" i="3"/>
  <c r="Y621" i="3"/>
  <c r="CY621" i="3"/>
  <c r="CZ621" i="3"/>
  <c r="DA621" i="3"/>
  <c r="DB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B625" i="3" s="1"/>
  <c r="DA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A627" i="3"/>
  <c r="DB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A636" i="3"/>
  <c r="DB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B639" i="3" s="1"/>
  <c r="DA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A647" i="3"/>
  <c r="DB647" i="3"/>
  <c r="DC647" i="3"/>
  <c r="A648" i="3"/>
  <c r="Y648" i="3"/>
  <c r="CY648" i="3"/>
  <c r="CZ648" i="3"/>
  <c r="DA648" i="3"/>
  <c r="DB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B656" i="3" s="1"/>
  <c r="DA656" i="3"/>
  <c r="DC656" i="3"/>
  <c r="A657" i="3"/>
  <c r="Y657" i="3"/>
  <c r="CY657" i="3"/>
  <c r="CZ657" i="3"/>
  <c r="DA657" i="3"/>
  <c r="DB657" i="3"/>
  <c r="DC657" i="3"/>
  <c r="A658" i="3"/>
  <c r="Y658" i="3"/>
  <c r="CY658" i="3"/>
  <c r="CZ658" i="3"/>
  <c r="DB658" i="3" s="1"/>
  <c r="DA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A660" i="3"/>
  <c r="DB660" i="3"/>
  <c r="DC660" i="3"/>
  <c r="A661" i="3"/>
  <c r="Y661" i="3"/>
  <c r="CY661" i="3"/>
  <c r="CZ661" i="3"/>
  <c r="DA661" i="3"/>
  <c r="DB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B667" i="3" s="1"/>
  <c r="DA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A670" i="3"/>
  <c r="DB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B675" i="3" s="1"/>
  <c r="DA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A683" i="3"/>
  <c r="DB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B688" i="3" s="1"/>
  <c r="DA688" i="3"/>
  <c r="DC688" i="3"/>
  <c r="A689" i="3"/>
  <c r="Y689" i="3"/>
  <c r="CY689" i="3"/>
  <c r="CZ689" i="3"/>
  <c r="DB689" i="3" s="1"/>
  <c r="DA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B693" i="3" s="1"/>
  <c r="DA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B698" i="3" s="1"/>
  <c r="DA698" i="3"/>
  <c r="DC698" i="3"/>
  <c r="A699" i="3"/>
  <c r="Y699" i="3"/>
  <c r="CY699" i="3"/>
  <c r="CZ699" i="3"/>
  <c r="DA699" i="3"/>
  <c r="DB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A705" i="3"/>
  <c r="DB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B708" i="3" s="1"/>
  <c r="DA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B712" i="3" s="1"/>
  <c r="DA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B716" i="3" s="1"/>
  <c r="DA716" i="3"/>
  <c r="DC716" i="3"/>
  <c r="A717" i="3"/>
  <c r="Y717" i="3"/>
  <c r="CY717" i="3"/>
  <c r="CZ717" i="3"/>
  <c r="DA717" i="3"/>
  <c r="DB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B723" i="3" s="1"/>
  <c r="DA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B727" i="3" s="1"/>
  <c r="DA727" i="3"/>
  <c r="DC727" i="3"/>
  <c r="A728" i="3"/>
  <c r="Y728" i="3"/>
  <c r="CY728" i="3"/>
  <c r="CZ728" i="3"/>
  <c r="DA728" i="3"/>
  <c r="DB728" i="3"/>
  <c r="DC72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R28" i="1"/>
  <c r="AC28" i="1"/>
  <c r="AE28" i="1"/>
  <c r="AD28" i="1" s="1"/>
  <c r="AB28" i="1" s="1"/>
  <c r="AF28" i="1"/>
  <c r="S28" i="1" s="1"/>
  <c r="AG28" i="1"/>
  <c r="AH28" i="1"/>
  <c r="AI28" i="1"/>
  <c r="AJ28" i="1"/>
  <c r="CX28" i="1" s="1"/>
  <c r="W28" i="1" s="1"/>
  <c r="CQ28" i="1"/>
  <c r="CR28" i="1"/>
  <c r="CS28" i="1"/>
  <c r="CU28" i="1"/>
  <c r="T28" i="1" s="1"/>
  <c r="CV28" i="1"/>
  <c r="U28" i="1" s="1"/>
  <c r="CW28" i="1"/>
  <c r="V28" i="1" s="1"/>
  <c r="GL28" i="1"/>
  <c r="GN28" i="1"/>
  <c r="GP28" i="1"/>
  <c r="GV28" i="1"/>
  <c r="GX28" i="1"/>
  <c r="HC28" i="1"/>
  <c r="C29" i="1"/>
  <c r="D29" i="1"/>
  <c r="S29" i="1"/>
  <c r="X29" i="1" s="1"/>
  <c r="AC29" i="1"/>
  <c r="P29" i="1" s="1"/>
  <c r="AE29" i="1"/>
  <c r="AD29" i="1" s="1"/>
  <c r="AF29" i="1"/>
  <c r="AG29" i="1"/>
  <c r="CU29" i="1" s="1"/>
  <c r="T29" i="1" s="1"/>
  <c r="AH29" i="1"/>
  <c r="AI29" i="1"/>
  <c r="CW29" i="1" s="1"/>
  <c r="V29" i="1" s="1"/>
  <c r="AJ29" i="1"/>
  <c r="CR29" i="1"/>
  <c r="CT29" i="1"/>
  <c r="CV29" i="1"/>
  <c r="U29" i="1" s="1"/>
  <c r="CX29" i="1"/>
  <c r="W29" i="1" s="1"/>
  <c r="CZ29" i="1"/>
  <c r="GL29" i="1"/>
  <c r="GN29" i="1"/>
  <c r="GP29" i="1"/>
  <c r="GV29" i="1"/>
  <c r="HC29" i="1"/>
  <c r="GX29" i="1" s="1"/>
  <c r="C30" i="1"/>
  <c r="D30" i="1"/>
  <c r="P30" i="1"/>
  <c r="R30" i="1"/>
  <c r="AC30" i="1"/>
  <c r="AD30" i="1"/>
  <c r="AB30" i="1" s="1"/>
  <c r="AE30" i="1"/>
  <c r="Q30" i="1" s="1"/>
  <c r="AF30" i="1"/>
  <c r="S30" i="1" s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T30" i="1" s="1"/>
  <c r="CW30" i="1"/>
  <c r="V30" i="1" s="1"/>
  <c r="GL30" i="1"/>
  <c r="GO30" i="1"/>
  <c r="GP30" i="1"/>
  <c r="GV30" i="1"/>
  <c r="GX30" i="1"/>
  <c r="HC30" i="1"/>
  <c r="C31" i="1"/>
  <c r="D31" i="1"/>
  <c r="S31" i="1"/>
  <c r="Y31" i="1" s="1"/>
  <c r="AC31" i="1"/>
  <c r="AE31" i="1"/>
  <c r="Q31" i="1" s="1"/>
  <c r="AF31" i="1"/>
  <c r="AG31" i="1"/>
  <c r="CU31" i="1" s="1"/>
  <c r="T31" i="1" s="1"/>
  <c r="AH31" i="1"/>
  <c r="AI31" i="1"/>
  <c r="CW31" i="1" s="1"/>
  <c r="V31" i="1" s="1"/>
  <c r="AJ31" i="1"/>
  <c r="CR31" i="1"/>
  <c r="CT31" i="1"/>
  <c r="CV31" i="1"/>
  <c r="U31" i="1" s="1"/>
  <c r="CX31" i="1"/>
  <c r="W31" i="1" s="1"/>
  <c r="GL31" i="1"/>
  <c r="GO31" i="1"/>
  <c r="GP31" i="1"/>
  <c r="GV31" i="1"/>
  <c r="HC31" i="1" s="1"/>
  <c r="GX31" i="1" s="1"/>
  <c r="C32" i="1"/>
  <c r="D32" i="1"/>
  <c r="I32" i="1"/>
  <c r="K32" i="1"/>
  <c r="P32" i="1"/>
  <c r="R32" i="1"/>
  <c r="AC32" i="1"/>
  <c r="AD32" i="1"/>
  <c r="AB32" i="1" s="1"/>
  <c r="AE32" i="1"/>
  <c r="Q32" i="1" s="1"/>
  <c r="AF32" i="1"/>
  <c r="S32" i="1" s="1"/>
  <c r="AG32" i="1"/>
  <c r="AH32" i="1"/>
  <c r="CV32" i="1" s="1"/>
  <c r="U32" i="1" s="1"/>
  <c r="AI32" i="1"/>
  <c r="AJ32" i="1"/>
  <c r="CX32" i="1" s="1"/>
  <c r="W32" i="1" s="1"/>
  <c r="CQ32" i="1"/>
  <c r="CR32" i="1"/>
  <c r="CS32" i="1"/>
  <c r="CU32" i="1"/>
  <c r="T32" i="1" s="1"/>
  <c r="CW32" i="1"/>
  <c r="V32" i="1" s="1"/>
  <c r="GL32" i="1"/>
  <c r="GN32" i="1"/>
  <c r="GP32" i="1"/>
  <c r="GV32" i="1"/>
  <c r="GX32" i="1"/>
  <c r="HC32" i="1"/>
  <c r="C33" i="1"/>
  <c r="D33" i="1"/>
  <c r="I33" i="1"/>
  <c r="R33" i="1" s="1"/>
  <c r="K33" i="1"/>
  <c r="AC33" i="1"/>
  <c r="P33" i="1" s="1"/>
  <c r="AE33" i="1"/>
  <c r="AD33" i="1" s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U33" i="1" s="1"/>
  <c r="CX33" i="1"/>
  <c r="W33" i="1" s="1"/>
  <c r="GL33" i="1"/>
  <c r="GN33" i="1"/>
  <c r="GP33" i="1"/>
  <c r="GV33" i="1"/>
  <c r="HC33" i="1"/>
  <c r="GX33" i="1" s="1"/>
  <c r="C34" i="1"/>
  <c r="D34" i="1"/>
  <c r="P34" i="1"/>
  <c r="R34" i="1"/>
  <c r="AC34" i="1"/>
  <c r="AD34" i="1"/>
  <c r="AB34" i="1" s="1"/>
  <c r="AE34" i="1"/>
  <c r="Q34" i="1" s="1"/>
  <c r="AF34" i="1"/>
  <c r="S34" i="1" s="1"/>
  <c r="AG34" i="1"/>
  <c r="AH34" i="1"/>
  <c r="CV34" i="1" s="1"/>
  <c r="U34" i="1" s="1"/>
  <c r="AI34" i="1"/>
  <c r="AJ34" i="1"/>
  <c r="CX34" i="1" s="1"/>
  <c r="W34" i="1" s="1"/>
  <c r="CQ34" i="1"/>
  <c r="CR34" i="1"/>
  <c r="CS34" i="1"/>
  <c r="CU34" i="1"/>
  <c r="T34" i="1" s="1"/>
  <c r="CW34" i="1"/>
  <c r="V34" i="1" s="1"/>
  <c r="GL34" i="1"/>
  <c r="GO34" i="1"/>
  <c r="GP34" i="1"/>
  <c r="GV34" i="1"/>
  <c r="GX34" i="1"/>
  <c r="HC34" i="1"/>
  <c r="C35" i="1"/>
  <c r="D35" i="1"/>
  <c r="S35" i="1"/>
  <c r="Y35" i="1" s="1"/>
  <c r="AC35" i="1"/>
  <c r="AE35" i="1"/>
  <c r="Q35" i="1" s="1"/>
  <c r="AF35" i="1"/>
  <c r="AG35" i="1"/>
  <c r="CU35" i="1" s="1"/>
  <c r="T35" i="1" s="1"/>
  <c r="AH35" i="1"/>
  <c r="AI35" i="1"/>
  <c r="CW35" i="1" s="1"/>
  <c r="V35" i="1" s="1"/>
  <c r="AJ35" i="1"/>
  <c r="CR35" i="1"/>
  <c r="CT35" i="1"/>
  <c r="CV35" i="1"/>
  <c r="U35" i="1" s="1"/>
  <c r="CX35" i="1"/>
  <c r="W35" i="1" s="1"/>
  <c r="GL35" i="1"/>
  <c r="GO35" i="1"/>
  <c r="GP35" i="1"/>
  <c r="GV35" i="1"/>
  <c r="HC35" i="1" s="1"/>
  <c r="GX35" i="1" s="1"/>
  <c r="C36" i="1"/>
  <c r="D36" i="1"/>
  <c r="P36" i="1"/>
  <c r="R36" i="1"/>
  <c r="AC36" i="1"/>
  <c r="AD36" i="1"/>
  <c r="AE36" i="1"/>
  <c r="Q36" i="1" s="1"/>
  <c r="AF36" i="1"/>
  <c r="AB36" i="1" s="1"/>
  <c r="AG36" i="1"/>
  <c r="AH36" i="1"/>
  <c r="CV36" i="1" s="1"/>
  <c r="U36" i="1" s="1"/>
  <c r="AI36" i="1"/>
  <c r="AJ36" i="1"/>
  <c r="CX36" i="1" s="1"/>
  <c r="W36" i="1" s="1"/>
  <c r="CQ36" i="1"/>
  <c r="CR36" i="1"/>
  <c r="CS36" i="1"/>
  <c r="CU36" i="1"/>
  <c r="T36" i="1" s="1"/>
  <c r="CW36" i="1"/>
  <c r="V36" i="1" s="1"/>
  <c r="GL36" i="1"/>
  <c r="GN36" i="1"/>
  <c r="GP36" i="1"/>
  <c r="GV36" i="1"/>
  <c r="GX36" i="1"/>
  <c r="HC36" i="1"/>
  <c r="C37" i="1"/>
  <c r="D37" i="1"/>
  <c r="S37" i="1"/>
  <c r="X37" i="1" s="1"/>
  <c r="AC37" i="1"/>
  <c r="P37" i="1" s="1"/>
  <c r="AE37" i="1"/>
  <c r="AD37" i="1" s="1"/>
  <c r="AF37" i="1"/>
  <c r="AG37" i="1"/>
  <c r="CU37" i="1" s="1"/>
  <c r="T37" i="1" s="1"/>
  <c r="AH37" i="1"/>
  <c r="AI37" i="1"/>
  <c r="CW37" i="1" s="1"/>
  <c r="V37" i="1" s="1"/>
  <c r="AJ37" i="1"/>
  <c r="CR37" i="1"/>
  <c r="CT37" i="1"/>
  <c r="CV37" i="1"/>
  <c r="U37" i="1" s="1"/>
  <c r="CX37" i="1"/>
  <c r="W37" i="1" s="1"/>
  <c r="CZ37" i="1"/>
  <c r="GL37" i="1"/>
  <c r="GN37" i="1"/>
  <c r="GP37" i="1"/>
  <c r="GV37" i="1"/>
  <c r="HC37" i="1"/>
  <c r="GX37" i="1" s="1"/>
  <c r="C38" i="1"/>
  <c r="D38" i="1"/>
  <c r="P38" i="1"/>
  <c r="R38" i="1"/>
  <c r="AC38" i="1"/>
  <c r="AD38" i="1"/>
  <c r="AB38" i="1" s="1"/>
  <c r="AE38" i="1"/>
  <c r="Q38" i="1" s="1"/>
  <c r="AF38" i="1"/>
  <c r="S38" i="1" s="1"/>
  <c r="AG38" i="1"/>
  <c r="AH38" i="1"/>
  <c r="CV38" i="1" s="1"/>
  <c r="U38" i="1" s="1"/>
  <c r="AI38" i="1"/>
  <c r="AJ38" i="1"/>
  <c r="CX38" i="1" s="1"/>
  <c r="W38" i="1" s="1"/>
  <c r="CQ38" i="1"/>
  <c r="CR38" i="1"/>
  <c r="CS38" i="1"/>
  <c r="CU38" i="1"/>
  <c r="T38" i="1" s="1"/>
  <c r="CW38" i="1"/>
  <c r="V38" i="1" s="1"/>
  <c r="GL38" i="1"/>
  <c r="GO38" i="1"/>
  <c r="GP38" i="1"/>
  <c r="GV38" i="1"/>
  <c r="GX38" i="1"/>
  <c r="HC38" i="1"/>
  <c r="C39" i="1"/>
  <c r="D39" i="1"/>
  <c r="S39" i="1"/>
  <c r="Y39" i="1" s="1"/>
  <c r="AC39" i="1"/>
  <c r="AE39" i="1"/>
  <c r="Q39" i="1" s="1"/>
  <c r="AF39" i="1"/>
  <c r="AG39" i="1"/>
  <c r="CU39" i="1" s="1"/>
  <c r="T39" i="1" s="1"/>
  <c r="AH39" i="1"/>
  <c r="AI39" i="1"/>
  <c r="CW39" i="1" s="1"/>
  <c r="V39" i="1" s="1"/>
  <c r="AJ39" i="1"/>
  <c r="CR39" i="1"/>
  <c r="CT39" i="1"/>
  <c r="CV39" i="1"/>
  <c r="U39" i="1" s="1"/>
  <c r="CX39" i="1"/>
  <c r="W39" i="1" s="1"/>
  <c r="GL39" i="1"/>
  <c r="GO39" i="1"/>
  <c r="GP39" i="1"/>
  <c r="GV39" i="1"/>
  <c r="HC39" i="1" s="1"/>
  <c r="GX39" i="1" s="1"/>
  <c r="C40" i="1"/>
  <c r="D40" i="1"/>
  <c r="P40" i="1"/>
  <c r="R40" i="1"/>
  <c r="AC40" i="1"/>
  <c r="AD40" i="1"/>
  <c r="AE40" i="1"/>
  <c r="Q40" i="1" s="1"/>
  <c r="AF40" i="1"/>
  <c r="AB40" i="1" s="1"/>
  <c r="AG40" i="1"/>
  <c r="AH40" i="1"/>
  <c r="CV40" i="1" s="1"/>
  <c r="U40" i="1" s="1"/>
  <c r="AI40" i="1"/>
  <c r="AJ40" i="1"/>
  <c r="CX40" i="1" s="1"/>
  <c r="W40" i="1" s="1"/>
  <c r="CQ40" i="1"/>
  <c r="CR40" i="1"/>
  <c r="CS40" i="1"/>
  <c r="CU40" i="1"/>
  <c r="T40" i="1" s="1"/>
  <c r="CW40" i="1"/>
  <c r="V40" i="1" s="1"/>
  <c r="GL40" i="1"/>
  <c r="GN40" i="1"/>
  <c r="GP40" i="1"/>
  <c r="GV40" i="1"/>
  <c r="GX40" i="1"/>
  <c r="HC40" i="1"/>
  <c r="C41" i="1"/>
  <c r="D41" i="1"/>
  <c r="S41" i="1"/>
  <c r="X41" i="1" s="1"/>
  <c r="AC41" i="1"/>
  <c r="P41" i="1" s="1"/>
  <c r="AE41" i="1"/>
  <c r="AD41" i="1" s="1"/>
  <c r="AF41" i="1"/>
  <c r="AG41" i="1"/>
  <c r="CU41" i="1" s="1"/>
  <c r="T41" i="1" s="1"/>
  <c r="AH41" i="1"/>
  <c r="AI41" i="1"/>
  <c r="CW41" i="1" s="1"/>
  <c r="V41" i="1" s="1"/>
  <c r="AJ41" i="1"/>
  <c r="CR41" i="1"/>
  <c r="CT41" i="1"/>
  <c r="CV41" i="1"/>
  <c r="U41" i="1" s="1"/>
  <c r="CX41" i="1"/>
  <c r="W41" i="1" s="1"/>
  <c r="CZ41" i="1"/>
  <c r="GL41" i="1"/>
  <c r="GN41" i="1"/>
  <c r="GP41" i="1"/>
  <c r="GV41" i="1"/>
  <c r="HC41" i="1"/>
  <c r="GX41" i="1" s="1"/>
  <c r="C42" i="1"/>
  <c r="D42" i="1"/>
  <c r="P42" i="1"/>
  <c r="R42" i="1"/>
  <c r="AC42" i="1"/>
  <c r="AD42" i="1"/>
  <c r="AB42" i="1" s="1"/>
  <c r="AE42" i="1"/>
  <c r="Q42" i="1" s="1"/>
  <c r="AF42" i="1"/>
  <c r="S42" i="1" s="1"/>
  <c r="AG42" i="1"/>
  <c r="AH42" i="1"/>
  <c r="CV42" i="1" s="1"/>
  <c r="U42" i="1" s="1"/>
  <c r="AI42" i="1"/>
  <c r="AJ42" i="1"/>
  <c r="CX42" i="1" s="1"/>
  <c r="W42" i="1" s="1"/>
  <c r="CQ42" i="1"/>
  <c r="CR42" i="1"/>
  <c r="CS42" i="1"/>
  <c r="CU42" i="1"/>
  <c r="T42" i="1" s="1"/>
  <c r="CW42" i="1"/>
  <c r="V42" i="1" s="1"/>
  <c r="GL42" i="1"/>
  <c r="GN42" i="1"/>
  <c r="GP42" i="1"/>
  <c r="GV42" i="1"/>
  <c r="GX42" i="1"/>
  <c r="HC42" i="1"/>
  <c r="C43" i="1"/>
  <c r="D43" i="1"/>
  <c r="S43" i="1"/>
  <c r="Y43" i="1" s="1"/>
  <c r="AC43" i="1"/>
  <c r="AE43" i="1"/>
  <c r="Q43" i="1" s="1"/>
  <c r="AF43" i="1"/>
  <c r="AG43" i="1"/>
  <c r="CU43" i="1" s="1"/>
  <c r="T43" i="1" s="1"/>
  <c r="AH43" i="1"/>
  <c r="AI43" i="1"/>
  <c r="CW43" i="1" s="1"/>
  <c r="V43" i="1" s="1"/>
  <c r="AJ43" i="1"/>
  <c r="CR43" i="1"/>
  <c r="CT43" i="1"/>
  <c r="CV43" i="1"/>
  <c r="U43" i="1" s="1"/>
  <c r="CX43" i="1"/>
  <c r="W43" i="1" s="1"/>
  <c r="GL43" i="1"/>
  <c r="GN43" i="1"/>
  <c r="GP43" i="1"/>
  <c r="GV43" i="1"/>
  <c r="HC43" i="1" s="1"/>
  <c r="GX43" i="1" s="1"/>
  <c r="C44" i="1"/>
  <c r="D44" i="1"/>
  <c r="P44" i="1"/>
  <c r="R44" i="1"/>
  <c r="AC44" i="1"/>
  <c r="AD44" i="1"/>
  <c r="AE44" i="1"/>
  <c r="Q44" i="1" s="1"/>
  <c r="AF44" i="1"/>
  <c r="AB44" i="1" s="1"/>
  <c r="AG44" i="1"/>
  <c r="AH44" i="1"/>
  <c r="CV44" i="1" s="1"/>
  <c r="U44" i="1" s="1"/>
  <c r="AI44" i="1"/>
  <c r="AJ44" i="1"/>
  <c r="CX44" i="1" s="1"/>
  <c r="W44" i="1" s="1"/>
  <c r="CQ44" i="1"/>
  <c r="CR44" i="1"/>
  <c r="CS44" i="1"/>
  <c r="CU44" i="1"/>
  <c r="T44" i="1" s="1"/>
  <c r="CW44" i="1"/>
  <c r="V44" i="1" s="1"/>
  <c r="GL44" i="1"/>
  <c r="GN44" i="1"/>
  <c r="GP44" i="1"/>
  <c r="GV44" i="1"/>
  <c r="GX44" i="1"/>
  <c r="HC44" i="1"/>
  <c r="C45" i="1"/>
  <c r="D45" i="1"/>
  <c r="S45" i="1"/>
  <c r="X45" i="1" s="1"/>
  <c r="AC45" i="1"/>
  <c r="P45" i="1" s="1"/>
  <c r="AE45" i="1"/>
  <c r="AD45" i="1" s="1"/>
  <c r="AF45" i="1"/>
  <c r="AG45" i="1"/>
  <c r="CU45" i="1" s="1"/>
  <c r="T45" i="1" s="1"/>
  <c r="AH45" i="1"/>
  <c r="AI45" i="1"/>
  <c r="CW45" i="1" s="1"/>
  <c r="V45" i="1" s="1"/>
  <c r="AJ45" i="1"/>
  <c r="CR45" i="1"/>
  <c r="CT45" i="1"/>
  <c r="CV45" i="1"/>
  <c r="U45" i="1" s="1"/>
  <c r="CX45" i="1"/>
  <c r="W45" i="1" s="1"/>
  <c r="CZ45" i="1"/>
  <c r="GL45" i="1"/>
  <c r="GN45" i="1"/>
  <c r="GP45" i="1"/>
  <c r="GV45" i="1"/>
  <c r="HC45" i="1"/>
  <c r="GX45" i="1" s="1"/>
  <c r="C46" i="1"/>
  <c r="D46" i="1"/>
  <c r="I46" i="1"/>
  <c r="K46" i="1"/>
  <c r="P46" i="1"/>
  <c r="R46" i="1"/>
  <c r="AC46" i="1"/>
  <c r="AD46" i="1"/>
  <c r="AE46" i="1"/>
  <c r="Q46" i="1" s="1"/>
  <c r="AF46" i="1"/>
  <c r="AB46" i="1" s="1"/>
  <c r="AG46" i="1"/>
  <c r="AH46" i="1"/>
  <c r="CV46" i="1" s="1"/>
  <c r="U46" i="1" s="1"/>
  <c r="AI46" i="1"/>
  <c r="AJ46" i="1"/>
  <c r="CX46" i="1" s="1"/>
  <c r="W46" i="1" s="1"/>
  <c r="CQ46" i="1"/>
  <c r="CR46" i="1"/>
  <c r="CS46" i="1"/>
  <c r="CU46" i="1"/>
  <c r="T46" i="1" s="1"/>
  <c r="CW46" i="1"/>
  <c r="V46" i="1" s="1"/>
  <c r="GL46" i="1"/>
  <c r="GN46" i="1"/>
  <c r="GP46" i="1"/>
  <c r="GV46" i="1"/>
  <c r="GX46" i="1"/>
  <c r="HC46" i="1"/>
  <c r="C47" i="1"/>
  <c r="D47" i="1"/>
  <c r="I47" i="1"/>
  <c r="R47" i="1" s="1"/>
  <c r="K47" i="1"/>
  <c r="S47" i="1"/>
  <c r="Y47" i="1" s="1"/>
  <c r="AC47" i="1"/>
  <c r="AE47" i="1"/>
  <c r="Q47" i="1" s="1"/>
  <c r="AF47" i="1"/>
  <c r="AG47" i="1"/>
  <c r="CU47" i="1" s="1"/>
  <c r="T47" i="1" s="1"/>
  <c r="AH47" i="1"/>
  <c r="AI47" i="1"/>
  <c r="CW47" i="1" s="1"/>
  <c r="V47" i="1" s="1"/>
  <c r="AJ47" i="1"/>
  <c r="CR47" i="1"/>
  <c r="CT47" i="1"/>
  <c r="CV47" i="1"/>
  <c r="U47" i="1" s="1"/>
  <c r="CX47" i="1"/>
  <c r="W47" i="1" s="1"/>
  <c r="GL47" i="1"/>
  <c r="GN47" i="1"/>
  <c r="GP47" i="1"/>
  <c r="GV47" i="1"/>
  <c r="HC47" i="1" s="1"/>
  <c r="GX47" i="1" s="1"/>
  <c r="C48" i="1"/>
  <c r="D48" i="1"/>
  <c r="I48" i="1"/>
  <c r="K48" i="1"/>
  <c r="P48" i="1"/>
  <c r="R48" i="1"/>
  <c r="AC48" i="1"/>
  <c r="AD48" i="1"/>
  <c r="AB48" i="1" s="1"/>
  <c r="AE48" i="1"/>
  <c r="Q48" i="1" s="1"/>
  <c r="AF48" i="1"/>
  <c r="S48" i="1" s="1"/>
  <c r="AG48" i="1"/>
  <c r="AH48" i="1"/>
  <c r="CV48" i="1" s="1"/>
  <c r="U48" i="1" s="1"/>
  <c r="AI48" i="1"/>
  <c r="AJ48" i="1"/>
  <c r="CX48" i="1" s="1"/>
  <c r="W48" i="1" s="1"/>
  <c r="CQ48" i="1"/>
  <c r="CR48" i="1"/>
  <c r="CS48" i="1"/>
  <c r="CU48" i="1"/>
  <c r="T48" i="1" s="1"/>
  <c r="CW48" i="1"/>
  <c r="V48" i="1" s="1"/>
  <c r="GL48" i="1"/>
  <c r="GN48" i="1"/>
  <c r="GP48" i="1"/>
  <c r="GV48" i="1"/>
  <c r="HC48" i="1" s="1"/>
  <c r="GX48" i="1" s="1"/>
  <c r="C49" i="1"/>
  <c r="D49" i="1"/>
  <c r="I49" i="1"/>
  <c r="R49" i="1" s="1"/>
  <c r="K49" i="1"/>
  <c r="AC49" i="1"/>
  <c r="P49" i="1" s="1"/>
  <c r="AE49" i="1"/>
  <c r="AD49" i="1" s="1"/>
  <c r="AF49" i="1"/>
  <c r="AG49" i="1"/>
  <c r="CU49" i="1" s="1"/>
  <c r="T49" i="1" s="1"/>
  <c r="AH49" i="1"/>
  <c r="AI49" i="1"/>
  <c r="CW49" i="1" s="1"/>
  <c r="V49" i="1" s="1"/>
  <c r="AJ49" i="1"/>
  <c r="CR49" i="1"/>
  <c r="CT49" i="1"/>
  <c r="CV49" i="1"/>
  <c r="U49" i="1" s="1"/>
  <c r="CX49" i="1"/>
  <c r="W49" i="1" s="1"/>
  <c r="GL49" i="1"/>
  <c r="GN49" i="1"/>
  <c r="GP49" i="1"/>
  <c r="GV49" i="1"/>
  <c r="HC49" i="1"/>
  <c r="GX49" i="1" s="1"/>
  <c r="C50" i="1"/>
  <c r="D50" i="1"/>
  <c r="I50" i="1"/>
  <c r="K50" i="1"/>
  <c r="P50" i="1"/>
  <c r="R50" i="1"/>
  <c r="AC50" i="1"/>
  <c r="AD50" i="1"/>
  <c r="AE50" i="1"/>
  <c r="Q50" i="1" s="1"/>
  <c r="AF50" i="1"/>
  <c r="AB50" i="1" s="1"/>
  <c r="AG50" i="1"/>
  <c r="AH50" i="1"/>
  <c r="CV50" i="1" s="1"/>
  <c r="U50" i="1" s="1"/>
  <c r="AI50" i="1"/>
  <c r="AJ50" i="1"/>
  <c r="CX50" i="1" s="1"/>
  <c r="W50" i="1" s="1"/>
  <c r="CQ50" i="1"/>
  <c r="CR50" i="1"/>
  <c r="CS50" i="1"/>
  <c r="CU50" i="1"/>
  <c r="T50" i="1" s="1"/>
  <c r="CW50" i="1"/>
  <c r="V50" i="1" s="1"/>
  <c r="GL50" i="1"/>
  <c r="GN50" i="1"/>
  <c r="GP50" i="1"/>
  <c r="GV50" i="1"/>
  <c r="GX50" i="1"/>
  <c r="HC50" i="1"/>
  <c r="C51" i="1"/>
  <c r="D51" i="1"/>
  <c r="I51" i="1"/>
  <c r="R51" i="1" s="1"/>
  <c r="K51" i="1"/>
  <c r="S51" i="1"/>
  <c r="Y51" i="1" s="1"/>
  <c r="AC51" i="1"/>
  <c r="AE51" i="1"/>
  <c r="Q51" i="1" s="1"/>
  <c r="AF51" i="1"/>
  <c r="AG51" i="1"/>
  <c r="CU51" i="1" s="1"/>
  <c r="T51" i="1" s="1"/>
  <c r="AH51" i="1"/>
  <c r="AI51" i="1"/>
  <c r="CW51" i="1" s="1"/>
  <c r="V51" i="1" s="1"/>
  <c r="AJ51" i="1"/>
  <c r="CR51" i="1"/>
  <c r="CT51" i="1"/>
  <c r="CV51" i="1"/>
  <c r="U51" i="1" s="1"/>
  <c r="CX51" i="1"/>
  <c r="W51" i="1" s="1"/>
  <c r="GL51" i="1"/>
  <c r="GN51" i="1"/>
  <c r="GP51" i="1"/>
  <c r="GV51" i="1"/>
  <c r="HC51" i="1" s="1"/>
  <c r="GX51" i="1" s="1"/>
  <c r="C52" i="1"/>
  <c r="D52" i="1"/>
  <c r="I52" i="1"/>
  <c r="K52" i="1"/>
  <c r="P52" i="1"/>
  <c r="R52" i="1"/>
  <c r="AC52" i="1"/>
  <c r="AD52" i="1"/>
  <c r="AB52" i="1" s="1"/>
  <c r="AE52" i="1"/>
  <c r="Q52" i="1" s="1"/>
  <c r="AF52" i="1"/>
  <c r="S52" i="1" s="1"/>
  <c r="CY52" i="1" s="1"/>
  <c r="AG52" i="1"/>
  <c r="AH52" i="1"/>
  <c r="CV52" i="1" s="1"/>
  <c r="U52" i="1" s="1"/>
  <c r="AI52" i="1"/>
  <c r="AJ52" i="1"/>
  <c r="CX52" i="1" s="1"/>
  <c r="W52" i="1" s="1"/>
  <c r="CQ52" i="1"/>
  <c r="CR52" i="1"/>
  <c r="CS52" i="1"/>
  <c r="CU52" i="1"/>
  <c r="T52" i="1" s="1"/>
  <c r="CW52" i="1"/>
  <c r="V52" i="1" s="1"/>
  <c r="GL52" i="1"/>
  <c r="GO52" i="1"/>
  <c r="GP52" i="1"/>
  <c r="GV52" i="1"/>
  <c r="GX52" i="1"/>
  <c r="HC52" i="1"/>
  <c r="C53" i="1"/>
  <c r="D53" i="1"/>
  <c r="I53" i="1"/>
  <c r="Q53" i="1" s="1"/>
  <c r="K53" i="1"/>
  <c r="AC53" i="1"/>
  <c r="AE53" i="1"/>
  <c r="AF53" i="1"/>
  <c r="AG53" i="1"/>
  <c r="CU53" i="1" s="1"/>
  <c r="T53" i="1" s="1"/>
  <c r="AH53" i="1"/>
  <c r="AI53" i="1"/>
  <c r="CW53" i="1" s="1"/>
  <c r="AJ53" i="1"/>
  <c r="CR53" i="1"/>
  <c r="CT53" i="1"/>
  <c r="CV53" i="1"/>
  <c r="CX53" i="1"/>
  <c r="GL53" i="1"/>
  <c r="GO53" i="1"/>
  <c r="GP53" i="1"/>
  <c r="GV53" i="1"/>
  <c r="HC53" i="1"/>
  <c r="P54" i="1"/>
  <c r="R54" i="1"/>
  <c r="V54" i="1"/>
  <c r="AC54" i="1"/>
  <c r="AD54" i="1"/>
  <c r="AE54" i="1"/>
  <c r="Q54" i="1" s="1"/>
  <c r="AF54" i="1"/>
  <c r="AG54" i="1"/>
  <c r="AH54" i="1"/>
  <c r="CV54" i="1" s="1"/>
  <c r="U54" i="1" s="1"/>
  <c r="AI54" i="1"/>
  <c r="AJ54" i="1"/>
  <c r="CX54" i="1" s="1"/>
  <c r="W54" i="1" s="1"/>
  <c r="CQ54" i="1"/>
  <c r="CR54" i="1"/>
  <c r="CS54" i="1"/>
  <c r="CU54" i="1"/>
  <c r="T54" i="1" s="1"/>
  <c r="CW54" i="1"/>
  <c r="FR54" i="1"/>
  <c r="GL54" i="1"/>
  <c r="GN54" i="1"/>
  <c r="GO54" i="1"/>
  <c r="GP54" i="1"/>
  <c r="GV54" i="1"/>
  <c r="HC54" i="1"/>
  <c r="GX54" i="1" s="1"/>
  <c r="P55" i="1"/>
  <c r="R55" i="1"/>
  <c r="V55" i="1"/>
  <c r="AC55" i="1"/>
  <c r="AD55" i="1"/>
  <c r="AB55" i="1" s="1"/>
  <c r="AE55" i="1"/>
  <c r="Q55" i="1" s="1"/>
  <c r="AF55" i="1"/>
  <c r="AG55" i="1"/>
  <c r="AH55" i="1"/>
  <c r="CV55" i="1" s="1"/>
  <c r="U55" i="1" s="1"/>
  <c r="AI55" i="1"/>
  <c r="AJ55" i="1"/>
  <c r="CX55" i="1" s="1"/>
  <c r="W55" i="1" s="1"/>
  <c r="CQ55" i="1"/>
  <c r="CR55" i="1"/>
  <c r="CS55" i="1"/>
  <c r="CU55" i="1"/>
  <c r="T55" i="1" s="1"/>
  <c r="CW55" i="1"/>
  <c r="FR55" i="1"/>
  <c r="GL55" i="1"/>
  <c r="GN55" i="1"/>
  <c r="GO55" i="1"/>
  <c r="GP55" i="1"/>
  <c r="GV55" i="1"/>
  <c r="HC55" i="1"/>
  <c r="GX55" i="1" s="1"/>
  <c r="C56" i="1"/>
  <c r="D56" i="1"/>
  <c r="P56" i="1"/>
  <c r="R56" i="1"/>
  <c r="T56" i="1"/>
  <c r="AC56" i="1"/>
  <c r="AD56" i="1"/>
  <c r="AE56" i="1"/>
  <c r="Q56" i="1" s="1"/>
  <c r="AF56" i="1"/>
  <c r="AG56" i="1"/>
  <c r="AH56" i="1"/>
  <c r="CV56" i="1" s="1"/>
  <c r="U56" i="1" s="1"/>
  <c r="AI56" i="1"/>
  <c r="AJ56" i="1"/>
  <c r="CX56" i="1" s="1"/>
  <c r="W56" i="1" s="1"/>
  <c r="CQ56" i="1"/>
  <c r="CR56" i="1"/>
  <c r="CS56" i="1"/>
  <c r="CU56" i="1"/>
  <c r="CW56" i="1"/>
  <c r="V56" i="1" s="1"/>
  <c r="GL56" i="1"/>
  <c r="GN56" i="1"/>
  <c r="GP56" i="1"/>
  <c r="GV56" i="1"/>
  <c r="GX56" i="1"/>
  <c r="HC56" i="1"/>
  <c r="C57" i="1"/>
  <c r="D57" i="1"/>
  <c r="Q57" i="1"/>
  <c r="S57" i="1"/>
  <c r="U57" i="1"/>
  <c r="AC57" i="1"/>
  <c r="AE57" i="1"/>
  <c r="AF57" i="1"/>
  <c r="AG57" i="1"/>
  <c r="CU57" i="1" s="1"/>
  <c r="T57" i="1" s="1"/>
  <c r="AH57" i="1"/>
  <c r="AI57" i="1"/>
  <c r="CW57" i="1" s="1"/>
  <c r="V57" i="1" s="1"/>
  <c r="AJ57" i="1"/>
  <c r="CR57" i="1"/>
  <c r="CT57" i="1"/>
  <c r="CV57" i="1"/>
  <c r="CX57" i="1"/>
  <c r="W57" i="1" s="1"/>
  <c r="CZ57" i="1"/>
  <c r="GL57" i="1"/>
  <c r="GN57" i="1"/>
  <c r="GP57" i="1"/>
  <c r="GV57" i="1"/>
  <c r="HC57" i="1"/>
  <c r="GX57" i="1" s="1"/>
  <c r="I58" i="1"/>
  <c r="S58" i="1"/>
  <c r="Y58" i="1" s="1"/>
  <c r="U58" i="1"/>
  <c r="W58" i="1"/>
  <c r="AC58" i="1"/>
  <c r="AE58" i="1"/>
  <c r="Q58" i="1" s="1"/>
  <c r="AF58" i="1"/>
  <c r="AG58" i="1"/>
  <c r="CU58" i="1" s="1"/>
  <c r="T58" i="1" s="1"/>
  <c r="AH58" i="1"/>
  <c r="AI58" i="1"/>
  <c r="CW58" i="1" s="1"/>
  <c r="V58" i="1" s="1"/>
  <c r="AJ58" i="1"/>
  <c r="CT58" i="1"/>
  <c r="CV58" i="1"/>
  <c r="CX58" i="1"/>
  <c r="GL58" i="1"/>
  <c r="GN58" i="1"/>
  <c r="GO58" i="1"/>
  <c r="GP58" i="1"/>
  <c r="GV58" i="1"/>
  <c r="HC58" i="1" s="1"/>
  <c r="GX58" i="1" s="1"/>
  <c r="I59" i="1"/>
  <c r="Q59" i="1" s="1"/>
  <c r="P59" i="1"/>
  <c r="R59" i="1"/>
  <c r="AC59" i="1"/>
  <c r="AD59" i="1"/>
  <c r="AE59" i="1"/>
  <c r="AF59" i="1"/>
  <c r="AG59" i="1"/>
  <c r="AH59" i="1"/>
  <c r="CV59" i="1" s="1"/>
  <c r="U59" i="1" s="1"/>
  <c r="AI59" i="1"/>
  <c r="AJ59" i="1"/>
  <c r="CX59" i="1" s="1"/>
  <c r="W59" i="1" s="1"/>
  <c r="CQ59" i="1"/>
  <c r="CR59" i="1"/>
  <c r="CS59" i="1"/>
  <c r="CU59" i="1"/>
  <c r="T59" i="1" s="1"/>
  <c r="CW59" i="1"/>
  <c r="V59" i="1" s="1"/>
  <c r="FR59" i="1"/>
  <c r="GL59" i="1"/>
  <c r="GN59" i="1"/>
  <c r="GO59" i="1"/>
  <c r="GP59" i="1"/>
  <c r="GV59" i="1"/>
  <c r="HC59" i="1" s="1"/>
  <c r="GX59" i="1" s="1"/>
  <c r="C60" i="1"/>
  <c r="D60" i="1"/>
  <c r="I60" i="1"/>
  <c r="K60" i="1"/>
  <c r="P60" i="1"/>
  <c r="R60" i="1"/>
  <c r="AC60" i="1"/>
  <c r="AD60" i="1"/>
  <c r="AE60" i="1"/>
  <c r="Q60" i="1" s="1"/>
  <c r="AF60" i="1"/>
  <c r="AG60" i="1"/>
  <c r="AH60" i="1"/>
  <c r="CV60" i="1" s="1"/>
  <c r="U60" i="1" s="1"/>
  <c r="AI60" i="1"/>
  <c r="AJ60" i="1"/>
  <c r="CX60" i="1" s="1"/>
  <c r="W60" i="1" s="1"/>
  <c r="CQ60" i="1"/>
  <c r="CR60" i="1"/>
  <c r="CS60" i="1"/>
  <c r="CU60" i="1"/>
  <c r="T60" i="1" s="1"/>
  <c r="CW60" i="1"/>
  <c r="V60" i="1" s="1"/>
  <c r="GL60" i="1"/>
  <c r="GN60" i="1"/>
  <c r="GP60" i="1"/>
  <c r="GV60" i="1"/>
  <c r="GX60" i="1"/>
  <c r="HC60" i="1"/>
  <c r="C61" i="1"/>
  <c r="D61" i="1"/>
  <c r="I61" i="1"/>
  <c r="W61" i="1" s="1"/>
  <c r="K61" i="1"/>
  <c r="S61" i="1"/>
  <c r="Y61" i="1" s="1"/>
  <c r="U61" i="1"/>
  <c r="AC61" i="1"/>
  <c r="AE61" i="1"/>
  <c r="AF61" i="1"/>
  <c r="AG61" i="1"/>
  <c r="CU61" i="1" s="1"/>
  <c r="AH61" i="1"/>
  <c r="AI61" i="1"/>
  <c r="CW61" i="1" s="1"/>
  <c r="V61" i="1" s="1"/>
  <c r="AJ61" i="1"/>
  <c r="CT61" i="1"/>
  <c r="CV61" i="1"/>
  <c r="CX61" i="1"/>
  <c r="GL61" i="1"/>
  <c r="GN61" i="1"/>
  <c r="GP61" i="1"/>
  <c r="GV61" i="1"/>
  <c r="HC61" i="1" s="1"/>
  <c r="GX61" i="1" s="1"/>
  <c r="I62" i="1"/>
  <c r="AC62" i="1"/>
  <c r="AE62" i="1"/>
  <c r="AF62" i="1"/>
  <c r="S62" i="1" s="1"/>
  <c r="AG62" i="1"/>
  <c r="CU62" i="1" s="1"/>
  <c r="T62" i="1" s="1"/>
  <c r="AH62" i="1"/>
  <c r="AI62" i="1"/>
  <c r="AJ62" i="1"/>
  <c r="CR62" i="1"/>
  <c r="CS62" i="1"/>
  <c r="CT62" i="1"/>
  <c r="CV62" i="1"/>
  <c r="U62" i="1" s="1"/>
  <c r="CW62" i="1"/>
  <c r="V62" i="1" s="1"/>
  <c r="CX62" i="1"/>
  <c r="W62" i="1" s="1"/>
  <c r="GL62" i="1"/>
  <c r="GN62" i="1"/>
  <c r="GP62" i="1"/>
  <c r="GV62" i="1"/>
  <c r="HC62" i="1" s="1"/>
  <c r="GX62" i="1" s="1"/>
  <c r="AC63" i="1"/>
  <c r="AE63" i="1"/>
  <c r="AD63" i="1" s="1"/>
  <c r="AB63" i="1" s="1"/>
  <c r="AF63" i="1"/>
  <c r="AG63" i="1"/>
  <c r="AH63" i="1"/>
  <c r="AI63" i="1"/>
  <c r="CW63" i="1" s="1"/>
  <c r="AJ63" i="1"/>
  <c r="CX63" i="1" s="1"/>
  <c r="CQ63" i="1"/>
  <c r="CR63" i="1"/>
  <c r="CU63" i="1"/>
  <c r="CV63" i="1"/>
  <c r="GL63" i="1"/>
  <c r="GN63" i="1"/>
  <c r="GP63" i="1"/>
  <c r="GV63" i="1"/>
  <c r="HC63" i="1"/>
  <c r="R64" i="1"/>
  <c r="AC64" i="1"/>
  <c r="P64" i="1" s="1"/>
  <c r="AE64" i="1"/>
  <c r="Q64" i="1" s="1"/>
  <c r="AF64" i="1"/>
  <c r="S64" i="1" s="1"/>
  <c r="AG64" i="1"/>
  <c r="CU64" i="1" s="1"/>
  <c r="T64" i="1" s="1"/>
  <c r="AH64" i="1"/>
  <c r="AI64" i="1"/>
  <c r="AJ64" i="1"/>
  <c r="CX64" i="1" s="1"/>
  <c r="W64" i="1" s="1"/>
  <c r="CR64" i="1"/>
  <c r="CS64" i="1"/>
  <c r="CV64" i="1"/>
  <c r="U64" i="1" s="1"/>
  <c r="CW64" i="1"/>
  <c r="V64" i="1" s="1"/>
  <c r="GL64" i="1"/>
  <c r="GO64" i="1"/>
  <c r="GP64" i="1"/>
  <c r="GV64" i="1"/>
  <c r="HC64" i="1"/>
  <c r="GX64" i="1" s="1"/>
  <c r="R65" i="1"/>
  <c r="S65" i="1"/>
  <c r="X65" i="1" s="1"/>
  <c r="AC65" i="1"/>
  <c r="AB65" i="1" s="1"/>
  <c r="AD65" i="1"/>
  <c r="AE65" i="1"/>
  <c r="Q65" i="1" s="1"/>
  <c r="AF65" i="1"/>
  <c r="AG65" i="1"/>
  <c r="CU65" i="1" s="1"/>
  <c r="T65" i="1" s="1"/>
  <c r="AH65" i="1"/>
  <c r="AI65" i="1"/>
  <c r="AJ65" i="1"/>
  <c r="CR65" i="1"/>
  <c r="CS65" i="1"/>
  <c r="CT65" i="1"/>
  <c r="CV65" i="1"/>
  <c r="U65" i="1" s="1"/>
  <c r="CW65" i="1"/>
  <c r="V65" i="1" s="1"/>
  <c r="CX65" i="1"/>
  <c r="W65" i="1" s="1"/>
  <c r="GL65" i="1"/>
  <c r="GO65" i="1"/>
  <c r="GP65" i="1"/>
  <c r="GV65" i="1"/>
  <c r="HC65" i="1" s="1"/>
  <c r="GX65" i="1" s="1"/>
  <c r="C66" i="1"/>
  <c r="D66" i="1"/>
  <c r="I66" i="1"/>
  <c r="K66" i="1"/>
  <c r="P66" i="1"/>
  <c r="S66" i="1"/>
  <c r="Y66" i="1" s="1"/>
  <c r="X66" i="1"/>
  <c r="AC66" i="1"/>
  <c r="AB66" i="1" s="1"/>
  <c r="AD66" i="1"/>
  <c r="AE66" i="1"/>
  <c r="Q66" i="1" s="1"/>
  <c r="AF66" i="1"/>
  <c r="AG66" i="1"/>
  <c r="AH66" i="1"/>
  <c r="CV66" i="1" s="1"/>
  <c r="U66" i="1" s="1"/>
  <c r="AI66" i="1"/>
  <c r="AJ66" i="1"/>
  <c r="CQ66" i="1"/>
  <c r="CR66" i="1"/>
  <c r="CS66" i="1"/>
  <c r="CT66" i="1"/>
  <c r="CU66" i="1"/>
  <c r="T66" i="1" s="1"/>
  <c r="CW66" i="1"/>
  <c r="V66" i="1" s="1"/>
  <c r="CX66" i="1"/>
  <c r="W66" i="1" s="1"/>
  <c r="CY66" i="1"/>
  <c r="GL66" i="1"/>
  <c r="GN66" i="1"/>
  <c r="GP66" i="1"/>
  <c r="GV66" i="1"/>
  <c r="HC66" i="1" s="1"/>
  <c r="GX66" i="1" s="1"/>
  <c r="C67" i="1"/>
  <c r="D67" i="1"/>
  <c r="I67" i="1"/>
  <c r="R67" i="1" s="1"/>
  <c r="K67" i="1"/>
  <c r="AC67" i="1"/>
  <c r="AE67" i="1"/>
  <c r="AD67" i="1" s="1"/>
  <c r="AF67" i="1"/>
  <c r="S67" i="1" s="1"/>
  <c r="AG67" i="1"/>
  <c r="AH67" i="1"/>
  <c r="AI67" i="1"/>
  <c r="CW67" i="1" s="1"/>
  <c r="V67" i="1" s="1"/>
  <c r="AJ67" i="1"/>
  <c r="CQ67" i="1"/>
  <c r="CR67" i="1"/>
  <c r="CT67" i="1"/>
  <c r="CU67" i="1"/>
  <c r="T67" i="1" s="1"/>
  <c r="CV67" i="1"/>
  <c r="U67" i="1" s="1"/>
  <c r="CX67" i="1"/>
  <c r="W67" i="1" s="1"/>
  <c r="GL67" i="1"/>
  <c r="GN67" i="1"/>
  <c r="GP67" i="1"/>
  <c r="GV67" i="1"/>
  <c r="HC67" i="1"/>
  <c r="GX67" i="1" s="1"/>
  <c r="I68" i="1"/>
  <c r="P68" i="1"/>
  <c r="AC68" i="1"/>
  <c r="AE68" i="1"/>
  <c r="AD68" i="1" s="1"/>
  <c r="AF68" i="1"/>
  <c r="S68" i="1" s="1"/>
  <c r="AG68" i="1"/>
  <c r="AH68" i="1"/>
  <c r="AI68" i="1"/>
  <c r="CW68" i="1" s="1"/>
  <c r="V68" i="1" s="1"/>
  <c r="AJ68" i="1"/>
  <c r="CQ68" i="1"/>
  <c r="CR68" i="1"/>
  <c r="CT68" i="1"/>
  <c r="CU68" i="1"/>
  <c r="T68" i="1" s="1"/>
  <c r="CV68" i="1"/>
  <c r="U68" i="1" s="1"/>
  <c r="CX68" i="1"/>
  <c r="W68" i="1" s="1"/>
  <c r="GL68" i="1"/>
  <c r="GN68" i="1"/>
  <c r="GP68" i="1"/>
  <c r="GV68" i="1"/>
  <c r="HC68" i="1"/>
  <c r="GX68" i="1" s="1"/>
  <c r="AC69" i="1"/>
  <c r="AB69" i="1" s="1"/>
  <c r="AE69" i="1"/>
  <c r="AD69" i="1" s="1"/>
  <c r="AF69" i="1"/>
  <c r="AG69" i="1"/>
  <c r="AH69" i="1"/>
  <c r="AI69" i="1"/>
  <c r="CW69" i="1" s="1"/>
  <c r="AJ69" i="1"/>
  <c r="CQ69" i="1"/>
  <c r="CR69" i="1"/>
  <c r="CT69" i="1"/>
  <c r="CU69" i="1"/>
  <c r="CV69" i="1"/>
  <c r="CX69" i="1"/>
  <c r="GL69" i="1"/>
  <c r="GN69" i="1"/>
  <c r="GP69" i="1"/>
  <c r="GV69" i="1"/>
  <c r="HC69" i="1"/>
  <c r="I70" i="1"/>
  <c r="P70" i="1"/>
  <c r="AC70" i="1"/>
  <c r="AB70" i="1" s="1"/>
  <c r="AE70" i="1"/>
  <c r="AD70" i="1" s="1"/>
  <c r="AF70" i="1"/>
  <c r="S70" i="1" s="1"/>
  <c r="AG70" i="1"/>
  <c r="AH70" i="1"/>
  <c r="AI70" i="1"/>
  <c r="CW70" i="1" s="1"/>
  <c r="V70" i="1" s="1"/>
  <c r="AJ70" i="1"/>
  <c r="CQ70" i="1"/>
  <c r="CR70" i="1"/>
  <c r="CT70" i="1"/>
  <c r="CU70" i="1"/>
  <c r="T70" i="1" s="1"/>
  <c r="CV70" i="1"/>
  <c r="U70" i="1" s="1"/>
  <c r="CX70" i="1"/>
  <c r="W70" i="1" s="1"/>
  <c r="GL70" i="1"/>
  <c r="GN70" i="1"/>
  <c r="GP70" i="1"/>
  <c r="GV70" i="1"/>
  <c r="HC70" i="1"/>
  <c r="GX70" i="1" s="1"/>
  <c r="AC71" i="1"/>
  <c r="AE71" i="1"/>
  <c r="AD71" i="1" s="1"/>
  <c r="AF71" i="1"/>
  <c r="AG71" i="1"/>
  <c r="AH71" i="1"/>
  <c r="AI71" i="1"/>
  <c r="CW71" i="1" s="1"/>
  <c r="AJ71" i="1"/>
  <c r="CQ71" i="1"/>
  <c r="CR71" i="1"/>
  <c r="CT71" i="1"/>
  <c r="CU71" i="1"/>
  <c r="CV71" i="1"/>
  <c r="CX71" i="1"/>
  <c r="GL71" i="1"/>
  <c r="GN71" i="1"/>
  <c r="GP71" i="1"/>
  <c r="GV71" i="1"/>
  <c r="HC71" i="1"/>
  <c r="R72" i="1"/>
  <c r="AC72" i="1"/>
  <c r="P72" i="1" s="1"/>
  <c r="AE72" i="1"/>
  <c r="Q72" i="1" s="1"/>
  <c r="AF72" i="1"/>
  <c r="S72" i="1" s="1"/>
  <c r="AG72" i="1"/>
  <c r="AH72" i="1"/>
  <c r="AI72" i="1"/>
  <c r="AJ72" i="1"/>
  <c r="CX72" i="1" s="1"/>
  <c r="W72" i="1" s="1"/>
  <c r="CQ72" i="1"/>
  <c r="CR72" i="1"/>
  <c r="CS72" i="1"/>
  <c r="CU72" i="1"/>
  <c r="T72" i="1" s="1"/>
  <c r="CV72" i="1"/>
  <c r="U72" i="1" s="1"/>
  <c r="CW72" i="1"/>
  <c r="V72" i="1" s="1"/>
  <c r="GL72" i="1"/>
  <c r="GO72" i="1"/>
  <c r="GP72" i="1"/>
  <c r="GV72" i="1"/>
  <c r="HC72" i="1"/>
  <c r="GX72" i="1" s="1"/>
  <c r="R73" i="1"/>
  <c r="S73" i="1"/>
  <c r="X73" i="1" s="1"/>
  <c r="AC73" i="1"/>
  <c r="AE73" i="1"/>
  <c r="AD73" i="1" s="1"/>
  <c r="AF73" i="1"/>
  <c r="AG73" i="1"/>
  <c r="CU73" i="1" s="1"/>
  <c r="T73" i="1" s="1"/>
  <c r="AH73" i="1"/>
  <c r="AI73" i="1"/>
  <c r="AJ73" i="1"/>
  <c r="CR73" i="1"/>
  <c r="CS73" i="1"/>
  <c r="CT73" i="1"/>
  <c r="CV73" i="1"/>
  <c r="U73" i="1" s="1"/>
  <c r="CW73" i="1"/>
  <c r="V73" i="1" s="1"/>
  <c r="CX73" i="1"/>
  <c r="W73" i="1" s="1"/>
  <c r="GL73" i="1"/>
  <c r="GO73" i="1"/>
  <c r="GP73" i="1"/>
  <c r="GV73" i="1"/>
  <c r="HC73" i="1" s="1"/>
  <c r="GX73" i="1" s="1"/>
  <c r="C74" i="1"/>
  <c r="D74" i="1"/>
  <c r="P74" i="1"/>
  <c r="R74" i="1"/>
  <c r="AC74" i="1"/>
  <c r="AE74" i="1"/>
  <c r="Q74" i="1" s="1"/>
  <c r="AF74" i="1"/>
  <c r="S74" i="1" s="1"/>
  <c r="AG74" i="1"/>
  <c r="AH74" i="1"/>
  <c r="AI74" i="1"/>
  <c r="AJ74" i="1"/>
  <c r="CX74" i="1" s="1"/>
  <c r="W74" i="1" s="1"/>
  <c r="CQ74" i="1"/>
  <c r="CR74" i="1"/>
  <c r="CS74" i="1"/>
  <c r="CU74" i="1"/>
  <c r="T74" i="1" s="1"/>
  <c r="CV74" i="1"/>
  <c r="U74" i="1" s="1"/>
  <c r="CW74" i="1"/>
  <c r="V74" i="1" s="1"/>
  <c r="GL74" i="1"/>
  <c r="GN74" i="1"/>
  <c r="GP74" i="1"/>
  <c r="GV74" i="1"/>
  <c r="HC74" i="1"/>
  <c r="GX74" i="1" s="1"/>
  <c r="C75" i="1"/>
  <c r="D75" i="1"/>
  <c r="P75" i="1"/>
  <c r="S75" i="1"/>
  <c r="AC75" i="1"/>
  <c r="AE75" i="1"/>
  <c r="X75" i="1" s="1"/>
  <c r="AF75" i="1"/>
  <c r="AG75" i="1"/>
  <c r="AH75" i="1"/>
  <c r="AI75" i="1"/>
  <c r="CW75" i="1" s="1"/>
  <c r="V75" i="1" s="1"/>
  <c r="AJ75" i="1"/>
  <c r="CQ75" i="1"/>
  <c r="CR75" i="1"/>
  <c r="CT75" i="1"/>
  <c r="CU75" i="1"/>
  <c r="T75" i="1" s="1"/>
  <c r="CV75" i="1"/>
  <c r="U75" i="1" s="1"/>
  <c r="CX75" i="1"/>
  <c r="W75" i="1" s="1"/>
  <c r="CZ75" i="1"/>
  <c r="GL75" i="1"/>
  <c r="GN75" i="1"/>
  <c r="GP75" i="1"/>
  <c r="GV75" i="1"/>
  <c r="HC75" i="1"/>
  <c r="GX75" i="1" s="1"/>
  <c r="I76" i="1"/>
  <c r="P76" i="1"/>
  <c r="S76" i="1"/>
  <c r="AC76" i="1"/>
  <c r="AE76" i="1"/>
  <c r="X76" i="1" s="1"/>
  <c r="AF76" i="1"/>
  <c r="AG76" i="1"/>
  <c r="AH76" i="1"/>
  <c r="AI76" i="1"/>
  <c r="CW76" i="1" s="1"/>
  <c r="V76" i="1" s="1"/>
  <c r="AJ76" i="1"/>
  <c r="CQ76" i="1"/>
  <c r="CR76" i="1"/>
  <c r="CT76" i="1"/>
  <c r="CU76" i="1"/>
  <c r="T76" i="1" s="1"/>
  <c r="CV76" i="1"/>
  <c r="U76" i="1" s="1"/>
  <c r="CX76" i="1"/>
  <c r="W76" i="1" s="1"/>
  <c r="CZ76" i="1"/>
  <c r="GL76" i="1"/>
  <c r="GN76" i="1"/>
  <c r="GP76" i="1"/>
  <c r="GV76" i="1"/>
  <c r="HC76" i="1"/>
  <c r="GX76" i="1" s="1"/>
  <c r="I77" i="1"/>
  <c r="P77" i="1"/>
  <c r="S77" i="1"/>
  <c r="AC77" i="1"/>
  <c r="AE77" i="1"/>
  <c r="X77" i="1" s="1"/>
  <c r="AF77" i="1"/>
  <c r="AG77" i="1"/>
  <c r="AH77" i="1"/>
  <c r="AI77" i="1"/>
  <c r="CW77" i="1" s="1"/>
  <c r="V77" i="1" s="1"/>
  <c r="AJ77" i="1"/>
  <c r="CQ77" i="1"/>
  <c r="CR77" i="1"/>
  <c r="CT77" i="1"/>
  <c r="CU77" i="1"/>
  <c r="T77" i="1" s="1"/>
  <c r="CV77" i="1"/>
  <c r="U77" i="1" s="1"/>
  <c r="CX77" i="1"/>
  <c r="W77" i="1" s="1"/>
  <c r="CZ77" i="1"/>
  <c r="GL77" i="1"/>
  <c r="GN77" i="1"/>
  <c r="GP77" i="1"/>
  <c r="GV77" i="1"/>
  <c r="HC77" i="1"/>
  <c r="GX77" i="1" s="1"/>
  <c r="C78" i="1"/>
  <c r="D78" i="1"/>
  <c r="I78" i="1"/>
  <c r="K78" i="1"/>
  <c r="R78" i="1"/>
  <c r="AC78" i="1"/>
  <c r="P78" i="1" s="1"/>
  <c r="CP78" i="1" s="1"/>
  <c r="O78" i="1" s="1"/>
  <c r="AE78" i="1"/>
  <c r="Q78" i="1" s="1"/>
  <c r="AF78" i="1"/>
  <c r="S78" i="1" s="1"/>
  <c r="AG78" i="1"/>
  <c r="AH78" i="1"/>
  <c r="AI78" i="1"/>
  <c r="AJ78" i="1"/>
  <c r="CX78" i="1" s="1"/>
  <c r="W78" i="1" s="1"/>
  <c r="CQ78" i="1"/>
  <c r="CR78" i="1"/>
  <c r="CS78" i="1"/>
  <c r="CU78" i="1"/>
  <c r="T78" i="1" s="1"/>
  <c r="CV78" i="1"/>
  <c r="U78" i="1" s="1"/>
  <c r="CW78" i="1"/>
  <c r="V78" i="1" s="1"/>
  <c r="GL78" i="1"/>
  <c r="GN78" i="1"/>
  <c r="GP78" i="1"/>
  <c r="GV78" i="1"/>
  <c r="HC78" i="1"/>
  <c r="GX78" i="1" s="1"/>
  <c r="C79" i="1"/>
  <c r="D79" i="1"/>
  <c r="I79" i="1"/>
  <c r="K79" i="1"/>
  <c r="R79" i="1"/>
  <c r="S79" i="1"/>
  <c r="X79" i="1" s="1"/>
  <c r="AC79" i="1"/>
  <c r="AB79" i="1" s="1"/>
  <c r="AE79" i="1"/>
  <c r="AD79" i="1" s="1"/>
  <c r="AF79" i="1"/>
  <c r="AG79" i="1"/>
  <c r="CU79" i="1" s="1"/>
  <c r="T79" i="1" s="1"/>
  <c r="AH79" i="1"/>
  <c r="AI79" i="1"/>
  <c r="AJ79" i="1"/>
  <c r="CR79" i="1"/>
  <c r="CS79" i="1"/>
  <c r="CT79" i="1"/>
  <c r="CV79" i="1"/>
  <c r="U79" i="1" s="1"/>
  <c r="CW79" i="1"/>
  <c r="V79" i="1" s="1"/>
  <c r="CX79" i="1"/>
  <c r="W79" i="1" s="1"/>
  <c r="GL79" i="1"/>
  <c r="GN79" i="1"/>
  <c r="GP79" i="1"/>
  <c r="GV79" i="1"/>
  <c r="HC79" i="1" s="1"/>
  <c r="GX79" i="1" s="1"/>
  <c r="I80" i="1"/>
  <c r="Q80" i="1" s="1"/>
  <c r="R80" i="1"/>
  <c r="S80" i="1"/>
  <c r="X80" i="1" s="1"/>
  <c r="AC80" i="1"/>
  <c r="AB80" i="1" s="1"/>
  <c r="AE80" i="1"/>
  <c r="AD80" i="1" s="1"/>
  <c r="AF80" i="1"/>
  <c r="AG80" i="1"/>
  <c r="CU80" i="1" s="1"/>
  <c r="T80" i="1" s="1"/>
  <c r="AH80" i="1"/>
  <c r="AI80" i="1"/>
  <c r="AJ80" i="1"/>
  <c r="CR80" i="1"/>
  <c r="CS80" i="1"/>
  <c r="CT80" i="1"/>
  <c r="CV80" i="1"/>
  <c r="U80" i="1" s="1"/>
  <c r="CW80" i="1"/>
  <c r="V80" i="1" s="1"/>
  <c r="CX80" i="1"/>
  <c r="W80" i="1" s="1"/>
  <c r="GL80" i="1"/>
  <c r="GN80" i="1"/>
  <c r="GP80" i="1"/>
  <c r="GV80" i="1"/>
  <c r="HC80" i="1" s="1"/>
  <c r="GX80" i="1" s="1"/>
  <c r="I81" i="1"/>
  <c r="Q81" i="1" s="1"/>
  <c r="R81" i="1"/>
  <c r="S81" i="1"/>
  <c r="X81" i="1" s="1"/>
  <c r="AC81" i="1"/>
  <c r="AB81" i="1" s="1"/>
  <c r="AE81" i="1"/>
  <c r="AD81" i="1" s="1"/>
  <c r="AF81" i="1"/>
  <c r="AG81" i="1"/>
  <c r="CU81" i="1" s="1"/>
  <c r="T81" i="1" s="1"/>
  <c r="AH81" i="1"/>
  <c r="AI81" i="1"/>
  <c r="AJ81" i="1"/>
  <c r="CR81" i="1"/>
  <c r="CS81" i="1"/>
  <c r="CT81" i="1"/>
  <c r="CV81" i="1"/>
  <c r="U81" i="1" s="1"/>
  <c r="CW81" i="1"/>
  <c r="V81" i="1" s="1"/>
  <c r="CX81" i="1"/>
  <c r="W81" i="1" s="1"/>
  <c r="GL81" i="1"/>
  <c r="GN81" i="1"/>
  <c r="GP81" i="1"/>
  <c r="GV81" i="1"/>
  <c r="HC81" i="1" s="1"/>
  <c r="GX81" i="1" s="1"/>
  <c r="I82" i="1"/>
  <c r="Q82" i="1" s="1"/>
  <c r="R82" i="1"/>
  <c r="S82" i="1"/>
  <c r="X82" i="1" s="1"/>
  <c r="AC82" i="1"/>
  <c r="AB82" i="1" s="1"/>
  <c r="AE82" i="1"/>
  <c r="AD82" i="1" s="1"/>
  <c r="AF82" i="1"/>
  <c r="AG82" i="1"/>
  <c r="CU82" i="1" s="1"/>
  <c r="T82" i="1" s="1"/>
  <c r="AH82" i="1"/>
  <c r="AI82" i="1"/>
  <c r="AJ82" i="1"/>
  <c r="CR82" i="1"/>
  <c r="CS82" i="1"/>
  <c r="CT82" i="1"/>
  <c r="CV82" i="1"/>
  <c r="U82" i="1" s="1"/>
  <c r="CW82" i="1"/>
  <c r="V82" i="1" s="1"/>
  <c r="CX82" i="1"/>
  <c r="W82" i="1" s="1"/>
  <c r="GL82" i="1"/>
  <c r="GN82" i="1"/>
  <c r="GP82" i="1"/>
  <c r="GV82" i="1"/>
  <c r="HC82" i="1" s="1"/>
  <c r="GX82" i="1" s="1"/>
  <c r="I83" i="1"/>
  <c r="Q83" i="1" s="1"/>
  <c r="R83" i="1"/>
  <c r="S83" i="1"/>
  <c r="X83" i="1" s="1"/>
  <c r="AC83" i="1"/>
  <c r="AB83" i="1" s="1"/>
  <c r="AE83" i="1"/>
  <c r="AD83" i="1" s="1"/>
  <c r="AF83" i="1"/>
  <c r="AG83" i="1"/>
  <c r="CU83" i="1" s="1"/>
  <c r="T83" i="1" s="1"/>
  <c r="AH83" i="1"/>
  <c r="AI83" i="1"/>
  <c r="AJ83" i="1"/>
  <c r="CR83" i="1"/>
  <c r="CS83" i="1"/>
  <c r="CT83" i="1"/>
  <c r="CV83" i="1"/>
  <c r="U83" i="1" s="1"/>
  <c r="CW83" i="1"/>
  <c r="V83" i="1" s="1"/>
  <c r="CX83" i="1"/>
  <c r="W83" i="1" s="1"/>
  <c r="GL83" i="1"/>
  <c r="GN83" i="1"/>
  <c r="GP83" i="1"/>
  <c r="GV83" i="1"/>
  <c r="HC83" i="1" s="1"/>
  <c r="GX83" i="1" s="1"/>
  <c r="C84" i="1"/>
  <c r="D84" i="1"/>
  <c r="I84" i="1"/>
  <c r="K84" i="1"/>
  <c r="P84" i="1"/>
  <c r="R84" i="1"/>
  <c r="S84" i="1"/>
  <c r="Y84" i="1" s="1"/>
  <c r="X84" i="1"/>
  <c r="AC84" i="1"/>
  <c r="AB84" i="1" s="1"/>
  <c r="AD84" i="1"/>
  <c r="AE84" i="1"/>
  <c r="Q84" i="1" s="1"/>
  <c r="AF84" i="1"/>
  <c r="AG84" i="1"/>
  <c r="AH84" i="1"/>
  <c r="CV84" i="1" s="1"/>
  <c r="U84" i="1" s="1"/>
  <c r="AI84" i="1"/>
  <c r="AJ84" i="1"/>
  <c r="CQ84" i="1"/>
  <c r="CR84" i="1"/>
  <c r="CS84" i="1"/>
  <c r="CT84" i="1"/>
  <c r="CU84" i="1"/>
  <c r="T84" i="1" s="1"/>
  <c r="CW84" i="1"/>
  <c r="V84" i="1" s="1"/>
  <c r="CX84" i="1"/>
  <c r="W84" i="1" s="1"/>
  <c r="CY84" i="1"/>
  <c r="GL84" i="1"/>
  <c r="GN84" i="1"/>
  <c r="GP84" i="1"/>
  <c r="GV84" i="1"/>
  <c r="HC84" i="1" s="1"/>
  <c r="GX84" i="1" s="1"/>
  <c r="C85" i="1"/>
  <c r="D85" i="1"/>
  <c r="I85" i="1"/>
  <c r="R85" i="1" s="1"/>
  <c r="K85" i="1"/>
  <c r="AC85" i="1"/>
  <c r="AB85" i="1" s="1"/>
  <c r="AE85" i="1"/>
  <c r="AD85" i="1" s="1"/>
  <c r="AF85" i="1"/>
  <c r="AG85" i="1"/>
  <c r="AH85" i="1"/>
  <c r="AI85" i="1"/>
  <c r="CW85" i="1" s="1"/>
  <c r="V85" i="1" s="1"/>
  <c r="AJ85" i="1"/>
  <c r="CQ85" i="1"/>
  <c r="CR85" i="1"/>
  <c r="CT85" i="1"/>
  <c r="CU85" i="1"/>
  <c r="T85" i="1" s="1"/>
  <c r="CV85" i="1"/>
  <c r="U85" i="1" s="1"/>
  <c r="CX85" i="1"/>
  <c r="W85" i="1" s="1"/>
  <c r="GL85" i="1"/>
  <c r="GN85" i="1"/>
  <c r="GP85" i="1"/>
  <c r="GV85" i="1"/>
  <c r="HC85" i="1"/>
  <c r="GX85" i="1" s="1"/>
  <c r="I86" i="1"/>
  <c r="P86" i="1"/>
  <c r="S86" i="1"/>
  <c r="AC86" i="1"/>
  <c r="AE86" i="1"/>
  <c r="X86" i="1" s="1"/>
  <c r="AF86" i="1"/>
  <c r="AG86" i="1"/>
  <c r="AH86" i="1"/>
  <c r="AI86" i="1"/>
  <c r="CW86" i="1" s="1"/>
  <c r="V86" i="1" s="1"/>
  <c r="AJ86" i="1"/>
  <c r="CQ86" i="1"/>
  <c r="CR86" i="1"/>
  <c r="CT86" i="1"/>
  <c r="CU86" i="1"/>
  <c r="T86" i="1" s="1"/>
  <c r="CV86" i="1"/>
  <c r="U86" i="1" s="1"/>
  <c r="CX86" i="1"/>
  <c r="W86" i="1" s="1"/>
  <c r="CZ86" i="1"/>
  <c r="GL86" i="1"/>
  <c r="GN86" i="1"/>
  <c r="GP86" i="1"/>
  <c r="GV86" i="1"/>
  <c r="HC86" i="1"/>
  <c r="GX86" i="1" s="1"/>
  <c r="AC87" i="1"/>
  <c r="AB87" i="1" s="1"/>
  <c r="AE87" i="1"/>
  <c r="AD87" i="1" s="1"/>
  <c r="AF87" i="1"/>
  <c r="AG87" i="1"/>
  <c r="AH87" i="1"/>
  <c r="AI87" i="1"/>
  <c r="CW87" i="1" s="1"/>
  <c r="AJ87" i="1"/>
  <c r="CQ87" i="1"/>
  <c r="CR87" i="1"/>
  <c r="CT87" i="1"/>
  <c r="CU87" i="1"/>
  <c r="CV87" i="1"/>
  <c r="CX87" i="1"/>
  <c r="GL87" i="1"/>
  <c r="GN87" i="1"/>
  <c r="GP87" i="1"/>
  <c r="GV87" i="1"/>
  <c r="HC87" i="1"/>
  <c r="C88" i="1"/>
  <c r="D88" i="1"/>
  <c r="I88" i="1"/>
  <c r="P88" i="1" s="1"/>
  <c r="K88" i="1"/>
  <c r="R88" i="1"/>
  <c r="AC88" i="1"/>
  <c r="AE88" i="1"/>
  <c r="Q88" i="1" s="1"/>
  <c r="AF88" i="1"/>
  <c r="S88" i="1" s="1"/>
  <c r="AG88" i="1"/>
  <c r="AH88" i="1"/>
  <c r="AI88" i="1"/>
  <c r="AJ88" i="1"/>
  <c r="CX88" i="1" s="1"/>
  <c r="W88" i="1" s="1"/>
  <c r="CQ88" i="1"/>
  <c r="CR88" i="1"/>
  <c r="CS88" i="1"/>
  <c r="CU88" i="1"/>
  <c r="T88" i="1" s="1"/>
  <c r="CV88" i="1"/>
  <c r="U88" i="1" s="1"/>
  <c r="CW88" i="1"/>
  <c r="V88" i="1" s="1"/>
  <c r="GL88" i="1"/>
  <c r="GN88" i="1"/>
  <c r="GP88" i="1"/>
  <c r="GV88" i="1"/>
  <c r="HC88" i="1"/>
  <c r="GX88" i="1" s="1"/>
  <c r="C89" i="1"/>
  <c r="D89" i="1"/>
  <c r="I89" i="1"/>
  <c r="K89" i="1"/>
  <c r="R89" i="1"/>
  <c r="S89" i="1"/>
  <c r="X89" i="1" s="1"/>
  <c r="AC89" i="1"/>
  <c r="AB89" i="1" s="1"/>
  <c r="AE89" i="1"/>
  <c r="AD89" i="1" s="1"/>
  <c r="AF89" i="1"/>
  <c r="AG89" i="1"/>
  <c r="CU89" i="1" s="1"/>
  <c r="T89" i="1" s="1"/>
  <c r="AH89" i="1"/>
  <c r="AI89" i="1"/>
  <c r="AJ89" i="1"/>
  <c r="CR89" i="1"/>
  <c r="CS89" i="1"/>
  <c r="CT89" i="1"/>
  <c r="CV89" i="1"/>
  <c r="U89" i="1" s="1"/>
  <c r="CW89" i="1"/>
  <c r="V89" i="1" s="1"/>
  <c r="CX89" i="1"/>
  <c r="W89" i="1" s="1"/>
  <c r="GL89" i="1"/>
  <c r="GN89" i="1"/>
  <c r="GP89" i="1"/>
  <c r="GV89" i="1"/>
  <c r="HC89" i="1" s="1"/>
  <c r="GX89" i="1" s="1"/>
  <c r="I90" i="1"/>
  <c r="Q90" i="1" s="1"/>
  <c r="R90" i="1"/>
  <c r="S90" i="1"/>
  <c r="X90" i="1" s="1"/>
  <c r="AC90" i="1"/>
  <c r="AB90" i="1" s="1"/>
  <c r="AE90" i="1"/>
  <c r="AD90" i="1" s="1"/>
  <c r="AF90" i="1"/>
  <c r="AG90" i="1"/>
  <c r="CU90" i="1" s="1"/>
  <c r="T90" i="1" s="1"/>
  <c r="AH90" i="1"/>
  <c r="AI90" i="1"/>
  <c r="AJ90" i="1"/>
  <c r="CR90" i="1"/>
  <c r="CS90" i="1"/>
  <c r="CT90" i="1"/>
  <c r="CV90" i="1"/>
  <c r="U90" i="1" s="1"/>
  <c r="CW90" i="1"/>
  <c r="V90" i="1" s="1"/>
  <c r="CX90" i="1"/>
  <c r="W90" i="1" s="1"/>
  <c r="GL90" i="1"/>
  <c r="GN90" i="1"/>
  <c r="GP90" i="1"/>
  <c r="GV90" i="1"/>
  <c r="HC90" i="1" s="1"/>
  <c r="GX90" i="1" s="1"/>
  <c r="I91" i="1"/>
  <c r="Q91" i="1" s="1"/>
  <c r="R91" i="1"/>
  <c r="S91" i="1"/>
  <c r="X91" i="1" s="1"/>
  <c r="AC91" i="1"/>
  <c r="AB91" i="1" s="1"/>
  <c r="AE91" i="1"/>
  <c r="AD91" i="1" s="1"/>
  <c r="AF91" i="1"/>
  <c r="AG91" i="1"/>
  <c r="CU91" i="1" s="1"/>
  <c r="T91" i="1" s="1"/>
  <c r="AH91" i="1"/>
  <c r="AI91" i="1"/>
  <c r="AJ91" i="1"/>
  <c r="CR91" i="1"/>
  <c r="CS91" i="1"/>
  <c r="CT91" i="1"/>
  <c r="CV91" i="1"/>
  <c r="U91" i="1" s="1"/>
  <c r="CW91" i="1"/>
  <c r="V91" i="1" s="1"/>
  <c r="CX91" i="1"/>
  <c r="W91" i="1" s="1"/>
  <c r="GL91" i="1"/>
  <c r="GN91" i="1"/>
  <c r="GP91" i="1"/>
  <c r="GV91" i="1"/>
  <c r="HC91" i="1" s="1"/>
  <c r="GX91" i="1" s="1"/>
  <c r="P92" i="1"/>
  <c r="R92" i="1"/>
  <c r="S92" i="1"/>
  <c r="Y92" i="1" s="1"/>
  <c r="X92" i="1"/>
  <c r="AC92" i="1"/>
  <c r="AB92" i="1" s="1"/>
  <c r="AD92" i="1"/>
  <c r="AE92" i="1"/>
  <c r="Q92" i="1" s="1"/>
  <c r="AF92" i="1"/>
  <c r="AG92" i="1"/>
  <c r="AH92" i="1"/>
  <c r="CV92" i="1" s="1"/>
  <c r="U92" i="1" s="1"/>
  <c r="AI92" i="1"/>
  <c r="AJ92" i="1"/>
  <c r="CQ92" i="1"/>
  <c r="CR92" i="1"/>
  <c r="CS92" i="1"/>
  <c r="CT92" i="1"/>
  <c r="CU92" i="1"/>
  <c r="T92" i="1" s="1"/>
  <c r="CW92" i="1"/>
  <c r="V92" i="1" s="1"/>
  <c r="CX92" i="1"/>
  <c r="W92" i="1" s="1"/>
  <c r="CY92" i="1"/>
  <c r="GL92" i="1"/>
  <c r="GN92" i="1"/>
  <c r="GP92" i="1"/>
  <c r="GV92" i="1"/>
  <c r="HC92" i="1" s="1"/>
  <c r="GX92" i="1" s="1"/>
  <c r="P93" i="1"/>
  <c r="S93" i="1"/>
  <c r="AC93" i="1"/>
  <c r="AE93" i="1"/>
  <c r="X93" i="1" s="1"/>
  <c r="AF93" i="1"/>
  <c r="AG93" i="1"/>
  <c r="AH93" i="1"/>
  <c r="AI93" i="1"/>
  <c r="CW93" i="1" s="1"/>
  <c r="V93" i="1" s="1"/>
  <c r="AJ93" i="1"/>
  <c r="CQ93" i="1"/>
  <c r="CR93" i="1"/>
  <c r="CT93" i="1"/>
  <c r="CU93" i="1"/>
  <c r="T93" i="1" s="1"/>
  <c r="CV93" i="1"/>
  <c r="U93" i="1" s="1"/>
  <c r="CX93" i="1"/>
  <c r="W93" i="1" s="1"/>
  <c r="CZ93" i="1"/>
  <c r="GL93" i="1"/>
  <c r="GN93" i="1"/>
  <c r="GP93" i="1"/>
  <c r="GV93" i="1"/>
  <c r="HC93" i="1"/>
  <c r="GX93" i="1" s="1"/>
  <c r="C94" i="1"/>
  <c r="D94" i="1"/>
  <c r="I94" i="1"/>
  <c r="P94" i="1" s="1"/>
  <c r="K94" i="1"/>
  <c r="R94" i="1"/>
  <c r="AC94" i="1"/>
  <c r="AE94" i="1"/>
  <c r="Q94" i="1" s="1"/>
  <c r="AF94" i="1"/>
  <c r="S94" i="1" s="1"/>
  <c r="AG94" i="1"/>
  <c r="AH94" i="1"/>
  <c r="AI94" i="1"/>
  <c r="AJ94" i="1"/>
  <c r="CX94" i="1" s="1"/>
  <c r="W94" i="1" s="1"/>
  <c r="CQ94" i="1"/>
  <c r="CR94" i="1"/>
  <c r="CS94" i="1"/>
  <c r="CU94" i="1"/>
  <c r="T94" i="1" s="1"/>
  <c r="CV94" i="1"/>
  <c r="U94" i="1" s="1"/>
  <c r="CW94" i="1"/>
  <c r="V94" i="1" s="1"/>
  <c r="GL94" i="1"/>
  <c r="GN94" i="1"/>
  <c r="GP94" i="1"/>
  <c r="GV94" i="1"/>
  <c r="HC94" i="1"/>
  <c r="GX94" i="1" s="1"/>
  <c r="C95" i="1"/>
  <c r="D95" i="1"/>
  <c r="I95" i="1"/>
  <c r="K95" i="1"/>
  <c r="R95" i="1"/>
  <c r="S95" i="1"/>
  <c r="X95" i="1" s="1"/>
  <c r="AC95" i="1"/>
  <c r="AE95" i="1"/>
  <c r="AD95" i="1" s="1"/>
  <c r="AF95" i="1"/>
  <c r="AG95" i="1"/>
  <c r="CU95" i="1" s="1"/>
  <c r="T95" i="1" s="1"/>
  <c r="AH95" i="1"/>
  <c r="AI95" i="1"/>
  <c r="AJ95" i="1"/>
  <c r="CR95" i="1"/>
  <c r="CS95" i="1"/>
  <c r="CT95" i="1"/>
  <c r="CV95" i="1"/>
  <c r="U95" i="1" s="1"/>
  <c r="CW95" i="1"/>
  <c r="V95" i="1" s="1"/>
  <c r="CX95" i="1"/>
  <c r="W95" i="1" s="1"/>
  <c r="GL95" i="1"/>
  <c r="GN95" i="1"/>
  <c r="GP95" i="1"/>
  <c r="GV95" i="1"/>
  <c r="HC95" i="1" s="1"/>
  <c r="GX95" i="1" s="1"/>
  <c r="I96" i="1"/>
  <c r="Q96" i="1" s="1"/>
  <c r="R96" i="1"/>
  <c r="S96" i="1"/>
  <c r="AC96" i="1"/>
  <c r="AE96" i="1"/>
  <c r="AD96" i="1" s="1"/>
  <c r="AF96" i="1"/>
  <c r="AG96" i="1"/>
  <c r="CU96" i="1" s="1"/>
  <c r="T96" i="1" s="1"/>
  <c r="AH96" i="1"/>
  <c r="AI96" i="1"/>
  <c r="AJ96" i="1"/>
  <c r="CR96" i="1"/>
  <c r="CS96" i="1"/>
  <c r="CT96" i="1"/>
  <c r="CV96" i="1"/>
  <c r="U96" i="1" s="1"/>
  <c r="CW96" i="1"/>
  <c r="V96" i="1" s="1"/>
  <c r="CX96" i="1"/>
  <c r="W96" i="1" s="1"/>
  <c r="GL96" i="1"/>
  <c r="GN96" i="1"/>
  <c r="GP96" i="1"/>
  <c r="GV96" i="1"/>
  <c r="HC96" i="1" s="1"/>
  <c r="GX96" i="1" s="1"/>
  <c r="I97" i="1"/>
  <c r="Q97" i="1" s="1"/>
  <c r="R97" i="1"/>
  <c r="S97" i="1"/>
  <c r="AC97" i="1"/>
  <c r="AE97" i="1"/>
  <c r="AD97" i="1" s="1"/>
  <c r="AF97" i="1"/>
  <c r="AG97" i="1"/>
  <c r="CU97" i="1" s="1"/>
  <c r="T97" i="1" s="1"/>
  <c r="AH97" i="1"/>
  <c r="AI97" i="1"/>
  <c r="AJ97" i="1"/>
  <c r="CR97" i="1"/>
  <c r="CS97" i="1"/>
  <c r="CT97" i="1"/>
  <c r="CV97" i="1"/>
  <c r="U97" i="1" s="1"/>
  <c r="CW97" i="1"/>
  <c r="V97" i="1" s="1"/>
  <c r="CX97" i="1"/>
  <c r="W97" i="1" s="1"/>
  <c r="GL97" i="1"/>
  <c r="GN97" i="1"/>
  <c r="GP97" i="1"/>
  <c r="GV97" i="1"/>
  <c r="HC97" i="1" s="1"/>
  <c r="GX97" i="1" s="1"/>
  <c r="I98" i="1"/>
  <c r="Q98" i="1" s="1"/>
  <c r="R98" i="1"/>
  <c r="S98" i="1"/>
  <c r="AC98" i="1"/>
  <c r="AE98" i="1"/>
  <c r="AD98" i="1" s="1"/>
  <c r="AF98" i="1"/>
  <c r="AG98" i="1"/>
  <c r="CU98" i="1" s="1"/>
  <c r="T98" i="1" s="1"/>
  <c r="AH98" i="1"/>
  <c r="AI98" i="1"/>
  <c r="AJ98" i="1"/>
  <c r="CR98" i="1"/>
  <c r="CS98" i="1"/>
  <c r="CT98" i="1"/>
  <c r="CV98" i="1"/>
  <c r="U98" i="1" s="1"/>
  <c r="CW98" i="1"/>
  <c r="V98" i="1" s="1"/>
  <c r="CX98" i="1"/>
  <c r="W98" i="1" s="1"/>
  <c r="GL98" i="1"/>
  <c r="GN98" i="1"/>
  <c r="GP98" i="1"/>
  <c r="GV98" i="1"/>
  <c r="HC98" i="1" s="1"/>
  <c r="GX98" i="1" s="1"/>
  <c r="I99" i="1"/>
  <c r="Q99" i="1" s="1"/>
  <c r="R99" i="1"/>
  <c r="S99" i="1"/>
  <c r="AC99" i="1"/>
  <c r="AE99" i="1"/>
  <c r="AD99" i="1" s="1"/>
  <c r="AF99" i="1"/>
  <c r="AG99" i="1"/>
  <c r="CU99" i="1" s="1"/>
  <c r="T99" i="1" s="1"/>
  <c r="AH99" i="1"/>
  <c r="AI99" i="1"/>
  <c r="AJ99" i="1"/>
  <c r="CR99" i="1"/>
  <c r="CS99" i="1"/>
  <c r="CT99" i="1"/>
  <c r="CV99" i="1"/>
  <c r="U99" i="1" s="1"/>
  <c r="CW99" i="1"/>
  <c r="V99" i="1" s="1"/>
  <c r="CX99" i="1"/>
  <c r="W99" i="1" s="1"/>
  <c r="GL99" i="1"/>
  <c r="GN99" i="1"/>
  <c r="GP99" i="1"/>
  <c r="GV99" i="1"/>
  <c r="HC99" i="1" s="1"/>
  <c r="GX99" i="1" s="1"/>
  <c r="C100" i="1"/>
  <c r="D100" i="1"/>
  <c r="I100" i="1"/>
  <c r="K100" i="1"/>
  <c r="P100" i="1"/>
  <c r="R100" i="1"/>
  <c r="S100" i="1"/>
  <c r="Y100" i="1" s="1"/>
  <c r="T100" i="1"/>
  <c r="X100" i="1"/>
  <c r="AC100" i="1"/>
  <c r="AD100" i="1"/>
  <c r="AE100" i="1"/>
  <c r="Q100" i="1" s="1"/>
  <c r="AF100" i="1"/>
  <c r="AG100" i="1"/>
  <c r="AH100" i="1"/>
  <c r="CV100" i="1" s="1"/>
  <c r="U100" i="1" s="1"/>
  <c r="AI100" i="1"/>
  <c r="AJ100" i="1"/>
  <c r="CQ100" i="1"/>
  <c r="CR100" i="1"/>
  <c r="CS100" i="1"/>
  <c r="CT100" i="1"/>
  <c r="CU100" i="1"/>
  <c r="CW100" i="1"/>
  <c r="V100" i="1" s="1"/>
  <c r="CX100" i="1"/>
  <c r="W100" i="1" s="1"/>
  <c r="CY100" i="1"/>
  <c r="GL100" i="1"/>
  <c r="GN100" i="1"/>
  <c r="GP100" i="1"/>
  <c r="GV100" i="1"/>
  <c r="HC100" i="1" s="1"/>
  <c r="GX100" i="1" s="1"/>
  <c r="C101" i="1"/>
  <c r="D101" i="1"/>
  <c r="I101" i="1"/>
  <c r="K101" i="1"/>
  <c r="U101" i="1"/>
  <c r="AC101" i="1"/>
  <c r="AE101" i="1"/>
  <c r="CR101" i="1" s="1"/>
  <c r="AF101" i="1"/>
  <c r="AG101" i="1"/>
  <c r="AH101" i="1"/>
  <c r="AI101" i="1"/>
  <c r="CW101" i="1" s="1"/>
  <c r="AJ101" i="1"/>
  <c r="CQ101" i="1"/>
  <c r="CT101" i="1"/>
  <c r="CU101" i="1"/>
  <c r="T101" i="1" s="1"/>
  <c r="CV101" i="1"/>
  <c r="CX101" i="1"/>
  <c r="GL101" i="1"/>
  <c r="GN101" i="1"/>
  <c r="GP101" i="1"/>
  <c r="GV101" i="1"/>
  <c r="HC101" i="1"/>
  <c r="GX101" i="1" s="1"/>
  <c r="I102" i="1"/>
  <c r="P102" i="1"/>
  <c r="Q102" i="1"/>
  <c r="S102" i="1"/>
  <c r="Y102" i="1"/>
  <c r="AC102" i="1"/>
  <c r="AB102" i="1" s="1"/>
  <c r="AD102" i="1"/>
  <c r="AE102" i="1"/>
  <c r="AF102" i="1"/>
  <c r="AG102" i="1"/>
  <c r="AH102" i="1"/>
  <c r="AI102" i="1"/>
  <c r="CW102" i="1" s="1"/>
  <c r="V102" i="1" s="1"/>
  <c r="AJ102" i="1"/>
  <c r="CQ102" i="1"/>
  <c r="CR102" i="1"/>
  <c r="CT102" i="1"/>
  <c r="CU102" i="1"/>
  <c r="T102" i="1" s="1"/>
  <c r="CV102" i="1"/>
  <c r="U102" i="1" s="1"/>
  <c r="CX102" i="1"/>
  <c r="W102" i="1" s="1"/>
  <c r="CY102" i="1"/>
  <c r="CZ102" i="1"/>
  <c r="GL102" i="1"/>
  <c r="GN102" i="1"/>
  <c r="GP102" i="1"/>
  <c r="GV102" i="1"/>
  <c r="GX102" i="1"/>
  <c r="HC102" i="1"/>
  <c r="AC103" i="1"/>
  <c r="AE103" i="1"/>
  <c r="CS103" i="1" s="1"/>
  <c r="AF103" i="1"/>
  <c r="AG103" i="1"/>
  <c r="AH103" i="1"/>
  <c r="AI103" i="1"/>
  <c r="CW103" i="1" s="1"/>
  <c r="AJ103" i="1"/>
  <c r="CQ103" i="1"/>
  <c r="CT103" i="1"/>
  <c r="CU103" i="1"/>
  <c r="CV103" i="1"/>
  <c r="CX103" i="1"/>
  <c r="GL103" i="1"/>
  <c r="GN103" i="1"/>
  <c r="GP103" i="1"/>
  <c r="GV103" i="1"/>
  <c r="HC103" i="1"/>
  <c r="I104" i="1"/>
  <c r="P104" i="1"/>
  <c r="S104" i="1"/>
  <c r="T104" i="1"/>
  <c r="Y104" i="1"/>
  <c r="AC104" i="1"/>
  <c r="AB104" i="1" s="1"/>
  <c r="AD104" i="1"/>
  <c r="AE104" i="1"/>
  <c r="AF104" i="1"/>
  <c r="AG104" i="1"/>
  <c r="AH104" i="1"/>
  <c r="AI104" i="1"/>
  <c r="CW104" i="1" s="1"/>
  <c r="V104" i="1" s="1"/>
  <c r="AJ104" i="1"/>
  <c r="CQ104" i="1"/>
  <c r="CR104" i="1"/>
  <c r="CT104" i="1"/>
  <c r="CU104" i="1"/>
  <c r="CV104" i="1"/>
  <c r="U104" i="1" s="1"/>
  <c r="CX104" i="1"/>
  <c r="W104" i="1" s="1"/>
  <c r="CY104" i="1"/>
  <c r="CZ104" i="1"/>
  <c r="GL104" i="1"/>
  <c r="GN104" i="1"/>
  <c r="GP104" i="1"/>
  <c r="GV104" i="1"/>
  <c r="GX104" i="1"/>
  <c r="HC104" i="1"/>
  <c r="AC105" i="1"/>
  <c r="AE105" i="1"/>
  <c r="CS105" i="1" s="1"/>
  <c r="AF105" i="1"/>
  <c r="AG105" i="1"/>
  <c r="AH105" i="1"/>
  <c r="AI105" i="1"/>
  <c r="CW105" i="1" s="1"/>
  <c r="AJ105" i="1"/>
  <c r="CQ105" i="1"/>
  <c r="CT105" i="1"/>
  <c r="CU105" i="1"/>
  <c r="CV105" i="1"/>
  <c r="CX105" i="1"/>
  <c r="GL105" i="1"/>
  <c r="GN105" i="1"/>
  <c r="GP105" i="1"/>
  <c r="GV105" i="1"/>
  <c r="HC105" i="1"/>
  <c r="C106" i="1"/>
  <c r="D106" i="1"/>
  <c r="I106" i="1"/>
  <c r="K106" i="1"/>
  <c r="Q106" i="1"/>
  <c r="AC106" i="1"/>
  <c r="AE106" i="1"/>
  <c r="AD106" i="1" s="1"/>
  <c r="AB106" i="1" s="1"/>
  <c r="AF106" i="1"/>
  <c r="AG106" i="1"/>
  <c r="AH106" i="1"/>
  <c r="AI106" i="1"/>
  <c r="CW106" i="1" s="1"/>
  <c r="V106" i="1" s="1"/>
  <c r="AJ106" i="1"/>
  <c r="CX106" i="1" s="1"/>
  <c r="W106" i="1" s="1"/>
  <c r="CQ106" i="1"/>
  <c r="CS106" i="1"/>
  <c r="CU106" i="1"/>
  <c r="T106" i="1" s="1"/>
  <c r="CV106" i="1"/>
  <c r="U106" i="1" s="1"/>
  <c r="GL106" i="1"/>
  <c r="GN106" i="1"/>
  <c r="GP106" i="1"/>
  <c r="GV106" i="1"/>
  <c r="HC106" i="1"/>
  <c r="GX106" i="1" s="1"/>
  <c r="C107" i="1"/>
  <c r="D107" i="1"/>
  <c r="I107" i="1"/>
  <c r="K107" i="1"/>
  <c r="R107" i="1"/>
  <c r="S107" i="1"/>
  <c r="AC107" i="1"/>
  <c r="AE107" i="1"/>
  <c r="AD107" i="1" s="1"/>
  <c r="AF107" i="1"/>
  <c r="AG107" i="1"/>
  <c r="CU107" i="1" s="1"/>
  <c r="T107" i="1" s="1"/>
  <c r="AH107" i="1"/>
  <c r="AI107" i="1"/>
  <c r="AJ107" i="1"/>
  <c r="CR107" i="1"/>
  <c r="CS107" i="1"/>
  <c r="CT107" i="1"/>
  <c r="CV107" i="1"/>
  <c r="U107" i="1" s="1"/>
  <c r="CW107" i="1"/>
  <c r="V107" i="1" s="1"/>
  <c r="CX107" i="1"/>
  <c r="W107" i="1" s="1"/>
  <c r="GL107" i="1"/>
  <c r="GN107" i="1"/>
  <c r="GP107" i="1"/>
  <c r="GV107" i="1"/>
  <c r="HC107" i="1" s="1"/>
  <c r="GX107" i="1" s="1"/>
  <c r="I108" i="1"/>
  <c r="Q108" i="1" s="1"/>
  <c r="AC108" i="1"/>
  <c r="AE108" i="1"/>
  <c r="AD108" i="1" s="1"/>
  <c r="AB108" i="1" s="1"/>
  <c r="AF108" i="1"/>
  <c r="S108" i="1" s="1"/>
  <c r="AG108" i="1"/>
  <c r="CU108" i="1" s="1"/>
  <c r="AH108" i="1"/>
  <c r="AI108" i="1"/>
  <c r="CW108" i="1" s="1"/>
  <c r="V108" i="1" s="1"/>
  <c r="AJ108" i="1"/>
  <c r="CR108" i="1"/>
  <c r="CS108" i="1"/>
  <c r="CT108" i="1"/>
  <c r="CV108" i="1"/>
  <c r="CX108" i="1"/>
  <c r="W108" i="1" s="1"/>
  <c r="GL108" i="1"/>
  <c r="GN108" i="1"/>
  <c r="GP108" i="1"/>
  <c r="GV108" i="1"/>
  <c r="HC108" i="1"/>
  <c r="GX108" i="1" s="1"/>
  <c r="I109" i="1"/>
  <c r="Q109" i="1" s="1"/>
  <c r="AC109" i="1"/>
  <c r="AE109" i="1"/>
  <c r="AD109" i="1" s="1"/>
  <c r="AB109" i="1" s="1"/>
  <c r="AF109" i="1"/>
  <c r="S109" i="1" s="1"/>
  <c r="AG109" i="1"/>
  <c r="CU109" i="1" s="1"/>
  <c r="AH109" i="1"/>
  <c r="AI109" i="1"/>
  <c r="CW109" i="1" s="1"/>
  <c r="V109" i="1" s="1"/>
  <c r="AJ109" i="1"/>
  <c r="CS109" i="1"/>
  <c r="CT109" i="1"/>
  <c r="CV109" i="1"/>
  <c r="U109" i="1" s="1"/>
  <c r="CX109" i="1"/>
  <c r="W109" i="1" s="1"/>
  <c r="GL109" i="1"/>
  <c r="GN109" i="1"/>
  <c r="GP109" i="1"/>
  <c r="GV109" i="1"/>
  <c r="GX109" i="1"/>
  <c r="HC109" i="1"/>
  <c r="I110" i="1"/>
  <c r="P110" i="1"/>
  <c r="AC110" i="1"/>
  <c r="AD110" i="1"/>
  <c r="AB110" i="1" s="1"/>
  <c r="AE110" i="1"/>
  <c r="Q110" i="1" s="1"/>
  <c r="AF110" i="1"/>
  <c r="S110" i="1" s="1"/>
  <c r="AG110" i="1"/>
  <c r="AH110" i="1"/>
  <c r="CV110" i="1" s="1"/>
  <c r="U110" i="1" s="1"/>
  <c r="AI110" i="1"/>
  <c r="CW110" i="1" s="1"/>
  <c r="V110" i="1" s="1"/>
  <c r="AJ110" i="1"/>
  <c r="CX110" i="1" s="1"/>
  <c r="W110" i="1" s="1"/>
  <c r="CQ110" i="1"/>
  <c r="CR110" i="1"/>
  <c r="CU110" i="1"/>
  <c r="T110" i="1" s="1"/>
  <c r="GL110" i="1"/>
  <c r="GN110" i="1"/>
  <c r="GP110" i="1"/>
  <c r="GV110" i="1"/>
  <c r="GX110" i="1"/>
  <c r="HC110" i="1"/>
  <c r="I111" i="1"/>
  <c r="P111" i="1"/>
  <c r="AC111" i="1"/>
  <c r="AD111" i="1"/>
  <c r="AB111" i="1" s="1"/>
  <c r="AE111" i="1"/>
  <c r="Q111" i="1" s="1"/>
  <c r="AF111" i="1"/>
  <c r="S111" i="1" s="1"/>
  <c r="AG111" i="1"/>
  <c r="AH111" i="1"/>
  <c r="CV111" i="1" s="1"/>
  <c r="U111" i="1" s="1"/>
  <c r="AI111" i="1"/>
  <c r="CW111" i="1" s="1"/>
  <c r="V111" i="1" s="1"/>
  <c r="AJ111" i="1"/>
  <c r="CX111" i="1" s="1"/>
  <c r="W111" i="1" s="1"/>
  <c r="CQ111" i="1"/>
  <c r="CR111" i="1"/>
  <c r="CU111" i="1"/>
  <c r="T111" i="1" s="1"/>
  <c r="GL111" i="1"/>
  <c r="GN111" i="1"/>
  <c r="GP111" i="1"/>
  <c r="GV111" i="1"/>
  <c r="GX111" i="1"/>
  <c r="HC111" i="1"/>
  <c r="AC112" i="1"/>
  <c r="P112" i="1" s="1"/>
  <c r="AE112" i="1"/>
  <c r="Q112" i="1" s="1"/>
  <c r="AF112" i="1"/>
  <c r="S112" i="1" s="1"/>
  <c r="AG112" i="1"/>
  <c r="CU112" i="1" s="1"/>
  <c r="T112" i="1" s="1"/>
  <c r="AH112" i="1"/>
  <c r="AI112" i="1"/>
  <c r="CW112" i="1" s="1"/>
  <c r="V112" i="1" s="1"/>
  <c r="AJ112" i="1"/>
  <c r="CX112" i="1" s="1"/>
  <c r="W112" i="1" s="1"/>
  <c r="CR112" i="1"/>
  <c r="CV112" i="1"/>
  <c r="U112" i="1" s="1"/>
  <c r="GL112" i="1"/>
  <c r="GO112" i="1"/>
  <c r="GP112" i="1"/>
  <c r="GV112" i="1"/>
  <c r="HC112" i="1"/>
  <c r="GX112" i="1" s="1"/>
  <c r="R113" i="1"/>
  <c r="AC113" i="1"/>
  <c r="P113" i="1" s="1"/>
  <c r="AD113" i="1"/>
  <c r="AE113" i="1"/>
  <c r="Q113" i="1" s="1"/>
  <c r="AF113" i="1"/>
  <c r="AB113" i="1" s="1"/>
  <c r="AG113" i="1"/>
  <c r="CU113" i="1" s="1"/>
  <c r="T113" i="1" s="1"/>
  <c r="AH113" i="1"/>
  <c r="CV113" i="1" s="1"/>
  <c r="U113" i="1" s="1"/>
  <c r="AI113" i="1"/>
  <c r="AJ113" i="1"/>
  <c r="CX113" i="1" s="1"/>
  <c r="W113" i="1" s="1"/>
  <c r="CR113" i="1"/>
  <c r="CS113" i="1"/>
  <c r="CW113" i="1"/>
  <c r="V113" i="1" s="1"/>
  <c r="GL113" i="1"/>
  <c r="GO113" i="1"/>
  <c r="GP113" i="1"/>
  <c r="GV113" i="1"/>
  <c r="HC113" i="1" s="1"/>
  <c r="GX113" i="1" s="1"/>
  <c r="S114" i="1"/>
  <c r="X114" i="1" s="1"/>
  <c r="AC114" i="1"/>
  <c r="P114" i="1" s="1"/>
  <c r="CP114" i="1" s="1"/>
  <c r="O114" i="1" s="1"/>
  <c r="AD114" i="1"/>
  <c r="AE114" i="1"/>
  <c r="Q114" i="1" s="1"/>
  <c r="AF114" i="1"/>
  <c r="AG114" i="1"/>
  <c r="CU114" i="1" s="1"/>
  <c r="T114" i="1" s="1"/>
  <c r="AH114" i="1"/>
  <c r="CV114" i="1" s="1"/>
  <c r="U114" i="1" s="1"/>
  <c r="AI114" i="1"/>
  <c r="CW114" i="1" s="1"/>
  <c r="V114" i="1" s="1"/>
  <c r="AJ114" i="1"/>
  <c r="CR114" i="1"/>
  <c r="CT114" i="1"/>
  <c r="CX114" i="1"/>
  <c r="W114" i="1" s="1"/>
  <c r="GL114" i="1"/>
  <c r="GN114" i="1"/>
  <c r="GP114" i="1"/>
  <c r="GV114" i="1"/>
  <c r="HC114" i="1" s="1"/>
  <c r="GX114" i="1" s="1"/>
  <c r="P115" i="1"/>
  <c r="AC115" i="1"/>
  <c r="AD115" i="1"/>
  <c r="AB115" i="1" s="1"/>
  <c r="AE115" i="1"/>
  <c r="Q115" i="1" s="1"/>
  <c r="AF115" i="1"/>
  <c r="S115" i="1" s="1"/>
  <c r="AG115" i="1"/>
  <c r="AH115" i="1"/>
  <c r="CV115" i="1" s="1"/>
  <c r="U115" i="1" s="1"/>
  <c r="AI115" i="1"/>
  <c r="CW115" i="1" s="1"/>
  <c r="V115" i="1" s="1"/>
  <c r="AJ115" i="1"/>
  <c r="CX115" i="1" s="1"/>
  <c r="W115" i="1" s="1"/>
  <c r="CQ115" i="1"/>
  <c r="CR115" i="1"/>
  <c r="CU115" i="1"/>
  <c r="T115" i="1" s="1"/>
  <c r="GL115" i="1"/>
  <c r="GN115" i="1"/>
  <c r="GP115" i="1"/>
  <c r="GV115" i="1"/>
  <c r="GX115" i="1"/>
  <c r="HC115" i="1"/>
  <c r="C116" i="1"/>
  <c r="D116" i="1"/>
  <c r="I116" i="1"/>
  <c r="R116" i="1" s="1"/>
  <c r="K116" i="1"/>
  <c r="AC116" i="1"/>
  <c r="P116" i="1" s="1"/>
  <c r="AE116" i="1"/>
  <c r="Q116" i="1" s="1"/>
  <c r="AF116" i="1"/>
  <c r="S116" i="1" s="1"/>
  <c r="AG116" i="1"/>
  <c r="CU116" i="1" s="1"/>
  <c r="T116" i="1" s="1"/>
  <c r="AH116" i="1"/>
  <c r="AI116" i="1"/>
  <c r="CW116" i="1" s="1"/>
  <c r="V116" i="1" s="1"/>
  <c r="AJ116" i="1"/>
  <c r="CX116" i="1" s="1"/>
  <c r="W116" i="1" s="1"/>
  <c r="CR116" i="1"/>
  <c r="CV116" i="1"/>
  <c r="U116" i="1" s="1"/>
  <c r="GL116" i="1"/>
  <c r="GN116" i="1"/>
  <c r="GP116" i="1"/>
  <c r="GV116" i="1"/>
  <c r="HC116" i="1"/>
  <c r="GX116" i="1" s="1"/>
  <c r="C117" i="1"/>
  <c r="D117" i="1"/>
  <c r="I117" i="1"/>
  <c r="K117" i="1"/>
  <c r="R117" i="1"/>
  <c r="AC117" i="1"/>
  <c r="P117" i="1" s="1"/>
  <c r="AD117" i="1"/>
  <c r="AE117" i="1"/>
  <c r="Q117" i="1" s="1"/>
  <c r="AF117" i="1"/>
  <c r="AB117" i="1" s="1"/>
  <c r="AG117" i="1"/>
  <c r="CU117" i="1" s="1"/>
  <c r="T117" i="1" s="1"/>
  <c r="AH117" i="1"/>
  <c r="CV117" i="1" s="1"/>
  <c r="U117" i="1" s="1"/>
  <c r="AI117" i="1"/>
  <c r="AJ117" i="1"/>
  <c r="CX117" i="1" s="1"/>
  <c r="W117" i="1" s="1"/>
  <c r="CR117" i="1"/>
  <c r="CS117" i="1"/>
  <c r="CW117" i="1"/>
  <c r="V117" i="1" s="1"/>
  <c r="GL117" i="1"/>
  <c r="GN117" i="1"/>
  <c r="GP117" i="1"/>
  <c r="GV117" i="1"/>
  <c r="HC117" i="1" s="1"/>
  <c r="GX117" i="1" s="1"/>
  <c r="I118" i="1"/>
  <c r="Q118" i="1" s="1"/>
  <c r="R118" i="1"/>
  <c r="AC118" i="1"/>
  <c r="P118" i="1" s="1"/>
  <c r="AD118" i="1"/>
  <c r="AE118" i="1"/>
  <c r="AF118" i="1"/>
  <c r="AB118" i="1" s="1"/>
  <c r="AG118" i="1"/>
  <c r="CU118" i="1" s="1"/>
  <c r="T118" i="1" s="1"/>
  <c r="AH118" i="1"/>
  <c r="CV118" i="1" s="1"/>
  <c r="U118" i="1" s="1"/>
  <c r="AI118" i="1"/>
  <c r="AJ118" i="1"/>
  <c r="CX118" i="1" s="1"/>
  <c r="W118" i="1" s="1"/>
  <c r="CR118" i="1"/>
  <c r="CS118" i="1"/>
  <c r="CW118" i="1"/>
  <c r="V118" i="1" s="1"/>
  <c r="GL118" i="1"/>
  <c r="GN118" i="1"/>
  <c r="GP118" i="1"/>
  <c r="GV118" i="1"/>
  <c r="HC118" i="1" s="1"/>
  <c r="GX118" i="1" s="1"/>
  <c r="I119" i="1"/>
  <c r="Q119" i="1" s="1"/>
  <c r="R119" i="1"/>
  <c r="AC119" i="1"/>
  <c r="P119" i="1" s="1"/>
  <c r="AD119" i="1"/>
  <c r="AE119" i="1"/>
  <c r="AF119" i="1"/>
  <c r="AB119" i="1" s="1"/>
  <c r="AG119" i="1"/>
  <c r="CU119" i="1" s="1"/>
  <c r="T119" i="1" s="1"/>
  <c r="AH119" i="1"/>
  <c r="CV119" i="1" s="1"/>
  <c r="U119" i="1" s="1"/>
  <c r="AI119" i="1"/>
  <c r="AJ119" i="1"/>
  <c r="CX119" i="1" s="1"/>
  <c r="W119" i="1" s="1"/>
  <c r="CR119" i="1"/>
  <c r="CS119" i="1"/>
  <c r="CW119" i="1"/>
  <c r="V119" i="1" s="1"/>
  <c r="GL119" i="1"/>
  <c r="GN119" i="1"/>
  <c r="GP119" i="1"/>
  <c r="GV119" i="1"/>
  <c r="HC119" i="1" s="1"/>
  <c r="GX119" i="1" s="1"/>
  <c r="C120" i="1"/>
  <c r="D120" i="1"/>
  <c r="I120" i="1"/>
  <c r="R120" i="1" s="1"/>
  <c r="K120" i="1"/>
  <c r="S120" i="1"/>
  <c r="X120" i="1" s="1"/>
  <c r="AC120" i="1"/>
  <c r="P120" i="1" s="1"/>
  <c r="AD120" i="1"/>
  <c r="AE120" i="1"/>
  <c r="Q120" i="1" s="1"/>
  <c r="AF120" i="1"/>
  <c r="AG120" i="1"/>
  <c r="CU120" i="1" s="1"/>
  <c r="T120" i="1" s="1"/>
  <c r="AH120" i="1"/>
  <c r="CV120" i="1" s="1"/>
  <c r="U120" i="1" s="1"/>
  <c r="AI120" i="1"/>
  <c r="CW120" i="1" s="1"/>
  <c r="V120" i="1" s="1"/>
  <c r="AJ120" i="1"/>
  <c r="CR120" i="1"/>
  <c r="CT120" i="1"/>
  <c r="CX120" i="1"/>
  <c r="W120" i="1" s="1"/>
  <c r="GL120" i="1"/>
  <c r="GN120" i="1"/>
  <c r="GP120" i="1"/>
  <c r="GV120" i="1"/>
  <c r="HC120" i="1" s="1"/>
  <c r="GX120" i="1" s="1"/>
  <c r="C121" i="1"/>
  <c r="D121" i="1"/>
  <c r="I121" i="1"/>
  <c r="R121" i="1" s="1"/>
  <c r="K121" i="1"/>
  <c r="P121" i="1"/>
  <c r="AC121" i="1"/>
  <c r="AD121" i="1"/>
  <c r="AB121" i="1" s="1"/>
  <c r="AE121" i="1"/>
  <c r="Q121" i="1" s="1"/>
  <c r="AF121" i="1"/>
  <c r="S121" i="1" s="1"/>
  <c r="AG121" i="1"/>
  <c r="AH121" i="1"/>
  <c r="CV121" i="1" s="1"/>
  <c r="U121" i="1" s="1"/>
  <c r="AI121" i="1"/>
  <c r="CW121" i="1" s="1"/>
  <c r="V121" i="1" s="1"/>
  <c r="AJ121" i="1"/>
  <c r="CX121" i="1" s="1"/>
  <c r="W121" i="1" s="1"/>
  <c r="CQ121" i="1"/>
  <c r="CR121" i="1"/>
  <c r="CU121" i="1"/>
  <c r="T121" i="1" s="1"/>
  <c r="GL121" i="1"/>
  <c r="GN121" i="1"/>
  <c r="GP121" i="1"/>
  <c r="GV121" i="1"/>
  <c r="GX121" i="1"/>
  <c r="HC121" i="1"/>
  <c r="I122" i="1"/>
  <c r="P122" i="1"/>
  <c r="AC122" i="1"/>
  <c r="AD122" i="1"/>
  <c r="AB122" i="1" s="1"/>
  <c r="AE122" i="1"/>
  <c r="Q122" i="1" s="1"/>
  <c r="AF122" i="1"/>
  <c r="S122" i="1" s="1"/>
  <c r="AG122" i="1"/>
  <c r="AH122" i="1"/>
  <c r="CV122" i="1" s="1"/>
  <c r="U122" i="1" s="1"/>
  <c r="AI122" i="1"/>
  <c r="CW122" i="1" s="1"/>
  <c r="V122" i="1" s="1"/>
  <c r="AJ122" i="1"/>
  <c r="CX122" i="1" s="1"/>
  <c r="W122" i="1" s="1"/>
  <c r="CQ122" i="1"/>
  <c r="CR122" i="1"/>
  <c r="CU122" i="1"/>
  <c r="T122" i="1" s="1"/>
  <c r="GL122" i="1"/>
  <c r="GN122" i="1"/>
  <c r="GP122" i="1"/>
  <c r="GV122" i="1"/>
  <c r="GX122" i="1"/>
  <c r="HC122" i="1"/>
  <c r="I123" i="1"/>
  <c r="P123" i="1"/>
  <c r="AC123" i="1"/>
  <c r="AD123" i="1"/>
  <c r="AB123" i="1" s="1"/>
  <c r="AE123" i="1"/>
  <c r="Q123" i="1" s="1"/>
  <c r="AF123" i="1"/>
  <c r="S123" i="1" s="1"/>
  <c r="AG123" i="1"/>
  <c r="AH123" i="1"/>
  <c r="CV123" i="1" s="1"/>
  <c r="U123" i="1" s="1"/>
  <c r="AI123" i="1"/>
  <c r="CW123" i="1" s="1"/>
  <c r="V123" i="1" s="1"/>
  <c r="AJ123" i="1"/>
  <c r="CX123" i="1" s="1"/>
  <c r="W123" i="1" s="1"/>
  <c r="CQ123" i="1"/>
  <c r="CR123" i="1"/>
  <c r="CU123" i="1"/>
  <c r="T123" i="1" s="1"/>
  <c r="GL123" i="1"/>
  <c r="GN123" i="1"/>
  <c r="GP123" i="1"/>
  <c r="GV123" i="1"/>
  <c r="GX123" i="1"/>
  <c r="HC123" i="1"/>
  <c r="I124" i="1"/>
  <c r="P124" i="1"/>
  <c r="AC124" i="1"/>
  <c r="AD124" i="1"/>
  <c r="AB124" i="1" s="1"/>
  <c r="AE124" i="1"/>
  <c r="Q124" i="1" s="1"/>
  <c r="AF124" i="1"/>
  <c r="S124" i="1" s="1"/>
  <c r="AG124" i="1"/>
  <c r="AH124" i="1"/>
  <c r="CV124" i="1" s="1"/>
  <c r="U124" i="1" s="1"/>
  <c r="AI124" i="1"/>
  <c r="CW124" i="1" s="1"/>
  <c r="V124" i="1" s="1"/>
  <c r="AJ124" i="1"/>
  <c r="CX124" i="1" s="1"/>
  <c r="W124" i="1" s="1"/>
  <c r="CQ124" i="1"/>
  <c r="CR124" i="1"/>
  <c r="CU124" i="1"/>
  <c r="T124" i="1" s="1"/>
  <c r="GL124" i="1"/>
  <c r="GN124" i="1"/>
  <c r="GP124" i="1"/>
  <c r="GV124" i="1"/>
  <c r="GX124" i="1"/>
  <c r="HC124" i="1"/>
  <c r="I125" i="1"/>
  <c r="P125" i="1"/>
  <c r="AC125" i="1"/>
  <c r="AD125" i="1"/>
  <c r="AB125" i="1" s="1"/>
  <c r="AE125" i="1"/>
  <c r="Q125" i="1" s="1"/>
  <c r="AF125" i="1"/>
  <c r="S125" i="1" s="1"/>
  <c r="AG125" i="1"/>
  <c r="AH125" i="1"/>
  <c r="CV125" i="1" s="1"/>
  <c r="U125" i="1" s="1"/>
  <c r="AI125" i="1"/>
  <c r="CW125" i="1" s="1"/>
  <c r="V125" i="1" s="1"/>
  <c r="AJ125" i="1"/>
  <c r="CX125" i="1" s="1"/>
  <c r="W125" i="1" s="1"/>
  <c r="CQ125" i="1"/>
  <c r="CR125" i="1"/>
  <c r="CU125" i="1"/>
  <c r="T125" i="1" s="1"/>
  <c r="GL125" i="1"/>
  <c r="GN125" i="1"/>
  <c r="GP125" i="1"/>
  <c r="GV125" i="1"/>
  <c r="GX125" i="1"/>
  <c r="HC125" i="1"/>
  <c r="C126" i="1"/>
  <c r="D126" i="1"/>
  <c r="I126" i="1"/>
  <c r="R126" i="1" s="1"/>
  <c r="K126" i="1"/>
  <c r="AC126" i="1"/>
  <c r="P126" i="1" s="1"/>
  <c r="AE126" i="1"/>
  <c r="Q126" i="1" s="1"/>
  <c r="AF126" i="1"/>
  <c r="S126" i="1" s="1"/>
  <c r="AG126" i="1"/>
  <c r="CU126" i="1" s="1"/>
  <c r="T126" i="1" s="1"/>
  <c r="AH126" i="1"/>
  <c r="AI126" i="1"/>
  <c r="CW126" i="1" s="1"/>
  <c r="V126" i="1" s="1"/>
  <c r="AJ126" i="1"/>
  <c r="CX126" i="1" s="1"/>
  <c r="W126" i="1" s="1"/>
  <c r="CR126" i="1"/>
  <c r="CV126" i="1"/>
  <c r="U126" i="1" s="1"/>
  <c r="GL126" i="1"/>
  <c r="GN126" i="1"/>
  <c r="GP126" i="1"/>
  <c r="GV126" i="1"/>
  <c r="HC126" i="1"/>
  <c r="GX126" i="1" s="1"/>
  <c r="C127" i="1"/>
  <c r="D127" i="1"/>
  <c r="I127" i="1"/>
  <c r="K127" i="1"/>
  <c r="R127" i="1"/>
  <c r="AC127" i="1"/>
  <c r="P127" i="1" s="1"/>
  <c r="AD127" i="1"/>
  <c r="AE127" i="1"/>
  <c r="Q127" i="1" s="1"/>
  <c r="AF127" i="1"/>
  <c r="AB127" i="1" s="1"/>
  <c r="AG127" i="1"/>
  <c r="CU127" i="1" s="1"/>
  <c r="T127" i="1" s="1"/>
  <c r="AH127" i="1"/>
  <c r="CV127" i="1" s="1"/>
  <c r="U127" i="1" s="1"/>
  <c r="AI127" i="1"/>
  <c r="AJ127" i="1"/>
  <c r="CX127" i="1" s="1"/>
  <c r="W127" i="1" s="1"/>
  <c r="CR127" i="1"/>
  <c r="CS127" i="1"/>
  <c r="CW127" i="1"/>
  <c r="V127" i="1" s="1"/>
  <c r="GL127" i="1"/>
  <c r="GN127" i="1"/>
  <c r="GP127" i="1"/>
  <c r="GV127" i="1"/>
  <c r="HC127" i="1" s="1"/>
  <c r="GX127" i="1" s="1"/>
  <c r="I128" i="1"/>
  <c r="Q128" i="1" s="1"/>
  <c r="R128" i="1"/>
  <c r="AC128" i="1"/>
  <c r="P128" i="1" s="1"/>
  <c r="AD128" i="1"/>
  <c r="AE128" i="1"/>
  <c r="AF128" i="1"/>
  <c r="AB128" i="1" s="1"/>
  <c r="AG128" i="1"/>
  <c r="CU128" i="1" s="1"/>
  <c r="T128" i="1" s="1"/>
  <c r="AH128" i="1"/>
  <c r="CV128" i="1" s="1"/>
  <c r="U128" i="1" s="1"/>
  <c r="AI128" i="1"/>
  <c r="AJ128" i="1"/>
  <c r="CX128" i="1" s="1"/>
  <c r="W128" i="1" s="1"/>
  <c r="CR128" i="1"/>
  <c r="CS128" i="1"/>
  <c r="CW128" i="1"/>
  <c r="V128" i="1" s="1"/>
  <c r="GL128" i="1"/>
  <c r="GN128" i="1"/>
  <c r="GP128" i="1"/>
  <c r="GV128" i="1"/>
  <c r="HC128" i="1" s="1"/>
  <c r="GX128" i="1" s="1"/>
  <c r="I129" i="1"/>
  <c r="Q129" i="1" s="1"/>
  <c r="R129" i="1"/>
  <c r="AC129" i="1"/>
  <c r="P129" i="1" s="1"/>
  <c r="AD129" i="1"/>
  <c r="AE129" i="1"/>
  <c r="AF129" i="1"/>
  <c r="AB129" i="1" s="1"/>
  <c r="AG129" i="1"/>
  <c r="AH129" i="1"/>
  <c r="CV129" i="1" s="1"/>
  <c r="U129" i="1" s="1"/>
  <c r="AI129" i="1"/>
  <c r="AJ129" i="1"/>
  <c r="CX129" i="1" s="1"/>
  <c r="W129" i="1" s="1"/>
  <c r="CQ129" i="1"/>
  <c r="CR129" i="1"/>
  <c r="CS129" i="1"/>
  <c r="CU129" i="1"/>
  <c r="T129" i="1" s="1"/>
  <c r="CW129" i="1"/>
  <c r="V129" i="1" s="1"/>
  <c r="GL129" i="1"/>
  <c r="GN129" i="1"/>
  <c r="GP129" i="1"/>
  <c r="GV129" i="1"/>
  <c r="HC129" i="1" s="1"/>
  <c r="GX129" i="1" s="1"/>
  <c r="I130" i="1"/>
  <c r="Q130" i="1" s="1"/>
  <c r="R130" i="1"/>
  <c r="AC130" i="1"/>
  <c r="P130" i="1" s="1"/>
  <c r="AD130" i="1"/>
  <c r="AE130" i="1"/>
  <c r="AF130" i="1"/>
  <c r="AB130" i="1" s="1"/>
  <c r="AG130" i="1"/>
  <c r="AH130" i="1"/>
  <c r="CV130" i="1" s="1"/>
  <c r="U130" i="1" s="1"/>
  <c r="AI130" i="1"/>
  <c r="AJ130" i="1"/>
  <c r="CX130" i="1" s="1"/>
  <c r="W130" i="1" s="1"/>
  <c r="CQ130" i="1"/>
  <c r="CR130" i="1"/>
  <c r="CS130" i="1"/>
  <c r="CU130" i="1"/>
  <c r="T130" i="1" s="1"/>
  <c r="CW130" i="1"/>
  <c r="V130" i="1" s="1"/>
  <c r="GL130" i="1"/>
  <c r="GN130" i="1"/>
  <c r="GP130" i="1"/>
  <c r="GV130" i="1"/>
  <c r="HC130" i="1" s="1"/>
  <c r="GX130" i="1" s="1"/>
  <c r="I131" i="1"/>
  <c r="P131" i="1" s="1"/>
  <c r="R131" i="1"/>
  <c r="AC131" i="1"/>
  <c r="AD131" i="1"/>
  <c r="AE131" i="1"/>
  <c r="AF131" i="1"/>
  <c r="AB131" i="1" s="1"/>
  <c r="AG131" i="1"/>
  <c r="AH131" i="1"/>
  <c r="CV131" i="1" s="1"/>
  <c r="U131" i="1" s="1"/>
  <c r="AI131" i="1"/>
  <c r="AJ131" i="1"/>
  <c r="CX131" i="1" s="1"/>
  <c r="W131" i="1" s="1"/>
  <c r="CQ131" i="1"/>
  <c r="CR131" i="1"/>
  <c r="CS131" i="1"/>
  <c r="CU131" i="1"/>
  <c r="T131" i="1" s="1"/>
  <c r="CW131" i="1"/>
  <c r="V131" i="1" s="1"/>
  <c r="GL131" i="1"/>
  <c r="GN131" i="1"/>
  <c r="GP131" i="1"/>
  <c r="GV131" i="1"/>
  <c r="HC131" i="1" s="1"/>
  <c r="GX131" i="1" s="1"/>
  <c r="S132" i="1"/>
  <c r="X132" i="1" s="1"/>
  <c r="AC132" i="1"/>
  <c r="P132" i="1" s="1"/>
  <c r="AE132" i="1"/>
  <c r="AD132" i="1" s="1"/>
  <c r="AF132" i="1"/>
  <c r="AG132" i="1"/>
  <c r="CU132" i="1" s="1"/>
  <c r="T132" i="1" s="1"/>
  <c r="AH132" i="1"/>
  <c r="AI132" i="1"/>
  <c r="CW132" i="1" s="1"/>
  <c r="V132" i="1" s="1"/>
  <c r="AJ132" i="1"/>
  <c r="CR132" i="1"/>
  <c r="CT132" i="1"/>
  <c r="CV132" i="1"/>
  <c r="U132" i="1" s="1"/>
  <c r="CX132" i="1"/>
  <c r="W132" i="1" s="1"/>
  <c r="GL132" i="1"/>
  <c r="GO132" i="1"/>
  <c r="GP132" i="1"/>
  <c r="GV132" i="1"/>
  <c r="HC132" i="1" s="1"/>
  <c r="GX132" i="1" s="1"/>
  <c r="P133" i="1"/>
  <c r="R133" i="1"/>
  <c r="AC133" i="1"/>
  <c r="AD133" i="1"/>
  <c r="AB133" i="1" s="1"/>
  <c r="AE133" i="1"/>
  <c r="Q133" i="1" s="1"/>
  <c r="AF133" i="1"/>
  <c r="S133" i="1" s="1"/>
  <c r="AG133" i="1"/>
  <c r="AH133" i="1"/>
  <c r="CV133" i="1" s="1"/>
  <c r="U133" i="1" s="1"/>
  <c r="AI133" i="1"/>
  <c r="AJ133" i="1"/>
  <c r="CX133" i="1" s="1"/>
  <c r="W133" i="1" s="1"/>
  <c r="CQ133" i="1"/>
  <c r="CR133" i="1"/>
  <c r="CS133" i="1"/>
  <c r="CU133" i="1"/>
  <c r="T133" i="1" s="1"/>
  <c r="CW133" i="1"/>
  <c r="V133" i="1" s="1"/>
  <c r="GL133" i="1"/>
  <c r="GO133" i="1"/>
  <c r="GP133" i="1"/>
  <c r="GV133" i="1"/>
  <c r="GX133" i="1"/>
  <c r="HC133" i="1"/>
  <c r="S134" i="1"/>
  <c r="X134" i="1" s="1"/>
  <c r="AC134" i="1"/>
  <c r="AE134" i="1"/>
  <c r="Q134" i="1" s="1"/>
  <c r="AF134" i="1"/>
  <c r="AG134" i="1"/>
  <c r="CU134" i="1" s="1"/>
  <c r="T134" i="1" s="1"/>
  <c r="AH134" i="1"/>
  <c r="AI134" i="1"/>
  <c r="CW134" i="1" s="1"/>
  <c r="V134" i="1" s="1"/>
  <c r="AJ134" i="1"/>
  <c r="CR134" i="1"/>
  <c r="CT134" i="1"/>
  <c r="CV134" i="1"/>
  <c r="U134" i="1" s="1"/>
  <c r="CX134" i="1"/>
  <c r="W134" i="1" s="1"/>
  <c r="CZ134" i="1"/>
  <c r="GL134" i="1"/>
  <c r="GO134" i="1"/>
  <c r="GP134" i="1"/>
  <c r="GV134" i="1"/>
  <c r="HC134" i="1"/>
  <c r="GX134" i="1" s="1"/>
  <c r="P135" i="1"/>
  <c r="R135" i="1"/>
  <c r="AC135" i="1"/>
  <c r="AD135" i="1"/>
  <c r="AE135" i="1"/>
  <c r="Q135" i="1" s="1"/>
  <c r="AF135" i="1"/>
  <c r="AB135" i="1" s="1"/>
  <c r="AG135" i="1"/>
  <c r="AH135" i="1"/>
  <c r="CV135" i="1" s="1"/>
  <c r="U135" i="1" s="1"/>
  <c r="AI135" i="1"/>
  <c r="AJ135" i="1"/>
  <c r="CX135" i="1" s="1"/>
  <c r="W135" i="1" s="1"/>
  <c r="CQ135" i="1"/>
  <c r="CR135" i="1"/>
  <c r="CS135" i="1"/>
  <c r="CU135" i="1"/>
  <c r="T135" i="1" s="1"/>
  <c r="CW135" i="1"/>
  <c r="V135" i="1" s="1"/>
  <c r="GL135" i="1"/>
  <c r="GO135" i="1"/>
  <c r="GP135" i="1"/>
  <c r="GV135" i="1"/>
  <c r="HC135" i="1" s="1"/>
  <c r="GX135" i="1" s="1"/>
  <c r="S136" i="1"/>
  <c r="X136" i="1" s="1"/>
  <c r="AC136" i="1"/>
  <c r="P136" i="1" s="1"/>
  <c r="AE136" i="1"/>
  <c r="AD136" i="1" s="1"/>
  <c r="AF136" i="1"/>
  <c r="AG136" i="1"/>
  <c r="CU136" i="1" s="1"/>
  <c r="T136" i="1" s="1"/>
  <c r="AH136" i="1"/>
  <c r="AI136" i="1"/>
  <c r="CW136" i="1" s="1"/>
  <c r="V136" i="1" s="1"/>
  <c r="AJ136" i="1"/>
  <c r="CR136" i="1"/>
  <c r="CT136" i="1"/>
  <c r="CV136" i="1"/>
  <c r="U136" i="1" s="1"/>
  <c r="CX136" i="1"/>
  <c r="W136" i="1" s="1"/>
  <c r="GL136" i="1"/>
  <c r="GO136" i="1"/>
  <c r="GP136" i="1"/>
  <c r="GV136" i="1"/>
  <c r="HC136" i="1" s="1"/>
  <c r="GX136" i="1" s="1"/>
  <c r="P137" i="1"/>
  <c r="R137" i="1"/>
  <c r="AC137" i="1"/>
  <c r="AD137" i="1"/>
  <c r="AB137" i="1" s="1"/>
  <c r="AE137" i="1"/>
  <c r="Q137" i="1" s="1"/>
  <c r="AF137" i="1"/>
  <c r="S137" i="1" s="1"/>
  <c r="AG137" i="1"/>
  <c r="AH137" i="1"/>
  <c r="CV137" i="1" s="1"/>
  <c r="U137" i="1" s="1"/>
  <c r="AI137" i="1"/>
  <c r="AJ137" i="1"/>
  <c r="CX137" i="1" s="1"/>
  <c r="W137" i="1" s="1"/>
  <c r="CQ137" i="1"/>
  <c r="CR137" i="1"/>
  <c r="CS137" i="1"/>
  <c r="CU137" i="1"/>
  <c r="T137" i="1" s="1"/>
  <c r="CW137" i="1"/>
  <c r="V137" i="1" s="1"/>
  <c r="GL137" i="1"/>
  <c r="GO137" i="1"/>
  <c r="GP137" i="1"/>
  <c r="GV137" i="1"/>
  <c r="GX137" i="1"/>
  <c r="HC137" i="1"/>
  <c r="S138" i="1"/>
  <c r="X138" i="1" s="1"/>
  <c r="AC138" i="1"/>
  <c r="AE138" i="1"/>
  <c r="Q138" i="1" s="1"/>
  <c r="AF138" i="1"/>
  <c r="AG138" i="1"/>
  <c r="CU138" i="1" s="1"/>
  <c r="T138" i="1" s="1"/>
  <c r="AH138" i="1"/>
  <c r="AI138" i="1"/>
  <c r="CW138" i="1" s="1"/>
  <c r="V138" i="1" s="1"/>
  <c r="AJ138" i="1"/>
  <c r="CR138" i="1"/>
  <c r="CT138" i="1"/>
  <c r="CV138" i="1"/>
  <c r="U138" i="1" s="1"/>
  <c r="CX138" i="1"/>
  <c r="W138" i="1" s="1"/>
  <c r="CZ138" i="1"/>
  <c r="GL138" i="1"/>
  <c r="GO138" i="1"/>
  <c r="GP138" i="1"/>
  <c r="GV138" i="1"/>
  <c r="HC138" i="1"/>
  <c r="GX138" i="1" s="1"/>
  <c r="P139" i="1"/>
  <c r="R139" i="1"/>
  <c r="AC139" i="1"/>
  <c r="AD139" i="1"/>
  <c r="AE139" i="1"/>
  <c r="Q139" i="1" s="1"/>
  <c r="AF139" i="1"/>
  <c r="AB139" i="1" s="1"/>
  <c r="AG139" i="1"/>
  <c r="AH139" i="1"/>
  <c r="CV139" i="1" s="1"/>
  <c r="U139" i="1" s="1"/>
  <c r="AI139" i="1"/>
  <c r="AJ139" i="1"/>
  <c r="CX139" i="1" s="1"/>
  <c r="W139" i="1" s="1"/>
  <c r="CQ139" i="1"/>
  <c r="CR139" i="1"/>
  <c r="CS139" i="1"/>
  <c r="CU139" i="1"/>
  <c r="T139" i="1" s="1"/>
  <c r="CW139" i="1"/>
  <c r="V139" i="1" s="1"/>
  <c r="GL139" i="1"/>
  <c r="GO139" i="1"/>
  <c r="GP139" i="1"/>
  <c r="GV139" i="1"/>
  <c r="HC139" i="1" s="1"/>
  <c r="GX139" i="1" s="1"/>
  <c r="C140" i="1"/>
  <c r="D140" i="1"/>
  <c r="I140" i="1"/>
  <c r="R140" i="1" s="1"/>
  <c r="K140" i="1"/>
  <c r="S140" i="1"/>
  <c r="X140" i="1" s="1"/>
  <c r="AC140" i="1"/>
  <c r="P140" i="1" s="1"/>
  <c r="AE140" i="1"/>
  <c r="AD140" i="1" s="1"/>
  <c r="AF140" i="1"/>
  <c r="AG140" i="1"/>
  <c r="CU140" i="1" s="1"/>
  <c r="T140" i="1" s="1"/>
  <c r="AH140" i="1"/>
  <c r="AI140" i="1"/>
  <c r="CW140" i="1" s="1"/>
  <c r="V140" i="1" s="1"/>
  <c r="AJ140" i="1"/>
  <c r="CR140" i="1"/>
  <c r="CT140" i="1"/>
  <c r="CV140" i="1"/>
  <c r="U140" i="1" s="1"/>
  <c r="CX140" i="1"/>
  <c r="W140" i="1" s="1"/>
  <c r="GL140" i="1"/>
  <c r="GO140" i="1"/>
  <c r="GP140" i="1"/>
  <c r="GV140" i="1"/>
  <c r="HC140" i="1" s="1"/>
  <c r="GX140" i="1" s="1"/>
  <c r="C141" i="1"/>
  <c r="D141" i="1"/>
  <c r="I141" i="1"/>
  <c r="K141" i="1"/>
  <c r="P141" i="1"/>
  <c r="R141" i="1"/>
  <c r="AC141" i="1"/>
  <c r="AD141" i="1"/>
  <c r="AB141" i="1" s="1"/>
  <c r="AE141" i="1"/>
  <c r="Q141" i="1" s="1"/>
  <c r="AF141" i="1"/>
  <c r="S141" i="1" s="1"/>
  <c r="AG141" i="1"/>
  <c r="AH141" i="1"/>
  <c r="CV141" i="1" s="1"/>
  <c r="U141" i="1" s="1"/>
  <c r="AI141" i="1"/>
  <c r="AJ141" i="1"/>
  <c r="CX141" i="1" s="1"/>
  <c r="W141" i="1" s="1"/>
  <c r="CQ141" i="1"/>
  <c r="CR141" i="1"/>
  <c r="CS141" i="1"/>
  <c r="CU141" i="1"/>
  <c r="T141" i="1" s="1"/>
  <c r="CW141" i="1"/>
  <c r="V141" i="1" s="1"/>
  <c r="GL141" i="1"/>
  <c r="GO141" i="1"/>
  <c r="GP141" i="1"/>
  <c r="GV141" i="1"/>
  <c r="GX141" i="1"/>
  <c r="HC141" i="1"/>
  <c r="I142" i="1"/>
  <c r="Q142" i="1" s="1"/>
  <c r="P142" i="1"/>
  <c r="R142" i="1"/>
  <c r="AC142" i="1"/>
  <c r="AD142" i="1"/>
  <c r="AB142" i="1" s="1"/>
  <c r="AE142" i="1"/>
  <c r="AF142" i="1"/>
  <c r="S142" i="1" s="1"/>
  <c r="AG142" i="1"/>
  <c r="AH142" i="1"/>
  <c r="CV142" i="1" s="1"/>
  <c r="U142" i="1" s="1"/>
  <c r="AI142" i="1"/>
  <c r="AJ142" i="1"/>
  <c r="CX142" i="1" s="1"/>
  <c r="W142" i="1" s="1"/>
  <c r="CQ142" i="1"/>
  <c r="CR142" i="1"/>
  <c r="CS142" i="1"/>
  <c r="CU142" i="1"/>
  <c r="T142" i="1" s="1"/>
  <c r="CW142" i="1"/>
  <c r="V142" i="1" s="1"/>
  <c r="GL142" i="1"/>
  <c r="GO142" i="1"/>
  <c r="GP142" i="1"/>
  <c r="GV142" i="1"/>
  <c r="GX142" i="1"/>
  <c r="HC142" i="1"/>
  <c r="I143" i="1"/>
  <c r="Q143" i="1" s="1"/>
  <c r="P143" i="1"/>
  <c r="R143" i="1"/>
  <c r="AC143" i="1"/>
  <c r="AD143" i="1"/>
  <c r="AB143" i="1" s="1"/>
  <c r="AE143" i="1"/>
  <c r="AF143" i="1"/>
  <c r="S143" i="1" s="1"/>
  <c r="AG143" i="1"/>
  <c r="AH143" i="1"/>
  <c r="CV143" i="1" s="1"/>
  <c r="U143" i="1" s="1"/>
  <c r="AI143" i="1"/>
  <c r="AJ143" i="1"/>
  <c r="CX143" i="1" s="1"/>
  <c r="W143" i="1" s="1"/>
  <c r="CQ143" i="1"/>
  <c r="CR143" i="1"/>
  <c r="CS143" i="1"/>
  <c r="CU143" i="1"/>
  <c r="T143" i="1" s="1"/>
  <c r="CW143" i="1"/>
  <c r="V143" i="1" s="1"/>
  <c r="GL143" i="1"/>
  <c r="GO143" i="1"/>
  <c r="GP143" i="1"/>
  <c r="GV143" i="1"/>
  <c r="GX143" i="1"/>
  <c r="HC143" i="1"/>
  <c r="I144" i="1"/>
  <c r="Q144" i="1" s="1"/>
  <c r="P144" i="1"/>
  <c r="R144" i="1"/>
  <c r="AC144" i="1"/>
  <c r="AD144" i="1"/>
  <c r="AB144" i="1" s="1"/>
  <c r="AE144" i="1"/>
  <c r="AF144" i="1"/>
  <c r="S144" i="1" s="1"/>
  <c r="AG144" i="1"/>
  <c r="AH144" i="1"/>
  <c r="CV144" i="1" s="1"/>
  <c r="U144" i="1" s="1"/>
  <c r="AI144" i="1"/>
  <c r="AJ144" i="1"/>
  <c r="CX144" i="1" s="1"/>
  <c r="W144" i="1" s="1"/>
  <c r="CQ144" i="1"/>
  <c r="CR144" i="1"/>
  <c r="CS144" i="1"/>
  <c r="CU144" i="1"/>
  <c r="T144" i="1" s="1"/>
  <c r="CW144" i="1"/>
  <c r="V144" i="1" s="1"/>
  <c r="GL144" i="1"/>
  <c r="GO144" i="1"/>
  <c r="GP144" i="1"/>
  <c r="GV144" i="1"/>
  <c r="GX144" i="1"/>
  <c r="HC144" i="1"/>
  <c r="I145" i="1"/>
  <c r="Q145" i="1" s="1"/>
  <c r="P145" i="1"/>
  <c r="R145" i="1"/>
  <c r="AC145" i="1"/>
  <c r="AD145" i="1"/>
  <c r="AB145" i="1" s="1"/>
  <c r="AE145" i="1"/>
  <c r="AF145" i="1"/>
  <c r="S145" i="1" s="1"/>
  <c r="AG145" i="1"/>
  <c r="AH145" i="1"/>
  <c r="CV145" i="1" s="1"/>
  <c r="U145" i="1" s="1"/>
  <c r="AI145" i="1"/>
  <c r="AJ145" i="1"/>
  <c r="CX145" i="1" s="1"/>
  <c r="W145" i="1" s="1"/>
  <c r="CQ145" i="1"/>
  <c r="CR145" i="1"/>
  <c r="CS145" i="1"/>
  <c r="CU145" i="1"/>
  <c r="T145" i="1" s="1"/>
  <c r="CW145" i="1"/>
  <c r="V145" i="1" s="1"/>
  <c r="GL145" i="1"/>
  <c r="GO145" i="1"/>
  <c r="GP145" i="1"/>
  <c r="GV145" i="1"/>
  <c r="GX145" i="1"/>
  <c r="HC145" i="1"/>
  <c r="C146" i="1"/>
  <c r="D146" i="1"/>
  <c r="I146" i="1"/>
  <c r="R146" i="1" s="1"/>
  <c r="K146" i="1"/>
  <c r="U146" i="1"/>
  <c r="AC146" i="1"/>
  <c r="AE146" i="1"/>
  <c r="CR146" i="1" s="1"/>
  <c r="AF146" i="1"/>
  <c r="AG146" i="1"/>
  <c r="CU146" i="1" s="1"/>
  <c r="T146" i="1" s="1"/>
  <c r="AH146" i="1"/>
  <c r="AI146" i="1"/>
  <c r="CW146" i="1" s="1"/>
  <c r="V146" i="1" s="1"/>
  <c r="AJ146" i="1"/>
  <c r="CT146" i="1"/>
  <c r="CV146" i="1"/>
  <c r="CX146" i="1"/>
  <c r="W146" i="1" s="1"/>
  <c r="GL146" i="1"/>
  <c r="GO146" i="1"/>
  <c r="GP146" i="1"/>
  <c r="GV146" i="1"/>
  <c r="HC146" i="1"/>
  <c r="GX146" i="1" s="1"/>
  <c r="C147" i="1"/>
  <c r="D147" i="1"/>
  <c r="I147" i="1"/>
  <c r="K147" i="1"/>
  <c r="P147" i="1"/>
  <c r="R147" i="1"/>
  <c r="AC147" i="1"/>
  <c r="AD147" i="1"/>
  <c r="AE147" i="1"/>
  <c r="Q147" i="1" s="1"/>
  <c r="AF147" i="1"/>
  <c r="AG147" i="1"/>
  <c r="AH147" i="1"/>
  <c r="CV147" i="1" s="1"/>
  <c r="U147" i="1" s="1"/>
  <c r="AI147" i="1"/>
  <c r="AJ147" i="1"/>
  <c r="CX147" i="1" s="1"/>
  <c r="W147" i="1" s="1"/>
  <c r="CQ147" i="1"/>
  <c r="CR147" i="1"/>
  <c r="CS147" i="1"/>
  <c r="CU147" i="1"/>
  <c r="T147" i="1" s="1"/>
  <c r="CW147" i="1"/>
  <c r="V147" i="1" s="1"/>
  <c r="GL147" i="1"/>
  <c r="GO147" i="1"/>
  <c r="GP147" i="1"/>
  <c r="GV147" i="1"/>
  <c r="HC147" i="1" s="1"/>
  <c r="GX147" i="1" s="1"/>
  <c r="I148" i="1"/>
  <c r="R148" i="1" s="1"/>
  <c r="AC148" i="1"/>
  <c r="AD148" i="1"/>
  <c r="AE148" i="1"/>
  <c r="AF148" i="1"/>
  <c r="AG148" i="1"/>
  <c r="AH148" i="1"/>
  <c r="CV148" i="1" s="1"/>
  <c r="AI148" i="1"/>
  <c r="AJ148" i="1"/>
  <c r="CX148" i="1" s="1"/>
  <c r="CQ148" i="1"/>
  <c r="CR148" i="1"/>
  <c r="CS148" i="1"/>
  <c r="CU148" i="1"/>
  <c r="CW148" i="1"/>
  <c r="V148" i="1" s="1"/>
  <c r="GL148" i="1"/>
  <c r="GO148" i="1"/>
  <c r="GP148" i="1"/>
  <c r="GV148" i="1"/>
  <c r="HC148" i="1" s="1"/>
  <c r="GX148" i="1" s="1"/>
  <c r="I149" i="1"/>
  <c r="R149" i="1"/>
  <c r="V149" i="1"/>
  <c r="AC149" i="1"/>
  <c r="AD149" i="1"/>
  <c r="AE149" i="1"/>
  <c r="AF149" i="1"/>
  <c r="AG149" i="1"/>
  <c r="AH149" i="1"/>
  <c r="CV149" i="1" s="1"/>
  <c r="U149" i="1" s="1"/>
  <c r="AI149" i="1"/>
  <c r="AJ149" i="1"/>
  <c r="CX149" i="1" s="1"/>
  <c r="W149" i="1" s="1"/>
  <c r="CQ149" i="1"/>
  <c r="CR149" i="1"/>
  <c r="CS149" i="1"/>
  <c r="CU149" i="1"/>
  <c r="T149" i="1" s="1"/>
  <c r="CW149" i="1"/>
  <c r="GL149" i="1"/>
  <c r="GO149" i="1"/>
  <c r="GP149" i="1"/>
  <c r="GV149" i="1"/>
  <c r="HC149" i="1" s="1"/>
  <c r="GX149" i="1" s="1"/>
  <c r="I150" i="1"/>
  <c r="V150" i="1"/>
  <c r="AC150" i="1"/>
  <c r="AD150" i="1"/>
  <c r="AE150" i="1"/>
  <c r="AF150" i="1"/>
  <c r="AG150" i="1"/>
  <c r="AH150" i="1"/>
  <c r="CV150" i="1" s="1"/>
  <c r="AI150" i="1"/>
  <c r="AJ150" i="1"/>
  <c r="CX150" i="1" s="1"/>
  <c r="CQ150" i="1"/>
  <c r="CR150" i="1"/>
  <c r="CS150" i="1"/>
  <c r="CU150" i="1"/>
  <c r="CW150" i="1"/>
  <c r="GL150" i="1"/>
  <c r="GO150" i="1"/>
  <c r="GP150" i="1"/>
  <c r="GV150" i="1"/>
  <c r="HC150" i="1" s="1"/>
  <c r="GX150" i="1" s="1"/>
  <c r="I151" i="1"/>
  <c r="R151" i="1"/>
  <c r="AC151" i="1"/>
  <c r="AD151" i="1"/>
  <c r="AE151" i="1"/>
  <c r="AF151" i="1"/>
  <c r="AG151" i="1"/>
  <c r="AH151" i="1"/>
  <c r="CV151" i="1" s="1"/>
  <c r="U151" i="1" s="1"/>
  <c r="AI151" i="1"/>
  <c r="AJ151" i="1"/>
  <c r="CX151" i="1" s="1"/>
  <c r="W151" i="1" s="1"/>
  <c r="CQ151" i="1"/>
  <c r="CR151" i="1"/>
  <c r="CS151" i="1"/>
  <c r="CU151" i="1"/>
  <c r="T151" i="1" s="1"/>
  <c r="CW151" i="1"/>
  <c r="V151" i="1" s="1"/>
  <c r="GL151" i="1"/>
  <c r="GO151" i="1"/>
  <c r="GP151" i="1"/>
  <c r="GV151" i="1"/>
  <c r="HC151" i="1" s="1"/>
  <c r="GX151" i="1" s="1"/>
  <c r="C152" i="1"/>
  <c r="D152" i="1"/>
  <c r="I152" i="1"/>
  <c r="R152" i="1" s="1"/>
  <c r="K152" i="1"/>
  <c r="S152" i="1"/>
  <c r="AC152" i="1"/>
  <c r="AE152" i="1"/>
  <c r="AD152" i="1" s="1"/>
  <c r="AF152" i="1"/>
  <c r="AG152" i="1"/>
  <c r="CU152" i="1" s="1"/>
  <c r="T152" i="1" s="1"/>
  <c r="AH152" i="1"/>
  <c r="AI152" i="1"/>
  <c r="CW152" i="1" s="1"/>
  <c r="V152" i="1" s="1"/>
  <c r="AJ152" i="1"/>
  <c r="CR152" i="1"/>
  <c r="CT152" i="1"/>
  <c r="CV152" i="1"/>
  <c r="U152" i="1" s="1"/>
  <c r="CX152" i="1"/>
  <c r="W152" i="1" s="1"/>
  <c r="CZ152" i="1"/>
  <c r="GL152" i="1"/>
  <c r="GO152" i="1"/>
  <c r="GP152" i="1"/>
  <c r="GV152" i="1"/>
  <c r="HC152" i="1" s="1"/>
  <c r="GX152" i="1" s="1"/>
  <c r="C153" i="1"/>
  <c r="D153" i="1"/>
  <c r="I153" i="1"/>
  <c r="K153" i="1"/>
  <c r="P153" i="1"/>
  <c r="R153" i="1"/>
  <c r="T153" i="1"/>
  <c r="AC153" i="1"/>
  <c r="AD153" i="1"/>
  <c r="AE153" i="1"/>
  <c r="Q153" i="1" s="1"/>
  <c r="AF153" i="1"/>
  <c r="AG153" i="1"/>
  <c r="AH153" i="1"/>
  <c r="CV153" i="1" s="1"/>
  <c r="U153" i="1" s="1"/>
  <c r="AI153" i="1"/>
  <c r="AJ153" i="1"/>
  <c r="CX153" i="1" s="1"/>
  <c r="W153" i="1" s="1"/>
  <c r="CQ153" i="1"/>
  <c r="CR153" i="1"/>
  <c r="CS153" i="1"/>
  <c r="CU153" i="1"/>
  <c r="CW153" i="1"/>
  <c r="V153" i="1" s="1"/>
  <c r="GL153" i="1"/>
  <c r="GO153" i="1"/>
  <c r="GP153" i="1"/>
  <c r="GV153" i="1"/>
  <c r="GX153" i="1"/>
  <c r="HC153" i="1"/>
  <c r="I154" i="1"/>
  <c r="Q154" i="1" s="1"/>
  <c r="P154" i="1"/>
  <c r="R154" i="1"/>
  <c r="T154" i="1"/>
  <c r="AC154" i="1"/>
  <c r="AD154" i="1"/>
  <c r="AE154" i="1"/>
  <c r="AF154" i="1"/>
  <c r="AG154" i="1"/>
  <c r="AH154" i="1"/>
  <c r="CV154" i="1" s="1"/>
  <c r="U154" i="1" s="1"/>
  <c r="AI154" i="1"/>
  <c r="AJ154" i="1"/>
  <c r="CX154" i="1" s="1"/>
  <c r="W154" i="1" s="1"/>
  <c r="CQ154" i="1"/>
  <c r="CR154" i="1"/>
  <c r="CS154" i="1"/>
  <c r="CU154" i="1"/>
  <c r="CW154" i="1"/>
  <c r="V154" i="1" s="1"/>
  <c r="GL154" i="1"/>
  <c r="GO154" i="1"/>
  <c r="GP154" i="1"/>
  <c r="GV154" i="1"/>
  <c r="GX154" i="1"/>
  <c r="HC154" i="1"/>
  <c r="I155" i="1"/>
  <c r="Q155" i="1" s="1"/>
  <c r="P155" i="1"/>
  <c r="R155" i="1"/>
  <c r="T155" i="1"/>
  <c r="AC155" i="1"/>
  <c r="AD155" i="1"/>
  <c r="AE155" i="1"/>
  <c r="AF155" i="1"/>
  <c r="AG155" i="1"/>
  <c r="AH155" i="1"/>
  <c r="CV155" i="1" s="1"/>
  <c r="U155" i="1" s="1"/>
  <c r="AI155" i="1"/>
  <c r="AJ155" i="1"/>
  <c r="CX155" i="1" s="1"/>
  <c r="W155" i="1" s="1"/>
  <c r="CQ155" i="1"/>
  <c r="CR155" i="1"/>
  <c r="CS155" i="1"/>
  <c r="CU155" i="1"/>
  <c r="CW155" i="1"/>
  <c r="V155" i="1" s="1"/>
  <c r="GL155" i="1"/>
  <c r="GO155" i="1"/>
  <c r="GP155" i="1"/>
  <c r="GV155" i="1"/>
  <c r="GX155" i="1"/>
  <c r="HC155" i="1"/>
  <c r="C156" i="1"/>
  <c r="D156" i="1"/>
  <c r="I156" i="1"/>
  <c r="K156" i="1"/>
  <c r="S156" i="1"/>
  <c r="U156" i="1"/>
  <c r="Y156" i="1"/>
  <c r="AC156" i="1"/>
  <c r="AE156" i="1"/>
  <c r="Q156" i="1" s="1"/>
  <c r="AF156" i="1"/>
  <c r="AG156" i="1"/>
  <c r="CU156" i="1" s="1"/>
  <c r="T156" i="1" s="1"/>
  <c r="AH156" i="1"/>
  <c r="AI156" i="1"/>
  <c r="CW156" i="1" s="1"/>
  <c r="V156" i="1" s="1"/>
  <c r="AJ156" i="1"/>
  <c r="CT156" i="1"/>
  <c r="CV156" i="1"/>
  <c r="CX156" i="1"/>
  <c r="W156" i="1" s="1"/>
  <c r="GL156" i="1"/>
  <c r="GO156" i="1"/>
  <c r="GP156" i="1"/>
  <c r="GV156" i="1"/>
  <c r="HC156" i="1" s="1"/>
  <c r="GX156" i="1" s="1"/>
  <c r="C157" i="1"/>
  <c r="D157" i="1"/>
  <c r="I157" i="1"/>
  <c r="K157" i="1"/>
  <c r="P157" i="1"/>
  <c r="R157" i="1"/>
  <c r="T157" i="1"/>
  <c r="AC157" i="1"/>
  <c r="AD157" i="1"/>
  <c r="AE157" i="1"/>
  <c r="Q157" i="1" s="1"/>
  <c r="AF157" i="1"/>
  <c r="AG157" i="1"/>
  <c r="AH157" i="1"/>
  <c r="CV157" i="1" s="1"/>
  <c r="U157" i="1" s="1"/>
  <c r="AI157" i="1"/>
  <c r="AJ157" i="1"/>
  <c r="CX157" i="1" s="1"/>
  <c r="W157" i="1" s="1"/>
  <c r="CQ157" i="1"/>
  <c r="CR157" i="1"/>
  <c r="CS157" i="1"/>
  <c r="CU157" i="1"/>
  <c r="CW157" i="1"/>
  <c r="V157" i="1" s="1"/>
  <c r="GL157" i="1"/>
  <c r="GO157" i="1"/>
  <c r="GP157" i="1"/>
  <c r="GV157" i="1"/>
  <c r="HC157" i="1" s="1"/>
  <c r="GX157" i="1" s="1"/>
  <c r="C158" i="1"/>
  <c r="D158" i="1"/>
  <c r="I158" i="1"/>
  <c r="K158" i="1"/>
  <c r="S158" i="1"/>
  <c r="X158" i="1" s="1"/>
  <c r="AC158" i="1"/>
  <c r="AE158" i="1"/>
  <c r="AF158" i="1"/>
  <c r="AG158" i="1"/>
  <c r="CU158" i="1" s="1"/>
  <c r="AH158" i="1"/>
  <c r="AI158" i="1"/>
  <c r="CW158" i="1" s="1"/>
  <c r="AJ158" i="1"/>
  <c r="CR158" i="1"/>
  <c r="CT158" i="1"/>
  <c r="CV158" i="1"/>
  <c r="U158" i="1" s="1"/>
  <c r="CX158" i="1"/>
  <c r="CY158" i="1"/>
  <c r="GL158" i="1"/>
  <c r="GN158" i="1"/>
  <c r="GP158" i="1"/>
  <c r="GV158" i="1"/>
  <c r="GX158" i="1"/>
  <c r="HC158" i="1"/>
  <c r="C159" i="1"/>
  <c r="D159" i="1"/>
  <c r="I159" i="1"/>
  <c r="K159" i="1"/>
  <c r="R159" i="1"/>
  <c r="AC159" i="1"/>
  <c r="AD159" i="1"/>
  <c r="AB159" i="1" s="1"/>
  <c r="AE159" i="1"/>
  <c r="AF159" i="1"/>
  <c r="AG159" i="1"/>
  <c r="AH159" i="1"/>
  <c r="CV159" i="1" s="1"/>
  <c r="U159" i="1" s="1"/>
  <c r="AI159" i="1"/>
  <c r="AJ159" i="1"/>
  <c r="CX159" i="1" s="1"/>
  <c r="CQ159" i="1"/>
  <c r="CR159" i="1"/>
  <c r="CS159" i="1"/>
  <c r="CU159" i="1"/>
  <c r="T159" i="1" s="1"/>
  <c r="CW159" i="1"/>
  <c r="V159" i="1" s="1"/>
  <c r="GL159" i="1"/>
  <c r="GN159" i="1"/>
  <c r="GP159" i="1"/>
  <c r="GV159" i="1"/>
  <c r="GX159" i="1"/>
  <c r="HC159" i="1"/>
  <c r="AC160" i="1"/>
  <c r="AD160" i="1"/>
  <c r="AB160" i="1" s="1"/>
  <c r="AE160" i="1"/>
  <c r="AF160" i="1"/>
  <c r="AG160" i="1"/>
  <c r="AH160" i="1"/>
  <c r="AI160" i="1"/>
  <c r="AJ160" i="1"/>
  <c r="CX160" i="1" s="1"/>
  <c r="CQ160" i="1"/>
  <c r="CR160" i="1"/>
  <c r="CS160" i="1"/>
  <c r="CU160" i="1"/>
  <c r="CV160" i="1"/>
  <c r="CW160" i="1"/>
  <c r="GL160" i="1"/>
  <c r="GN160" i="1"/>
  <c r="GP160" i="1"/>
  <c r="GV160" i="1"/>
  <c r="HC160" i="1"/>
  <c r="AC161" i="1"/>
  <c r="CQ161" i="1" s="1"/>
  <c r="AD161" i="1"/>
  <c r="AE161" i="1"/>
  <c r="AF161" i="1"/>
  <c r="AG161" i="1"/>
  <c r="CU161" i="1" s="1"/>
  <c r="AH161" i="1"/>
  <c r="CV161" i="1" s="1"/>
  <c r="AI161" i="1"/>
  <c r="AJ161" i="1"/>
  <c r="CX161" i="1" s="1"/>
  <c r="CR161" i="1"/>
  <c r="CS161" i="1"/>
  <c r="CW161" i="1"/>
  <c r="GL161" i="1"/>
  <c r="GN161" i="1"/>
  <c r="GP161" i="1"/>
  <c r="GV161" i="1"/>
  <c r="HC161" i="1" s="1"/>
  <c r="C162" i="1"/>
  <c r="D162" i="1"/>
  <c r="AC162" i="1"/>
  <c r="AE162" i="1"/>
  <c r="R162" i="1" s="1"/>
  <c r="AF162" i="1"/>
  <c r="S162" i="1" s="1"/>
  <c r="AG162" i="1"/>
  <c r="CU162" i="1" s="1"/>
  <c r="T162" i="1" s="1"/>
  <c r="AH162" i="1"/>
  <c r="AI162" i="1"/>
  <c r="CW162" i="1" s="1"/>
  <c r="V162" i="1" s="1"/>
  <c r="AJ162" i="1"/>
  <c r="CX162" i="1" s="1"/>
  <c r="W162" i="1" s="1"/>
  <c r="CR162" i="1"/>
  <c r="CV162" i="1"/>
  <c r="U162" i="1" s="1"/>
  <c r="GL162" i="1"/>
  <c r="GN162" i="1"/>
  <c r="GP162" i="1"/>
  <c r="GV162" i="1"/>
  <c r="HC162" i="1"/>
  <c r="GX162" i="1" s="1"/>
  <c r="C163" i="1"/>
  <c r="D163" i="1"/>
  <c r="P163" i="1"/>
  <c r="AC163" i="1"/>
  <c r="AD163" i="1"/>
  <c r="AB163" i="1" s="1"/>
  <c r="AE163" i="1"/>
  <c r="Q163" i="1" s="1"/>
  <c r="AF163" i="1"/>
  <c r="S163" i="1" s="1"/>
  <c r="AG163" i="1"/>
  <c r="AH163" i="1"/>
  <c r="CV163" i="1" s="1"/>
  <c r="U163" i="1" s="1"/>
  <c r="AI163" i="1"/>
  <c r="CW163" i="1" s="1"/>
  <c r="V163" i="1" s="1"/>
  <c r="AJ163" i="1"/>
  <c r="CX163" i="1" s="1"/>
  <c r="W163" i="1" s="1"/>
  <c r="CQ163" i="1"/>
  <c r="CR163" i="1"/>
  <c r="CU163" i="1"/>
  <c r="T163" i="1" s="1"/>
  <c r="GL163" i="1"/>
  <c r="GN163" i="1"/>
  <c r="GP163" i="1"/>
  <c r="GV163" i="1"/>
  <c r="GX163" i="1"/>
  <c r="HC163" i="1"/>
  <c r="AC164" i="1"/>
  <c r="P164" i="1" s="1"/>
  <c r="AE164" i="1"/>
  <c r="R164" i="1" s="1"/>
  <c r="AF164" i="1"/>
  <c r="S164" i="1" s="1"/>
  <c r="AG164" i="1"/>
  <c r="CU164" i="1" s="1"/>
  <c r="T164" i="1" s="1"/>
  <c r="AH164" i="1"/>
  <c r="AI164" i="1"/>
  <c r="CW164" i="1" s="1"/>
  <c r="V164" i="1" s="1"/>
  <c r="AJ164" i="1"/>
  <c r="CX164" i="1" s="1"/>
  <c r="W164" i="1" s="1"/>
  <c r="CR164" i="1"/>
  <c r="CV164" i="1"/>
  <c r="U164" i="1" s="1"/>
  <c r="GL164" i="1"/>
  <c r="GN164" i="1"/>
  <c r="GP164" i="1"/>
  <c r="GV164" i="1"/>
  <c r="HC164" i="1"/>
  <c r="GX164" i="1" s="1"/>
  <c r="R165" i="1"/>
  <c r="AC165" i="1"/>
  <c r="P165" i="1" s="1"/>
  <c r="AD165" i="1"/>
  <c r="AE165" i="1"/>
  <c r="Q165" i="1" s="1"/>
  <c r="AF165" i="1"/>
  <c r="S165" i="1" s="1"/>
  <c r="AG165" i="1"/>
  <c r="CU165" i="1" s="1"/>
  <c r="T165" i="1" s="1"/>
  <c r="AH165" i="1"/>
  <c r="CV165" i="1" s="1"/>
  <c r="U165" i="1" s="1"/>
  <c r="AI165" i="1"/>
  <c r="AJ165" i="1"/>
  <c r="CX165" i="1" s="1"/>
  <c r="W165" i="1" s="1"/>
  <c r="CR165" i="1"/>
  <c r="CS165" i="1"/>
  <c r="CW165" i="1"/>
  <c r="V165" i="1" s="1"/>
  <c r="GL165" i="1"/>
  <c r="GN165" i="1"/>
  <c r="GP165" i="1"/>
  <c r="GV165" i="1"/>
  <c r="HC165" i="1" s="1"/>
  <c r="GX165" i="1" s="1"/>
  <c r="B167" i="1"/>
  <c r="B26" i="1" s="1"/>
  <c r="C167" i="1"/>
  <c r="C26" i="1" s="1"/>
  <c r="D167" i="1"/>
  <c r="D26" i="1" s="1"/>
  <c r="F167" i="1"/>
  <c r="F26" i="1" s="1"/>
  <c r="G167" i="1"/>
  <c r="G26" i="1" s="1"/>
  <c r="BX167" i="1"/>
  <c r="BX26" i="1" s="1"/>
  <c r="BZ167" i="1"/>
  <c r="BZ26" i="1" s="1"/>
  <c r="CD167" i="1"/>
  <c r="CD26" i="1" s="1"/>
  <c r="CG167" i="1"/>
  <c r="CG26" i="1" s="1"/>
  <c r="CK167" i="1"/>
  <c r="CK26" i="1" s="1"/>
  <c r="CL167" i="1"/>
  <c r="CL26" i="1" s="1"/>
  <c r="CM167" i="1"/>
  <c r="CM26" i="1" s="1"/>
  <c r="FP167" i="1"/>
  <c r="FP26" i="1" s="1"/>
  <c r="FQ167" i="1"/>
  <c r="FQ26" i="1" s="1"/>
  <c r="FR167" i="1"/>
  <c r="FR26" i="1" s="1"/>
  <c r="FV167" i="1"/>
  <c r="FV26" i="1" s="1"/>
  <c r="GC167" i="1"/>
  <c r="GC26" i="1" s="1"/>
  <c r="GD167" i="1"/>
  <c r="GD26" i="1" s="1"/>
  <c r="GE167" i="1"/>
  <c r="GE26" i="1" s="1"/>
  <c r="D197" i="1"/>
  <c r="E199" i="1"/>
  <c r="Z199" i="1"/>
  <c r="AA199" i="1"/>
  <c r="AM199" i="1"/>
  <c r="AN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R199" i="1"/>
  <c r="DS199" i="1"/>
  <c r="EE199" i="1"/>
  <c r="EF199" i="1"/>
  <c r="EW199" i="1"/>
  <c r="EX199" i="1"/>
  <c r="EY199" i="1"/>
  <c r="EZ199" i="1"/>
  <c r="FA199" i="1"/>
  <c r="FB199" i="1"/>
  <c r="FC199" i="1"/>
  <c r="FD199" i="1"/>
  <c r="FE199" i="1"/>
  <c r="FF199" i="1"/>
  <c r="FG199" i="1"/>
  <c r="FH199" i="1"/>
  <c r="FI199" i="1"/>
  <c r="FJ199" i="1"/>
  <c r="FK199" i="1"/>
  <c r="FL199" i="1"/>
  <c r="FM199" i="1"/>
  <c r="FN199" i="1"/>
  <c r="FO199" i="1"/>
  <c r="GF199" i="1"/>
  <c r="GG199" i="1"/>
  <c r="GH199" i="1"/>
  <c r="GI199" i="1"/>
  <c r="GJ199" i="1"/>
  <c r="GK199" i="1"/>
  <c r="GL199" i="1"/>
  <c r="GM199" i="1"/>
  <c r="GN199" i="1"/>
  <c r="GO199" i="1"/>
  <c r="GP199" i="1"/>
  <c r="GQ199" i="1"/>
  <c r="GR199" i="1"/>
  <c r="GS199" i="1"/>
  <c r="GT199" i="1"/>
  <c r="GU199" i="1"/>
  <c r="GV199" i="1"/>
  <c r="GW199" i="1"/>
  <c r="GX199" i="1"/>
  <c r="C201" i="1"/>
  <c r="D201" i="1"/>
  <c r="I201" i="1"/>
  <c r="K201" i="1"/>
  <c r="P201" i="1"/>
  <c r="R201" i="1"/>
  <c r="AC201" i="1"/>
  <c r="AD201" i="1"/>
  <c r="AB201" i="1" s="1"/>
  <c r="AE201" i="1"/>
  <c r="Q201" i="1" s="1"/>
  <c r="AF201" i="1"/>
  <c r="S201" i="1" s="1"/>
  <c r="AG201" i="1"/>
  <c r="AH201" i="1"/>
  <c r="CV201" i="1" s="1"/>
  <c r="U201" i="1" s="1"/>
  <c r="AI201" i="1"/>
  <c r="AJ201" i="1"/>
  <c r="CX201" i="1" s="1"/>
  <c r="W201" i="1" s="1"/>
  <c r="CQ201" i="1"/>
  <c r="CR201" i="1"/>
  <c r="CS201" i="1"/>
  <c r="CU201" i="1"/>
  <c r="T201" i="1" s="1"/>
  <c r="CW201" i="1"/>
  <c r="V201" i="1" s="1"/>
  <c r="GL201" i="1"/>
  <c r="GN201" i="1"/>
  <c r="GP201" i="1"/>
  <c r="GV201" i="1"/>
  <c r="GX201" i="1"/>
  <c r="HC201" i="1"/>
  <c r="C202" i="1"/>
  <c r="D202" i="1"/>
  <c r="I202" i="1"/>
  <c r="R202" i="1" s="1"/>
  <c r="K202" i="1"/>
  <c r="AC202" i="1"/>
  <c r="P202" i="1" s="1"/>
  <c r="AE202" i="1"/>
  <c r="AD202" i="1" s="1"/>
  <c r="AF202" i="1"/>
  <c r="AG202" i="1"/>
  <c r="CU202" i="1" s="1"/>
  <c r="T202" i="1" s="1"/>
  <c r="AH202" i="1"/>
  <c r="AI202" i="1"/>
  <c r="CW202" i="1" s="1"/>
  <c r="V202" i="1" s="1"/>
  <c r="AJ202" i="1"/>
  <c r="CR202" i="1"/>
  <c r="CT202" i="1"/>
  <c r="CV202" i="1"/>
  <c r="U202" i="1" s="1"/>
  <c r="CX202" i="1"/>
  <c r="W202" i="1" s="1"/>
  <c r="GL202" i="1"/>
  <c r="GN202" i="1"/>
  <c r="GP202" i="1"/>
  <c r="GV202" i="1"/>
  <c r="HC202" i="1"/>
  <c r="GX202" i="1" s="1"/>
  <c r="I203" i="1"/>
  <c r="S203" i="1"/>
  <c r="X203" i="1" s="1"/>
  <c r="AC203" i="1"/>
  <c r="P203" i="1" s="1"/>
  <c r="AE203" i="1"/>
  <c r="AD203" i="1" s="1"/>
  <c r="AF203" i="1"/>
  <c r="AG203" i="1"/>
  <c r="CU203" i="1" s="1"/>
  <c r="T203" i="1" s="1"/>
  <c r="AH203" i="1"/>
  <c r="AI203" i="1"/>
  <c r="CW203" i="1" s="1"/>
  <c r="V203" i="1" s="1"/>
  <c r="AJ203" i="1"/>
  <c r="CR203" i="1"/>
  <c r="CT203" i="1"/>
  <c r="CV203" i="1"/>
  <c r="U203" i="1" s="1"/>
  <c r="CX203" i="1"/>
  <c r="W203" i="1" s="1"/>
  <c r="CZ203" i="1"/>
  <c r="GL203" i="1"/>
  <c r="GN203" i="1"/>
  <c r="GP203" i="1"/>
  <c r="GV203" i="1"/>
  <c r="HC203" i="1"/>
  <c r="GX203" i="1" s="1"/>
  <c r="AC204" i="1"/>
  <c r="AE204" i="1"/>
  <c r="AD204" i="1" s="1"/>
  <c r="AF204" i="1"/>
  <c r="AG204" i="1"/>
  <c r="CU204" i="1" s="1"/>
  <c r="AH204" i="1"/>
  <c r="AI204" i="1"/>
  <c r="CW204" i="1" s="1"/>
  <c r="AJ204" i="1"/>
  <c r="CR204" i="1"/>
  <c r="CT204" i="1"/>
  <c r="CV204" i="1"/>
  <c r="CX204" i="1"/>
  <c r="GL204" i="1"/>
  <c r="GN204" i="1"/>
  <c r="GP204" i="1"/>
  <c r="GV204" i="1"/>
  <c r="HC204" i="1"/>
  <c r="P205" i="1"/>
  <c r="R205" i="1"/>
  <c r="AC205" i="1"/>
  <c r="AD205" i="1"/>
  <c r="AE205" i="1"/>
  <c r="Q205" i="1" s="1"/>
  <c r="AF205" i="1"/>
  <c r="AB205" i="1" s="1"/>
  <c r="AG205" i="1"/>
  <c r="AH205" i="1"/>
  <c r="CV205" i="1" s="1"/>
  <c r="U205" i="1" s="1"/>
  <c r="AI205" i="1"/>
  <c r="AJ205" i="1"/>
  <c r="CX205" i="1" s="1"/>
  <c r="W205" i="1" s="1"/>
  <c r="CQ205" i="1"/>
  <c r="CR205" i="1"/>
  <c r="CS205" i="1"/>
  <c r="CU205" i="1"/>
  <c r="T205" i="1" s="1"/>
  <c r="CW205" i="1"/>
  <c r="V205" i="1" s="1"/>
  <c r="GL205" i="1"/>
  <c r="GN205" i="1"/>
  <c r="GP205" i="1"/>
  <c r="GV205" i="1"/>
  <c r="GX205" i="1"/>
  <c r="HC205" i="1"/>
  <c r="S206" i="1"/>
  <c r="Y206" i="1" s="1"/>
  <c r="AC206" i="1"/>
  <c r="AE206" i="1"/>
  <c r="Q206" i="1" s="1"/>
  <c r="AF206" i="1"/>
  <c r="AG206" i="1"/>
  <c r="CU206" i="1" s="1"/>
  <c r="T206" i="1" s="1"/>
  <c r="AH206" i="1"/>
  <c r="AI206" i="1"/>
  <c r="CW206" i="1" s="1"/>
  <c r="V206" i="1" s="1"/>
  <c r="AJ206" i="1"/>
  <c r="CR206" i="1"/>
  <c r="CT206" i="1"/>
  <c r="CV206" i="1"/>
  <c r="U206" i="1" s="1"/>
  <c r="CX206" i="1"/>
  <c r="W206" i="1" s="1"/>
  <c r="GL206" i="1"/>
  <c r="GN206" i="1"/>
  <c r="GP206" i="1"/>
  <c r="GV206" i="1"/>
  <c r="HC206" i="1" s="1"/>
  <c r="GX206" i="1" s="1"/>
  <c r="C207" i="1"/>
  <c r="D207" i="1"/>
  <c r="P207" i="1"/>
  <c r="R207" i="1"/>
  <c r="AC207" i="1"/>
  <c r="AD207" i="1"/>
  <c r="AE207" i="1"/>
  <c r="Q207" i="1" s="1"/>
  <c r="AF207" i="1"/>
  <c r="AB207" i="1" s="1"/>
  <c r="AG207" i="1"/>
  <c r="AH207" i="1"/>
  <c r="CV207" i="1" s="1"/>
  <c r="U207" i="1" s="1"/>
  <c r="AI207" i="1"/>
  <c r="AJ207" i="1"/>
  <c r="CX207" i="1" s="1"/>
  <c r="W207" i="1" s="1"/>
  <c r="CQ207" i="1"/>
  <c r="CR207" i="1"/>
  <c r="CS207" i="1"/>
  <c r="CU207" i="1"/>
  <c r="T207" i="1" s="1"/>
  <c r="CW207" i="1"/>
  <c r="V207" i="1" s="1"/>
  <c r="GL207" i="1"/>
  <c r="GN207" i="1"/>
  <c r="GP207" i="1"/>
  <c r="GV207" i="1"/>
  <c r="GX207" i="1"/>
  <c r="HC207" i="1"/>
  <c r="C208" i="1"/>
  <c r="D208" i="1"/>
  <c r="S208" i="1"/>
  <c r="X208" i="1" s="1"/>
  <c r="AC208" i="1"/>
  <c r="P208" i="1" s="1"/>
  <c r="AE208" i="1"/>
  <c r="AD208" i="1" s="1"/>
  <c r="AF208" i="1"/>
  <c r="AG208" i="1"/>
  <c r="CU208" i="1" s="1"/>
  <c r="T208" i="1" s="1"/>
  <c r="AH208" i="1"/>
  <c r="AI208" i="1"/>
  <c r="CW208" i="1" s="1"/>
  <c r="V208" i="1" s="1"/>
  <c r="AJ208" i="1"/>
  <c r="CR208" i="1"/>
  <c r="CT208" i="1"/>
  <c r="CV208" i="1"/>
  <c r="U208" i="1" s="1"/>
  <c r="CX208" i="1"/>
  <c r="W208" i="1" s="1"/>
  <c r="CZ208" i="1"/>
  <c r="GL208" i="1"/>
  <c r="GN208" i="1"/>
  <c r="GP208" i="1"/>
  <c r="GV208" i="1"/>
  <c r="HC208" i="1"/>
  <c r="GX208" i="1" s="1"/>
  <c r="I209" i="1"/>
  <c r="S209" i="1"/>
  <c r="X209" i="1" s="1"/>
  <c r="AC209" i="1"/>
  <c r="P209" i="1" s="1"/>
  <c r="AE209" i="1"/>
  <c r="AD209" i="1" s="1"/>
  <c r="AF209" i="1"/>
  <c r="AG209" i="1"/>
  <c r="CU209" i="1" s="1"/>
  <c r="T209" i="1" s="1"/>
  <c r="AH209" i="1"/>
  <c r="AI209" i="1"/>
  <c r="CW209" i="1" s="1"/>
  <c r="V209" i="1" s="1"/>
  <c r="AJ209" i="1"/>
  <c r="CR209" i="1"/>
  <c r="CT209" i="1"/>
  <c r="CV209" i="1"/>
  <c r="U209" i="1" s="1"/>
  <c r="CX209" i="1"/>
  <c r="W209" i="1" s="1"/>
  <c r="CZ209" i="1"/>
  <c r="GL209" i="1"/>
  <c r="GN209" i="1"/>
  <c r="GP209" i="1"/>
  <c r="GV209" i="1"/>
  <c r="HC209" i="1"/>
  <c r="GX209" i="1" s="1"/>
  <c r="I210" i="1"/>
  <c r="S210" i="1"/>
  <c r="X210" i="1" s="1"/>
  <c r="AC210" i="1"/>
  <c r="P210" i="1" s="1"/>
  <c r="AE210" i="1"/>
  <c r="AD210" i="1" s="1"/>
  <c r="AF210" i="1"/>
  <c r="AG210" i="1"/>
  <c r="CU210" i="1" s="1"/>
  <c r="T210" i="1" s="1"/>
  <c r="AH210" i="1"/>
  <c r="AI210" i="1"/>
  <c r="CW210" i="1" s="1"/>
  <c r="V210" i="1" s="1"/>
  <c r="AJ210" i="1"/>
  <c r="CR210" i="1"/>
  <c r="CT210" i="1"/>
  <c r="CV210" i="1"/>
  <c r="U210" i="1" s="1"/>
  <c r="CX210" i="1"/>
  <c r="W210" i="1" s="1"/>
  <c r="CZ210" i="1"/>
  <c r="GL210" i="1"/>
  <c r="GN210" i="1"/>
  <c r="GP210" i="1"/>
  <c r="GV210" i="1"/>
  <c r="HC210" i="1"/>
  <c r="GX210" i="1" s="1"/>
  <c r="I211" i="1"/>
  <c r="S211" i="1"/>
  <c r="X211" i="1" s="1"/>
  <c r="AC211" i="1"/>
  <c r="P211" i="1" s="1"/>
  <c r="AE211" i="1"/>
  <c r="AD211" i="1" s="1"/>
  <c r="AF211" i="1"/>
  <c r="AG211" i="1"/>
  <c r="CU211" i="1" s="1"/>
  <c r="T211" i="1" s="1"/>
  <c r="AH211" i="1"/>
  <c r="AI211" i="1"/>
  <c r="CW211" i="1" s="1"/>
  <c r="V211" i="1" s="1"/>
  <c r="AJ211" i="1"/>
  <c r="CR211" i="1"/>
  <c r="CT211" i="1"/>
  <c r="CV211" i="1"/>
  <c r="U211" i="1" s="1"/>
  <c r="CX211" i="1"/>
  <c r="W211" i="1" s="1"/>
  <c r="CZ211" i="1"/>
  <c r="GL211" i="1"/>
  <c r="GN211" i="1"/>
  <c r="GP211" i="1"/>
  <c r="GV211" i="1"/>
  <c r="HC211" i="1"/>
  <c r="GX211" i="1" s="1"/>
  <c r="I212" i="1"/>
  <c r="S212" i="1"/>
  <c r="X212" i="1" s="1"/>
  <c r="AC212" i="1"/>
  <c r="P212" i="1" s="1"/>
  <c r="AE212" i="1"/>
  <c r="AD212" i="1" s="1"/>
  <c r="AF212" i="1"/>
  <c r="AG212" i="1"/>
  <c r="CU212" i="1" s="1"/>
  <c r="T212" i="1" s="1"/>
  <c r="AH212" i="1"/>
  <c r="AI212" i="1"/>
  <c r="CW212" i="1" s="1"/>
  <c r="V212" i="1" s="1"/>
  <c r="AJ212" i="1"/>
  <c r="CR212" i="1"/>
  <c r="CT212" i="1"/>
  <c r="CV212" i="1"/>
  <c r="U212" i="1" s="1"/>
  <c r="CX212" i="1"/>
  <c r="W212" i="1" s="1"/>
  <c r="CZ212" i="1"/>
  <c r="GL212" i="1"/>
  <c r="GN212" i="1"/>
  <c r="GP212" i="1"/>
  <c r="GV212" i="1"/>
  <c r="HC212" i="1"/>
  <c r="GX212" i="1" s="1"/>
  <c r="C213" i="1"/>
  <c r="D213" i="1"/>
  <c r="I213" i="1"/>
  <c r="K213" i="1"/>
  <c r="P213" i="1"/>
  <c r="R213" i="1"/>
  <c r="AC213" i="1"/>
  <c r="AD213" i="1"/>
  <c r="AE213" i="1"/>
  <c r="Q213" i="1" s="1"/>
  <c r="AF213" i="1"/>
  <c r="AB213" i="1" s="1"/>
  <c r="AG213" i="1"/>
  <c r="AH213" i="1"/>
  <c r="CV213" i="1" s="1"/>
  <c r="U213" i="1" s="1"/>
  <c r="AI213" i="1"/>
  <c r="AJ213" i="1"/>
  <c r="CX213" i="1" s="1"/>
  <c r="W213" i="1" s="1"/>
  <c r="CQ213" i="1"/>
  <c r="CR213" i="1"/>
  <c r="CS213" i="1"/>
  <c r="CU213" i="1"/>
  <c r="T213" i="1" s="1"/>
  <c r="CW213" i="1"/>
  <c r="V213" i="1" s="1"/>
  <c r="GL213" i="1"/>
  <c r="GN213" i="1"/>
  <c r="GP213" i="1"/>
  <c r="GV213" i="1"/>
  <c r="GX213" i="1"/>
  <c r="HC213" i="1"/>
  <c r="C214" i="1"/>
  <c r="D214" i="1"/>
  <c r="I214" i="1"/>
  <c r="R214" i="1" s="1"/>
  <c r="K214" i="1"/>
  <c r="S214" i="1"/>
  <c r="Y214" i="1" s="1"/>
  <c r="AC214" i="1"/>
  <c r="AE214" i="1"/>
  <c r="Q214" i="1" s="1"/>
  <c r="AF214" i="1"/>
  <c r="AG214" i="1"/>
  <c r="CU214" i="1" s="1"/>
  <c r="T214" i="1" s="1"/>
  <c r="AH214" i="1"/>
  <c r="AI214" i="1"/>
  <c r="CW214" i="1" s="1"/>
  <c r="V214" i="1" s="1"/>
  <c r="AJ214" i="1"/>
  <c r="CR214" i="1"/>
  <c r="CT214" i="1"/>
  <c r="CV214" i="1"/>
  <c r="U214" i="1" s="1"/>
  <c r="CX214" i="1"/>
  <c r="W214" i="1" s="1"/>
  <c r="GL214" i="1"/>
  <c r="GN214" i="1"/>
  <c r="GP214" i="1"/>
  <c r="GV214" i="1"/>
  <c r="HC214" i="1" s="1"/>
  <c r="GX214" i="1" s="1"/>
  <c r="I215" i="1"/>
  <c r="S215" i="1"/>
  <c r="Y215" i="1" s="1"/>
  <c r="AC215" i="1"/>
  <c r="AE215" i="1"/>
  <c r="Q215" i="1" s="1"/>
  <c r="AF215" i="1"/>
  <c r="AG215" i="1"/>
  <c r="CU215" i="1" s="1"/>
  <c r="T215" i="1" s="1"/>
  <c r="AH215" i="1"/>
  <c r="AI215" i="1"/>
  <c r="CW215" i="1" s="1"/>
  <c r="V215" i="1" s="1"/>
  <c r="AJ215" i="1"/>
  <c r="CR215" i="1"/>
  <c r="CT215" i="1"/>
  <c r="CV215" i="1"/>
  <c r="U215" i="1" s="1"/>
  <c r="CX215" i="1"/>
  <c r="W215" i="1" s="1"/>
  <c r="GL215" i="1"/>
  <c r="GN215" i="1"/>
  <c r="GP215" i="1"/>
  <c r="GV215" i="1"/>
  <c r="HC215" i="1" s="1"/>
  <c r="GX215" i="1" s="1"/>
  <c r="AC216" i="1"/>
  <c r="AE216" i="1"/>
  <c r="CS216" i="1" s="1"/>
  <c r="AF216" i="1"/>
  <c r="AG216" i="1"/>
  <c r="CU216" i="1" s="1"/>
  <c r="AH216" i="1"/>
  <c r="AI216" i="1"/>
  <c r="CW216" i="1" s="1"/>
  <c r="AJ216" i="1"/>
  <c r="CR216" i="1"/>
  <c r="CT216" i="1"/>
  <c r="CV216" i="1"/>
  <c r="CX216" i="1"/>
  <c r="GL216" i="1"/>
  <c r="GN216" i="1"/>
  <c r="GP216" i="1"/>
  <c r="GV216" i="1"/>
  <c r="HC216" i="1" s="1"/>
  <c r="C217" i="1"/>
  <c r="D217" i="1"/>
  <c r="I217" i="1"/>
  <c r="K217" i="1"/>
  <c r="P217" i="1"/>
  <c r="R217" i="1"/>
  <c r="AC217" i="1"/>
  <c r="AD217" i="1"/>
  <c r="AB217" i="1" s="1"/>
  <c r="AE217" i="1"/>
  <c r="Q217" i="1" s="1"/>
  <c r="AF217" i="1"/>
  <c r="S217" i="1" s="1"/>
  <c r="AG217" i="1"/>
  <c r="AH217" i="1"/>
  <c r="CV217" i="1" s="1"/>
  <c r="U217" i="1" s="1"/>
  <c r="AI217" i="1"/>
  <c r="AJ217" i="1"/>
  <c r="CX217" i="1" s="1"/>
  <c r="W217" i="1" s="1"/>
  <c r="CQ217" i="1"/>
  <c r="CR217" i="1"/>
  <c r="CS217" i="1"/>
  <c r="CU217" i="1"/>
  <c r="T217" i="1" s="1"/>
  <c r="CW217" i="1"/>
  <c r="V217" i="1" s="1"/>
  <c r="GL217" i="1"/>
  <c r="GO217" i="1"/>
  <c r="GP217" i="1"/>
  <c r="GV217" i="1"/>
  <c r="HC217" i="1" s="1"/>
  <c r="GX217" i="1" s="1"/>
  <c r="C218" i="1"/>
  <c r="D218" i="1"/>
  <c r="I218" i="1"/>
  <c r="R218" i="1" s="1"/>
  <c r="K218" i="1"/>
  <c r="AC218" i="1"/>
  <c r="P218" i="1" s="1"/>
  <c r="AE218" i="1"/>
  <c r="AD218" i="1" s="1"/>
  <c r="AF218" i="1"/>
  <c r="AG218" i="1"/>
  <c r="CU218" i="1" s="1"/>
  <c r="T218" i="1" s="1"/>
  <c r="AH218" i="1"/>
  <c r="AI218" i="1"/>
  <c r="CW218" i="1" s="1"/>
  <c r="V218" i="1" s="1"/>
  <c r="AJ218" i="1"/>
  <c r="CR218" i="1"/>
  <c r="CT218" i="1"/>
  <c r="CV218" i="1"/>
  <c r="U218" i="1" s="1"/>
  <c r="CX218" i="1"/>
  <c r="W218" i="1" s="1"/>
  <c r="GL218" i="1"/>
  <c r="GO218" i="1"/>
  <c r="GP218" i="1"/>
  <c r="GV218" i="1"/>
  <c r="HC218" i="1"/>
  <c r="GX218" i="1" s="1"/>
  <c r="I219" i="1"/>
  <c r="S219" i="1"/>
  <c r="X219" i="1" s="1"/>
  <c r="AC219" i="1"/>
  <c r="P219" i="1" s="1"/>
  <c r="AE219" i="1"/>
  <c r="AD219" i="1" s="1"/>
  <c r="AF219" i="1"/>
  <c r="AG219" i="1"/>
  <c r="CU219" i="1" s="1"/>
  <c r="T219" i="1" s="1"/>
  <c r="AH219" i="1"/>
  <c r="AI219" i="1"/>
  <c r="CW219" i="1" s="1"/>
  <c r="V219" i="1" s="1"/>
  <c r="AJ219" i="1"/>
  <c r="CR219" i="1"/>
  <c r="CT219" i="1"/>
  <c r="CV219" i="1"/>
  <c r="U219" i="1" s="1"/>
  <c r="CX219" i="1"/>
  <c r="W219" i="1" s="1"/>
  <c r="CZ219" i="1"/>
  <c r="GL219" i="1"/>
  <c r="GO219" i="1"/>
  <c r="GP219" i="1"/>
  <c r="GV219" i="1"/>
  <c r="HC219" i="1"/>
  <c r="GX219" i="1" s="1"/>
  <c r="AC220" i="1"/>
  <c r="AE220" i="1"/>
  <c r="AD220" i="1" s="1"/>
  <c r="AF220" i="1"/>
  <c r="AG220" i="1"/>
  <c r="CU220" i="1" s="1"/>
  <c r="AH220" i="1"/>
  <c r="AI220" i="1"/>
  <c r="CW220" i="1" s="1"/>
  <c r="AJ220" i="1"/>
  <c r="CR220" i="1"/>
  <c r="CT220" i="1"/>
  <c r="CV220" i="1"/>
  <c r="CX220" i="1"/>
  <c r="GL220" i="1"/>
  <c r="GO220" i="1"/>
  <c r="GP220" i="1"/>
  <c r="GV220" i="1"/>
  <c r="HC220" i="1"/>
  <c r="C221" i="1"/>
  <c r="D221" i="1"/>
  <c r="I221" i="1"/>
  <c r="K221" i="1"/>
  <c r="P221" i="1"/>
  <c r="R221" i="1"/>
  <c r="AC221" i="1"/>
  <c r="AD221" i="1"/>
  <c r="AE221" i="1"/>
  <c r="Q221" i="1" s="1"/>
  <c r="AF221" i="1"/>
  <c r="AB221" i="1" s="1"/>
  <c r="AG221" i="1"/>
  <c r="AH221" i="1"/>
  <c r="CV221" i="1" s="1"/>
  <c r="U221" i="1" s="1"/>
  <c r="AI221" i="1"/>
  <c r="AJ221" i="1"/>
  <c r="CX221" i="1" s="1"/>
  <c r="W221" i="1" s="1"/>
  <c r="CQ221" i="1"/>
  <c r="CR221" i="1"/>
  <c r="CS221" i="1"/>
  <c r="CU221" i="1"/>
  <c r="T221" i="1" s="1"/>
  <c r="CW221" i="1"/>
  <c r="V221" i="1" s="1"/>
  <c r="GL221" i="1"/>
  <c r="GO221" i="1"/>
  <c r="GP221" i="1"/>
  <c r="GV221" i="1"/>
  <c r="GX221" i="1"/>
  <c r="HC221" i="1"/>
  <c r="C222" i="1"/>
  <c r="D222" i="1"/>
  <c r="I222" i="1"/>
  <c r="R222" i="1" s="1"/>
  <c r="K222" i="1"/>
  <c r="S222" i="1"/>
  <c r="Y222" i="1" s="1"/>
  <c r="AC222" i="1"/>
  <c r="AE222" i="1"/>
  <c r="Q222" i="1" s="1"/>
  <c r="AF222" i="1"/>
  <c r="AG222" i="1"/>
  <c r="CU222" i="1" s="1"/>
  <c r="T222" i="1" s="1"/>
  <c r="AH222" i="1"/>
  <c r="AI222" i="1"/>
  <c r="CW222" i="1" s="1"/>
  <c r="V222" i="1" s="1"/>
  <c r="AJ222" i="1"/>
  <c r="CR222" i="1"/>
  <c r="CT222" i="1"/>
  <c r="CV222" i="1"/>
  <c r="U222" i="1" s="1"/>
  <c r="CX222" i="1"/>
  <c r="W222" i="1" s="1"/>
  <c r="GL222" i="1"/>
  <c r="GO222" i="1"/>
  <c r="GP222" i="1"/>
  <c r="GV222" i="1"/>
  <c r="HC222" i="1" s="1"/>
  <c r="GX222" i="1" s="1"/>
  <c r="I223" i="1"/>
  <c r="S223" i="1"/>
  <c r="Y223" i="1" s="1"/>
  <c r="AC223" i="1"/>
  <c r="AE223" i="1"/>
  <c r="Q223" i="1" s="1"/>
  <c r="AF223" i="1"/>
  <c r="AG223" i="1"/>
  <c r="CU223" i="1" s="1"/>
  <c r="T223" i="1" s="1"/>
  <c r="AH223" i="1"/>
  <c r="AI223" i="1"/>
  <c r="CW223" i="1" s="1"/>
  <c r="V223" i="1" s="1"/>
  <c r="AJ223" i="1"/>
  <c r="CR223" i="1"/>
  <c r="CT223" i="1"/>
  <c r="CV223" i="1"/>
  <c r="U223" i="1" s="1"/>
  <c r="CX223" i="1"/>
  <c r="W223" i="1" s="1"/>
  <c r="GL223" i="1"/>
  <c r="GO223" i="1"/>
  <c r="GP223" i="1"/>
  <c r="GV223" i="1"/>
  <c r="HC223" i="1" s="1"/>
  <c r="GX223" i="1" s="1"/>
  <c r="AC224" i="1"/>
  <c r="AE224" i="1"/>
  <c r="CS224" i="1" s="1"/>
  <c r="AF224" i="1"/>
  <c r="AG224" i="1"/>
  <c r="CU224" i="1" s="1"/>
  <c r="AH224" i="1"/>
  <c r="AI224" i="1"/>
  <c r="CW224" i="1" s="1"/>
  <c r="AJ224" i="1"/>
  <c r="CR224" i="1"/>
  <c r="CT224" i="1"/>
  <c r="CV224" i="1"/>
  <c r="CX224" i="1"/>
  <c r="GL224" i="1"/>
  <c r="GO224" i="1"/>
  <c r="GP224" i="1"/>
  <c r="GV224" i="1"/>
  <c r="HC224" i="1" s="1"/>
  <c r="C225" i="1"/>
  <c r="D225" i="1"/>
  <c r="P225" i="1"/>
  <c r="R225" i="1"/>
  <c r="AC225" i="1"/>
  <c r="AD225" i="1"/>
  <c r="AE225" i="1"/>
  <c r="Q225" i="1" s="1"/>
  <c r="AF225" i="1"/>
  <c r="AB225" i="1" s="1"/>
  <c r="AG225" i="1"/>
  <c r="AH225" i="1"/>
  <c r="CV225" i="1" s="1"/>
  <c r="U225" i="1" s="1"/>
  <c r="AI225" i="1"/>
  <c r="AJ225" i="1"/>
  <c r="CX225" i="1" s="1"/>
  <c r="W225" i="1" s="1"/>
  <c r="CQ225" i="1"/>
  <c r="CR225" i="1"/>
  <c r="CS225" i="1"/>
  <c r="CU225" i="1"/>
  <c r="T225" i="1" s="1"/>
  <c r="CW225" i="1"/>
  <c r="V225" i="1" s="1"/>
  <c r="GL225" i="1"/>
  <c r="GN225" i="1"/>
  <c r="GP225" i="1"/>
  <c r="GV225" i="1"/>
  <c r="GX225" i="1"/>
  <c r="HC225" i="1"/>
  <c r="C226" i="1"/>
  <c r="D226" i="1"/>
  <c r="S226" i="1"/>
  <c r="X226" i="1" s="1"/>
  <c r="AC226" i="1"/>
  <c r="P226" i="1" s="1"/>
  <c r="AE226" i="1"/>
  <c r="AD226" i="1" s="1"/>
  <c r="AF226" i="1"/>
  <c r="AG226" i="1"/>
  <c r="CU226" i="1" s="1"/>
  <c r="T226" i="1" s="1"/>
  <c r="AH226" i="1"/>
  <c r="AI226" i="1"/>
  <c r="CW226" i="1" s="1"/>
  <c r="V226" i="1" s="1"/>
  <c r="AJ226" i="1"/>
  <c r="CR226" i="1"/>
  <c r="CT226" i="1"/>
  <c r="CV226" i="1"/>
  <c r="U226" i="1" s="1"/>
  <c r="CX226" i="1"/>
  <c r="W226" i="1" s="1"/>
  <c r="CZ226" i="1"/>
  <c r="GL226" i="1"/>
  <c r="GN226" i="1"/>
  <c r="GP226" i="1"/>
  <c r="GV226" i="1"/>
  <c r="HC226" i="1"/>
  <c r="GX226" i="1" s="1"/>
  <c r="P227" i="1"/>
  <c r="R227" i="1"/>
  <c r="AC227" i="1"/>
  <c r="AD227" i="1"/>
  <c r="AE227" i="1"/>
  <c r="Q227" i="1" s="1"/>
  <c r="AF227" i="1"/>
  <c r="AB227" i="1" s="1"/>
  <c r="AG227" i="1"/>
  <c r="AH227" i="1"/>
  <c r="CV227" i="1" s="1"/>
  <c r="U227" i="1" s="1"/>
  <c r="AI227" i="1"/>
  <c r="AJ227" i="1"/>
  <c r="CX227" i="1" s="1"/>
  <c r="W227" i="1" s="1"/>
  <c r="CQ227" i="1"/>
  <c r="CR227" i="1"/>
  <c r="CS227" i="1"/>
  <c r="CU227" i="1"/>
  <c r="T227" i="1" s="1"/>
  <c r="CW227" i="1"/>
  <c r="V227" i="1" s="1"/>
  <c r="GL227" i="1"/>
  <c r="GO227" i="1"/>
  <c r="GP227" i="1"/>
  <c r="GV227" i="1"/>
  <c r="GX227" i="1"/>
  <c r="HC227" i="1"/>
  <c r="S228" i="1"/>
  <c r="Y228" i="1" s="1"/>
  <c r="AC228" i="1"/>
  <c r="AE228" i="1"/>
  <c r="Q228" i="1" s="1"/>
  <c r="AF228" i="1"/>
  <c r="AG228" i="1"/>
  <c r="CU228" i="1" s="1"/>
  <c r="T228" i="1" s="1"/>
  <c r="AH228" i="1"/>
  <c r="AI228" i="1"/>
  <c r="CW228" i="1" s="1"/>
  <c r="V228" i="1" s="1"/>
  <c r="AJ228" i="1"/>
  <c r="CR228" i="1"/>
  <c r="CT228" i="1"/>
  <c r="CV228" i="1"/>
  <c r="U228" i="1" s="1"/>
  <c r="CX228" i="1"/>
  <c r="W228" i="1" s="1"/>
  <c r="GL228" i="1"/>
  <c r="GO228" i="1"/>
  <c r="GP228" i="1"/>
  <c r="GV228" i="1"/>
  <c r="HC228" i="1" s="1"/>
  <c r="GX228" i="1" s="1"/>
  <c r="C229" i="1"/>
  <c r="D229" i="1"/>
  <c r="I229" i="1"/>
  <c r="K229" i="1"/>
  <c r="P229" i="1"/>
  <c r="R229" i="1"/>
  <c r="AC229" i="1"/>
  <c r="AD229" i="1"/>
  <c r="AB229" i="1" s="1"/>
  <c r="AE229" i="1"/>
  <c r="Q229" i="1" s="1"/>
  <c r="AF229" i="1"/>
  <c r="S229" i="1" s="1"/>
  <c r="AG229" i="1"/>
  <c r="AH229" i="1"/>
  <c r="CV229" i="1" s="1"/>
  <c r="U229" i="1" s="1"/>
  <c r="AI229" i="1"/>
  <c r="AJ229" i="1"/>
  <c r="CX229" i="1" s="1"/>
  <c r="W229" i="1" s="1"/>
  <c r="CQ229" i="1"/>
  <c r="CR229" i="1"/>
  <c r="CS229" i="1"/>
  <c r="CU229" i="1"/>
  <c r="T229" i="1" s="1"/>
  <c r="CW229" i="1"/>
  <c r="V229" i="1" s="1"/>
  <c r="GL229" i="1"/>
  <c r="GN229" i="1"/>
  <c r="GP229" i="1"/>
  <c r="GV229" i="1"/>
  <c r="HC229" i="1" s="1"/>
  <c r="GX229" i="1" s="1"/>
  <c r="C230" i="1"/>
  <c r="D230" i="1"/>
  <c r="I230" i="1"/>
  <c r="R230" i="1" s="1"/>
  <c r="K230" i="1"/>
  <c r="AC230" i="1"/>
  <c r="P230" i="1" s="1"/>
  <c r="AE230" i="1"/>
  <c r="AD230" i="1" s="1"/>
  <c r="AF230" i="1"/>
  <c r="AG230" i="1"/>
  <c r="CU230" i="1" s="1"/>
  <c r="T230" i="1" s="1"/>
  <c r="AH230" i="1"/>
  <c r="AI230" i="1"/>
  <c r="CW230" i="1" s="1"/>
  <c r="V230" i="1" s="1"/>
  <c r="AJ230" i="1"/>
  <c r="CR230" i="1"/>
  <c r="CT230" i="1"/>
  <c r="CV230" i="1"/>
  <c r="U230" i="1" s="1"/>
  <c r="CX230" i="1"/>
  <c r="W230" i="1" s="1"/>
  <c r="GL230" i="1"/>
  <c r="GN230" i="1"/>
  <c r="GP230" i="1"/>
  <c r="GV230" i="1"/>
  <c r="HC230" i="1"/>
  <c r="GX230" i="1" s="1"/>
  <c r="I231" i="1"/>
  <c r="S231" i="1"/>
  <c r="X231" i="1" s="1"/>
  <c r="AC231" i="1"/>
  <c r="P231" i="1" s="1"/>
  <c r="AE231" i="1"/>
  <c r="AD231" i="1" s="1"/>
  <c r="AF231" i="1"/>
  <c r="AG231" i="1"/>
  <c r="CU231" i="1" s="1"/>
  <c r="T231" i="1" s="1"/>
  <c r="AH231" i="1"/>
  <c r="AI231" i="1"/>
  <c r="CW231" i="1" s="1"/>
  <c r="V231" i="1" s="1"/>
  <c r="AJ231" i="1"/>
  <c r="CR231" i="1"/>
  <c r="CT231" i="1"/>
  <c r="CV231" i="1"/>
  <c r="U231" i="1" s="1"/>
  <c r="CX231" i="1"/>
  <c r="W231" i="1" s="1"/>
  <c r="CZ231" i="1"/>
  <c r="GL231" i="1"/>
  <c r="GN231" i="1"/>
  <c r="GP231" i="1"/>
  <c r="GV231" i="1"/>
  <c r="HC231" i="1"/>
  <c r="GX231" i="1" s="1"/>
  <c r="AC232" i="1"/>
  <c r="AE232" i="1"/>
  <c r="AD232" i="1" s="1"/>
  <c r="AF232" i="1"/>
  <c r="AG232" i="1"/>
  <c r="CU232" i="1" s="1"/>
  <c r="AH232" i="1"/>
  <c r="AI232" i="1"/>
  <c r="CW232" i="1" s="1"/>
  <c r="AJ232" i="1"/>
  <c r="CR232" i="1"/>
  <c r="CT232" i="1"/>
  <c r="CV232" i="1"/>
  <c r="CX232" i="1"/>
  <c r="GL232" i="1"/>
  <c r="GN232" i="1"/>
  <c r="GP232" i="1"/>
  <c r="GV232" i="1"/>
  <c r="HC232" i="1"/>
  <c r="C233" i="1"/>
  <c r="D233" i="1"/>
  <c r="I233" i="1"/>
  <c r="K233" i="1"/>
  <c r="P233" i="1"/>
  <c r="R233" i="1"/>
  <c r="AC233" i="1"/>
  <c r="AD233" i="1"/>
  <c r="AE233" i="1"/>
  <c r="Q233" i="1" s="1"/>
  <c r="AF233" i="1"/>
  <c r="AB233" i="1" s="1"/>
  <c r="AG233" i="1"/>
  <c r="AH233" i="1"/>
  <c r="CV233" i="1" s="1"/>
  <c r="U233" i="1" s="1"/>
  <c r="AI233" i="1"/>
  <c r="AJ233" i="1"/>
  <c r="CX233" i="1" s="1"/>
  <c r="W233" i="1" s="1"/>
  <c r="CQ233" i="1"/>
  <c r="CR233" i="1"/>
  <c r="CS233" i="1"/>
  <c r="CU233" i="1"/>
  <c r="T233" i="1" s="1"/>
  <c r="CW233" i="1"/>
  <c r="V233" i="1" s="1"/>
  <c r="GL233" i="1"/>
  <c r="GN233" i="1"/>
  <c r="GP233" i="1"/>
  <c r="GV233" i="1"/>
  <c r="GX233" i="1"/>
  <c r="HC233" i="1"/>
  <c r="C234" i="1"/>
  <c r="D234" i="1"/>
  <c r="I234" i="1"/>
  <c r="R234" i="1" s="1"/>
  <c r="K234" i="1"/>
  <c r="S234" i="1"/>
  <c r="Y234" i="1" s="1"/>
  <c r="AC234" i="1"/>
  <c r="AE234" i="1"/>
  <c r="Q234" i="1" s="1"/>
  <c r="AF234" i="1"/>
  <c r="AG234" i="1"/>
  <c r="CU234" i="1" s="1"/>
  <c r="T234" i="1" s="1"/>
  <c r="AH234" i="1"/>
  <c r="AI234" i="1"/>
  <c r="CW234" i="1" s="1"/>
  <c r="V234" i="1" s="1"/>
  <c r="AJ234" i="1"/>
  <c r="CR234" i="1"/>
  <c r="CT234" i="1"/>
  <c r="CV234" i="1"/>
  <c r="U234" i="1" s="1"/>
  <c r="CX234" i="1"/>
  <c r="W234" i="1" s="1"/>
  <c r="GL234" i="1"/>
  <c r="GN234" i="1"/>
  <c r="GP234" i="1"/>
  <c r="GV234" i="1"/>
  <c r="HC234" i="1" s="1"/>
  <c r="GX234" i="1" s="1"/>
  <c r="I235" i="1"/>
  <c r="S235" i="1"/>
  <c r="Y235" i="1" s="1"/>
  <c r="AC235" i="1"/>
  <c r="AE235" i="1"/>
  <c r="Q235" i="1" s="1"/>
  <c r="AF235" i="1"/>
  <c r="AG235" i="1"/>
  <c r="CU235" i="1" s="1"/>
  <c r="T235" i="1" s="1"/>
  <c r="AH235" i="1"/>
  <c r="AI235" i="1"/>
  <c r="CW235" i="1" s="1"/>
  <c r="V235" i="1" s="1"/>
  <c r="AJ235" i="1"/>
  <c r="CR235" i="1"/>
  <c r="CT235" i="1"/>
  <c r="CV235" i="1"/>
  <c r="U235" i="1" s="1"/>
  <c r="CX235" i="1"/>
  <c r="W235" i="1" s="1"/>
  <c r="GL235" i="1"/>
  <c r="GN235" i="1"/>
  <c r="GP235" i="1"/>
  <c r="GV235" i="1"/>
  <c r="HC235" i="1" s="1"/>
  <c r="GX235" i="1" s="1"/>
  <c r="AC236" i="1"/>
  <c r="AE236" i="1"/>
  <c r="CS236" i="1" s="1"/>
  <c r="AF236" i="1"/>
  <c r="AG236" i="1"/>
  <c r="CU236" i="1" s="1"/>
  <c r="AH236" i="1"/>
  <c r="AI236" i="1"/>
  <c r="CW236" i="1" s="1"/>
  <c r="AJ236" i="1"/>
  <c r="CR236" i="1"/>
  <c r="CT236" i="1"/>
  <c r="CV236" i="1"/>
  <c r="CX236" i="1"/>
  <c r="GL236" i="1"/>
  <c r="GN236" i="1"/>
  <c r="GP236" i="1"/>
  <c r="GV236" i="1"/>
  <c r="HC236" i="1" s="1"/>
  <c r="P237" i="1"/>
  <c r="R237" i="1"/>
  <c r="AC237" i="1"/>
  <c r="AD237" i="1"/>
  <c r="AB237" i="1" s="1"/>
  <c r="AE237" i="1"/>
  <c r="Q237" i="1" s="1"/>
  <c r="AF237" i="1"/>
  <c r="S237" i="1" s="1"/>
  <c r="AG237" i="1"/>
  <c r="AH237" i="1"/>
  <c r="CV237" i="1" s="1"/>
  <c r="U237" i="1" s="1"/>
  <c r="AI237" i="1"/>
  <c r="AJ237" i="1"/>
  <c r="CX237" i="1" s="1"/>
  <c r="W237" i="1" s="1"/>
  <c r="CQ237" i="1"/>
  <c r="CR237" i="1"/>
  <c r="CS237" i="1"/>
  <c r="CU237" i="1"/>
  <c r="T237" i="1" s="1"/>
  <c r="CW237" i="1"/>
  <c r="V237" i="1" s="1"/>
  <c r="GL237" i="1"/>
  <c r="GN237" i="1"/>
  <c r="GP237" i="1"/>
  <c r="GV237" i="1"/>
  <c r="HC237" i="1" s="1"/>
  <c r="GX237" i="1" s="1"/>
  <c r="S238" i="1"/>
  <c r="X238" i="1" s="1"/>
  <c r="AC238" i="1"/>
  <c r="P238" i="1" s="1"/>
  <c r="AE238" i="1"/>
  <c r="AD238" i="1" s="1"/>
  <c r="AF238" i="1"/>
  <c r="AG238" i="1"/>
  <c r="CU238" i="1" s="1"/>
  <c r="T238" i="1" s="1"/>
  <c r="AH238" i="1"/>
  <c r="AI238" i="1"/>
  <c r="CW238" i="1" s="1"/>
  <c r="V238" i="1" s="1"/>
  <c r="AJ238" i="1"/>
  <c r="CR238" i="1"/>
  <c r="CT238" i="1"/>
  <c r="CV238" i="1"/>
  <c r="U238" i="1" s="1"/>
  <c r="CX238" i="1"/>
  <c r="W238" i="1" s="1"/>
  <c r="CZ238" i="1"/>
  <c r="GL238" i="1"/>
  <c r="GN238" i="1"/>
  <c r="GP238" i="1"/>
  <c r="GV238" i="1"/>
  <c r="HC238" i="1"/>
  <c r="GX238" i="1" s="1"/>
  <c r="P239" i="1"/>
  <c r="R239" i="1"/>
  <c r="AC239" i="1"/>
  <c r="AD239" i="1"/>
  <c r="AE239" i="1"/>
  <c r="Q239" i="1" s="1"/>
  <c r="AF239" i="1"/>
  <c r="AB239" i="1" s="1"/>
  <c r="AG239" i="1"/>
  <c r="AH239" i="1"/>
  <c r="CV239" i="1" s="1"/>
  <c r="U239" i="1" s="1"/>
  <c r="AI239" i="1"/>
  <c r="AJ239" i="1"/>
  <c r="CX239" i="1" s="1"/>
  <c r="W239" i="1" s="1"/>
  <c r="CQ239" i="1"/>
  <c r="CR239" i="1"/>
  <c r="CS239" i="1"/>
  <c r="CU239" i="1"/>
  <c r="T239" i="1" s="1"/>
  <c r="CW239" i="1"/>
  <c r="V239" i="1" s="1"/>
  <c r="GL239" i="1"/>
  <c r="GN239" i="1"/>
  <c r="GP239" i="1"/>
  <c r="GV239" i="1"/>
  <c r="GX239" i="1"/>
  <c r="HC239" i="1"/>
  <c r="S240" i="1"/>
  <c r="Y240" i="1" s="1"/>
  <c r="AC240" i="1"/>
  <c r="AE240" i="1"/>
  <c r="Q240" i="1" s="1"/>
  <c r="AF240" i="1"/>
  <c r="AG240" i="1"/>
  <c r="CU240" i="1" s="1"/>
  <c r="T240" i="1" s="1"/>
  <c r="AH240" i="1"/>
  <c r="AI240" i="1"/>
  <c r="CW240" i="1" s="1"/>
  <c r="V240" i="1" s="1"/>
  <c r="AJ240" i="1"/>
  <c r="CR240" i="1"/>
  <c r="CT240" i="1"/>
  <c r="CV240" i="1"/>
  <c r="U240" i="1" s="1"/>
  <c r="CX240" i="1"/>
  <c r="W240" i="1" s="1"/>
  <c r="GL240" i="1"/>
  <c r="GN240" i="1"/>
  <c r="GP240" i="1"/>
  <c r="GV240" i="1"/>
  <c r="HC240" i="1" s="1"/>
  <c r="GX240" i="1" s="1"/>
  <c r="C241" i="1"/>
  <c r="D241" i="1"/>
  <c r="I241" i="1"/>
  <c r="K241" i="1"/>
  <c r="P241" i="1"/>
  <c r="R241" i="1"/>
  <c r="AC241" i="1"/>
  <c r="AD241" i="1"/>
  <c r="AB241" i="1" s="1"/>
  <c r="AE241" i="1"/>
  <c r="Q241" i="1" s="1"/>
  <c r="AF241" i="1"/>
  <c r="S241" i="1" s="1"/>
  <c r="AG241" i="1"/>
  <c r="AH241" i="1"/>
  <c r="CV241" i="1" s="1"/>
  <c r="U241" i="1" s="1"/>
  <c r="AI241" i="1"/>
  <c r="AJ241" i="1"/>
  <c r="CX241" i="1" s="1"/>
  <c r="W241" i="1" s="1"/>
  <c r="CQ241" i="1"/>
  <c r="CR241" i="1"/>
  <c r="CS241" i="1"/>
  <c r="CU241" i="1"/>
  <c r="T241" i="1" s="1"/>
  <c r="CW241" i="1"/>
  <c r="V241" i="1" s="1"/>
  <c r="GL241" i="1"/>
  <c r="GN241" i="1"/>
  <c r="GP241" i="1"/>
  <c r="GV241" i="1"/>
  <c r="GX241" i="1"/>
  <c r="HC241" i="1"/>
  <c r="C242" i="1"/>
  <c r="D242" i="1"/>
  <c r="I242" i="1"/>
  <c r="R242" i="1" s="1"/>
  <c r="K242" i="1"/>
  <c r="AC242" i="1"/>
  <c r="P242" i="1" s="1"/>
  <c r="AE242" i="1"/>
  <c r="AD242" i="1" s="1"/>
  <c r="AF242" i="1"/>
  <c r="AG242" i="1"/>
  <c r="CU242" i="1" s="1"/>
  <c r="T242" i="1" s="1"/>
  <c r="AH242" i="1"/>
  <c r="AI242" i="1"/>
  <c r="CW242" i="1" s="1"/>
  <c r="V242" i="1" s="1"/>
  <c r="AJ242" i="1"/>
  <c r="CR242" i="1"/>
  <c r="CT242" i="1"/>
  <c r="CV242" i="1"/>
  <c r="U242" i="1" s="1"/>
  <c r="CX242" i="1"/>
  <c r="W242" i="1" s="1"/>
  <c r="GL242" i="1"/>
  <c r="GN242" i="1"/>
  <c r="GP242" i="1"/>
  <c r="GV242" i="1"/>
  <c r="HC242" i="1"/>
  <c r="GX242" i="1" s="1"/>
  <c r="I243" i="1"/>
  <c r="S243" i="1"/>
  <c r="X243" i="1" s="1"/>
  <c r="AC243" i="1"/>
  <c r="P243" i="1" s="1"/>
  <c r="AE243" i="1"/>
  <c r="AD243" i="1" s="1"/>
  <c r="AF243" i="1"/>
  <c r="AG243" i="1"/>
  <c r="CU243" i="1" s="1"/>
  <c r="T243" i="1" s="1"/>
  <c r="AH243" i="1"/>
  <c r="AI243" i="1"/>
  <c r="CW243" i="1" s="1"/>
  <c r="V243" i="1" s="1"/>
  <c r="AJ243" i="1"/>
  <c r="CR243" i="1"/>
  <c r="CT243" i="1"/>
  <c r="CV243" i="1"/>
  <c r="U243" i="1" s="1"/>
  <c r="CX243" i="1"/>
  <c r="W243" i="1" s="1"/>
  <c r="CZ243" i="1"/>
  <c r="GL243" i="1"/>
  <c r="GN243" i="1"/>
  <c r="GP243" i="1"/>
  <c r="GV243" i="1"/>
  <c r="HC243" i="1"/>
  <c r="GX243" i="1" s="1"/>
  <c r="AC244" i="1"/>
  <c r="AE244" i="1"/>
  <c r="AD244" i="1" s="1"/>
  <c r="AF244" i="1"/>
  <c r="AG244" i="1"/>
  <c r="CU244" i="1" s="1"/>
  <c r="AH244" i="1"/>
  <c r="AI244" i="1"/>
  <c r="CW244" i="1" s="1"/>
  <c r="AJ244" i="1"/>
  <c r="CR244" i="1"/>
  <c r="CT244" i="1"/>
  <c r="CV244" i="1"/>
  <c r="CX244" i="1"/>
  <c r="GL244" i="1"/>
  <c r="GN244" i="1"/>
  <c r="GP244" i="1"/>
  <c r="GV244" i="1"/>
  <c r="HC244" i="1"/>
  <c r="I245" i="1"/>
  <c r="S245" i="1"/>
  <c r="X245" i="1" s="1"/>
  <c r="AC245" i="1"/>
  <c r="P245" i="1" s="1"/>
  <c r="AE245" i="1"/>
  <c r="AD245" i="1" s="1"/>
  <c r="AF245" i="1"/>
  <c r="AG245" i="1"/>
  <c r="CU245" i="1" s="1"/>
  <c r="T245" i="1" s="1"/>
  <c r="AH245" i="1"/>
  <c r="AI245" i="1"/>
  <c r="CW245" i="1" s="1"/>
  <c r="V245" i="1" s="1"/>
  <c r="AJ245" i="1"/>
  <c r="CR245" i="1"/>
  <c r="CT245" i="1"/>
  <c r="CV245" i="1"/>
  <c r="U245" i="1" s="1"/>
  <c r="CX245" i="1"/>
  <c r="W245" i="1" s="1"/>
  <c r="CZ245" i="1"/>
  <c r="GL245" i="1"/>
  <c r="GN245" i="1"/>
  <c r="GP245" i="1"/>
  <c r="GV245" i="1"/>
  <c r="HC245" i="1"/>
  <c r="GX245" i="1" s="1"/>
  <c r="AC246" i="1"/>
  <c r="AE246" i="1"/>
  <c r="AD246" i="1" s="1"/>
  <c r="AF246" i="1"/>
  <c r="AG246" i="1"/>
  <c r="CU246" i="1" s="1"/>
  <c r="AH246" i="1"/>
  <c r="AI246" i="1"/>
  <c r="CW246" i="1" s="1"/>
  <c r="AJ246" i="1"/>
  <c r="CR246" i="1"/>
  <c r="CT246" i="1"/>
  <c r="CV246" i="1"/>
  <c r="CX246" i="1"/>
  <c r="GL246" i="1"/>
  <c r="GN246" i="1"/>
  <c r="GP246" i="1"/>
  <c r="GV246" i="1"/>
  <c r="HC246" i="1"/>
  <c r="C247" i="1"/>
  <c r="D247" i="1"/>
  <c r="I247" i="1"/>
  <c r="K247" i="1"/>
  <c r="P247" i="1"/>
  <c r="R247" i="1"/>
  <c r="AC247" i="1"/>
  <c r="AD247" i="1"/>
  <c r="AE247" i="1"/>
  <c r="Q247" i="1" s="1"/>
  <c r="AF247" i="1"/>
  <c r="AB247" i="1" s="1"/>
  <c r="AG247" i="1"/>
  <c r="AH247" i="1"/>
  <c r="CV247" i="1" s="1"/>
  <c r="U247" i="1" s="1"/>
  <c r="AI247" i="1"/>
  <c r="AJ247" i="1"/>
  <c r="CX247" i="1" s="1"/>
  <c r="W247" i="1" s="1"/>
  <c r="CQ247" i="1"/>
  <c r="CR247" i="1"/>
  <c r="CS247" i="1"/>
  <c r="CU247" i="1"/>
  <c r="T247" i="1" s="1"/>
  <c r="CW247" i="1"/>
  <c r="V247" i="1" s="1"/>
  <c r="GL247" i="1"/>
  <c r="GN247" i="1"/>
  <c r="GP247" i="1"/>
  <c r="GV247" i="1"/>
  <c r="GX247" i="1"/>
  <c r="HC247" i="1"/>
  <c r="C248" i="1"/>
  <c r="D248" i="1"/>
  <c r="I248" i="1"/>
  <c r="R248" i="1" s="1"/>
  <c r="K248" i="1"/>
  <c r="S248" i="1"/>
  <c r="Y248" i="1" s="1"/>
  <c r="AC248" i="1"/>
  <c r="AE248" i="1"/>
  <c r="Q248" i="1" s="1"/>
  <c r="AF248" i="1"/>
  <c r="AG248" i="1"/>
  <c r="CU248" i="1" s="1"/>
  <c r="T248" i="1" s="1"/>
  <c r="AH248" i="1"/>
  <c r="AI248" i="1"/>
  <c r="CW248" i="1" s="1"/>
  <c r="V248" i="1" s="1"/>
  <c r="AJ248" i="1"/>
  <c r="CR248" i="1"/>
  <c r="CT248" i="1"/>
  <c r="CV248" i="1"/>
  <c r="U248" i="1" s="1"/>
  <c r="CX248" i="1"/>
  <c r="W248" i="1" s="1"/>
  <c r="GL248" i="1"/>
  <c r="GN248" i="1"/>
  <c r="GP248" i="1"/>
  <c r="GV248" i="1"/>
  <c r="HC248" i="1" s="1"/>
  <c r="GX248" i="1" s="1"/>
  <c r="I249" i="1"/>
  <c r="S249" i="1"/>
  <c r="Y249" i="1" s="1"/>
  <c r="AC249" i="1"/>
  <c r="AE249" i="1"/>
  <c r="Q249" i="1" s="1"/>
  <c r="AF249" i="1"/>
  <c r="AG249" i="1"/>
  <c r="CU249" i="1" s="1"/>
  <c r="T249" i="1" s="1"/>
  <c r="AH249" i="1"/>
  <c r="AI249" i="1"/>
  <c r="CW249" i="1" s="1"/>
  <c r="V249" i="1" s="1"/>
  <c r="AJ249" i="1"/>
  <c r="CR249" i="1"/>
  <c r="CT249" i="1"/>
  <c r="CV249" i="1"/>
  <c r="U249" i="1" s="1"/>
  <c r="CX249" i="1"/>
  <c r="W249" i="1" s="1"/>
  <c r="GL249" i="1"/>
  <c r="GN249" i="1"/>
  <c r="GP249" i="1"/>
  <c r="GV249" i="1"/>
  <c r="HC249" i="1" s="1"/>
  <c r="GX249" i="1" s="1"/>
  <c r="AC250" i="1"/>
  <c r="AE250" i="1"/>
  <c r="CS250" i="1" s="1"/>
  <c r="AF250" i="1"/>
  <c r="AG250" i="1"/>
  <c r="CU250" i="1" s="1"/>
  <c r="AH250" i="1"/>
  <c r="AI250" i="1"/>
  <c r="CW250" i="1" s="1"/>
  <c r="AJ250" i="1"/>
  <c r="CR250" i="1"/>
  <c r="CT250" i="1"/>
  <c r="CV250" i="1"/>
  <c r="CX250" i="1"/>
  <c r="GL250" i="1"/>
  <c r="GN250" i="1"/>
  <c r="GP250" i="1"/>
  <c r="GV250" i="1"/>
  <c r="HC250" i="1" s="1"/>
  <c r="I251" i="1"/>
  <c r="S251" i="1"/>
  <c r="Y251" i="1" s="1"/>
  <c r="AC251" i="1"/>
  <c r="AE251" i="1"/>
  <c r="Q251" i="1" s="1"/>
  <c r="AF251" i="1"/>
  <c r="AG251" i="1"/>
  <c r="CU251" i="1" s="1"/>
  <c r="T251" i="1" s="1"/>
  <c r="AH251" i="1"/>
  <c r="AI251" i="1"/>
  <c r="CW251" i="1" s="1"/>
  <c r="V251" i="1" s="1"/>
  <c r="AJ251" i="1"/>
  <c r="CR251" i="1"/>
  <c r="CT251" i="1"/>
  <c r="CV251" i="1"/>
  <c r="U251" i="1" s="1"/>
  <c r="CX251" i="1"/>
  <c r="W251" i="1" s="1"/>
  <c r="GL251" i="1"/>
  <c r="GN251" i="1"/>
  <c r="GP251" i="1"/>
  <c r="GV251" i="1"/>
  <c r="HC251" i="1" s="1"/>
  <c r="GX251" i="1" s="1"/>
  <c r="AC252" i="1"/>
  <c r="AE252" i="1"/>
  <c r="CS252" i="1" s="1"/>
  <c r="AF252" i="1"/>
  <c r="AG252" i="1"/>
  <c r="CU252" i="1" s="1"/>
  <c r="AH252" i="1"/>
  <c r="AI252" i="1"/>
  <c r="CW252" i="1" s="1"/>
  <c r="AJ252" i="1"/>
  <c r="CR252" i="1"/>
  <c r="CT252" i="1"/>
  <c r="CV252" i="1"/>
  <c r="CX252" i="1"/>
  <c r="GL252" i="1"/>
  <c r="GN252" i="1"/>
  <c r="GP252" i="1"/>
  <c r="GV252" i="1"/>
  <c r="HC252" i="1" s="1"/>
  <c r="I253" i="1"/>
  <c r="S253" i="1"/>
  <c r="Y253" i="1" s="1"/>
  <c r="AC253" i="1"/>
  <c r="AE253" i="1"/>
  <c r="Q253" i="1" s="1"/>
  <c r="AF253" i="1"/>
  <c r="AG253" i="1"/>
  <c r="CU253" i="1" s="1"/>
  <c r="T253" i="1" s="1"/>
  <c r="AH253" i="1"/>
  <c r="AI253" i="1"/>
  <c r="CW253" i="1" s="1"/>
  <c r="V253" i="1" s="1"/>
  <c r="AJ253" i="1"/>
  <c r="CR253" i="1"/>
  <c r="CT253" i="1"/>
  <c r="CV253" i="1"/>
  <c r="U253" i="1" s="1"/>
  <c r="CX253" i="1"/>
  <c r="W253" i="1" s="1"/>
  <c r="GL253" i="1"/>
  <c r="GN253" i="1"/>
  <c r="GP253" i="1"/>
  <c r="GV253" i="1"/>
  <c r="HC253" i="1" s="1"/>
  <c r="GX253" i="1" s="1"/>
  <c r="I254" i="1"/>
  <c r="S254" i="1"/>
  <c r="Y254" i="1" s="1"/>
  <c r="AC254" i="1"/>
  <c r="AE254" i="1"/>
  <c r="Q254" i="1" s="1"/>
  <c r="AF254" i="1"/>
  <c r="AG254" i="1"/>
  <c r="CU254" i="1" s="1"/>
  <c r="T254" i="1" s="1"/>
  <c r="AH254" i="1"/>
  <c r="AI254" i="1"/>
  <c r="CW254" i="1" s="1"/>
  <c r="V254" i="1" s="1"/>
  <c r="AJ254" i="1"/>
  <c r="CR254" i="1"/>
  <c r="CT254" i="1"/>
  <c r="CV254" i="1"/>
  <c r="U254" i="1" s="1"/>
  <c r="CX254" i="1"/>
  <c r="W254" i="1" s="1"/>
  <c r="GL254" i="1"/>
  <c r="GN254" i="1"/>
  <c r="GP254" i="1"/>
  <c r="GV254" i="1"/>
  <c r="HC254" i="1" s="1"/>
  <c r="GX254" i="1" s="1"/>
  <c r="C255" i="1"/>
  <c r="D255" i="1"/>
  <c r="I255" i="1"/>
  <c r="K255" i="1"/>
  <c r="P255" i="1"/>
  <c r="R255" i="1"/>
  <c r="AC255" i="1"/>
  <c r="AD255" i="1"/>
  <c r="AB255" i="1" s="1"/>
  <c r="AE255" i="1"/>
  <c r="Q255" i="1" s="1"/>
  <c r="AF255" i="1"/>
  <c r="S255" i="1" s="1"/>
  <c r="AG255" i="1"/>
  <c r="AH255" i="1"/>
  <c r="CV255" i="1" s="1"/>
  <c r="U255" i="1" s="1"/>
  <c r="AI255" i="1"/>
  <c r="AJ255" i="1"/>
  <c r="CX255" i="1" s="1"/>
  <c r="W255" i="1" s="1"/>
  <c r="CQ255" i="1"/>
  <c r="CR255" i="1"/>
  <c r="CS255" i="1"/>
  <c r="CU255" i="1"/>
  <c r="T255" i="1" s="1"/>
  <c r="CW255" i="1"/>
  <c r="V255" i="1" s="1"/>
  <c r="GL255" i="1"/>
  <c r="GN255" i="1"/>
  <c r="GP255" i="1"/>
  <c r="GV255" i="1"/>
  <c r="GX255" i="1"/>
  <c r="HC255" i="1"/>
  <c r="C256" i="1"/>
  <c r="D256" i="1"/>
  <c r="I256" i="1"/>
  <c r="R256" i="1" s="1"/>
  <c r="K256" i="1"/>
  <c r="AC256" i="1"/>
  <c r="P256" i="1" s="1"/>
  <c r="AE256" i="1"/>
  <c r="AD256" i="1" s="1"/>
  <c r="AF256" i="1"/>
  <c r="AG256" i="1"/>
  <c r="CU256" i="1" s="1"/>
  <c r="T256" i="1" s="1"/>
  <c r="AH256" i="1"/>
  <c r="AI256" i="1"/>
  <c r="CW256" i="1" s="1"/>
  <c r="V256" i="1" s="1"/>
  <c r="AJ256" i="1"/>
  <c r="CR256" i="1"/>
  <c r="CT256" i="1"/>
  <c r="CV256" i="1"/>
  <c r="U256" i="1" s="1"/>
  <c r="CX256" i="1"/>
  <c r="W256" i="1" s="1"/>
  <c r="GL256" i="1"/>
  <c r="GN256" i="1"/>
  <c r="GP256" i="1"/>
  <c r="GV256" i="1"/>
  <c r="HC256" i="1"/>
  <c r="GX256" i="1" s="1"/>
  <c r="I257" i="1"/>
  <c r="S257" i="1"/>
  <c r="X257" i="1" s="1"/>
  <c r="AC257" i="1"/>
  <c r="P257" i="1" s="1"/>
  <c r="AE257" i="1"/>
  <c r="AD257" i="1" s="1"/>
  <c r="AF257" i="1"/>
  <c r="AG257" i="1"/>
  <c r="CU257" i="1" s="1"/>
  <c r="T257" i="1" s="1"/>
  <c r="AH257" i="1"/>
  <c r="AI257" i="1"/>
  <c r="CW257" i="1" s="1"/>
  <c r="V257" i="1" s="1"/>
  <c r="AJ257" i="1"/>
  <c r="CR257" i="1"/>
  <c r="CT257" i="1"/>
  <c r="CV257" i="1"/>
  <c r="U257" i="1" s="1"/>
  <c r="CX257" i="1"/>
  <c r="W257" i="1" s="1"/>
  <c r="CZ257" i="1"/>
  <c r="GL257" i="1"/>
  <c r="GN257" i="1"/>
  <c r="GP257" i="1"/>
  <c r="GV257" i="1"/>
  <c r="HC257" i="1"/>
  <c r="GX257" i="1" s="1"/>
  <c r="AC258" i="1"/>
  <c r="AE258" i="1"/>
  <c r="AD258" i="1" s="1"/>
  <c r="AF258" i="1"/>
  <c r="AG258" i="1"/>
  <c r="CU258" i="1" s="1"/>
  <c r="AH258" i="1"/>
  <c r="AI258" i="1"/>
  <c r="CW258" i="1" s="1"/>
  <c r="AJ258" i="1"/>
  <c r="CR258" i="1"/>
  <c r="CT258" i="1"/>
  <c r="CV258" i="1"/>
  <c r="CX258" i="1"/>
  <c r="GL258" i="1"/>
  <c r="GN258" i="1"/>
  <c r="GP258" i="1"/>
  <c r="GV258" i="1"/>
  <c r="HC258" i="1"/>
  <c r="I259" i="1"/>
  <c r="S259" i="1"/>
  <c r="X259" i="1" s="1"/>
  <c r="AC259" i="1"/>
  <c r="P259" i="1" s="1"/>
  <c r="AE259" i="1"/>
  <c r="AD259" i="1" s="1"/>
  <c r="AF259" i="1"/>
  <c r="AG259" i="1"/>
  <c r="CU259" i="1" s="1"/>
  <c r="T259" i="1" s="1"/>
  <c r="AH259" i="1"/>
  <c r="AI259" i="1"/>
  <c r="CW259" i="1" s="1"/>
  <c r="V259" i="1" s="1"/>
  <c r="AJ259" i="1"/>
  <c r="CR259" i="1"/>
  <c r="CT259" i="1"/>
  <c r="CV259" i="1"/>
  <c r="U259" i="1" s="1"/>
  <c r="CX259" i="1"/>
  <c r="W259" i="1" s="1"/>
  <c r="CZ259" i="1"/>
  <c r="GL259" i="1"/>
  <c r="GN259" i="1"/>
  <c r="GP259" i="1"/>
  <c r="GV259" i="1"/>
  <c r="HC259" i="1"/>
  <c r="GX259" i="1" s="1"/>
  <c r="AC260" i="1"/>
  <c r="AE260" i="1"/>
  <c r="AD260" i="1" s="1"/>
  <c r="AF260" i="1"/>
  <c r="AG260" i="1"/>
  <c r="CU260" i="1" s="1"/>
  <c r="AH260" i="1"/>
  <c r="AI260" i="1"/>
  <c r="CW260" i="1" s="1"/>
  <c r="AJ260" i="1"/>
  <c r="CR260" i="1"/>
  <c r="CT260" i="1"/>
  <c r="CV260" i="1"/>
  <c r="CX260" i="1"/>
  <c r="GL260" i="1"/>
  <c r="GN260" i="1"/>
  <c r="GP260" i="1"/>
  <c r="GV260" i="1"/>
  <c r="HC260" i="1"/>
  <c r="I261" i="1"/>
  <c r="S261" i="1"/>
  <c r="X261" i="1" s="1"/>
  <c r="AC261" i="1"/>
  <c r="P261" i="1" s="1"/>
  <c r="AE261" i="1"/>
  <c r="AD261" i="1" s="1"/>
  <c r="AF261" i="1"/>
  <c r="AG261" i="1"/>
  <c r="CU261" i="1" s="1"/>
  <c r="T261" i="1" s="1"/>
  <c r="AH261" i="1"/>
  <c r="AI261" i="1"/>
  <c r="CW261" i="1" s="1"/>
  <c r="V261" i="1" s="1"/>
  <c r="AJ261" i="1"/>
  <c r="CR261" i="1"/>
  <c r="CT261" i="1"/>
  <c r="CV261" i="1"/>
  <c r="U261" i="1" s="1"/>
  <c r="CX261" i="1"/>
  <c r="W261" i="1" s="1"/>
  <c r="CZ261" i="1"/>
  <c r="GL261" i="1"/>
  <c r="GN261" i="1"/>
  <c r="GP261" i="1"/>
  <c r="GV261" i="1"/>
  <c r="HC261" i="1"/>
  <c r="GX261" i="1" s="1"/>
  <c r="AC262" i="1"/>
  <c r="AE262" i="1"/>
  <c r="AD262" i="1" s="1"/>
  <c r="AF262" i="1"/>
  <c r="AG262" i="1"/>
  <c r="CU262" i="1" s="1"/>
  <c r="AH262" i="1"/>
  <c r="AI262" i="1"/>
  <c r="CW262" i="1" s="1"/>
  <c r="AJ262" i="1"/>
  <c r="CR262" i="1"/>
  <c r="CT262" i="1"/>
  <c r="CV262" i="1"/>
  <c r="CX262" i="1"/>
  <c r="GL262" i="1"/>
  <c r="GN262" i="1"/>
  <c r="GP262" i="1"/>
  <c r="GV262" i="1"/>
  <c r="HC262" i="1"/>
  <c r="C263" i="1"/>
  <c r="D263" i="1"/>
  <c r="I263" i="1"/>
  <c r="K263" i="1"/>
  <c r="P263" i="1"/>
  <c r="R263" i="1"/>
  <c r="AC263" i="1"/>
  <c r="AD263" i="1"/>
  <c r="AE263" i="1"/>
  <c r="Q263" i="1" s="1"/>
  <c r="AF263" i="1"/>
  <c r="AB263" i="1" s="1"/>
  <c r="AG263" i="1"/>
  <c r="AH263" i="1"/>
  <c r="CV263" i="1" s="1"/>
  <c r="U263" i="1" s="1"/>
  <c r="AI263" i="1"/>
  <c r="AJ263" i="1"/>
  <c r="CX263" i="1" s="1"/>
  <c r="W263" i="1" s="1"/>
  <c r="CQ263" i="1"/>
  <c r="CR263" i="1"/>
  <c r="CS263" i="1"/>
  <c r="CU263" i="1"/>
  <c r="T263" i="1" s="1"/>
  <c r="CW263" i="1"/>
  <c r="V263" i="1" s="1"/>
  <c r="GL263" i="1"/>
  <c r="GO263" i="1"/>
  <c r="GP263" i="1"/>
  <c r="GV263" i="1"/>
  <c r="GX263" i="1"/>
  <c r="HC263" i="1"/>
  <c r="C264" i="1"/>
  <c r="D264" i="1"/>
  <c r="I264" i="1"/>
  <c r="R264" i="1" s="1"/>
  <c r="K264" i="1"/>
  <c r="S264" i="1"/>
  <c r="Y264" i="1" s="1"/>
  <c r="AC264" i="1"/>
  <c r="AE264" i="1"/>
  <c r="Q264" i="1" s="1"/>
  <c r="AF264" i="1"/>
  <c r="AG264" i="1"/>
  <c r="CU264" i="1" s="1"/>
  <c r="T264" i="1" s="1"/>
  <c r="AH264" i="1"/>
  <c r="AI264" i="1"/>
  <c r="CW264" i="1" s="1"/>
  <c r="V264" i="1" s="1"/>
  <c r="AJ264" i="1"/>
  <c r="CR264" i="1"/>
  <c r="CT264" i="1"/>
  <c r="CV264" i="1"/>
  <c r="U264" i="1" s="1"/>
  <c r="CX264" i="1"/>
  <c r="W264" i="1" s="1"/>
  <c r="GL264" i="1"/>
  <c r="GO264" i="1"/>
  <c r="GP264" i="1"/>
  <c r="GV264" i="1"/>
  <c r="HC264" i="1" s="1"/>
  <c r="GX264" i="1" s="1"/>
  <c r="C265" i="1"/>
  <c r="D265" i="1"/>
  <c r="I265" i="1"/>
  <c r="K265" i="1"/>
  <c r="P265" i="1"/>
  <c r="R265" i="1"/>
  <c r="AC265" i="1"/>
  <c r="AD265" i="1"/>
  <c r="AB265" i="1" s="1"/>
  <c r="AE265" i="1"/>
  <c r="Q265" i="1" s="1"/>
  <c r="AF265" i="1"/>
  <c r="S265" i="1" s="1"/>
  <c r="CY265" i="1" s="1"/>
  <c r="AG265" i="1"/>
  <c r="AH265" i="1"/>
  <c r="CV265" i="1" s="1"/>
  <c r="U265" i="1" s="1"/>
  <c r="AI265" i="1"/>
  <c r="AJ265" i="1"/>
  <c r="CX265" i="1" s="1"/>
  <c r="W265" i="1" s="1"/>
  <c r="CQ265" i="1"/>
  <c r="CR265" i="1"/>
  <c r="CS265" i="1"/>
  <c r="CU265" i="1"/>
  <c r="T265" i="1" s="1"/>
  <c r="CW265" i="1"/>
  <c r="V265" i="1" s="1"/>
  <c r="GL265" i="1"/>
  <c r="GN265" i="1"/>
  <c r="GP265" i="1"/>
  <c r="GV265" i="1"/>
  <c r="GX265" i="1"/>
  <c r="HC265" i="1"/>
  <c r="C266" i="1"/>
  <c r="D266" i="1"/>
  <c r="I266" i="1"/>
  <c r="Q266" i="1" s="1"/>
  <c r="K266" i="1"/>
  <c r="AC266" i="1"/>
  <c r="P266" i="1" s="1"/>
  <c r="AE266" i="1"/>
  <c r="AF266" i="1"/>
  <c r="AG266" i="1"/>
  <c r="CU266" i="1" s="1"/>
  <c r="T266" i="1" s="1"/>
  <c r="AH266" i="1"/>
  <c r="AI266" i="1"/>
  <c r="CW266" i="1" s="1"/>
  <c r="AJ266" i="1"/>
  <c r="CR266" i="1"/>
  <c r="CT266" i="1"/>
  <c r="CV266" i="1"/>
  <c r="U266" i="1" s="1"/>
  <c r="CX266" i="1"/>
  <c r="GL266" i="1"/>
  <c r="GN266" i="1"/>
  <c r="GP266" i="1"/>
  <c r="GV266" i="1"/>
  <c r="HC266" i="1"/>
  <c r="I267" i="1"/>
  <c r="S267" i="1"/>
  <c r="AC267" i="1"/>
  <c r="P267" i="1" s="1"/>
  <c r="AE267" i="1"/>
  <c r="Y267" i="1" s="1"/>
  <c r="AF267" i="1"/>
  <c r="AG267" i="1"/>
  <c r="CU267" i="1" s="1"/>
  <c r="T267" i="1" s="1"/>
  <c r="AH267" i="1"/>
  <c r="AI267" i="1"/>
  <c r="CW267" i="1" s="1"/>
  <c r="V267" i="1" s="1"/>
  <c r="AJ267" i="1"/>
  <c r="CT267" i="1"/>
  <c r="CV267" i="1"/>
  <c r="U267" i="1" s="1"/>
  <c r="CX267" i="1"/>
  <c r="W267" i="1" s="1"/>
  <c r="GL267" i="1"/>
  <c r="GN267" i="1"/>
  <c r="GP267" i="1"/>
  <c r="GV267" i="1"/>
  <c r="HC267" i="1"/>
  <c r="GX267" i="1" s="1"/>
  <c r="AC268" i="1"/>
  <c r="AE268" i="1"/>
  <c r="AF268" i="1"/>
  <c r="AG268" i="1"/>
  <c r="CU268" i="1" s="1"/>
  <c r="AH268" i="1"/>
  <c r="AI268" i="1"/>
  <c r="CW268" i="1" s="1"/>
  <c r="AJ268" i="1"/>
  <c r="CR268" i="1"/>
  <c r="CT268" i="1"/>
  <c r="CV268" i="1"/>
  <c r="CX268" i="1"/>
  <c r="GL268" i="1"/>
  <c r="GN268" i="1"/>
  <c r="GP268" i="1"/>
  <c r="GV268" i="1"/>
  <c r="HC268" i="1"/>
  <c r="P269" i="1"/>
  <c r="R269" i="1"/>
  <c r="V269" i="1"/>
  <c r="AC269" i="1"/>
  <c r="AD269" i="1"/>
  <c r="AE269" i="1"/>
  <c r="Q269" i="1" s="1"/>
  <c r="AF269" i="1"/>
  <c r="AG269" i="1"/>
  <c r="AH269" i="1"/>
  <c r="CV269" i="1" s="1"/>
  <c r="U269" i="1" s="1"/>
  <c r="AI269" i="1"/>
  <c r="AJ269" i="1"/>
  <c r="CX269" i="1" s="1"/>
  <c r="W269" i="1" s="1"/>
  <c r="CQ269" i="1"/>
  <c r="CR269" i="1"/>
  <c r="CS269" i="1"/>
  <c r="CU269" i="1"/>
  <c r="T269" i="1" s="1"/>
  <c r="CW269" i="1"/>
  <c r="GL269" i="1"/>
  <c r="GN269" i="1"/>
  <c r="GP269" i="1"/>
  <c r="GV269" i="1"/>
  <c r="GX269" i="1"/>
  <c r="HC269" i="1"/>
  <c r="S270" i="1"/>
  <c r="AC270" i="1"/>
  <c r="AE270" i="1"/>
  <c r="Q270" i="1" s="1"/>
  <c r="AF270" i="1"/>
  <c r="AG270" i="1"/>
  <c r="CU270" i="1" s="1"/>
  <c r="T270" i="1" s="1"/>
  <c r="AH270" i="1"/>
  <c r="AI270" i="1"/>
  <c r="CW270" i="1" s="1"/>
  <c r="V270" i="1" s="1"/>
  <c r="AJ270" i="1"/>
  <c r="CR270" i="1"/>
  <c r="CT270" i="1"/>
  <c r="CV270" i="1"/>
  <c r="U270" i="1" s="1"/>
  <c r="CX270" i="1"/>
  <c r="W270" i="1" s="1"/>
  <c r="GL270" i="1"/>
  <c r="GN270" i="1"/>
  <c r="GP270" i="1"/>
  <c r="GV270" i="1"/>
  <c r="HC270" i="1" s="1"/>
  <c r="GX270" i="1" s="1"/>
  <c r="C271" i="1"/>
  <c r="D271" i="1"/>
  <c r="I271" i="1"/>
  <c r="K271" i="1"/>
  <c r="P271" i="1"/>
  <c r="R271" i="1"/>
  <c r="AC271" i="1"/>
  <c r="AD271" i="1"/>
  <c r="AB271" i="1" s="1"/>
  <c r="AE271" i="1"/>
  <c r="Q271" i="1" s="1"/>
  <c r="AF271" i="1"/>
  <c r="S271" i="1" s="1"/>
  <c r="CY271" i="1" s="1"/>
  <c r="AG271" i="1"/>
  <c r="AH271" i="1"/>
  <c r="CV271" i="1" s="1"/>
  <c r="U271" i="1" s="1"/>
  <c r="AI271" i="1"/>
  <c r="AJ271" i="1"/>
  <c r="CX271" i="1" s="1"/>
  <c r="W271" i="1" s="1"/>
  <c r="CQ271" i="1"/>
  <c r="CR271" i="1"/>
  <c r="CS271" i="1"/>
  <c r="CU271" i="1"/>
  <c r="T271" i="1" s="1"/>
  <c r="CW271" i="1"/>
  <c r="V271" i="1" s="1"/>
  <c r="GL271" i="1"/>
  <c r="GN271" i="1"/>
  <c r="GP271" i="1"/>
  <c r="GV271" i="1"/>
  <c r="GX271" i="1"/>
  <c r="HC271" i="1"/>
  <c r="C272" i="1"/>
  <c r="D272" i="1"/>
  <c r="I272" i="1"/>
  <c r="Q272" i="1" s="1"/>
  <c r="K272" i="1"/>
  <c r="AC272" i="1"/>
  <c r="AE272" i="1"/>
  <c r="AF272" i="1"/>
  <c r="AG272" i="1"/>
  <c r="CU272" i="1" s="1"/>
  <c r="T272" i="1" s="1"/>
  <c r="AH272" i="1"/>
  <c r="AI272" i="1"/>
  <c r="CW272" i="1" s="1"/>
  <c r="AJ272" i="1"/>
  <c r="CR272" i="1"/>
  <c r="CT272" i="1"/>
  <c r="CV272" i="1"/>
  <c r="U272" i="1" s="1"/>
  <c r="CX272" i="1"/>
  <c r="GL272" i="1"/>
  <c r="GN272" i="1"/>
  <c r="GP272" i="1"/>
  <c r="GV272" i="1"/>
  <c r="HC272" i="1"/>
  <c r="C273" i="1"/>
  <c r="D273" i="1"/>
  <c r="I273" i="1"/>
  <c r="K273" i="1"/>
  <c r="P273" i="1"/>
  <c r="R273" i="1"/>
  <c r="V273" i="1"/>
  <c r="AC273" i="1"/>
  <c r="AD273" i="1"/>
  <c r="AE273" i="1"/>
  <c r="Q273" i="1" s="1"/>
  <c r="AF273" i="1"/>
  <c r="AG273" i="1"/>
  <c r="AH273" i="1"/>
  <c r="CV273" i="1" s="1"/>
  <c r="U273" i="1" s="1"/>
  <c r="AI273" i="1"/>
  <c r="AJ273" i="1"/>
  <c r="CX273" i="1" s="1"/>
  <c r="W273" i="1" s="1"/>
  <c r="CQ273" i="1"/>
  <c r="CR273" i="1"/>
  <c r="CS273" i="1"/>
  <c r="CU273" i="1"/>
  <c r="T273" i="1" s="1"/>
  <c r="CW273" i="1"/>
  <c r="GL273" i="1"/>
  <c r="GN273" i="1"/>
  <c r="GP273" i="1"/>
  <c r="GV273" i="1"/>
  <c r="GX273" i="1"/>
  <c r="HC273" i="1"/>
  <c r="C274" i="1"/>
  <c r="D274" i="1"/>
  <c r="I274" i="1"/>
  <c r="R274" i="1" s="1"/>
  <c r="K274" i="1"/>
  <c r="S274" i="1"/>
  <c r="AC274" i="1"/>
  <c r="AE274" i="1"/>
  <c r="Q274" i="1" s="1"/>
  <c r="AF274" i="1"/>
  <c r="AG274" i="1"/>
  <c r="CU274" i="1" s="1"/>
  <c r="T274" i="1" s="1"/>
  <c r="AH274" i="1"/>
  <c r="AI274" i="1"/>
  <c r="CW274" i="1" s="1"/>
  <c r="V274" i="1" s="1"/>
  <c r="AJ274" i="1"/>
  <c r="CR274" i="1"/>
  <c r="CT274" i="1"/>
  <c r="CV274" i="1"/>
  <c r="U274" i="1" s="1"/>
  <c r="CX274" i="1"/>
  <c r="W274" i="1" s="1"/>
  <c r="GL274" i="1"/>
  <c r="GN274" i="1"/>
  <c r="GP274" i="1"/>
  <c r="GV274" i="1"/>
  <c r="HC274" i="1" s="1"/>
  <c r="GX274" i="1" s="1"/>
  <c r="I275" i="1"/>
  <c r="S275" i="1"/>
  <c r="AC275" i="1"/>
  <c r="AE275" i="1"/>
  <c r="Q275" i="1" s="1"/>
  <c r="AF275" i="1"/>
  <c r="AG275" i="1"/>
  <c r="CU275" i="1" s="1"/>
  <c r="T275" i="1" s="1"/>
  <c r="AH275" i="1"/>
  <c r="AI275" i="1"/>
  <c r="CW275" i="1" s="1"/>
  <c r="V275" i="1" s="1"/>
  <c r="AJ275" i="1"/>
  <c r="CR275" i="1"/>
  <c r="CT275" i="1"/>
  <c r="CV275" i="1"/>
  <c r="U275" i="1" s="1"/>
  <c r="CX275" i="1"/>
  <c r="W275" i="1" s="1"/>
  <c r="GL275" i="1"/>
  <c r="GN275" i="1"/>
  <c r="GO275" i="1"/>
  <c r="GP275" i="1"/>
  <c r="GV275" i="1"/>
  <c r="GX275" i="1"/>
  <c r="HC275" i="1"/>
  <c r="I276" i="1"/>
  <c r="R276" i="1" s="1"/>
  <c r="AC276" i="1"/>
  <c r="AD276" i="1"/>
  <c r="AE276" i="1"/>
  <c r="AF276" i="1"/>
  <c r="AG276" i="1"/>
  <c r="AH276" i="1"/>
  <c r="CV276" i="1" s="1"/>
  <c r="AI276" i="1"/>
  <c r="AJ276" i="1"/>
  <c r="CX276" i="1" s="1"/>
  <c r="W276" i="1" s="1"/>
  <c r="CQ276" i="1"/>
  <c r="CR276" i="1"/>
  <c r="CS276" i="1"/>
  <c r="CU276" i="1"/>
  <c r="T276" i="1" s="1"/>
  <c r="CW276" i="1"/>
  <c r="V276" i="1" s="1"/>
  <c r="GL276" i="1"/>
  <c r="GN276" i="1"/>
  <c r="GO276" i="1"/>
  <c r="GP276" i="1"/>
  <c r="GV276" i="1"/>
  <c r="HC276" i="1"/>
  <c r="GX276" i="1" s="1"/>
  <c r="P277" i="1"/>
  <c r="R277" i="1"/>
  <c r="AC277" i="1"/>
  <c r="AD277" i="1"/>
  <c r="AE277" i="1"/>
  <c r="Q277" i="1" s="1"/>
  <c r="AF277" i="1"/>
  <c r="AG277" i="1"/>
  <c r="AH277" i="1"/>
  <c r="CV277" i="1" s="1"/>
  <c r="U277" i="1" s="1"/>
  <c r="AI277" i="1"/>
  <c r="AJ277" i="1"/>
  <c r="CX277" i="1" s="1"/>
  <c r="W277" i="1" s="1"/>
  <c r="CQ277" i="1"/>
  <c r="CR277" i="1"/>
  <c r="CS277" i="1"/>
  <c r="CU277" i="1"/>
  <c r="T277" i="1" s="1"/>
  <c r="CW277" i="1"/>
  <c r="V277" i="1" s="1"/>
  <c r="AI288" i="1" s="1"/>
  <c r="GL277" i="1"/>
  <c r="GO277" i="1"/>
  <c r="GP277" i="1"/>
  <c r="GV277" i="1"/>
  <c r="GX277" i="1"/>
  <c r="HC277" i="1"/>
  <c r="S278" i="1"/>
  <c r="AC278" i="1"/>
  <c r="AE278" i="1"/>
  <c r="Q278" i="1" s="1"/>
  <c r="AF278" i="1"/>
  <c r="AG278" i="1"/>
  <c r="CU278" i="1" s="1"/>
  <c r="T278" i="1" s="1"/>
  <c r="AH278" i="1"/>
  <c r="AI278" i="1"/>
  <c r="CW278" i="1" s="1"/>
  <c r="V278" i="1" s="1"/>
  <c r="AJ278" i="1"/>
  <c r="CR278" i="1"/>
  <c r="CT278" i="1"/>
  <c r="CV278" i="1"/>
  <c r="U278" i="1" s="1"/>
  <c r="CX278" i="1"/>
  <c r="W278" i="1" s="1"/>
  <c r="GL278" i="1"/>
  <c r="GO278" i="1"/>
  <c r="GP278" i="1"/>
  <c r="GV278" i="1"/>
  <c r="HC278" i="1" s="1"/>
  <c r="GX278" i="1" s="1"/>
  <c r="P279" i="1"/>
  <c r="CP279" i="1" s="1"/>
  <c r="O279" i="1" s="1"/>
  <c r="R279" i="1"/>
  <c r="T279" i="1"/>
  <c r="AC279" i="1"/>
  <c r="AD279" i="1"/>
  <c r="AB279" i="1" s="1"/>
  <c r="AE279" i="1"/>
  <c r="Q279" i="1" s="1"/>
  <c r="AF279" i="1"/>
  <c r="S279" i="1" s="1"/>
  <c r="AG279" i="1"/>
  <c r="AH279" i="1"/>
  <c r="CV279" i="1" s="1"/>
  <c r="U279" i="1" s="1"/>
  <c r="AI279" i="1"/>
  <c r="AJ279" i="1"/>
  <c r="CX279" i="1" s="1"/>
  <c r="W279" i="1" s="1"/>
  <c r="CQ279" i="1"/>
  <c r="CR279" i="1"/>
  <c r="CS279" i="1"/>
  <c r="CU279" i="1"/>
  <c r="CW279" i="1"/>
  <c r="V279" i="1" s="1"/>
  <c r="CY279" i="1"/>
  <c r="GL279" i="1"/>
  <c r="GO279" i="1"/>
  <c r="GP279" i="1"/>
  <c r="GV279" i="1"/>
  <c r="HC279" i="1" s="1"/>
  <c r="GX279" i="1" s="1"/>
  <c r="Q280" i="1"/>
  <c r="S280" i="1"/>
  <c r="AC280" i="1"/>
  <c r="P280" i="1" s="1"/>
  <c r="CP280" i="1" s="1"/>
  <c r="O280" i="1" s="1"/>
  <c r="AE280" i="1"/>
  <c r="Y280" i="1" s="1"/>
  <c r="AF280" i="1"/>
  <c r="AG280" i="1"/>
  <c r="CU280" i="1" s="1"/>
  <c r="T280" i="1" s="1"/>
  <c r="AH280" i="1"/>
  <c r="AI280" i="1"/>
  <c r="CW280" i="1" s="1"/>
  <c r="V280" i="1" s="1"/>
  <c r="AJ280" i="1"/>
  <c r="CT280" i="1"/>
  <c r="CV280" i="1"/>
  <c r="U280" i="1" s="1"/>
  <c r="CX280" i="1"/>
  <c r="W280" i="1" s="1"/>
  <c r="GL280" i="1"/>
  <c r="GO280" i="1"/>
  <c r="GP280" i="1"/>
  <c r="GV280" i="1"/>
  <c r="HC280" i="1" s="1"/>
  <c r="GX280" i="1" s="1"/>
  <c r="C281" i="1"/>
  <c r="D281" i="1"/>
  <c r="I281" i="1"/>
  <c r="K281" i="1"/>
  <c r="P281" i="1"/>
  <c r="R281" i="1"/>
  <c r="T281" i="1"/>
  <c r="AC281" i="1"/>
  <c r="AD281" i="1"/>
  <c r="AB281" i="1" s="1"/>
  <c r="AE281" i="1"/>
  <c r="Q281" i="1" s="1"/>
  <c r="AF281" i="1"/>
  <c r="AG281" i="1"/>
  <c r="AH281" i="1"/>
  <c r="CV281" i="1" s="1"/>
  <c r="U281" i="1" s="1"/>
  <c r="AI281" i="1"/>
  <c r="AJ281" i="1"/>
  <c r="CX281" i="1" s="1"/>
  <c r="W281" i="1" s="1"/>
  <c r="CQ281" i="1"/>
  <c r="CR281" i="1"/>
  <c r="CS281" i="1"/>
  <c r="CU281" i="1"/>
  <c r="CW281" i="1"/>
  <c r="V281" i="1" s="1"/>
  <c r="GL281" i="1"/>
  <c r="GO281" i="1"/>
  <c r="GP281" i="1"/>
  <c r="GV281" i="1"/>
  <c r="GX281" i="1"/>
  <c r="HC281" i="1"/>
  <c r="C282" i="1"/>
  <c r="D282" i="1"/>
  <c r="I282" i="1"/>
  <c r="K282" i="1"/>
  <c r="S282" i="1"/>
  <c r="U282" i="1"/>
  <c r="W282" i="1"/>
  <c r="AC282" i="1"/>
  <c r="AE282" i="1"/>
  <c r="Q282" i="1" s="1"/>
  <c r="AF282" i="1"/>
  <c r="AG282" i="1"/>
  <c r="CU282" i="1" s="1"/>
  <c r="T282" i="1" s="1"/>
  <c r="AH282" i="1"/>
  <c r="AI282" i="1"/>
  <c r="CW282" i="1" s="1"/>
  <c r="V282" i="1" s="1"/>
  <c r="AJ282" i="1"/>
  <c r="CT282" i="1"/>
  <c r="CV282" i="1"/>
  <c r="CX282" i="1"/>
  <c r="GL282" i="1"/>
  <c r="GO282" i="1"/>
  <c r="GP282" i="1"/>
  <c r="GV282" i="1"/>
  <c r="HC282" i="1" s="1"/>
  <c r="GX282" i="1" s="1"/>
  <c r="I283" i="1"/>
  <c r="Q283" i="1"/>
  <c r="S283" i="1"/>
  <c r="U283" i="1"/>
  <c r="Y283" i="1"/>
  <c r="AC283" i="1"/>
  <c r="AE283" i="1"/>
  <c r="AF283" i="1"/>
  <c r="AG283" i="1"/>
  <c r="CU283" i="1" s="1"/>
  <c r="T283" i="1" s="1"/>
  <c r="AH283" i="1"/>
  <c r="AI283" i="1"/>
  <c r="CW283" i="1" s="1"/>
  <c r="V283" i="1" s="1"/>
  <c r="AJ283" i="1"/>
  <c r="CR283" i="1"/>
  <c r="CT283" i="1"/>
  <c r="CV283" i="1"/>
  <c r="CX283" i="1"/>
  <c r="W283" i="1" s="1"/>
  <c r="CZ283" i="1"/>
  <c r="GL283" i="1"/>
  <c r="GO283" i="1"/>
  <c r="GP283" i="1"/>
  <c r="GV283" i="1"/>
  <c r="HC283" i="1" s="1"/>
  <c r="GX283" i="1" s="1"/>
  <c r="AB284" i="1"/>
  <c r="AC284" i="1"/>
  <c r="AE284" i="1"/>
  <c r="AD284" i="1" s="1"/>
  <c r="AF284" i="1"/>
  <c r="AG284" i="1"/>
  <c r="CU284" i="1" s="1"/>
  <c r="AH284" i="1"/>
  <c r="AI284" i="1"/>
  <c r="AJ284" i="1"/>
  <c r="CR284" i="1"/>
  <c r="CS284" i="1"/>
  <c r="CT284" i="1"/>
  <c r="CV284" i="1"/>
  <c r="CW284" i="1"/>
  <c r="CX284" i="1"/>
  <c r="GL284" i="1"/>
  <c r="GO284" i="1"/>
  <c r="GP284" i="1"/>
  <c r="GV284" i="1"/>
  <c r="HC284" i="1" s="1"/>
  <c r="C285" i="1"/>
  <c r="D285" i="1"/>
  <c r="I285" i="1"/>
  <c r="K285" i="1"/>
  <c r="R285" i="1"/>
  <c r="S285" i="1"/>
  <c r="Y285" i="1" s="1"/>
  <c r="X285" i="1"/>
  <c r="AC285" i="1"/>
  <c r="P285" i="1" s="1"/>
  <c r="CP285" i="1" s="1"/>
  <c r="O285" i="1" s="1"/>
  <c r="GM285" i="1" s="1"/>
  <c r="GN285" i="1" s="1"/>
  <c r="AD285" i="1"/>
  <c r="AB285" i="1" s="1"/>
  <c r="AE285" i="1"/>
  <c r="Q285" i="1" s="1"/>
  <c r="AF285" i="1"/>
  <c r="CT285" i="1" s="1"/>
  <c r="AG285" i="1"/>
  <c r="AH285" i="1"/>
  <c r="CV285" i="1" s="1"/>
  <c r="U285" i="1" s="1"/>
  <c r="AI285" i="1"/>
  <c r="AJ285" i="1"/>
  <c r="CX285" i="1" s="1"/>
  <c r="W285" i="1" s="1"/>
  <c r="CQ285" i="1"/>
  <c r="CR285" i="1"/>
  <c r="CS285" i="1"/>
  <c r="CU285" i="1"/>
  <c r="T285" i="1" s="1"/>
  <c r="CW285" i="1"/>
  <c r="V285" i="1" s="1"/>
  <c r="CY285" i="1"/>
  <c r="CZ285" i="1"/>
  <c r="GL285" i="1"/>
  <c r="GO285" i="1"/>
  <c r="GP285" i="1"/>
  <c r="GV285" i="1"/>
  <c r="GX285" i="1"/>
  <c r="HC285" i="1"/>
  <c r="C286" i="1"/>
  <c r="D286" i="1"/>
  <c r="I286" i="1"/>
  <c r="R286" i="1" s="1"/>
  <c r="K286" i="1"/>
  <c r="AC286" i="1"/>
  <c r="P286" i="1" s="1"/>
  <c r="AE286" i="1"/>
  <c r="Q286" i="1" s="1"/>
  <c r="AF286" i="1"/>
  <c r="S286" i="1" s="1"/>
  <c r="AG286" i="1"/>
  <c r="CU286" i="1" s="1"/>
  <c r="T286" i="1" s="1"/>
  <c r="AH286" i="1"/>
  <c r="AI286" i="1"/>
  <c r="CW286" i="1" s="1"/>
  <c r="V286" i="1" s="1"/>
  <c r="AJ286" i="1"/>
  <c r="CX286" i="1" s="1"/>
  <c r="W286" i="1" s="1"/>
  <c r="CR286" i="1"/>
  <c r="CV286" i="1"/>
  <c r="U286" i="1" s="1"/>
  <c r="GL286" i="1"/>
  <c r="GO286" i="1"/>
  <c r="GP286" i="1"/>
  <c r="GV286" i="1"/>
  <c r="HC286" i="1"/>
  <c r="GX286" i="1" s="1"/>
  <c r="B288" i="1"/>
  <c r="B199" i="1" s="1"/>
  <c r="C288" i="1"/>
  <c r="C199" i="1" s="1"/>
  <c r="D288" i="1"/>
  <c r="D199" i="1" s="1"/>
  <c r="F288" i="1"/>
  <c r="F199" i="1" s="1"/>
  <c r="G288" i="1"/>
  <c r="G199" i="1" s="1"/>
  <c r="BX288" i="1"/>
  <c r="BX199" i="1" s="1"/>
  <c r="BZ288" i="1"/>
  <c r="BZ199" i="1" s="1"/>
  <c r="CD288" i="1"/>
  <c r="CD199" i="1" s="1"/>
  <c r="CK288" i="1"/>
  <c r="CK199" i="1" s="1"/>
  <c r="CL288" i="1"/>
  <c r="CL199" i="1" s="1"/>
  <c r="CM288" i="1"/>
  <c r="CM199" i="1" s="1"/>
  <c r="FP288" i="1"/>
  <c r="FP199" i="1" s="1"/>
  <c r="FR288" i="1"/>
  <c r="FR199" i="1" s="1"/>
  <c r="FV288" i="1"/>
  <c r="FV199" i="1" s="1"/>
  <c r="GC288" i="1"/>
  <c r="GC199" i="1" s="1"/>
  <c r="GD288" i="1"/>
  <c r="GD199" i="1" s="1"/>
  <c r="GE288" i="1"/>
  <c r="GE199" i="1" s="1"/>
  <c r="B318" i="1"/>
  <c r="B22" i="1" s="1"/>
  <c r="C318" i="1"/>
  <c r="C22" i="1" s="1"/>
  <c r="D318" i="1"/>
  <c r="D22" i="1" s="1"/>
  <c r="F318" i="1"/>
  <c r="F22" i="1" s="1"/>
  <c r="G318" i="1"/>
  <c r="G22" i="1" s="1"/>
  <c r="B351" i="1"/>
  <c r="B18" i="1" s="1"/>
  <c r="C351" i="1"/>
  <c r="C18" i="1" s="1"/>
  <c r="D351" i="1"/>
  <c r="D18" i="1" s="1"/>
  <c r="F351" i="1"/>
  <c r="F18" i="1" s="1"/>
  <c r="G351" i="1"/>
  <c r="G18" i="1" s="1"/>
  <c r="F12" i="6"/>
  <c r="G12" i="6"/>
  <c r="H449" i="7" l="1"/>
  <c r="J431" i="7"/>
  <c r="J278" i="7"/>
  <c r="J460" i="7"/>
  <c r="J453" i="7"/>
  <c r="J449" i="7"/>
  <c r="H460" i="7"/>
  <c r="H453" i="7"/>
  <c r="H278" i="7"/>
  <c r="H157" i="7"/>
  <c r="H295" i="7"/>
  <c r="CP286" i="1"/>
  <c r="O286" i="1" s="1"/>
  <c r="AH288" i="1"/>
  <c r="AJ288" i="1"/>
  <c r="GX284" i="1"/>
  <c r="W284" i="1"/>
  <c r="AI199" i="1"/>
  <c r="V288" i="1"/>
  <c r="AG288" i="1"/>
  <c r="Y286" i="1"/>
  <c r="CZ286" i="1"/>
  <c r="X286" i="1"/>
  <c r="CY286" i="1"/>
  <c r="CJ288" i="1"/>
  <c r="EU288" i="1"/>
  <c r="AO288" i="1"/>
  <c r="FY288" i="1"/>
  <c r="ET288" i="1"/>
  <c r="BD288" i="1"/>
  <c r="CQ286" i="1"/>
  <c r="AD286" i="1"/>
  <c r="AB286" i="1" s="1"/>
  <c r="CZ282" i="1"/>
  <c r="CR282" i="1"/>
  <c r="P282" i="1"/>
  <c r="CP282" i="1" s="1"/>
  <c r="O282" i="1" s="1"/>
  <c r="CQ282" i="1"/>
  <c r="X282" i="1"/>
  <c r="CY282" i="1"/>
  <c r="CW715" i="3"/>
  <c r="CX717" i="3"/>
  <c r="CV712" i="3"/>
  <c r="CU712" i="3"/>
  <c r="CX713" i="3"/>
  <c r="CX715" i="3"/>
  <c r="R282" i="1"/>
  <c r="I284" i="1"/>
  <c r="S281" i="1"/>
  <c r="CT281" i="1"/>
  <c r="CZ280" i="1"/>
  <c r="CR280" i="1"/>
  <c r="Y279" i="1"/>
  <c r="CZ279" i="1"/>
  <c r="X279" i="1"/>
  <c r="P278" i="1"/>
  <c r="CP278" i="1" s="1"/>
  <c r="O278" i="1" s="1"/>
  <c r="CQ278" i="1"/>
  <c r="Y274" i="1"/>
  <c r="CZ274" i="1"/>
  <c r="X274" i="1"/>
  <c r="CY274" i="1"/>
  <c r="CP273" i="1"/>
  <c r="O273" i="1" s="1"/>
  <c r="W272" i="1"/>
  <c r="Y270" i="1"/>
  <c r="CZ270" i="1"/>
  <c r="X270" i="1"/>
  <c r="CY270" i="1"/>
  <c r="CZ267" i="1"/>
  <c r="CR267" i="1"/>
  <c r="W266" i="1"/>
  <c r="CP241" i="1"/>
  <c r="O241" i="1" s="1"/>
  <c r="X229" i="1"/>
  <c r="CY229" i="1"/>
  <c r="Y229" i="1"/>
  <c r="CZ229" i="1"/>
  <c r="CP217" i="1"/>
  <c r="O217" i="1" s="1"/>
  <c r="X201" i="1"/>
  <c r="CY201" i="1"/>
  <c r="Y201" i="1"/>
  <c r="CZ201" i="1"/>
  <c r="X162" i="1"/>
  <c r="CY162" i="1"/>
  <c r="Y162" i="1"/>
  <c r="CZ162" i="1"/>
  <c r="EG288" i="1"/>
  <c r="BC288" i="1"/>
  <c r="AU288" i="1"/>
  <c r="AQ288" i="1"/>
  <c r="CT286" i="1"/>
  <c r="R283" i="1"/>
  <c r="CS283" i="1"/>
  <c r="AD283" i="1"/>
  <c r="AB283" i="1" s="1"/>
  <c r="Y282" i="1"/>
  <c r="CP281" i="1"/>
  <c r="O281" i="1" s="1"/>
  <c r="U276" i="1"/>
  <c r="P275" i="1"/>
  <c r="CQ275" i="1"/>
  <c r="S273" i="1"/>
  <c r="CT273" i="1"/>
  <c r="AB273" i="1"/>
  <c r="GX272" i="1"/>
  <c r="V272" i="1"/>
  <c r="AD272" i="1"/>
  <c r="CS272" i="1"/>
  <c r="CP271" i="1"/>
  <c r="O271" i="1" s="1"/>
  <c r="S269" i="1"/>
  <c r="CT269" i="1"/>
  <c r="AB269" i="1"/>
  <c r="AD268" i="1"/>
  <c r="CS268" i="1"/>
  <c r="GX266" i="1"/>
  <c r="V266" i="1"/>
  <c r="AD266" i="1"/>
  <c r="CS266" i="1"/>
  <c r="CP265" i="1"/>
  <c r="O265" i="1" s="1"/>
  <c r="X255" i="1"/>
  <c r="CY255" i="1"/>
  <c r="Y255" i="1"/>
  <c r="CZ255" i="1"/>
  <c r="X237" i="1"/>
  <c r="CY237" i="1"/>
  <c r="Y237" i="1"/>
  <c r="CZ237" i="1"/>
  <c r="CP229" i="1"/>
  <c r="O229" i="1" s="1"/>
  <c r="GM229" i="1" s="1"/>
  <c r="GO229" i="1" s="1"/>
  <c r="CP201" i="1"/>
  <c r="O201" i="1" s="1"/>
  <c r="CP165" i="1"/>
  <c r="O165" i="1" s="1"/>
  <c r="GM165" i="1" s="1"/>
  <c r="GO165" i="1" s="1"/>
  <c r="EV288" i="1"/>
  <c r="CG288" i="1"/>
  <c r="BB288" i="1"/>
  <c r="CS286" i="1"/>
  <c r="P284" i="1"/>
  <c r="CQ284" i="1"/>
  <c r="P283" i="1"/>
  <c r="CP283" i="1" s="1"/>
  <c r="O283" i="1" s="1"/>
  <c r="CQ283" i="1"/>
  <c r="X283" i="1"/>
  <c r="CY283" i="1"/>
  <c r="AD280" i="1"/>
  <c r="R280" i="1"/>
  <c r="CS280" i="1"/>
  <c r="X280" i="1"/>
  <c r="GM280" i="1" s="1"/>
  <c r="GN280" i="1" s="1"/>
  <c r="Y278" i="1"/>
  <c r="CZ278" i="1"/>
  <c r="X278" i="1"/>
  <c r="CY278" i="1"/>
  <c r="P276" i="1"/>
  <c r="Q276" i="1"/>
  <c r="P274" i="1"/>
  <c r="CP274" i="1" s="1"/>
  <c r="O274" i="1" s="1"/>
  <c r="CQ274" i="1"/>
  <c r="P272" i="1"/>
  <c r="CP272" i="1" s="1"/>
  <c r="O272" i="1" s="1"/>
  <c r="Y271" i="1"/>
  <c r="CZ271" i="1"/>
  <c r="X271" i="1"/>
  <c r="AB270" i="1"/>
  <c r="P270" i="1"/>
  <c r="CP270" i="1" s="1"/>
  <c r="O270" i="1" s="1"/>
  <c r="CQ270" i="1"/>
  <c r="AD267" i="1"/>
  <c r="R267" i="1"/>
  <c r="CS267" i="1"/>
  <c r="X267" i="1"/>
  <c r="CP266" i="1"/>
  <c r="O266" i="1" s="1"/>
  <c r="Y265" i="1"/>
  <c r="CZ265" i="1"/>
  <c r="X265" i="1"/>
  <c r="P258" i="1"/>
  <c r="CP255" i="1"/>
  <c r="O255" i="1" s="1"/>
  <c r="AB249" i="1"/>
  <c r="CP237" i="1"/>
  <c r="O237" i="1" s="1"/>
  <c r="X165" i="1"/>
  <c r="CY165" i="1"/>
  <c r="Y165" i="1"/>
  <c r="CZ165" i="1"/>
  <c r="X164" i="1"/>
  <c r="CY164" i="1"/>
  <c r="Y164" i="1"/>
  <c r="CZ164" i="1"/>
  <c r="Y163" i="1"/>
  <c r="CZ163" i="1"/>
  <c r="X163" i="1"/>
  <c r="CY163" i="1"/>
  <c r="CP163" i="1"/>
  <c r="O163" i="1" s="1"/>
  <c r="AI167" i="1"/>
  <c r="EM288" i="1"/>
  <c r="EI288" i="1"/>
  <c r="CW725" i="3"/>
  <c r="CX727" i="3"/>
  <c r="CU724" i="3"/>
  <c r="CX725" i="3"/>
  <c r="CX728" i="3"/>
  <c r="CV724" i="3"/>
  <c r="CW726" i="3"/>
  <c r="T284" i="1"/>
  <c r="CS282" i="1"/>
  <c r="AD282" i="1"/>
  <c r="AB282" i="1" s="1"/>
  <c r="GM279" i="1"/>
  <c r="GN279" i="1" s="1"/>
  <c r="S277" i="1"/>
  <c r="CT277" i="1"/>
  <c r="AB277" i="1"/>
  <c r="S276" i="1"/>
  <c r="CT276" i="1"/>
  <c r="AB276" i="1"/>
  <c r="Y275" i="1"/>
  <c r="CZ275" i="1"/>
  <c r="X275" i="1"/>
  <c r="CY275" i="1"/>
  <c r="CW692" i="3"/>
  <c r="CX694" i="3"/>
  <c r="CU691" i="3"/>
  <c r="CX692" i="3"/>
  <c r="S272" i="1"/>
  <c r="R272" i="1"/>
  <c r="CP267" i="1"/>
  <c r="O267" i="1" s="1"/>
  <c r="GM267" i="1" s="1"/>
  <c r="GO267" i="1" s="1"/>
  <c r="Q267" i="1"/>
  <c r="CU681" i="3"/>
  <c r="CX682" i="3"/>
  <c r="CV681" i="3"/>
  <c r="CX681" i="3"/>
  <c r="S266" i="1"/>
  <c r="R266" i="1"/>
  <c r="I268" i="1"/>
  <c r="U262" i="1"/>
  <c r="GX258" i="1"/>
  <c r="T258" i="1"/>
  <c r="AB252" i="1"/>
  <c r="AB250" i="1"/>
  <c r="X241" i="1"/>
  <c r="CY241" i="1"/>
  <c r="Y241" i="1"/>
  <c r="CZ241" i="1"/>
  <c r="GX220" i="1"/>
  <c r="X217" i="1"/>
  <c r="CY217" i="1"/>
  <c r="Y217" i="1"/>
  <c r="CZ217" i="1"/>
  <c r="CJ167" i="1"/>
  <c r="CU719" i="3"/>
  <c r="CX723" i="3"/>
  <c r="CV719" i="3"/>
  <c r="CX719" i="3"/>
  <c r="CX721" i="3"/>
  <c r="AB280" i="1"/>
  <c r="AD278" i="1"/>
  <c r="AB278" i="1" s="1"/>
  <c r="AD275" i="1"/>
  <c r="AB275" i="1" s="1"/>
  <c r="AD274" i="1"/>
  <c r="AB274" i="1" s="1"/>
  <c r="AB272" i="1"/>
  <c r="CU685" i="3"/>
  <c r="CV685" i="3"/>
  <c r="CW687" i="3"/>
  <c r="CX690" i="3"/>
  <c r="CX685" i="3"/>
  <c r="CX687" i="3"/>
  <c r="AD270" i="1"/>
  <c r="AB268" i="1"/>
  <c r="AB267" i="1"/>
  <c r="AB266" i="1"/>
  <c r="CW678" i="3"/>
  <c r="CU677" i="3"/>
  <c r="CX678" i="3"/>
  <c r="CY264" i="1"/>
  <c r="CQ264" i="1"/>
  <c r="AD264" i="1"/>
  <c r="AB264" i="1" s="1"/>
  <c r="X264" i="1"/>
  <c r="P264" i="1"/>
  <c r="CP264" i="1" s="1"/>
  <c r="O264" i="1" s="1"/>
  <c r="CT263" i="1"/>
  <c r="S263" i="1"/>
  <c r="CS262" i="1"/>
  <c r="AB262" i="1"/>
  <c r="I262" i="1"/>
  <c r="GX262" i="1" s="1"/>
  <c r="CS261" i="1"/>
  <c r="AB261" i="1"/>
  <c r="R261" i="1"/>
  <c r="CS260" i="1"/>
  <c r="AB260" i="1"/>
  <c r="I260" i="1"/>
  <c r="GX260" i="1" s="1"/>
  <c r="CS259" i="1"/>
  <c r="AB259" i="1"/>
  <c r="R259" i="1"/>
  <c r="CS258" i="1"/>
  <c r="AB258" i="1"/>
  <c r="I258" i="1"/>
  <c r="U258" i="1" s="1"/>
  <c r="CS257" i="1"/>
  <c r="AB257" i="1"/>
  <c r="R257" i="1"/>
  <c r="CS256" i="1"/>
  <c r="AB256" i="1"/>
  <c r="CX642" i="3"/>
  <c r="CW636" i="3"/>
  <c r="CW638" i="3"/>
  <c r="CW640" i="3"/>
  <c r="CX643" i="3"/>
  <c r="CX647" i="3"/>
  <c r="CX651" i="3"/>
  <c r="CU635" i="3"/>
  <c r="CX636" i="3"/>
  <c r="CX638" i="3"/>
  <c r="CX640" i="3"/>
  <c r="CY254" i="1"/>
  <c r="CQ254" i="1"/>
  <c r="AD254" i="1"/>
  <c r="AB254" i="1" s="1"/>
  <c r="X254" i="1"/>
  <c r="P254" i="1"/>
  <c r="CP254" i="1" s="1"/>
  <c r="O254" i="1" s="1"/>
  <c r="GM254" i="1" s="1"/>
  <c r="GO254" i="1" s="1"/>
  <c r="CY253" i="1"/>
  <c r="CQ253" i="1"/>
  <c r="AD253" i="1"/>
  <c r="AB253" i="1" s="1"/>
  <c r="X253" i="1"/>
  <c r="P253" i="1"/>
  <c r="CP253" i="1" s="1"/>
  <c r="O253" i="1" s="1"/>
  <c r="GM253" i="1" s="1"/>
  <c r="GO253" i="1" s="1"/>
  <c r="CQ252" i="1"/>
  <c r="AD252" i="1"/>
  <c r="CY251" i="1"/>
  <c r="CQ251" i="1"/>
  <c r="AD251" i="1"/>
  <c r="AB251" i="1" s="1"/>
  <c r="X251" i="1"/>
  <c r="P251" i="1"/>
  <c r="CP251" i="1" s="1"/>
  <c r="O251" i="1" s="1"/>
  <c r="GM251" i="1" s="1"/>
  <c r="GO251" i="1" s="1"/>
  <c r="CQ250" i="1"/>
  <c r="AD250" i="1"/>
  <c r="CY249" i="1"/>
  <c r="CQ249" i="1"/>
  <c r="AD249" i="1"/>
  <c r="X249" i="1"/>
  <c r="P249" i="1"/>
  <c r="CP249" i="1" s="1"/>
  <c r="O249" i="1" s="1"/>
  <c r="GM249" i="1" s="1"/>
  <c r="GO249" i="1" s="1"/>
  <c r="CY248" i="1"/>
  <c r="CQ248" i="1"/>
  <c r="AD248" i="1"/>
  <c r="AB248" i="1" s="1"/>
  <c r="X248" i="1"/>
  <c r="P248" i="1"/>
  <c r="CP248" i="1" s="1"/>
  <c r="O248" i="1" s="1"/>
  <c r="CT247" i="1"/>
  <c r="S247" i="1"/>
  <c r="CS246" i="1"/>
  <c r="AB246" i="1"/>
  <c r="I246" i="1"/>
  <c r="U246" i="1" s="1"/>
  <c r="CS245" i="1"/>
  <c r="AB245" i="1"/>
  <c r="R245" i="1"/>
  <c r="CS244" i="1"/>
  <c r="AB244" i="1"/>
  <c r="I244" i="1"/>
  <c r="P244" i="1" s="1"/>
  <c r="CS243" i="1"/>
  <c r="AB243" i="1"/>
  <c r="R243" i="1"/>
  <c r="CS242" i="1"/>
  <c r="AB242" i="1"/>
  <c r="CX587" i="3"/>
  <c r="CX591" i="3"/>
  <c r="CW586" i="3"/>
  <c r="CX588" i="3"/>
  <c r="CX592" i="3"/>
  <c r="CU585" i="3"/>
  <c r="CW587" i="3"/>
  <c r="CY240" i="1"/>
  <c r="CQ240" i="1"/>
  <c r="AD240" i="1"/>
  <c r="AB240" i="1" s="1"/>
  <c r="X240" i="1"/>
  <c r="P240" i="1"/>
  <c r="CP240" i="1" s="1"/>
  <c r="O240" i="1" s="1"/>
  <c r="CT239" i="1"/>
  <c r="S239" i="1"/>
  <c r="CP239" i="1" s="1"/>
  <c r="O239" i="1" s="1"/>
  <c r="CS238" i="1"/>
  <c r="AB238" i="1"/>
  <c r="R238" i="1"/>
  <c r="CQ236" i="1"/>
  <c r="AD236" i="1"/>
  <c r="AB236" i="1" s="1"/>
  <c r="CY235" i="1"/>
  <c r="CQ235" i="1"/>
  <c r="AD235" i="1"/>
  <c r="AB235" i="1" s="1"/>
  <c r="X235" i="1"/>
  <c r="P235" i="1"/>
  <c r="CY234" i="1"/>
  <c r="CQ234" i="1"/>
  <c r="AD234" i="1"/>
  <c r="AB234" i="1" s="1"/>
  <c r="X234" i="1"/>
  <c r="P234" i="1"/>
  <c r="CP234" i="1" s="1"/>
  <c r="O234" i="1" s="1"/>
  <c r="GM234" i="1" s="1"/>
  <c r="GO234" i="1" s="1"/>
  <c r="CT233" i="1"/>
  <c r="S233" i="1"/>
  <c r="CS232" i="1"/>
  <c r="AB232" i="1"/>
  <c r="I232" i="1"/>
  <c r="V232" i="1" s="1"/>
  <c r="CS231" i="1"/>
  <c r="AB231" i="1"/>
  <c r="R231" i="1"/>
  <c r="CS230" i="1"/>
  <c r="AB230" i="1"/>
  <c r="CX553" i="3"/>
  <c r="CW552" i="3"/>
  <c r="CX554" i="3"/>
  <c r="CX558" i="3"/>
  <c r="CU551" i="3"/>
  <c r="CW553" i="3"/>
  <c r="CX556" i="3"/>
  <c r="CY228" i="1"/>
  <c r="CQ228" i="1"/>
  <c r="AD228" i="1"/>
  <c r="AB228" i="1" s="1"/>
  <c r="X228" i="1"/>
  <c r="P228" i="1"/>
  <c r="CP228" i="1" s="1"/>
  <c r="O228" i="1" s="1"/>
  <c r="CT227" i="1"/>
  <c r="S227" i="1"/>
  <c r="CS226" i="1"/>
  <c r="AB226" i="1"/>
  <c r="R226" i="1"/>
  <c r="CT225" i="1"/>
  <c r="S225" i="1"/>
  <c r="CQ224" i="1"/>
  <c r="AD224" i="1"/>
  <c r="AB224" i="1" s="1"/>
  <c r="CY223" i="1"/>
  <c r="CQ223" i="1"/>
  <c r="AD223" i="1"/>
  <c r="AB223" i="1" s="1"/>
  <c r="X223" i="1"/>
  <c r="P223" i="1"/>
  <c r="CP223" i="1" s="1"/>
  <c r="O223" i="1" s="1"/>
  <c r="GM223" i="1" s="1"/>
  <c r="GN223" i="1" s="1"/>
  <c r="CY222" i="1"/>
  <c r="CQ222" i="1"/>
  <c r="AD222" i="1"/>
  <c r="AB222" i="1" s="1"/>
  <c r="X222" i="1"/>
  <c r="P222" i="1"/>
  <c r="CP222" i="1" s="1"/>
  <c r="O222" i="1" s="1"/>
  <c r="CT221" i="1"/>
  <c r="S221" i="1"/>
  <c r="CS220" i="1"/>
  <c r="AB220" i="1"/>
  <c r="I220" i="1"/>
  <c r="V220" i="1" s="1"/>
  <c r="CS219" i="1"/>
  <c r="AB219" i="1"/>
  <c r="R219" i="1"/>
  <c r="CS218" i="1"/>
  <c r="AB218" i="1"/>
  <c r="CX512" i="3"/>
  <c r="CU509" i="3"/>
  <c r="CX510" i="3"/>
  <c r="CX513" i="3"/>
  <c r="CV509" i="3"/>
  <c r="CX509" i="3"/>
  <c r="CQ216" i="1"/>
  <c r="AD216" i="1"/>
  <c r="AB216" i="1" s="1"/>
  <c r="CY215" i="1"/>
  <c r="CQ215" i="1"/>
  <c r="AD215" i="1"/>
  <c r="AB215" i="1" s="1"/>
  <c r="X215" i="1"/>
  <c r="P215" i="1"/>
  <c r="CP215" i="1" s="1"/>
  <c r="O215" i="1" s="1"/>
  <c r="CY214" i="1"/>
  <c r="CQ214" i="1"/>
  <c r="AD214" i="1"/>
  <c r="AB214" i="1" s="1"/>
  <c r="X214" i="1"/>
  <c r="P214" i="1"/>
  <c r="CP214" i="1" s="1"/>
  <c r="O214" i="1" s="1"/>
  <c r="CT213" i="1"/>
  <c r="S213" i="1"/>
  <c r="CS212" i="1"/>
  <c r="AB212" i="1"/>
  <c r="R212" i="1"/>
  <c r="CS211" i="1"/>
  <c r="AB211" i="1"/>
  <c r="R211" i="1"/>
  <c r="CS210" i="1"/>
  <c r="AB210" i="1"/>
  <c r="R210" i="1"/>
  <c r="CS209" i="1"/>
  <c r="AB209" i="1"/>
  <c r="R209" i="1"/>
  <c r="CS208" i="1"/>
  <c r="AB208" i="1"/>
  <c r="R208" i="1"/>
  <c r="CT207" i="1"/>
  <c r="S207" i="1"/>
  <c r="CY206" i="1"/>
  <c r="CQ206" i="1"/>
  <c r="AD206" i="1"/>
  <c r="AB206" i="1" s="1"/>
  <c r="X206" i="1"/>
  <c r="P206" i="1"/>
  <c r="CP206" i="1" s="1"/>
  <c r="O206" i="1" s="1"/>
  <c r="CT205" i="1"/>
  <c r="S205" i="1"/>
  <c r="CP205" i="1" s="1"/>
  <c r="O205" i="1" s="1"/>
  <c r="CS204" i="1"/>
  <c r="AB204" i="1"/>
  <c r="I204" i="1"/>
  <c r="U204" i="1" s="1"/>
  <c r="CS203" i="1"/>
  <c r="AB203" i="1"/>
  <c r="R203" i="1"/>
  <c r="CS202" i="1"/>
  <c r="AB202" i="1"/>
  <c r="CX466" i="3"/>
  <c r="CX457" i="3"/>
  <c r="CX459" i="3"/>
  <c r="CX463" i="3"/>
  <c r="CX467" i="3"/>
  <c r="CU457" i="3"/>
  <c r="GA167" i="1"/>
  <c r="EV167" i="1"/>
  <c r="BB167" i="1"/>
  <c r="AX167" i="1"/>
  <c r="AB165" i="1"/>
  <c r="Q164" i="1"/>
  <c r="CP164" i="1" s="1"/>
  <c r="O164" i="1" s="1"/>
  <c r="GM164" i="1" s="1"/>
  <c r="GO164" i="1" s="1"/>
  <c r="Q162" i="1"/>
  <c r="AB161" i="1"/>
  <c r="CU438" i="3"/>
  <c r="CV438" i="3"/>
  <c r="CW440" i="3"/>
  <c r="CX443" i="3"/>
  <c r="CX438" i="3"/>
  <c r="CX440" i="3"/>
  <c r="P158" i="1"/>
  <c r="CQ158" i="1"/>
  <c r="CU431" i="3"/>
  <c r="CX431" i="3"/>
  <c r="CX433" i="3"/>
  <c r="R158" i="1"/>
  <c r="S151" i="1"/>
  <c r="CT151" i="1"/>
  <c r="AB151" i="1"/>
  <c r="P150" i="1"/>
  <c r="Q150" i="1"/>
  <c r="S147" i="1"/>
  <c r="CT147" i="1"/>
  <c r="AB147" i="1"/>
  <c r="X144" i="1"/>
  <c r="CY144" i="1"/>
  <c r="Y144" i="1"/>
  <c r="CZ144" i="1"/>
  <c r="X142" i="1"/>
  <c r="CY142" i="1"/>
  <c r="Y142" i="1"/>
  <c r="CZ142" i="1"/>
  <c r="X137" i="1"/>
  <c r="CY137" i="1"/>
  <c r="Y137" i="1"/>
  <c r="CZ137" i="1"/>
  <c r="X124" i="1"/>
  <c r="CY124" i="1"/>
  <c r="Y124" i="1"/>
  <c r="CZ124" i="1"/>
  <c r="CP124" i="1"/>
  <c r="O124" i="1" s="1"/>
  <c r="GM124" i="1" s="1"/>
  <c r="GO124" i="1" s="1"/>
  <c r="CP120" i="1"/>
  <c r="O120" i="1" s="1"/>
  <c r="X108" i="1"/>
  <c r="CY108" i="1"/>
  <c r="Y108" i="1"/>
  <c r="CZ108" i="1"/>
  <c r="Y261" i="1"/>
  <c r="Q261" i="1"/>
  <c r="CP261" i="1" s="1"/>
  <c r="O261" i="1" s="1"/>
  <c r="GM261" i="1" s="1"/>
  <c r="GO261" i="1" s="1"/>
  <c r="Y259" i="1"/>
  <c r="Q259" i="1"/>
  <c r="CP259" i="1" s="1"/>
  <c r="O259" i="1" s="1"/>
  <c r="GM259" i="1" s="1"/>
  <c r="GO259" i="1" s="1"/>
  <c r="Y257" i="1"/>
  <c r="Q257" i="1"/>
  <c r="CP257" i="1" s="1"/>
  <c r="O257" i="1" s="1"/>
  <c r="GM257" i="1" s="1"/>
  <c r="GO257" i="1" s="1"/>
  <c r="Q256" i="1"/>
  <c r="CP256" i="1" s="1"/>
  <c r="O256" i="1" s="1"/>
  <c r="CW653" i="3"/>
  <c r="CW655" i="3"/>
  <c r="CW657" i="3"/>
  <c r="CX660" i="3"/>
  <c r="CX664" i="3"/>
  <c r="CX668" i="3"/>
  <c r="CU652" i="3"/>
  <c r="CX653" i="3"/>
  <c r="CX655" i="3"/>
  <c r="CX657" i="3"/>
  <c r="Y245" i="1"/>
  <c r="Q245" i="1"/>
  <c r="CP245" i="1" s="1"/>
  <c r="O245" i="1" s="1"/>
  <c r="GM245" i="1" s="1"/>
  <c r="GO245" i="1" s="1"/>
  <c r="Y243" i="1"/>
  <c r="Q243" i="1"/>
  <c r="CP243" i="1" s="1"/>
  <c r="O243" i="1" s="1"/>
  <c r="GM243" i="1" s="1"/>
  <c r="GO243" i="1" s="1"/>
  <c r="Q242" i="1"/>
  <c r="CP242" i="1" s="1"/>
  <c r="O242" i="1" s="1"/>
  <c r="CX595" i="3"/>
  <c r="CW594" i="3"/>
  <c r="CX596" i="3"/>
  <c r="CX600" i="3"/>
  <c r="CU593" i="3"/>
  <c r="Y238" i="1"/>
  <c r="Q238" i="1"/>
  <c r="CP238" i="1" s="1"/>
  <c r="O238" i="1" s="1"/>
  <c r="GM238" i="1" s="1"/>
  <c r="GO238" i="1" s="1"/>
  <c r="Y231" i="1"/>
  <c r="Q231" i="1"/>
  <c r="CP231" i="1" s="1"/>
  <c r="O231" i="1" s="1"/>
  <c r="GM231" i="1" s="1"/>
  <c r="GO231" i="1" s="1"/>
  <c r="Q230" i="1"/>
  <c r="CP230" i="1" s="1"/>
  <c r="O230" i="1" s="1"/>
  <c r="CX561" i="3"/>
  <c r="CW560" i="3"/>
  <c r="CX562" i="3"/>
  <c r="CX566" i="3"/>
  <c r="CU559" i="3"/>
  <c r="CW561" i="3"/>
  <c r="CX564" i="3"/>
  <c r="Y226" i="1"/>
  <c r="Q226" i="1"/>
  <c r="CP226" i="1" s="1"/>
  <c r="O226" i="1" s="1"/>
  <c r="GM226" i="1" s="1"/>
  <c r="GO226" i="1" s="1"/>
  <c r="Y219" i="1"/>
  <c r="Q219" i="1"/>
  <c r="CP219" i="1" s="1"/>
  <c r="O219" i="1" s="1"/>
  <c r="GM219" i="1" s="1"/>
  <c r="GN219" i="1" s="1"/>
  <c r="Q218" i="1"/>
  <c r="CP218" i="1" s="1"/>
  <c r="O218" i="1" s="1"/>
  <c r="CX520" i="3"/>
  <c r="CU517" i="3"/>
  <c r="CX518" i="3"/>
  <c r="CX521" i="3"/>
  <c r="CV517" i="3"/>
  <c r="Y212" i="1"/>
  <c r="Q212" i="1"/>
  <c r="CP212" i="1" s="1"/>
  <c r="O212" i="1" s="1"/>
  <c r="GM212" i="1" s="1"/>
  <c r="GO212" i="1" s="1"/>
  <c r="Y211" i="1"/>
  <c r="Q211" i="1"/>
  <c r="CP211" i="1" s="1"/>
  <c r="O211" i="1" s="1"/>
  <c r="GM211" i="1" s="1"/>
  <c r="GO211" i="1" s="1"/>
  <c r="Y210" i="1"/>
  <c r="Q210" i="1"/>
  <c r="CP210" i="1" s="1"/>
  <c r="O210" i="1" s="1"/>
  <c r="GM210" i="1" s="1"/>
  <c r="GO210" i="1" s="1"/>
  <c r="Y209" i="1"/>
  <c r="Q209" i="1"/>
  <c r="CP209" i="1" s="1"/>
  <c r="O209" i="1" s="1"/>
  <c r="GM209" i="1" s="1"/>
  <c r="GO209" i="1" s="1"/>
  <c r="Y208" i="1"/>
  <c r="Q208" i="1"/>
  <c r="CP208" i="1" s="1"/>
  <c r="O208" i="1" s="1"/>
  <c r="GM208" i="1" s="1"/>
  <c r="GO208" i="1" s="1"/>
  <c r="Y203" i="1"/>
  <c r="Q203" i="1"/>
  <c r="CP203" i="1" s="1"/>
  <c r="O203" i="1" s="1"/>
  <c r="GM203" i="1" s="1"/>
  <c r="GO203" i="1" s="1"/>
  <c r="Q202" i="1"/>
  <c r="CW469" i="3"/>
  <c r="CX471" i="3"/>
  <c r="CX475" i="3"/>
  <c r="CU468" i="3"/>
  <c r="CX469" i="3"/>
  <c r="EU167" i="1"/>
  <c r="EM167" i="1"/>
  <c r="EI167" i="1"/>
  <c r="AO167" i="1"/>
  <c r="CQ164" i="1"/>
  <c r="AD164" i="1"/>
  <c r="AB164" i="1" s="1"/>
  <c r="CT163" i="1"/>
  <c r="CQ162" i="1"/>
  <c r="AD162" i="1"/>
  <c r="AB162" i="1" s="1"/>
  <c r="P162" i="1"/>
  <c r="I161" i="1"/>
  <c r="W161" i="1" s="1"/>
  <c r="CT160" i="1"/>
  <c r="Q159" i="1"/>
  <c r="T158" i="1"/>
  <c r="Y158" i="1"/>
  <c r="Q158" i="1"/>
  <c r="X152" i="1"/>
  <c r="CY152" i="1"/>
  <c r="Y152" i="1"/>
  <c r="T150" i="1"/>
  <c r="W150" i="1"/>
  <c r="S150" i="1"/>
  <c r="CT150" i="1"/>
  <c r="AB150" i="1"/>
  <c r="P149" i="1"/>
  <c r="Q149" i="1"/>
  <c r="U148" i="1"/>
  <c r="CP144" i="1"/>
  <c r="O144" i="1" s="1"/>
  <c r="CP142" i="1"/>
  <c r="O142" i="1" s="1"/>
  <c r="CP137" i="1"/>
  <c r="O137" i="1" s="1"/>
  <c r="GM137" i="1" s="1"/>
  <c r="GN137" i="1" s="1"/>
  <c r="Y126" i="1"/>
  <c r="CZ126" i="1"/>
  <c r="X126" i="1"/>
  <c r="CY126" i="1"/>
  <c r="X125" i="1"/>
  <c r="CY125" i="1"/>
  <c r="Y125" i="1"/>
  <c r="CZ125" i="1"/>
  <c r="CP125" i="1"/>
  <c r="O125" i="1" s="1"/>
  <c r="X121" i="1"/>
  <c r="CY121" i="1"/>
  <c r="Y121" i="1"/>
  <c r="CZ121" i="1"/>
  <c r="CP121" i="1"/>
  <c r="O121" i="1" s="1"/>
  <c r="CP116" i="1"/>
  <c r="O116" i="1" s="1"/>
  <c r="CP112" i="1"/>
  <c r="O112" i="1" s="1"/>
  <c r="CU705" i="3"/>
  <c r="CV705" i="3"/>
  <c r="CX707" i="3"/>
  <c r="CX709" i="3"/>
  <c r="CW707" i="3"/>
  <c r="CW709" i="3"/>
  <c r="CY280" i="1"/>
  <c r="CQ280" i="1"/>
  <c r="CT279" i="1"/>
  <c r="CS278" i="1"/>
  <c r="R278" i="1"/>
  <c r="CS275" i="1"/>
  <c r="R275" i="1"/>
  <c r="CS274" i="1"/>
  <c r="CU697" i="3"/>
  <c r="CV697" i="3"/>
  <c r="CX700" i="3"/>
  <c r="CX697" i="3"/>
  <c r="CQ272" i="1"/>
  <c r="CT271" i="1"/>
  <c r="CS270" i="1"/>
  <c r="R270" i="1"/>
  <c r="CQ268" i="1"/>
  <c r="CY267" i="1"/>
  <c r="CQ267" i="1"/>
  <c r="CQ266" i="1"/>
  <c r="CT265" i="1"/>
  <c r="CS264" i="1"/>
  <c r="CX670" i="3"/>
  <c r="CU669" i="3"/>
  <c r="CQ262" i="1"/>
  <c r="CY261" i="1"/>
  <c r="CQ261" i="1"/>
  <c r="CQ260" i="1"/>
  <c r="CY259" i="1"/>
  <c r="CQ259" i="1"/>
  <c r="CQ258" i="1"/>
  <c r="CY257" i="1"/>
  <c r="CQ257" i="1"/>
  <c r="CQ256" i="1"/>
  <c r="CT255" i="1"/>
  <c r="CS254" i="1"/>
  <c r="R254" i="1"/>
  <c r="CS253" i="1"/>
  <c r="R253" i="1"/>
  <c r="I252" i="1"/>
  <c r="T252" i="1" s="1"/>
  <c r="CS251" i="1"/>
  <c r="R251" i="1"/>
  <c r="I250" i="1"/>
  <c r="GX250" i="1" s="1"/>
  <c r="CS249" i="1"/>
  <c r="R249" i="1"/>
  <c r="CS248" i="1"/>
  <c r="CX608" i="3"/>
  <c r="CX612" i="3"/>
  <c r="CX616" i="3"/>
  <c r="CW602" i="3"/>
  <c r="CW604" i="3"/>
  <c r="CW606" i="3"/>
  <c r="CX609" i="3"/>
  <c r="CX613" i="3"/>
  <c r="CX617" i="3"/>
  <c r="CU601" i="3"/>
  <c r="CX604" i="3"/>
  <c r="CX606" i="3"/>
  <c r="CQ246" i="1"/>
  <c r="CY245" i="1"/>
  <c r="CQ245" i="1"/>
  <c r="CQ244" i="1"/>
  <c r="CY243" i="1"/>
  <c r="CQ243" i="1"/>
  <c r="CQ242" i="1"/>
  <c r="CT241" i="1"/>
  <c r="CS240" i="1"/>
  <c r="R240" i="1"/>
  <c r="CY238" i="1"/>
  <c r="CQ238" i="1"/>
  <c r="CT237" i="1"/>
  <c r="I236" i="1"/>
  <c r="P236" i="1" s="1"/>
  <c r="CS235" i="1"/>
  <c r="R235" i="1"/>
  <c r="CS234" i="1"/>
  <c r="CX569" i="3"/>
  <c r="CX571" i="3"/>
  <c r="CX574" i="3"/>
  <c r="CW568" i="3"/>
  <c r="CW570" i="3"/>
  <c r="CW572" i="3"/>
  <c r="CX575" i="3"/>
  <c r="CU567" i="3"/>
  <c r="CW569" i="3"/>
  <c r="CW571" i="3"/>
  <c r="CX573" i="3"/>
  <c r="CQ232" i="1"/>
  <c r="CY231" i="1"/>
  <c r="CQ231" i="1"/>
  <c r="CQ230" i="1"/>
  <c r="CT229" i="1"/>
  <c r="CS228" i="1"/>
  <c r="R228" i="1"/>
  <c r="CY226" i="1"/>
  <c r="CQ226" i="1"/>
  <c r="I224" i="1"/>
  <c r="T224" i="1" s="1"/>
  <c r="CS223" i="1"/>
  <c r="R223" i="1"/>
  <c r="CS222" i="1"/>
  <c r="CX528" i="3"/>
  <c r="CU525" i="3"/>
  <c r="CX526" i="3"/>
  <c r="CX529" i="3"/>
  <c r="CV525" i="3"/>
  <c r="CX525" i="3"/>
  <c r="CQ220" i="1"/>
  <c r="CY219" i="1"/>
  <c r="CQ219" i="1"/>
  <c r="CQ218" i="1"/>
  <c r="CT217" i="1"/>
  <c r="I216" i="1"/>
  <c r="U216" i="1" s="1"/>
  <c r="CS215" i="1"/>
  <c r="R215" i="1"/>
  <c r="CS214" i="1"/>
  <c r="CW494" i="3"/>
  <c r="CX496" i="3"/>
  <c r="CU493" i="3"/>
  <c r="CX494" i="3"/>
  <c r="CX497" i="3"/>
  <c r="CV493" i="3"/>
  <c r="CY212" i="1"/>
  <c r="CQ212" i="1"/>
  <c r="CY211" i="1"/>
  <c r="CQ211" i="1"/>
  <c r="CY210" i="1"/>
  <c r="CQ210" i="1"/>
  <c r="CY209" i="1"/>
  <c r="CQ209" i="1"/>
  <c r="CY208" i="1"/>
  <c r="CQ208" i="1"/>
  <c r="CS206" i="1"/>
  <c r="R206" i="1"/>
  <c r="CQ204" i="1"/>
  <c r="CY203" i="1"/>
  <c r="CQ203" i="1"/>
  <c r="CQ202" i="1"/>
  <c r="CT201" i="1"/>
  <c r="FY167" i="1"/>
  <c r="ET167" i="1"/>
  <c r="EH167" i="1"/>
  <c r="BD167" i="1"/>
  <c r="CQ165" i="1"/>
  <c r="CT164" i="1"/>
  <c r="CS163" i="1"/>
  <c r="R163" i="1"/>
  <c r="CT162" i="1"/>
  <c r="I160" i="1"/>
  <c r="U160" i="1" s="1"/>
  <c r="W159" i="1"/>
  <c r="S159" i="1"/>
  <c r="CT159" i="1"/>
  <c r="P159" i="1"/>
  <c r="W158" i="1"/>
  <c r="CS156" i="1"/>
  <c r="AD156" i="1"/>
  <c r="S149" i="1"/>
  <c r="CT149" i="1"/>
  <c r="AB149" i="1"/>
  <c r="P148" i="1"/>
  <c r="Q148" i="1"/>
  <c r="X145" i="1"/>
  <c r="CY145" i="1"/>
  <c r="Y145" i="1"/>
  <c r="CZ145" i="1"/>
  <c r="X143" i="1"/>
  <c r="CY143" i="1"/>
  <c r="Y143" i="1"/>
  <c r="CZ143" i="1"/>
  <c r="X141" i="1"/>
  <c r="CY141" i="1"/>
  <c r="Y141" i="1"/>
  <c r="CZ141" i="1"/>
  <c r="X133" i="1"/>
  <c r="CY133" i="1"/>
  <c r="Y133" i="1"/>
  <c r="CZ133" i="1"/>
  <c r="X122" i="1"/>
  <c r="CY122" i="1"/>
  <c r="Y122" i="1"/>
  <c r="CZ122" i="1"/>
  <c r="CP122" i="1"/>
  <c r="O122" i="1" s="1"/>
  <c r="GM122" i="1" s="1"/>
  <c r="GO122" i="1" s="1"/>
  <c r="X110" i="1"/>
  <c r="CY110" i="1"/>
  <c r="Y110" i="1"/>
  <c r="CZ110" i="1"/>
  <c r="CP110" i="1"/>
  <c r="O110" i="1" s="1"/>
  <c r="GM110" i="1" s="1"/>
  <c r="GO110" i="1" s="1"/>
  <c r="X109" i="1"/>
  <c r="CY109" i="1"/>
  <c r="Y109" i="1"/>
  <c r="CZ109" i="1"/>
  <c r="CX702" i="3"/>
  <c r="CU701" i="3"/>
  <c r="CZ264" i="1"/>
  <c r="CU673" i="3"/>
  <c r="CV673" i="3"/>
  <c r="CX676" i="3"/>
  <c r="CX673" i="3"/>
  <c r="S256" i="1"/>
  <c r="CZ254" i="1"/>
  <c r="CZ253" i="1"/>
  <c r="CZ251" i="1"/>
  <c r="CZ249" i="1"/>
  <c r="CZ248" i="1"/>
  <c r="CX625" i="3"/>
  <c r="CX633" i="3"/>
  <c r="CW619" i="3"/>
  <c r="CW621" i="3"/>
  <c r="CW623" i="3"/>
  <c r="CX626" i="3"/>
  <c r="CX630" i="3"/>
  <c r="CX634" i="3"/>
  <c r="CU618" i="3"/>
  <c r="CX619" i="3"/>
  <c r="CX621" i="3"/>
  <c r="CX623" i="3"/>
  <c r="S242" i="1"/>
  <c r="CZ240" i="1"/>
  <c r="CZ235" i="1"/>
  <c r="CZ234" i="1"/>
  <c r="CX578" i="3"/>
  <c r="CX580" i="3"/>
  <c r="CX583" i="3"/>
  <c r="CW577" i="3"/>
  <c r="CW579" i="3"/>
  <c r="CW581" i="3"/>
  <c r="CX584" i="3"/>
  <c r="CU576" i="3"/>
  <c r="CW578" i="3"/>
  <c r="CW580" i="3"/>
  <c r="CX582" i="3"/>
  <c r="S230" i="1"/>
  <c r="CZ228" i="1"/>
  <c r="CZ223" i="1"/>
  <c r="CZ222" i="1"/>
  <c r="CU532" i="3"/>
  <c r="CV532" i="3"/>
  <c r="CW534" i="3"/>
  <c r="CX532" i="3"/>
  <c r="CX534" i="3"/>
  <c r="CX537" i="3"/>
  <c r="S218" i="1"/>
  <c r="CZ215" i="1"/>
  <c r="CZ214" i="1"/>
  <c r="CU501" i="3"/>
  <c r="CX502" i="3"/>
  <c r="CX505" i="3"/>
  <c r="CV501" i="3"/>
  <c r="CX501" i="3"/>
  <c r="CZ206" i="1"/>
  <c r="S202" i="1"/>
  <c r="EG167" i="1"/>
  <c r="BC167" i="1"/>
  <c r="AU167" i="1"/>
  <c r="AQ167" i="1"/>
  <c r="CT165" i="1"/>
  <c r="CS164" i="1"/>
  <c r="CS162" i="1"/>
  <c r="CT161" i="1"/>
  <c r="CZ158" i="1"/>
  <c r="V158" i="1"/>
  <c r="AD158" i="1"/>
  <c r="AB158" i="1" s="1"/>
  <c r="CS158" i="1"/>
  <c r="S157" i="1"/>
  <c r="CP157" i="1" s="1"/>
  <c r="O157" i="1" s="1"/>
  <c r="CT157" i="1"/>
  <c r="AB157" i="1"/>
  <c r="CZ156" i="1"/>
  <c r="CR156" i="1"/>
  <c r="AB156" i="1"/>
  <c r="P156" i="1"/>
  <c r="CP156" i="1" s="1"/>
  <c r="O156" i="1" s="1"/>
  <c r="CQ156" i="1"/>
  <c r="X156" i="1"/>
  <c r="CY156" i="1"/>
  <c r="CW422" i="3"/>
  <c r="CX424" i="3"/>
  <c r="CU421" i="3"/>
  <c r="CX422" i="3"/>
  <c r="CX425" i="3"/>
  <c r="CV421" i="3"/>
  <c r="R156" i="1"/>
  <c r="S155" i="1"/>
  <c r="CT155" i="1"/>
  <c r="AB155" i="1"/>
  <c r="S154" i="1"/>
  <c r="CT154" i="1"/>
  <c r="AB154" i="1"/>
  <c r="S153" i="1"/>
  <c r="CP153" i="1" s="1"/>
  <c r="O153" i="1" s="1"/>
  <c r="CT153" i="1"/>
  <c r="AB153" i="1"/>
  <c r="P152" i="1"/>
  <c r="CQ152" i="1"/>
  <c r="AB152" i="1"/>
  <c r="P151" i="1"/>
  <c r="CP151" i="1" s="1"/>
  <c r="O151" i="1" s="1"/>
  <c r="Q151" i="1"/>
  <c r="U150" i="1"/>
  <c r="R150" i="1"/>
  <c r="T148" i="1"/>
  <c r="W148" i="1"/>
  <c r="AJ167" i="1" s="1"/>
  <c r="S148" i="1"/>
  <c r="CT148" i="1"/>
  <c r="AB148" i="1"/>
  <c r="CP147" i="1"/>
  <c r="O147" i="1" s="1"/>
  <c r="Q146" i="1"/>
  <c r="CS146" i="1"/>
  <c r="AD146" i="1"/>
  <c r="AB146" i="1" s="1"/>
  <c r="CP145" i="1"/>
  <c r="O145" i="1" s="1"/>
  <c r="CP143" i="1"/>
  <c r="O143" i="1" s="1"/>
  <c r="GM143" i="1" s="1"/>
  <c r="GN143" i="1" s="1"/>
  <c r="CP141" i="1"/>
  <c r="O141" i="1" s="1"/>
  <c r="GM141" i="1" s="1"/>
  <c r="GN141" i="1" s="1"/>
  <c r="CP133" i="1"/>
  <c r="O133" i="1" s="1"/>
  <c r="CP126" i="1"/>
  <c r="O126" i="1" s="1"/>
  <c r="GM126" i="1" s="1"/>
  <c r="GO126" i="1" s="1"/>
  <c r="X123" i="1"/>
  <c r="CY123" i="1"/>
  <c r="Y123" i="1"/>
  <c r="CZ123" i="1"/>
  <c r="CP123" i="1"/>
  <c r="O123" i="1" s="1"/>
  <c r="Y116" i="1"/>
  <c r="CZ116" i="1"/>
  <c r="X116" i="1"/>
  <c r="CY116" i="1"/>
  <c r="X115" i="1"/>
  <c r="CY115" i="1"/>
  <c r="Y115" i="1"/>
  <c r="CZ115" i="1"/>
  <c r="CP115" i="1"/>
  <c r="O115" i="1" s="1"/>
  <c r="Y112" i="1"/>
  <c r="CZ112" i="1"/>
  <c r="X112" i="1"/>
  <c r="CY112" i="1"/>
  <c r="X111" i="1"/>
  <c r="CY111" i="1"/>
  <c r="Y111" i="1"/>
  <c r="CZ111" i="1"/>
  <c r="CP111" i="1"/>
  <c r="O111" i="1" s="1"/>
  <c r="GM111" i="1" s="1"/>
  <c r="GO111" i="1" s="1"/>
  <c r="CU426" i="3"/>
  <c r="CX427" i="3"/>
  <c r="CW427" i="3"/>
  <c r="CX429" i="3"/>
  <c r="CS152" i="1"/>
  <c r="CU403" i="3"/>
  <c r="CV403" i="3"/>
  <c r="CX405" i="3"/>
  <c r="CX403" i="3"/>
  <c r="CQ146" i="1"/>
  <c r="P146" i="1"/>
  <c r="CT145" i="1"/>
  <c r="CT144" i="1"/>
  <c r="CT143" i="1"/>
  <c r="CT142" i="1"/>
  <c r="CT141" i="1"/>
  <c r="CS140" i="1"/>
  <c r="AB140" i="1"/>
  <c r="CY138" i="1"/>
  <c r="CQ138" i="1"/>
  <c r="AD138" i="1"/>
  <c r="AB138" i="1" s="1"/>
  <c r="P138" i="1"/>
  <c r="CP138" i="1" s="1"/>
  <c r="O138" i="1" s="1"/>
  <c r="CT137" i="1"/>
  <c r="CS136" i="1"/>
  <c r="AB136" i="1"/>
  <c r="R136" i="1"/>
  <c r="CY134" i="1"/>
  <c r="CQ134" i="1"/>
  <c r="AD134" i="1"/>
  <c r="AB134" i="1" s="1"/>
  <c r="P134" i="1"/>
  <c r="CP134" i="1" s="1"/>
  <c r="O134" i="1" s="1"/>
  <c r="CT133" i="1"/>
  <c r="CS132" i="1"/>
  <c r="AB132" i="1"/>
  <c r="R132" i="1"/>
  <c r="Q131" i="1"/>
  <c r="CP131" i="1" s="1"/>
  <c r="O131" i="1" s="1"/>
  <c r="CU375" i="3"/>
  <c r="CV375" i="3"/>
  <c r="CW377" i="3"/>
  <c r="CW379" i="3"/>
  <c r="CX381" i="3"/>
  <c r="CX385" i="3"/>
  <c r="CX389" i="3"/>
  <c r="CX375" i="3"/>
  <c r="CX377" i="3"/>
  <c r="CX379" i="3"/>
  <c r="CQ126" i="1"/>
  <c r="AD126" i="1"/>
  <c r="AB126" i="1" s="1"/>
  <c r="CT125" i="1"/>
  <c r="CT124" i="1"/>
  <c r="CT123" i="1"/>
  <c r="CT122" i="1"/>
  <c r="CT121" i="1"/>
  <c r="CS120" i="1"/>
  <c r="AB120" i="1"/>
  <c r="CU312" i="3"/>
  <c r="CV312" i="3"/>
  <c r="CW314" i="3"/>
  <c r="CW316" i="3"/>
  <c r="CX318" i="3"/>
  <c r="CX322" i="3"/>
  <c r="CX326" i="3"/>
  <c r="CX312" i="3"/>
  <c r="CX314" i="3"/>
  <c r="CX316" i="3"/>
  <c r="CQ116" i="1"/>
  <c r="AD116" i="1"/>
  <c r="AB116" i="1" s="1"/>
  <c r="CT115" i="1"/>
  <c r="CS114" i="1"/>
  <c r="AB114" i="1"/>
  <c r="R114" i="1"/>
  <c r="CQ112" i="1"/>
  <c r="AD112" i="1"/>
  <c r="AB112" i="1" s="1"/>
  <c r="CT111" i="1"/>
  <c r="CT110" i="1"/>
  <c r="CR109" i="1"/>
  <c r="P109" i="1"/>
  <c r="CP109" i="1" s="1"/>
  <c r="O109" i="1" s="1"/>
  <c r="GM109" i="1" s="1"/>
  <c r="GO109" i="1" s="1"/>
  <c r="CQ109" i="1"/>
  <c r="P108" i="1"/>
  <c r="CP108" i="1" s="1"/>
  <c r="O108" i="1" s="1"/>
  <c r="GM108" i="1" s="1"/>
  <c r="GO108" i="1" s="1"/>
  <c r="CQ108" i="1"/>
  <c r="CR106" i="1"/>
  <c r="CU277" i="3"/>
  <c r="CV277" i="3"/>
  <c r="CW279" i="3"/>
  <c r="CW281" i="3"/>
  <c r="CX283" i="3"/>
  <c r="CX279" i="3"/>
  <c r="CX281" i="3"/>
  <c r="CW278" i="3"/>
  <c r="CW280" i="3"/>
  <c r="CW282" i="3"/>
  <c r="CX285" i="3"/>
  <c r="P106" i="1"/>
  <c r="CR105" i="1"/>
  <c r="AD105" i="1"/>
  <c r="R104" i="1"/>
  <c r="CS104" i="1"/>
  <c r="X104" i="1"/>
  <c r="Q104" i="1"/>
  <c r="CR103" i="1"/>
  <c r="AD103" i="1"/>
  <c r="X102" i="1"/>
  <c r="R102" i="1"/>
  <c r="CS102" i="1"/>
  <c r="W101" i="1"/>
  <c r="AB100" i="1"/>
  <c r="AB99" i="1"/>
  <c r="P99" i="1"/>
  <c r="CP99" i="1" s="1"/>
  <c r="O99" i="1" s="1"/>
  <c r="CQ99" i="1"/>
  <c r="AB98" i="1"/>
  <c r="P98" i="1"/>
  <c r="CP98" i="1" s="1"/>
  <c r="O98" i="1" s="1"/>
  <c r="CQ98" i="1"/>
  <c r="AB97" i="1"/>
  <c r="P97" i="1"/>
  <c r="CP97" i="1" s="1"/>
  <c r="O97" i="1" s="1"/>
  <c r="CQ97" i="1"/>
  <c r="AB96" i="1"/>
  <c r="P96" i="1"/>
  <c r="CP96" i="1" s="1"/>
  <c r="O96" i="1" s="1"/>
  <c r="CQ96" i="1"/>
  <c r="Y88" i="1"/>
  <c r="CZ88" i="1"/>
  <c r="X88" i="1"/>
  <c r="CY88" i="1"/>
  <c r="Y78" i="1"/>
  <c r="CZ78" i="1"/>
  <c r="X78" i="1"/>
  <c r="CY78" i="1"/>
  <c r="AB71" i="1"/>
  <c r="X70" i="1"/>
  <c r="CY70" i="1"/>
  <c r="Y70" i="1"/>
  <c r="CZ70" i="1"/>
  <c r="AB68" i="1"/>
  <c r="AB67" i="1"/>
  <c r="Q152" i="1"/>
  <c r="CW411" i="3"/>
  <c r="CX407" i="3"/>
  <c r="CX409" i="3"/>
  <c r="CX411" i="3"/>
  <c r="CU407" i="3"/>
  <c r="S146" i="1"/>
  <c r="CZ140" i="1"/>
  <c r="Y140" i="1"/>
  <c r="Q140" i="1"/>
  <c r="CP140" i="1" s="1"/>
  <c r="O140" i="1" s="1"/>
  <c r="GM140" i="1" s="1"/>
  <c r="GN140" i="1" s="1"/>
  <c r="CX393" i="3"/>
  <c r="CX391" i="3"/>
  <c r="CX394" i="3"/>
  <c r="CU391" i="3"/>
  <c r="CZ136" i="1"/>
  <c r="Y136" i="1"/>
  <c r="Q136" i="1"/>
  <c r="CP136" i="1" s="1"/>
  <c r="O136" i="1" s="1"/>
  <c r="GM136" i="1" s="1"/>
  <c r="GN136" i="1" s="1"/>
  <c r="CZ132" i="1"/>
  <c r="Y132" i="1"/>
  <c r="Q132" i="1"/>
  <c r="CP132" i="1" s="1"/>
  <c r="O132" i="1" s="1"/>
  <c r="GM132" i="1" s="1"/>
  <c r="GN132" i="1" s="1"/>
  <c r="CQ128" i="1"/>
  <c r="CQ127" i="1"/>
  <c r="CT126" i="1"/>
  <c r="CS125" i="1"/>
  <c r="R125" i="1"/>
  <c r="CS124" i="1"/>
  <c r="R124" i="1"/>
  <c r="CS123" i="1"/>
  <c r="R123" i="1"/>
  <c r="CS122" i="1"/>
  <c r="R122" i="1"/>
  <c r="CS121" i="1"/>
  <c r="CZ120" i="1"/>
  <c r="Y120" i="1"/>
  <c r="CX334" i="3"/>
  <c r="CW328" i="3"/>
  <c r="CW330" i="3"/>
  <c r="CW332" i="3"/>
  <c r="CU327" i="3"/>
  <c r="CX328" i="3"/>
  <c r="CX330" i="3"/>
  <c r="CX332" i="3"/>
  <c r="CX335" i="3"/>
  <c r="CX339" i="3"/>
  <c r="CQ119" i="1"/>
  <c r="CQ118" i="1"/>
  <c r="CQ117" i="1"/>
  <c r="CT116" i="1"/>
  <c r="CS115" i="1"/>
  <c r="R115" i="1"/>
  <c r="CZ114" i="1"/>
  <c r="Y114" i="1"/>
  <c r="GM114" i="1" s="1"/>
  <c r="GO114" i="1" s="1"/>
  <c r="CQ113" i="1"/>
  <c r="CT112" i="1"/>
  <c r="CS111" i="1"/>
  <c r="R111" i="1"/>
  <c r="CS110" i="1"/>
  <c r="R110" i="1"/>
  <c r="T109" i="1"/>
  <c r="U108" i="1"/>
  <c r="AH167" i="1" s="1"/>
  <c r="T108" i="1"/>
  <c r="AG167" i="1" s="1"/>
  <c r="R108" i="1"/>
  <c r="R106" i="1"/>
  <c r="AB105" i="1"/>
  <c r="CP104" i="1"/>
  <c r="O104" i="1" s="1"/>
  <c r="GM104" i="1" s="1"/>
  <c r="GO104" i="1" s="1"/>
  <c r="AB103" i="1"/>
  <c r="CX267" i="3"/>
  <c r="CX269" i="3"/>
  <c r="CX271" i="3"/>
  <c r="CX274" i="3"/>
  <c r="CU267" i="3"/>
  <c r="CX276" i="3"/>
  <c r="P101" i="1"/>
  <c r="R101" i="1"/>
  <c r="I103" i="1"/>
  <c r="I105" i="1"/>
  <c r="W105" i="1" s="1"/>
  <c r="S101" i="1"/>
  <c r="CP100" i="1"/>
  <c r="O100" i="1" s="1"/>
  <c r="GM100" i="1" s="1"/>
  <c r="GO100" i="1" s="1"/>
  <c r="Y94" i="1"/>
  <c r="CZ94" i="1"/>
  <c r="X94" i="1"/>
  <c r="CY94" i="1"/>
  <c r="CP92" i="1"/>
  <c r="O92" i="1" s="1"/>
  <c r="GM92" i="1" s="1"/>
  <c r="GO92" i="1" s="1"/>
  <c r="CP88" i="1"/>
  <c r="O88" i="1" s="1"/>
  <c r="GM88" i="1" s="1"/>
  <c r="GO88" i="1" s="1"/>
  <c r="CP84" i="1"/>
  <c r="O84" i="1" s="1"/>
  <c r="GM84" i="1" s="1"/>
  <c r="GO84" i="1" s="1"/>
  <c r="AB73" i="1"/>
  <c r="CP72" i="1"/>
  <c r="O72" i="1" s="1"/>
  <c r="Y64" i="1"/>
  <c r="CZ64" i="1"/>
  <c r="X64" i="1"/>
  <c r="CY64" i="1"/>
  <c r="CU414" i="3"/>
  <c r="CV414" i="3"/>
  <c r="CW416" i="3"/>
  <c r="CW418" i="3"/>
  <c r="CX414" i="3"/>
  <c r="CX416" i="3"/>
  <c r="CX418" i="3"/>
  <c r="CW396" i="3"/>
  <c r="CU395" i="3"/>
  <c r="CX396" i="3"/>
  <c r="CY140" i="1"/>
  <c r="CQ140" i="1"/>
  <c r="CT139" i="1"/>
  <c r="S139" i="1"/>
  <c r="CP139" i="1" s="1"/>
  <c r="O139" i="1" s="1"/>
  <c r="CS138" i="1"/>
  <c r="R138" i="1"/>
  <c r="CY136" i="1"/>
  <c r="CQ136" i="1"/>
  <c r="CT135" i="1"/>
  <c r="S135" i="1"/>
  <c r="CS134" i="1"/>
  <c r="R134" i="1"/>
  <c r="CY132" i="1"/>
  <c r="CQ132" i="1"/>
  <c r="CT131" i="1"/>
  <c r="S131" i="1"/>
  <c r="CT130" i="1"/>
  <c r="S130" i="1"/>
  <c r="CT129" i="1"/>
  <c r="S129" i="1"/>
  <c r="CP129" i="1" s="1"/>
  <c r="O129" i="1" s="1"/>
  <c r="CT128" i="1"/>
  <c r="S128" i="1"/>
  <c r="CT127" i="1"/>
  <c r="S127" i="1"/>
  <c r="CP127" i="1" s="1"/>
  <c r="O127" i="1" s="1"/>
  <c r="CS126" i="1"/>
  <c r="CW344" i="3"/>
  <c r="CW346" i="3"/>
  <c r="CW348" i="3"/>
  <c r="CX351" i="3"/>
  <c r="CX355" i="3"/>
  <c r="CU343" i="3"/>
  <c r="CX344" i="3"/>
  <c r="CX346" i="3"/>
  <c r="CX348" i="3"/>
  <c r="CY120" i="1"/>
  <c r="CQ120" i="1"/>
  <c r="CT119" i="1"/>
  <c r="S119" i="1"/>
  <c r="CT118" i="1"/>
  <c r="S118" i="1"/>
  <c r="CP118" i="1" s="1"/>
  <c r="O118" i="1" s="1"/>
  <c r="CT117" i="1"/>
  <c r="S117" i="1"/>
  <c r="CS116" i="1"/>
  <c r="CY114" i="1"/>
  <c r="CQ114" i="1"/>
  <c r="CT113" i="1"/>
  <c r="S113" i="1"/>
  <c r="CS112" i="1"/>
  <c r="R112" i="1"/>
  <c r="P107" i="1"/>
  <c r="CQ107" i="1"/>
  <c r="X107" i="1"/>
  <c r="CY107" i="1"/>
  <c r="Y107" i="1"/>
  <c r="CZ107" i="1"/>
  <c r="S106" i="1"/>
  <c r="CT106" i="1"/>
  <c r="X99" i="1"/>
  <c r="CY99" i="1"/>
  <c r="Y99" i="1"/>
  <c r="CZ99" i="1"/>
  <c r="X98" i="1"/>
  <c r="CY98" i="1"/>
  <c r="Y98" i="1"/>
  <c r="CZ98" i="1"/>
  <c r="X97" i="1"/>
  <c r="CY97" i="1"/>
  <c r="Y97" i="1"/>
  <c r="CZ97" i="1"/>
  <c r="X96" i="1"/>
  <c r="CY96" i="1"/>
  <c r="Y96" i="1"/>
  <c r="CZ96" i="1"/>
  <c r="CP94" i="1"/>
  <c r="O94" i="1" s="1"/>
  <c r="GM94" i="1" s="1"/>
  <c r="GO94" i="1" s="1"/>
  <c r="GM78" i="1"/>
  <c r="GO78" i="1" s="1"/>
  <c r="Y74" i="1"/>
  <c r="CZ74" i="1"/>
  <c r="X74" i="1"/>
  <c r="CY74" i="1"/>
  <c r="CP74" i="1"/>
  <c r="O74" i="1" s="1"/>
  <c r="GM74" i="1" s="1"/>
  <c r="GO74" i="1" s="1"/>
  <c r="X68" i="1"/>
  <c r="CY68" i="1"/>
  <c r="Y68" i="1"/>
  <c r="CZ68" i="1"/>
  <c r="X67" i="1"/>
  <c r="CY67" i="1"/>
  <c r="Y67" i="1"/>
  <c r="CZ67" i="1"/>
  <c r="W63" i="1"/>
  <c r="CW400" i="3"/>
  <c r="CU399" i="3"/>
  <c r="CX400" i="3"/>
  <c r="CV399" i="3"/>
  <c r="Y138" i="1"/>
  <c r="Y134" i="1"/>
  <c r="CW364" i="3"/>
  <c r="CX367" i="3"/>
  <c r="CU359" i="3"/>
  <c r="CX360" i="3"/>
  <c r="CX362" i="3"/>
  <c r="CX364" i="3"/>
  <c r="CX368" i="3"/>
  <c r="CX372" i="3"/>
  <c r="CV359" i="3"/>
  <c r="CX359" i="3"/>
  <c r="CW298" i="3"/>
  <c r="CW300" i="3"/>
  <c r="CW302" i="3"/>
  <c r="CX305" i="3"/>
  <c r="CX309" i="3"/>
  <c r="CU297" i="3"/>
  <c r="CX298" i="3"/>
  <c r="CX300" i="3"/>
  <c r="CX302" i="3"/>
  <c r="R109" i="1"/>
  <c r="AB107" i="1"/>
  <c r="V105" i="1"/>
  <c r="V103" i="1"/>
  <c r="CP102" i="1"/>
  <c r="O102" i="1" s="1"/>
  <c r="GM102" i="1" s="1"/>
  <c r="GO102" i="1" s="1"/>
  <c r="V101" i="1"/>
  <c r="AD101" i="1"/>
  <c r="AB101" i="1" s="1"/>
  <c r="CS101" i="1"/>
  <c r="Q101" i="1"/>
  <c r="AB95" i="1"/>
  <c r="Y72" i="1"/>
  <c r="CZ72" i="1"/>
  <c r="X72" i="1"/>
  <c r="CY72" i="1"/>
  <c r="V71" i="1"/>
  <c r="CP66" i="1"/>
  <c r="O66" i="1" s="1"/>
  <c r="GM66" i="1" s="1"/>
  <c r="GO66" i="1" s="1"/>
  <c r="CP64" i="1"/>
  <c r="O64" i="1" s="1"/>
  <c r="GM64" i="1" s="1"/>
  <c r="GN64" i="1" s="1"/>
  <c r="X62" i="1"/>
  <c r="CY62" i="1"/>
  <c r="Y62" i="1"/>
  <c r="CZ62" i="1"/>
  <c r="Q107" i="1"/>
  <c r="CU287" i="3"/>
  <c r="CX288" i="3"/>
  <c r="CX290" i="3"/>
  <c r="CX292" i="3"/>
  <c r="CX296" i="3"/>
  <c r="CV287" i="3"/>
  <c r="CX287" i="3"/>
  <c r="CZ95" i="1"/>
  <c r="Y95" i="1"/>
  <c r="Q95" i="1"/>
  <c r="CX251" i="3"/>
  <c r="CX255" i="3"/>
  <c r="CU249" i="3"/>
  <c r="CX249" i="3"/>
  <c r="CX252" i="3"/>
  <c r="CX256" i="3"/>
  <c r="AD94" i="1"/>
  <c r="AB94" i="1" s="1"/>
  <c r="CZ91" i="1"/>
  <c r="Y91" i="1"/>
  <c r="CZ90" i="1"/>
  <c r="Y90" i="1"/>
  <c r="CZ89" i="1"/>
  <c r="Y89" i="1"/>
  <c r="Q89" i="1"/>
  <c r="CX237" i="3"/>
  <c r="CU234" i="3"/>
  <c r="CX235" i="3"/>
  <c r="CV234" i="3"/>
  <c r="CX234" i="3"/>
  <c r="CX238" i="3"/>
  <c r="AD88" i="1"/>
  <c r="AB88" i="1" s="1"/>
  <c r="S85" i="1"/>
  <c r="CZ83" i="1"/>
  <c r="Y83" i="1"/>
  <c r="CZ82" i="1"/>
  <c r="Y82" i="1"/>
  <c r="CZ81" i="1"/>
  <c r="Y81" i="1"/>
  <c r="CZ80" i="1"/>
  <c r="Y80" i="1"/>
  <c r="CZ79" i="1"/>
  <c r="Y79" i="1"/>
  <c r="Q79" i="1"/>
  <c r="CU205" i="3"/>
  <c r="CV205" i="3"/>
  <c r="CW207" i="3"/>
  <c r="CX210" i="3"/>
  <c r="CX205" i="3"/>
  <c r="CX207" i="3"/>
  <c r="AD78" i="1"/>
  <c r="AB78" i="1" s="1"/>
  <c r="AD74" i="1"/>
  <c r="AB74" i="1" s="1"/>
  <c r="CZ73" i="1"/>
  <c r="Y73" i="1"/>
  <c r="Q73" i="1"/>
  <c r="AD72" i="1"/>
  <c r="AB72" i="1" s="1"/>
  <c r="R66" i="1"/>
  <c r="CZ65" i="1"/>
  <c r="Y65" i="1"/>
  <c r="CQ64" i="1"/>
  <c r="AD64" i="1"/>
  <c r="AB64" i="1" s="1"/>
  <c r="CT63" i="1"/>
  <c r="P63" i="1"/>
  <c r="I63" i="1"/>
  <c r="U63" i="1" s="1"/>
  <c r="T61" i="1"/>
  <c r="Q61" i="1"/>
  <c r="V53" i="1"/>
  <c r="AD53" i="1"/>
  <c r="CS53" i="1"/>
  <c r="X48" i="1"/>
  <c r="CY48" i="1"/>
  <c r="Y48" i="1"/>
  <c r="CZ48" i="1"/>
  <c r="CP42" i="1"/>
  <c r="O42" i="1" s="1"/>
  <c r="CP38" i="1"/>
  <c r="O38" i="1" s="1"/>
  <c r="CP34" i="1"/>
  <c r="O34" i="1" s="1"/>
  <c r="CX724" i="3"/>
  <c r="CX722" i="3"/>
  <c r="CZ100" i="1"/>
  <c r="CX258" i="3"/>
  <c r="CX260" i="3"/>
  <c r="CX262" i="3"/>
  <c r="CU257" i="3"/>
  <c r="CX265" i="3"/>
  <c r="CW258" i="3"/>
  <c r="CW260" i="3"/>
  <c r="CW262" i="3"/>
  <c r="CY95" i="1"/>
  <c r="CQ95" i="1"/>
  <c r="P95" i="1"/>
  <c r="CP95" i="1" s="1"/>
  <c r="O95" i="1" s="1"/>
  <c r="GM95" i="1" s="1"/>
  <c r="GO95" i="1" s="1"/>
  <c r="CT94" i="1"/>
  <c r="CS93" i="1"/>
  <c r="R93" i="1"/>
  <c r="CZ92" i="1"/>
  <c r="CY91" i="1"/>
  <c r="CQ91" i="1"/>
  <c r="P91" i="1"/>
  <c r="CP91" i="1" s="1"/>
  <c r="O91" i="1" s="1"/>
  <c r="GM91" i="1" s="1"/>
  <c r="GO91" i="1" s="1"/>
  <c r="CY90" i="1"/>
  <c r="CQ90" i="1"/>
  <c r="P90" i="1"/>
  <c r="CP90" i="1" s="1"/>
  <c r="O90" i="1" s="1"/>
  <c r="CY89" i="1"/>
  <c r="CQ89" i="1"/>
  <c r="P89" i="1"/>
  <c r="CP89" i="1" s="1"/>
  <c r="O89" i="1" s="1"/>
  <c r="GM89" i="1" s="1"/>
  <c r="GO89" i="1" s="1"/>
  <c r="CT88" i="1"/>
  <c r="CS87" i="1"/>
  <c r="I87" i="1"/>
  <c r="V87" i="1" s="1"/>
  <c r="CS86" i="1"/>
  <c r="R86" i="1"/>
  <c r="CS85" i="1"/>
  <c r="CZ84" i="1"/>
  <c r="CU213" i="3"/>
  <c r="CV213" i="3"/>
  <c r="CW215" i="3"/>
  <c r="CX218" i="3"/>
  <c r="CX213" i="3"/>
  <c r="CX215" i="3"/>
  <c r="CY83" i="1"/>
  <c r="CQ83" i="1"/>
  <c r="P83" i="1"/>
  <c r="CP83" i="1" s="1"/>
  <c r="O83" i="1" s="1"/>
  <c r="GM83" i="1" s="1"/>
  <c r="GO83" i="1" s="1"/>
  <c r="CY82" i="1"/>
  <c r="CQ82" i="1"/>
  <c r="P82" i="1"/>
  <c r="CP82" i="1" s="1"/>
  <c r="O82" i="1" s="1"/>
  <c r="GM82" i="1" s="1"/>
  <c r="GO82" i="1" s="1"/>
  <c r="CY81" i="1"/>
  <c r="CQ81" i="1"/>
  <c r="P81" i="1"/>
  <c r="CP81" i="1" s="1"/>
  <c r="O81" i="1" s="1"/>
  <c r="GM81" i="1" s="1"/>
  <c r="GO81" i="1" s="1"/>
  <c r="CY80" i="1"/>
  <c r="CQ80" i="1"/>
  <c r="P80" i="1"/>
  <c r="CP80" i="1" s="1"/>
  <c r="O80" i="1" s="1"/>
  <c r="GM80" i="1" s="1"/>
  <c r="GO80" i="1" s="1"/>
  <c r="CY79" i="1"/>
  <c r="CQ79" i="1"/>
  <c r="P79" i="1"/>
  <c r="CP79" i="1" s="1"/>
  <c r="O79" i="1" s="1"/>
  <c r="GM79" i="1" s="1"/>
  <c r="GO79" i="1" s="1"/>
  <c r="CT78" i="1"/>
  <c r="CS77" i="1"/>
  <c r="R77" i="1"/>
  <c r="CS76" i="1"/>
  <c r="R76" i="1"/>
  <c r="CS75" i="1"/>
  <c r="R75" i="1"/>
  <c r="CT74" i="1"/>
  <c r="CY73" i="1"/>
  <c r="CQ73" i="1"/>
  <c r="P73" i="1"/>
  <c r="CP73" i="1" s="1"/>
  <c r="O73" i="1" s="1"/>
  <c r="GM73" i="1" s="1"/>
  <c r="GN73" i="1" s="1"/>
  <c r="CT72" i="1"/>
  <c r="CS71" i="1"/>
  <c r="I71" i="1"/>
  <c r="GX71" i="1" s="1"/>
  <c r="CS70" i="1"/>
  <c r="R70" i="1"/>
  <c r="CS69" i="1"/>
  <c r="I69" i="1"/>
  <c r="T69" i="1" s="1"/>
  <c r="CS68" i="1"/>
  <c r="R68" i="1"/>
  <c r="CS67" i="1"/>
  <c r="CZ66" i="1"/>
  <c r="CX176" i="3"/>
  <c r="CW174" i="3"/>
  <c r="CX174" i="3"/>
  <c r="CX177" i="3"/>
  <c r="CU173" i="3"/>
  <c r="CY65" i="1"/>
  <c r="CQ65" i="1"/>
  <c r="P65" i="1"/>
  <c r="CP65" i="1" s="1"/>
  <c r="O65" i="1" s="1"/>
  <c r="GM65" i="1" s="1"/>
  <c r="GN65" i="1" s="1"/>
  <c r="CT64" i="1"/>
  <c r="CS63" i="1"/>
  <c r="R62" i="1"/>
  <c r="AD62" i="1"/>
  <c r="Q62" i="1"/>
  <c r="R57" i="1"/>
  <c r="CS57" i="1"/>
  <c r="AD57" i="1"/>
  <c r="S55" i="1"/>
  <c r="CP55" i="1" s="1"/>
  <c r="O55" i="1" s="1"/>
  <c r="CT55" i="1"/>
  <c r="S54" i="1"/>
  <c r="CT54" i="1"/>
  <c r="AB54" i="1"/>
  <c r="GX53" i="1"/>
  <c r="P53" i="1"/>
  <c r="CP52" i="1"/>
  <c r="O52" i="1" s="1"/>
  <c r="CP48" i="1"/>
  <c r="O48" i="1" s="1"/>
  <c r="GM48" i="1" s="1"/>
  <c r="GO48" i="1" s="1"/>
  <c r="X30" i="1"/>
  <c r="CY30" i="1"/>
  <c r="Y30" i="1"/>
  <c r="CZ30" i="1"/>
  <c r="X28" i="1"/>
  <c r="CY28" i="1"/>
  <c r="Y28" i="1"/>
  <c r="CZ28" i="1"/>
  <c r="CX720" i="3"/>
  <c r="Y93" i="1"/>
  <c r="Q93" i="1"/>
  <c r="CP93" i="1" s="1"/>
  <c r="O93" i="1" s="1"/>
  <c r="GM93" i="1" s="1"/>
  <c r="GO93" i="1" s="1"/>
  <c r="Y86" i="1"/>
  <c r="Q86" i="1"/>
  <c r="CP86" i="1" s="1"/>
  <c r="O86" i="1" s="1"/>
  <c r="GM86" i="1" s="1"/>
  <c r="GO86" i="1" s="1"/>
  <c r="Q85" i="1"/>
  <c r="CW222" i="3"/>
  <c r="CX225" i="3"/>
  <c r="CX220" i="3"/>
  <c r="CX222" i="3"/>
  <c r="CX226" i="3"/>
  <c r="CU220" i="3"/>
  <c r="Y77" i="1"/>
  <c r="Q77" i="1"/>
  <c r="CP77" i="1" s="1"/>
  <c r="O77" i="1" s="1"/>
  <c r="GM77" i="1" s="1"/>
  <c r="GO77" i="1" s="1"/>
  <c r="Y76" i="1"/>
  <c r="Q76" i="1"/>
  <c r="CP76" i="1" s="1"/>
  <c r="O76" i="1" s="1"/>
  <c r="GM76" i="1" s="1"/>
  <c r="GO76" i="1" s="1"/>
  <c r="Y75" i="1"/>
  <c r="Q75" i="1"/>
  <c r="CP75" i="1" s="1"/>
  <c r="O75" i="1" s="1"/>
  <c r="GM75" i="1" s="1"/>
  <c r="GO75" i="1" s="1"/>
  <c r="Q70" i="1"/>
  <c r="CP70" i="1" s="1"/>
  <c r="O70" i="1" s="1"/>
  <c r="GM70" i="1" s="1"/>
  <c r="GO70" i="1" s="1"/>
  <c r="Q68" i="1"/>
  <c r="CP68" i="1" s="1"/>
  <c r="O68" i="1" s="1"/>
  <c r="GM68" i="1" s="1"/>
  <c r="GO68" i="1" s="1"/>
  <c r="Q67" i="1"/>
  <c r="CX181" i="3"/>
  <c r="CW179" i="3"/>
  <c r="CX179" i="3"/>
  <c r="CU178" i="3"/>
  <c r="P62" i="1"/>
  <c r="CP62" i="1" s="1"/>
  <c r="O62" i="1" s="1"/>
  <c r="GM62" i="1" s="1"/>
  <c r="GO62" i="1" s="1"/>
  <c r="CQ62" i="1"/>
  <c r="CS61" i="1"/>
  <c r="AD61" i="1"/>
  <c r="S60" i="1"/>
  <c r="CT60" i="1"/>
  <c r="AB60" i="1"/>
  <c r="S59" i="1"/>
  <c r="CT59" i="1"/>
  <c r="AB59" i="1"/>
  <c r="R58" i="1"/>
  <c r="CS58" i="1"/>
  <c r="AD58" i="1"/>
  <c r="AB57" i="1"/>
  <c r="P57" i="1"/>
  <c r="CP57" i="1" s="1"/>
  <c r="O57" i="1" s="1"/>
  <c r="CQ57" i="1"/>
  <c r="X57" i="1"/>
  <c r="CY57" i="1"/>
  <c r="CU153" i="3"/>
  <c r="CX155" i="3"/>
  <c r="CV153" i="3"/>
  <c r="CX156" i="3"/>
  <c r="CX153" i="3"/>
  <c r="S53" i="1"/>
  <c r="R53" i="1"/>
  <c r="Y52" i="1"/>
  <c r="CZ52" i="1"/>
  <c r="X52" i="1"/>
  <c r="CP50" i="1"/>
  <c r="O50" i="1" s="1"/>
  <c r="X32" i="1"/>
  <c r="CY32" i="1"/>
  <c r="Y32" i="1"/>
  <c r="CZ32" i="1"/>
  <c r="AB31" i="1"/>
  <c r="CP30" i="1"/>
  <c r="O30" i="1" s="1"/>
  <c r="CX718" i="3"/>
  <c r="CU241" i="3"/>
  <c r="CX241" i="3"/>
  <c r="CV241" i="3"/>
  <c r="CX243" i="3"/>
  <c r="CX247" i="3"/>
  <c r="CY93" i="1"/>
  <c r="AD93" i="1"/>
  <c r="AB93" i="1" s="1"/>
  <c r="CW228" i="3"/>
  <c r="CX230" i="3"/>
  <c r="CU227" i="3"/>
  <c r="CX228" i="3"/>
  <c r="CY86" i="1"/>
  <c r="AD86" i="1"/>
  <c r="AB86" i="1" s="1"/>
  <c r="P85" i="1"/>
  <c r="CP85" i="1" s="1"/>
  <c r="O85" i="1" s="1"/>
  <c r="CU197" i="3"/>
  <c r="CV197" i="3"/>
  <c r="CW199" i="3"/>
  <c r="CX202" i="3"/>
  <c r="CX197" i="3"/>
  <c r="CX199" i="3"/>
  <c r="CY77" i="1"/>
  <c r="AD77" i="1"/>
  <c r="AB77" i="1" s="1"/>
  <c r="CY76" i="1"/>
  <c r="AD76" i="1"/>
  <c r="AB76" i="1" s="1"/>
  <c r="CY75" i="1"/>
  <c r="AD75" i="1"/>
  <c r="AB75" i="1" s="1"/>
  <c r="P67" i="1"/>
  <c r="CP67" i="1" s="1"/>
  <c r="O67" i="1" s="1"/>
  <c r="GM67" i="1" s="1"/>
  <c r="GO67" i="1" s="1"/>
  <c r="AB62" i="1"/>
  <c r="CZ61" i="1"/>
  <c r="CR61" i="1"/>
  <c r="AB61" i="1"/>
  <c r="P61" i="1"/>
  <c r="CP61" i="1" s="1"/>
  <c r="O61" i="1" s="1"/>
  <c r="CQ61" i="1"/>
  <c r="X61" i="1"/>
  <c r="CY61" i="1"/>
  <c r="CU169" i="3"/>
  <c r="CX171" i="3"/>
  <c r="CX172" i="3"/>
  <c r="CW170" i="3"/>
  <c r="R61" i="1"/>
  <c r="CP60" i="1"/>
  <c r="O60" i="1" s="1"/>
  <c r="CP59" i="1"/>
  <c r="O59" i="1" s="1"/>
  <c r="CZ58" i="1"/>
  <c r="CR58" i="1"/>
  <c r="AB58" i="1"/>
  <c r="P58" i="1"/>
  <c r="CQ58" i="1"/>
  <c r="X58" i="1"/>
  <c r="CY58" i="1"/>
  <c r="Y57" i="1"/>
  <c r="S56" i="1"/>
  <c r="CT56" i="1"/>
  <c r="AB56" i="1"/>
  <c r="W53" i="1"/>
  <c r="U53" i="1"/>
  <c r="CP44" i="1"/>
  <c r="O44" i="1" s="1"/>
  <c r="X42" i="1"/>
  <c r="CY42" i="1"/>
  <c r="Y42" i="1"/>
  <c r="CZ42" i="1"/>
  <c r="X38" i="1"/>
  <c r="CY38" i="1"/>
  <c r="Y38" i="1"/>
  <c r="CZ38" i="1"/>
  <c r="CP36" i="1"/>
  <c r="O36" i="1" s="1"/>
  <c r="X34" i="1"/>
  <c r="CY34" i="1"/>
  <c r="Y34" i="1"/>
  <c r="CZ34" i="1"/>
  <c r="CP32" i="1"/>
  <c r="O32" i="1" s="1"/>
  <c r="GM32" i="1" s="1"/>
  <c r="GO32" i="1" s="1"/>
  <c r="CX726" i="3"/>
  <c r="CW721" i="3"/>
  <c r="AB53" i="1"/>
  <c r="CX150" i="3"/>
  <c r="CU149" i="3"/>
  <c r="CX151" i="3"/>
  <c r="CY51" i="1"/>
  <c r="CQ51" i="1"/>
  <c r="AD51" i="1"/>
  <c r="AB51" i="1" s="1"/>
  <c r="X51" i="1"/>
  <c r="P51" i="1"/>
  <c r="CP51" i="1" s="1"/>
  <c r="O51" i="1" s="1"/>
  <c r="GM51" i="1" s="1"/>
  <c r="GO51" i="1" s="1"/>
  <c r="CT50" i="1"/>
  <c r="S50" i="1"/>
  <c r="CS49" i="1"/>
  <c r="AB49" i="1"/>
  <c r="CW140" i="3"/>
  <c r="CU139" i="3"/>
  <c r="CX140" i="3"/>
  <c r="CY47" i="1"/>
  <c r="CQ47" i="1"/>
  <c r="AD47" i="1"/>
  <c r="AB47" i="1" s="1"/>
  <c r="X47" i="1"/>
  <c r="P47" i="1"/>
  <c r="CP47" i="1" s="1"/>
  <c r="O47" i="1" s="1"/>
  <c r="GM47" i="1" s="1"/>
  <c r="GO47" i="1" s="1"/>
  <c r="CT46" i="1"/>
  <c r="S46" i="1"/>
  <c r="CS45" i="1"/>
  <c r="AB45" i="1"/>
  <c r="R45" i="1"/>
  <c r="CT44" i="1"/>
  <c r="S44" i="1"/>
  <c r="CY43" i="1"/>
  <c r="CQ43" i="1"/>
  <c r="AD43" i="1"/>
  <c r="AB43" i="1" s="1"/>
  <c r="X43" i="1"/>
  <c r="P43" i="1"/>
  <c r="CP43" i="1" s="1"/>
  <c r="O43" i="1" s="1"/>
  <c r="GM43" i="1" s="1"/>
  <c r="GO43" i="1" s="1"/>
  <c r="CS41" i="1"/>
  <c r="AB41" i="1"/>
  <c r="R41" i="1"/>
  <c r="CT40" i="1"/>
  <c r="S40" i="1"/>
  <c r="CP40" i="1" s="1"/>
  <c r="O40" i="1" s="1"/>
  <c r="CY39" i="1"/>
  <c r="CQ39" i="1"/>
  <c r="AD39" i="1"/>
  <c r="AB39" i="1" s="1"/>
  <c r="X39" i="1"/>
  <c r="P39" i="1"/>
  <c r="CP39" i="1" s="1"/>
  <c r="O39" i="1" s="1"/>
  <c r="CS37" i="1"/>
  <c r="AB37" i="1"/>
  <c r="R37" i="1"/>
  <c r="CT36" i="1"/>
  <c r="S36" i="1"/>
  <c r="CY35" i="1"/>
  <c r="CQ35" i="1"/>
  <c r="AD35" i="1"/>
  <c r="AB35" i="1" s="1"/>
  <c r="X35" i="1"/>
  <c r="P35" i="1"/>
  <c r="CP35" i="1" s="1"/>
  <c r="O35" i="1" s="1"/>
  <c r="GM35" i="1" s="1"/>
  <c r="GN35" i="1" s="1"/>
  <c r="CS33" i="1"/>
  <c r="AB33" i="1"/>
  <c r="CX40" i="3"/>
  <c r="CX42" i="3"/>
  <c r="CU39" i="3"/>
  <c r="CX45" i="3"/>
  <c r="CV39" i="3"/>
  <c r="CW41" i="3"/>
  <c r="CW43" i="3"/>
  <c r="CX46" i="3"/>
  <c r="CW44" i="3"/>
  <c r="CX47" i="3"/>
  <c r="CY31" i="1"/>
  <c r="CQ31" i="1"/>
  <c r="AD31" i="1"/>
  <c r="X31" i="1"/>
  <c r="P31" i="1"/>
  <c r="CS29" i="1"/>
  <c r="AB29" i="1"/>
  <c r="R29" i="1"/>
  <c r="CT28" i="1"/>
  <c r="CW720" i="3"/>
  <c r="CW716" i="3"/>
  <c r="CX716" i="3"/>
  <c r="CX704" i="3"/>
  <c r="CX701" i="3"/>
  <c r="CX698" i="3"/>
  <c r="CX695" i="3"/>
  <c r="CX677" i="3"/>
  <c r="CX672" i="3"/>
  <c r="CX669" i="3"/>
  <c r="CX661" i="3"/>
  <c r="CX656" i="3"/>
  <c r="CX648" i="3"/>
  <c r="CX635" i="3"/>
  <c r="CX627" i="3"/>
  <c r="CX622" i="3"/>
  <c r="CX614" i="3"/>
  <c r="CX589" i="3"/>
  <c r="CX586" i="3"/>
  <c r="CX572" i="3"/>
  <c r="CX557" i="3"/>
  <c r="CX555" i="3"/>
  <c r="CX552" i="3"/>
  <c r="Q49" i="1"/>
  <c r="CP49" i="1" s="1"/>
  <c r="O49" i="1" s="1"/>
  <c r="CU142" i="3"/>
  <c r="CV142" i="3"/>
  <c r="CX144" i="3"/>
  <c r="CX142" i="3"/>
  <c r="Y45" i="1"/>
  <c r="Q45" i="1"/>
  <c r="Y41" i="1"/>
  <c r="Q41" i="1"/>
  <c r="CP41" i="1" s="1"/>
  <c r="O41" i="1" s="1"/>
  <c r="GM41" i="1" s="1"/>
  <c r="GO41" i="1" s="1"/>
  <c r="Y37" i="1"/>
  <c r="Q37" i="1"/>
  <c r="CP37" i="1" s="1"/>
  <c r="O37" i="1" s="1"/>
  <c r="GM37" i="1" s="1"/>
  <c r="GO37" i="1" s="1"/>
  <c r="Q33" i="1"/>
  <c r="CP33" i="1" s="1"/>
  <c r="O33" i="1" s="1"/>
  <c r="CU49" i="3"/>
  <c r="CX58" i="3"/>
  <c r="CV49" i="3"/>
  <c r="CW51" i="3"/>
  <c r="CX49" i="3"/>
  <c r="CW53" i="3"/>
  <c r="CX55" i="3"/>
  <c r="CX51" i="3"/>
  <c r="CX53" i="3"/>
  <c r="Y29" i="1"/>
  <c r="Q29" i="1"/>
  <c r="CP29" i="1" s="1"/>
  <c r="O29" i="1" s="1"/>
  <c r="GM29" i="1" s="1"/>
  <c r="GO29" i="1" s="1"/>
  <c r="CW714" i="3"/>
  <c r="CX714" i="3"/>
  <c r="CX696" i="3"/>
  <c r="CX693" i="3"/>
  <c r="CX688" i="3"/>
  <c r="CW682" i="3"/>
  <c r="CX680" i="3"/>
  <c r="CX675" i="3"/>
  <c r="CX667" i="3"/>
  <c r="CX662" i="3"/>
  <c r="CX659" i="3"/>
  <c r="CX654" i="3"/>
  <c r="CX649" i="3"/>
  <c r="CX646" i="3"/>
  <c r="CX641" i="3"/>
  <c r="CX628" i="3"/>
  <c r="CX620" i="3"/>
  <c r="CX615" i="3"/>
  <c r="CX607" i="3"/>
  <c r="CX601" i="3"/>
  <c r="CX598" i="3"/>
  <c r="CW595" i="3"/>
  <c r="CX581" i="3"/>
  <c r="CX570" i="3"/>
  <c r="CX567" i="3"/>
  <c r="DF543" i="3"/>
  <c r="DJ543" i="3" s="1"/>
  <c r="DI543" i="3"/>
  <c r="DG543" i="3"/>
  <c r="DH543" i="3"/>
  <c r="CU165" i="3"/>
  <c r="CV165" i="3"/>
  <c r="CX167" i="3"/>
  <c r="CX165" i="3"/>
  <c r="CX168" i="3"/>
  <c r="CQ53" i="1"/>
  <c r="CT52" i="1"/>
  <c r="CS51" i="1"/>
  <c r="CX146" i="3"/>
  <c r="CU145" i="3"/>
  <c r="CQ49" i="1"/>
  <c r="CT48" i="1"/>
  <c r="CS47" i="1"/>
  <c r="CW134" i="3"/>
  <c r="CU133" i="3"/>
  <c r="CX134" i="3"/>
  <c r="CY45" i="1"/>
  <c r="CQ45" i="1"/>
  <c r="CS43" i="1"/>
  <c r="R43" i="1"/>
  <c r="CT42" i="1"/>
  <c r="CY41" i="1"/>
  <c r="CQ41" i="1"/>
  <c r="CS39" i="1"/>
  <c r="R39" i="1"/>
  <c r="CT38" i="1"/>
  <c r="CY37" i="1"/>
  <c r="CQ37" i="1"/>
  <c r="CS35" i="1"/>
  <c r="R35" i="1"/>
  <c r="CT34" i="1"/>
  <c r="CQ33" i="1"/>
  <c r="CT32" i="1"/>
  <c r="CS31" i="1"/>
  <c r="R31" i="1"/>
  <c r="CT30" i="1"/>
  <c r="CY29" i="1"/>
  <c r="CQ29" i="1"/>
  <c r="Q28" i="1"/>
  <c r="CP28" i="1" s="1"/>
  <c r="O28" i="1" s="1"/>
  <c r="GM28" i="1" s="1"/>
  <c r="GO28" i="1" s="1"/>
  <c r="CW713" i="3"/>
  <c r="CX711" i="3"/>
  <c r="CX710" i="3"/>
  <c r="CX708" i="3"/>
  <c r="CX706" i="3"/>
  <c r="CX705" i="3"/>
  <c r="CX699" i="3"/>
  <c r="CX691" i="3"/>
  <c r="CX686" i="3"/>
  <c r="CX683" i="3"/>
  <c r="CX665" i="3"/>
  <c r="CX652" i="3"/>
  <c r="CX644" i="3"/>
  <c r="CX639" i="3"/>
  <c r="CX631" i="3"/>
  <c r="CX618" i="3"/>
  <c r="CX610" i="3"/>
  <c r="CX605" i="3"/>
  <c r="CX602" i="3"/>
  <c r="CX593" i="3"/>
  <c r="CX590" i="3"/>
  <c r="CX579" i="3"/>
  <c r="CX576" i="3"/>
  <c r="CX568" i="3"/>
  <c r="CX559" i="3"/>
  <c r="CZ51" i="1"/>
  <c r="CX148" i="3"/>
  <c r="CU147" i="3"/>
  <c r="S49" i="1"/>
  <c r="CZ47" i="1"/>
  <c r="CU136" i="3"/>
  <c r="CV136" i="3"/>
  <c r="CX138" i="3"/>
  <c r="CX136" i="3"/>
  <c r="CZ43" i="1"/>
  <c r="CZ39" i="1"/>
  <c r="CZ35" i="1"/>
  <c r="S33" i="1"/>
  <c r="CZ31" i="1"/>
  <c r="CX712" i="3"/>
  <c r="CX703" i="3"/>
  <c r="CX689" i="3"/>
  <c r="CX684" i="3"/>
  <c r="CX679" i="3"/>
  <c r="CX674" i="3"/>
  <c r="CX671" i="3"/>
  <c r="CX666" i="3"/>
  <c r="CX663" i="3"/>
  <c r="CX658" i="3"/>
  <c r="CX650" i="3"/>
  <c r="CX645" i="3"/>
  <c r="CX637" i="3"/>
  <c r="CX632" i="3"/>
  <c r="CX629" i="3"/>
  <c r="CX624" i="3"/>
  <c r="CX611" i="3"/>
  <c r="CX603" i="3"/>
  <c r="CX599" i="3"/>
  <c r="CX597" i="3"/>
  <c r="CX594" i="3"/>
  <c r="CX585" i="3"/>
  <c r="CX577" i="3"/>
  <c r="CX565" i="3"/>
  <c r="CX563" i="3"/>
  <c r="CX560" i="3"/>
  <c r="CX551" i="3"/>
  <c r="DH549" i="3"/>
  <c r="DI549" i="3"/>
  <c r="DF549" i="3"/>
  <c r="DJ549" i="3" s="1"/>
  <c r="DG549" i="3"/>
  <c r="DF547" i="3"/>
  <c r="DJ547" i="3" s="1"/>
  <c r="DG547" i="3"/>
  <c r="DH547" i="3"/>
  <c r="DI547" i="3"/>
  <c r="CW708" i="3"/>
  <c r="CW706" i="3"/>
  <c r="CV701" i="3"/>
  <c r="CW693" i="3"/>
  <c r="CV691" i="3"/>
  <c r="CW686" i="3"/>
  <c r="CV677" i="3"/>
  <c r="CV669" i="3"/>
  <c r="CW656" i="3"/>
  <c r="CW654" i="3"/>
  <c r="CV652" i="3"/>
  <c r="CW639" i="3"/>
  <c r="CW637" i="3"/>
  <c r="CV635" i="3"/>
  <c r="CW622" i="3"/>
  <c r="CW620" i="3"/>
  <c r="CV618" i="3"/>
  <c r="CW605" i="3"/>
  <c r="CW603" i="3"/>
  <c r="CV601" i="3"/>
  <c r="CV593" i="3"/>
  <c r="CV585" i="3"/>
  <c r="CV576" i="3"/>
  <c r="CV567" i="3"/>
  <c r="CV559" i="3"/>
  <c r="CV551" i="3"/>
  <c r="DF550" i="3"/>
  <c r="DJ550" i="3" s="1"/>
  <c r="DF546" i="3"/>
  <c r="DI544" i="3"/>
  <c r="DH544" i="3"/>
  <c r="DG539" i="3"/>
  <c r="DF539" i="3"/>
  <c r="CX533" i="3"/>
  <c r="CX530" i="3"/>
  <c r="CX523" i="3"/>
  <c r="CW510" i="3"/>
  <c r="CX508" i="3"/>
  <c r="CW503" i="3"/>
  <c r="CX498" i="3"/>
  <c r="CX493" i="3"/>
  <c r="DF490" i="3"/>
  <c r="DJ490" i="3" s="1"/>
  <c r="DG490" i="3"/>
  <c r="DH490" i="3"/>
  <c r="DI490" i="3"/>
  <c r="DI482" i="3"/>
  <c r="DF482" i="3"/>
  <c r="DJ482" i="3" s="1"/>
  <c r="DG482" i="3"/>
  <c r="DH482" i="3"/>
  <c r="CX477" i="3"/>
  <c r="CX474" i="3"/>
  <c r="CX461" i="3"/>
  <c r="CW458" i="3"/>
  <c r="DI449" i="3"/>
  <c r="DF449" i="3"/>
  <c r="DJ449" i="3" s="1"/>
  <c r="DG449" i="3"/>
  <c r="DH449" i="3"/>
  <c r="CX442" i="3"/>
  <c r="CX437" i="3"/>
  <c r="DI550" i="3"/>
  <c r="DG548" i="3"/>
  <c r="DI546" i="3"/>
  <c r="DG545" i="3"/>
  <c r="DH541" i="3"/>
  <c r="DG541" i="3"/>
  <c r="DI539" i="3"/>
  <c r="DJ539" i="3" s="1"/>
  <c r="CX536" i="3"/>
  <c r="CX531" i="3"/>
  <c r="CW518" i="3"/>
  <c r="CX516" i="3"/>
  <c r="CW511" i="3"/>
  <c r="CX506" i="3"/>
  <c r="CX499" i="3"/>
  <c r="DI491" i="3"/>
  <c r="DF491" i="3"/>
  <c r="DJ491" i="3" s="1"/>
  <c r="DG491" i="3"/>
  <c r="DH491" i="3"/>
  <c r="CX472" i="3"/>
  <c r="CX464" i="3"/>
  <c r="DH454" i="3"/>
  <c r="DI454" i="3"/>
  <c r="DF454" i="3"/>
  <c r="DJ454" i="3" s="1"/>
  <c r="DG454" i="3"/>
  <c r="CX538" i="3"/>
  <c r="CW526" i="3"/>
  <c r="CX524" i="3"/>
  <c r="CW519" i="3"/>
  <c r="CX514" i="3"/>
  <c r="CX507" i="3"/>
  <c r="CX504" i="3"/>
  <c r="DH483" i="3"/>
  <c r="DI483" i="3"/>
  <c r="DF483" i="3"/>
  <c r="DJ483" i="3" s="1"/>
  <c r="DG483" i="3"/>
  <c r="CX478" i="3"/>
  <c r="CX473" i="3"/>
  <c r="CX470" i="3"/>
  <c r="CX465" i="3"/>
  <c r="CX462" i="3"/>
  <c r="CW459" i="3"/>
  <c r="DF456" i="3"/>
  <c r="DJ456" i="3" s="1"/>
  <c r="DG456" i="3"/>
  <c r="DH456" i="3"/>
  <c r="DI456" i="3"/>
  <c r="DH450" i="3"/>
  <c r="DI450" i="3"/>
  <c r="DF450" i="3"/>
  <c r="DJ450" i="3" s="1"/>
  <c r="DG450" i="3"/>
  <c r="CX441" i="3"/>
  <c r="DF544" i="3"/>
  <c r="DJ544" i="3" s="1"/>
  <c r="DG542" i="3"/>
  <c r="DF542" i="3"/>
  <c r="DJ542" i="3" s="1"/>
  <c r="DI540" i="3"/>
  <c r="DH540" i="3"/>
  <c r="CX535" i="3"/>
  <c r="CW527" i="3"/>
  <c r="CX522" i="3"/>
  <c r="CX517" i="3"/>
  <c r="CX515" i="3"/>
  <c r="CW502" i="3"/>
  <c r="CX500" i="3"/>
  <c r="CW495" i="3"/>
  <c r="DF485" i="3"/>
  <c r="DJ485" i="3" s="1"/>
  <c r="DG485" i="3"/>
  <c r="DH485" i="3"/>
  <c r="DI485" i="3"/>
  <c r="DF481" i="3"/>
  <c r="DJ481" i="3" s="1"/>
  <c r="DG481" i="3"/>
  <c r="DH481" i="3"/>
  <c r="DI481" i="3"/>
  <c r="CX476" i="3"/>
  <c r="CX468" i="3"/>
  <c r="CX460" i="3"/>
  <c r="CV457" i="3"/>
  <c r="DF448" i="3"/>
  <c r="DJ448" i="3" s="1"/>
  <c r="DG448" i="3"/>
  <c r="DH448" i="3"/>
  <c r="DI448" i="3"/>
  <c r="CX444" i="3"/>
  <c r="CX439" i="3"/>
  <c r="CW533" i="3"/>
  <c r="CX527" i="3"/>
  <c r="CX519" i="3"/>
  <c r="CX511" i="3"/>
  <c r="CX503" i="3"/>
  <c r="CX495" i="3"/>
  <c r="DF489" i="3"/>
  <c r="DJ489" i="3" s="1"/>
  <c r="CX487" i="3"/>
  <c r="DF486" i="3"/>
  <c r="DF484" i="3"/>
  <c r="DJ484" i="3" s="1"/>
  <c r="DF480" i="3"/>
  <c r="CW470" i="3"/>
  <c r="CV468" i="3"/>
  <c r="CX458" i="3"/>
  <c r="DF455" i="3"/>
  <c r="DJ455" i="3" s="1"/>
  <c r="CX453" i="3"/>
  <c r="DF452" i="3"/>
  <c r="DF447" i="3"/>
  <c r="CX446" i="3"/>
  <c r="DF445" i="3"/>
  <c r="CW439" i="3"/>
  <c r="CX435" i="3"/>
  <c r="CX421" i="3"/>
  <c r="CX419" i="3"/>
  <c r="CW408" i="3"/>
  <c r="CX402" i="3"/>
  <c r="CX399" i="3"/>
  <c r="CX397" i="3"/>
  <c r="CW392" i="3"/>
  <c r="CX386" i="3"/>
  <c r="CX378" i="3"/>
  <c r="CX370" i="3"/>
  <c r="CX357" i="3"/>
  <c r="CX354" i="3"/>
  <c r="CX349" i="3"/>
  <c r="DI489" i="3"/>
  <c r="DI486" i="3"/>
  <c r="DJ486" i="3" s="1"/>
  <c r="DI484" i="3"/>
  <c r="DI480" i="3"/>
  <c r="DI455" i="3"/>
  <c r="DI452" i="3"/>
  <c r="DI447" i="3"/>
  <c r="DI445" i="3"/>
  <c r="DJ445" i="3" s="1"/>
  <c r="CX434" i="3"/>
  <c r="CX417" i="3"/>
  <c r="CX395" i="3"/>
  <c r="CX387" i="3"/>
  <c r="CX384" i="3"/>
  <c r="CX376" i="3"/>
  <c r="CX373" i="3"/>
  <c r="CX365" i="3"/>
  <c r="CW362" i="3"/>
  <c r="CX352" i="3"/>
  <c r="CX347" i="3"/>
  <c r="CW433" i="3"/>
  <c r="CW432" i="3"/>
  <c r="CX432" i="3"/>
  <c r="CX420" i="3"/>
  <c r="CX415" i="3"/>
  <c r="CX412" i="3"/>
  <c r="CW409" i="3"/>
  <c r="CX406" i="3"/>
  <c r="CX398" i="3"/>
  <c r="CX390" i="3"/>
  <c r="CX382" i="3"/>
  <c r="CX374" i="3"/>
  <c r="CX371" i="3"/>
  <c r="CX366" i="3"/>
  <c r="CW363" i="3"/>
  <c r="CW360" i="3"/>
  <c r="CX358" i="3"/>
  <c r="CX353" i="3"/>
  <c r="CX350" i="3"/>
  <c r="CX345" i="3"/>
  <c r="CX436" i="3"/>
  <c r="CV431" i="3"/>
  <c r="CX430" i="3"/>
  <c r="CX428" i="3"/>
  <c r="CX426" i="3"/>
  <c r="CV426" i="3"/>
  <c r="CW423" i="3"/>
  <c r="CX413" i="3"/>
  <c r="CW410" i="3"/>
  <c r="CV407" i="3"/>
  <c r="CX404" i="3"/>
  <c r="CX401" i="3"/>
  <c r="CV391" i="3"/>
  <c r="CX388" i="3"/>
  <c r="CX383" i="3"/>
  <c r="CX380" i="3"/>
  <c r="CX369" i="3"/>
  <c r="CW361" i="3"/>
  <c r="CX356" i="3"/>
  <c r="CX343" i="3"/>
  <c r="CW428" i="3"/>
  <c r="CX423" i="3"/>
  <c r="CW417" i="3"/>
  <c r="CW415" i="3"/>
  <c r="CX410" i="3"/>
  <c r="CX408" i="3"/>
  <c r="CW404" i="3"/>
  <c r="CV395" i="3"/>
  <c r="CX392" i="3"/>
  <c r="CW380" i="3"/>
  <c r="CW378" i="3"/>
  <c r="CW376" i="3"/>
  <c r="CX363" i="3"/>
  <c r="CX361" i="3"/>
  <c r="CW347" i="3"/>
  <c r="CW345" i="3"/>
  <c r="CV343" i="3"/>
  <c r="CX340" i="3"/>
  <c r="CX338" i="3"/>
  <c r="CX337" i="3"/>
  <c r="CX336" i="3"/>
  <c r="CX333" i="3"/>
  <c r="CX325" i="3"/>
  <c r="CX320" i="3"/>
  <c r="CX317" i="3"/>
  <c r="CX306" i="3"/>
  <c r="CX301" i="3"/>
  <c r="CX293" i="3"/>
  <c r="CW290" i="3"/>
  <c r="CX280" i="3"/>
  <c r="CX277" i="3"/>
  <c r="CW272" i="3"/>
  <c r="CW269" i="3"/>
  <c r="CX266" i="3"/>
  <c r="CX331" i="3"/>
  <c r="CX323" i="3"/>
  <c r="CX315" i="3"/>
  <c r="CX307" i="3"/>
  <c r="CX304" i="3"/>
  <c r="CX299" i="3"/>
  <c r="CX294" i="3"/>
  <c r="CW291" i="3"/>
  <c r="CW288" i="3"/>
  <c r="CX286" i="3"/>
  <c r="CX278" i="3"/>
  <c r="CX275" i="3"/>
  <c r="CW270" i="3"/>
  <c r="CV267" i="3"/>
  <c r="CX264" i="3"/>
  <c r="CX342" i="3"/>
  <c r="CX329" i="3"/>
  <c r="CX324" i="3"/>
  <c r="CX321" i="3"/>
  <c r="CX313" i="3"/>
  <c r="CX310" i="3"/>
  <c r="CX297" i="3"/>
  <c r="CW289" i="3"/>
  <c r="CX284" i="3"/>
  <c r="CX273" i="3"/>
  <c r="CW268" i="3"/>
  <c r="CX341" i="3"/>
  <c r="CX327" i="3"/>
  <c r="CX319" i="3"/>
  <c r="CX311" i="3"/>
  <c r="CX308" i="3"/>
  <c r="CX303" i="3"/>
  <c r="CX295" i="3"/>
  <c r="CW292" i="3"/>
  <c r="CX282" i="3"/>
  <c r="CW271" i="3"/>
  <c r="CW331" i="3"/>
  <c r="CW329" i="3"/>
  <c r="CV327" i="3"/>
  <c r="CW317" i="3"/>
  <c r="CW315" i="3"/>
  <c r="CW313" i="3"/>
  <c r="CW301" i="3"/>
  <c r="CW299" i="3"/>
  <c r="CV297" i="3"/>
  <c r="CX291" i="3"/>
  <c r="CX289" i="3"/>
  <c r="CX272" i="3"/>
  <c r="CX270" i="3"/>
  <c r="CX268" i="3"/>
  <c r="CX253" i="3"/>
  <c r="CW250" i="3"/>
  <c r="CX250" i="3"/>
  <c r="CX232" i="3"/>
  <c r="CX229" i="3"/>
  <c r="CX224" i="3"/>
  <c r="CW221" i="3"/>
  <c r="CV249" i="3"/>
  <c r="CX248" i="3"/>
  <c r="CX246" i="3"/>
  <c r="CX245" i="3"/>
  <c r="CX244" i="3"/>
  <c r="CX242" i="3"/>
  <c r="CX227" i="3"/>
  <c r="CX216" i="3"/>
  <c r="CX208" i="3"/>
  <c r="CX200" i="3"/>
  <c r="DH185" i="3"/>
  <c r="DI185" i="3"/>
  <c r="DF185" i="3"/>
  <c r="DG185" i="3"/>
  <c r="DJ185" i="3" s="1"/>
  <c r="CX263" i="3"/>
  <c r="CX261" i="3"/>
  <c r="CW261" i="3"/>
  <c r="CX259" i="3"/>
  <c r="CW259" i="3"/>
  <c r="CX240" i="3"/>
  <c r="CX239" i="3"/>
  <c r="CW236" i="3"/>
  <c r="CX236" i="3"/>
  <c r="CW235" i="3"/>
  <c r="CX233" i="3"/>
  <c r="CX219" i="3"/>
  <c r="CX214" i="3"/>
  <c r="CX211" i="3"/>
  <c r="CX206" i="3"/>
  <c r="CX203" i="3"/>
  <c r="CX198" i="3"/>
  <c r="DF195" i="3"/>
  <c r="DJ195" i="3" s="1"/>
  <c r="DG195" i="3"/>
  <c r="DH195" i="3"/>
  <c r="DI195" i="3"/>
  <c r="DI190" i="3"/>
  <c r="DJ190" i="3" s="1"/>
  <c r="DF190" i="3"/>
  <c r="DG190" i="3"/>
  <c r="DH190" i="3"/>
  <c r="DF187" i="3"/>
  <c r="DJ187" i="3" s="1"/>
  <c r="DG187" i="3"/>
  <c r="DH187" i="3"/>
  <c r="DI187" i="3"/>
  <c r="CX182" i="3"/>
  <c r="CX257" i="3"/>
  <c r="CV257" i="3"/>
  <c r="CX254" i="3"/>
  <c r="CX231" i="3"/>
  <c r="CX223" i="3"/>
  <c r="CV220" i="3"/>
  <c r="CX217" i="3"/>
  <c r="CX212" i="3"/>
  <c r="CX209" i="3"/>
  <c r="CX204" i="3"/>
  <c r="CX201" i="3"/>
  <c r="DI196" i="3"/>
  <c r="DF196" i="3"/>
  <c r="DJ196" i="3" s="1"/>
  <c r="DG196" i="3"/>
  <c r="DH196" i="3"/>
  <c r="DI188" i="3"/>
  <c r="DF188" i="3"/>
  <c r="DJ188" i="3" s="1"/>
  <c r="DG188" i="3"/>
  <c r="DH188" i="3"/>
  <c r="DH183" i="3"/>
  <c r="DI183" i="3"/>
  <c r="DJ183" i="3" s="1"/>
  <c r="DF183" i="3"/>
  <c r="DG183" i="3"/>
  <c r="CW242" i="3"/>
  <c r="CW229" i="3"/>
  <c r="CV227" i="3"/>
  <c r="CX221" i="3"/>
  <c r="CW214" i="3"/>
  <c r="CW206" i="3"/>
  <c r="CW198" i="3"/>
  <c r="DF194" i="3"/>
  <c r="DJ194" i="3" s="1"/>
  <c r="CX192" i="3"/>
  <c r="DF191" i="3"/>
  <c r="DF186" i="3"/>
  <c r="DJ186" i="3" s="1"/>
  <c r="CW185" i="3"/>
  <c r="DI184" i="3"/>
  <c r="CV183" i="3"/>
  <c r="CX180" i="3"/>
  <c r="CX152" i="3"/>
  <c r="CV149" i="3"/>
  <c r="CX141" i="3"/>
  <c r="CV133" i="3"/>
  <c r="DI194" i="3"/>
  <c r="DI191" i="3"/>
  <c r="DI186" i="3"/>
  <c r="CV178" i="3"/>
  <c r="CX178" i="3"/>
  <c r="CX175" i="3"/>
  <c r="CV173" i="3"/>
  <c r="CX170" i="3"/>
  <c r="CV169" i="3"/>
  <c r="CX169" i="3"/>
  <c r="CV147" i="3"/>
  <c r="CV139" i="3"/>
  <c r="DH130" i="3"/>
  <c r="DI130" i="3"/>
  <c r="DF130" i="3"/>
  <c r="DJ130" i="3" s="1"/>
  <c r="DG130" i="3"/>
  <c r="DH126" i="3"/>
  <c r="DI126" i="3"/>
  <c r="DF126" i="3"/>
  <c r="DJ126" i="3" s="1"/>
  <c r="DG126" i="3"/>
  <c r="CW166" i="3"/>
  <c r="CX166" i="3"/>
  <c r="DH164" i="3"/>
  <c r="DI164" i="3"/>
  <c r="DF164" i="3"/>
  <c r="DJ164" i="3" s="1"/>
  <c r="DH161" i="3"/>
  <c r="DI161" i="3"/>
  <c r="DJ161" i="3" s="1"/>
  <c r="DF161" i="3"/>
  <c r="DG161" i="3"/>
  <c r="CV145" i="3"/>
  <c r="CW137" i="3"/>
  <c r="DH159" i="3"/>
  <c r="DI159" i="3"/>
  <c r="DF159" i="3"/>
  <c r="DJ159" i="3" s="1"/>
  <c r="DG159" i="3"/>
  <c r="CX154" i="3"/>
  <c r="CW143" i="3"/>
  <c r="CX135" i="3"/>
  <c r="DH119" i="3"/>
  <c r="DI119" i="3"/>
  <c r="DF119" i="3"/>
  <c r="DJ119" i="3" s="1"/>
  <c r="DG119" i="3"/>
  <c r="DG112" i="3"/>
  <c r="DJ112" i="3" s="1"/>
  <c r="DF112" i="3"/>
  <c r="DG110" i="3"/>
  <c r="DJ110" i="3" s="1"/>
  <c r="DF110" i="3"/>
  <c r="DI107" i="3"/>
  <c r="DH107" i="3"/>
  <c r="CX105" i="3"/>
  <c r="CW105" i="3"/>
  <c r="DF104" i="3"/>
  <c r="DG104" i="3"/>
  <c r="DJ104" i="3" s="1"/>
  <c r="DI104" i="3"/>
  <c r="DI101" i="3"/>
  <c r="DF101" i="3"/>
  <c r="DJ101" i="3" s="1"/>
  <c r="DH101" i="3"/>
  <c r="DF100" i="3"/>
  <c r="DJ100" i="3" s="1"/>
  <c r="DG100" i="3"/>
  <c r="DI100" i="3"/>
  <c r="DI96" i="3"/>
  <c r="DF96" i="3"/>
  <c r="DG96" i="3"/>
  <c r="DJ96" i="3" s="1"/>
  <c r="DH96" i="3"/>
  <c r="DH87" i="3"/>
  <c r="DI87" i="3"/>
  <c r="DJ87" i="3" s="1"/>
  <c r="DF87" i="3"/>
  <c r="DG87" i="3"/>
  <c r="DH85" i="3"/>
  <c r="DI85" i="3"/>
  <c r="DF85" i="3"/>
  <c r="DJ85" i="3" s="1"/>
  <c r="DG85" i="3"/>
  <c r="DG163" i="3"/>
  <c r="DG158" i="3"/>
  <c r="DJ158" i="3" s="1"/>
  <c r="CX132" i="3"/>
  <c r="DG131" i="3"/>
  <c r="DG129" i="3"/>
  <c r="DG125" i="3"/>
  <c r="DG122" i="3"/>
  <c r="DJ122" i="3" s="1"/>
  <c r="DG120" i="3"/>
  <c r="DG118" i="3"/>
  <c r="DH116" i="3"/>
  <c r="DI114" i="3"/>
  <c r="DH114" i="3"/>
  <c r="DI112" i="3"/>
  <c r="DI110" i="3"/>
  <c r="DF106" i="3"/>
  <c r="DI106" i="3"/>
  <c r="DH92" i="3"/>
  <c r="DI92" i="3"/>
  <c r="DF92" i="3"/>
  <c r="DJ92" i="3" s="1"/>
  <c r="DG92" i="3"/>
  <c r="CX173" i="3"/>
  <c r="DF163" i="3"/>
  <c r="DJ163" i="3" s="1"/>
  <c r="DG162" i="3"/>
  <c r="DJ162" i="3" s="1"/>
  <c r="DF158" i="3"/>
  <c r="CX157" i="3"/>
  <c r="CX149" i="3"/>
  <c r="CX147" i="3"/>
  <c r="CX145" i="3"/>
  <c r="CX143" i="3"/>
  <c r="CX139" i="3"/>
  <c r="CX137" i="3"/>
  <c r="CX133" i="3"/>
  <c r="DF131" i="3"/>
  <c r="DF129" i="3"/>
  <c r="DJ129" i="3" s="1"/>
  <c r="DG128" i="3"/>
  <c r="DF125" i="3"/>
  <c r="DJ125" i="3" s="1"/>
  <c r="DG124" i="3"/>
  <c r="CX123" i="3"/>
  <c r="DF122" i="3"/>
  <c r="CX121" i="3"/>
  <c r="DF120" i="3"/>
  <c r="DF118" i="3"/>
  <c r="DJ118" i="3" s="1"/>
  <c r="DG117" i="3"/>
  <c r="DG116" i="3"/>
  <c r="DF113" i="3"/>
  <c r="DJ113" i="3" s="1"/>
  <c r="DI113" i="3"/>
  <c r="DH112" i="3"/>
  <c r="DH110" i="3"/>
  <c r="DG107" i="3"/>
  <c r="DH106" i="3"/>
  <c r="DH104" i="3"/>
  <c r="CX103" i="3"/>
  <c r="CW103" i="3"/>
  <c r="DF102" i="3"/>
  <c r="DG102" i="3"/>
  <c r="DI102" i="3"/>
  <c r="DJ102" i="3" s="1"/>
  <c r="DH100" i="3"/>
  <c r="DI84" i="3"/>
  <c r="DF84" i="3"/>
  <c r="DJ84" i="3" s="1"/>
  <c r="DG84" i="3"/>
  <c r="DH84" i="3"/>
  <c r="DI74" i="3"/>
  <c r="DF74" i="3"/>
  <c r="DJ74" i="3" s="1"/>
  <c r="DG74" i="3"/>
  <c r="DH74" i="3"/>
  <c r="DG114" i="3"/>
  <c r="DH113" i="3"/>
  <c r="DI111" i="3"/>
  <c r="DH111" i="3"/>
  <c r="DH108" i="3"/>
  <c r="DG108" i="3"/>
  <c r="DF107" i="3"/>
  <c r="DJ107" i="3" s="1"/>
  <c r="DG106" i="3"/>
  <c r="DJ106" i="3" s="1"/>
  <c r="DG101" i="3"/>
  <c r="DI98" i="3"/>
  <c r="DF98" i="3"/>
  <c r="DH98" i="3"/>
  <c r="DI91" i="3"/>
  <c r="DF91" i="3"/>
  <c r="DJ91" i="3" s="1"/>
  <c r="DG91" i="3"/>
  <c r="DH91" i="3"/>
  <c r="DH89" i="3"/>
  <c r="DI89" i="3"/>
  <c r="DF89" i="3"/>
  <c r="DG89" i="3"/>
  <c r="DJ89" i="3" s="1"/>
  <c r="DF79" i="3"/>
  <c r="DI79" i="3"/>
  <c r="DJ79" i="3" s="1"/>
  <c r="DG79" i="3"/>
  <c r="DH79" i="3"/>
  <c r="CX56" i="3"/>
  <c r="DF99" i="3"/>
  <c r="DF97" i="3"/>
  <c r="DI94" i="3"/>
  <c r="DF93" i="3"/>
  <c r="DJ93" i="3" s="1"/>
  <c r="DI90" i="3"/>
  <c r="CW89" i="3"/>
  <c r="DI88" i="3"/>
  <c r="CV87" i="3"/>
  <c r="DF86" i="3"/>
  <c r="DJ86" i="3" s="1"/>
  <c r="DI83" i="3"/>
  <c r="DF82" i="3"/>
  <c r="CW80" i="3"/>
  <c r="CV79" i="3"/>
  <c r="DH71" i="3"/>
  <c r="DI71" i="3"/>
  <c r="CW69" i="3"/>
  <c r="DH64" i="3"/>
  <c r="DI64" i="3"/>
  <c r="DF60" i="3"/>
  <c r="DG60" i="3"/>
  <c r="DJ60" i="3" s="1"/>
  <c r="CW54" i="3"/>
  <c r="CX54" i="3"/>
  <c r="CW52" i="3"/>
  <c r="CX52" i="3"/>
  <c r="DF70" i="3"/>
  <c r="DG70" i="3"/>
  <c r="DJ70" i="3" s="1"/>
  <c r="DH69" i="3"/>
  <c r="DI69" i="3"/>
  <c r="DI67" i="3"/>
  <c r="DF67" i="3"/>
  <c r="DJ67" i="3" s="1"/>
  <c r="DI63" i="3"/>
  <c r="DF63" i="3"/>
  <c r="DJ63" i="3" s="1"/>
  <c r="DH59" i="3"/>
  <c r="DI59" i="3"/>
  <c r="DJ59" i="3" s="1"/>
  <c r="CX44" i="3"/>
  <c r="DI9" i="3"/>
  <c r="DF9" i="3"/>
  <c r="DJ9" i="3" s="1"/>
  <c r="DG9" i="3"/>
  <c r="DH9" i="3"/>
  <c r="CX95" i="3"/>
  <c r="DG94" i="3"/>
  <c r="DG90" i="3"/>
  <c r="DJ90" i="3" s="1"/>
  <c r="DG88" i="3"/>
  <c r="DJ88" i="3" s="1"/>
  <c r="DG83" i="3"/>
  <c r="DG80" i="3"/>
  <c r="DJ80" i="3" s="1"/>
  <c r="DG78" i="3"/>
  <c r="DF73" i="3"/>
  <c r="DJ73" i="3" s="1"/>
  <c r="DG73" i="3"/>
  <c r="DI70" i="3"/>
  <c r="DG69" i="3"/>
  <c r="DJ69" i="3" s="1"/>
  <c r="DF68" i="3"/>
  <c r="DG68" i="3"/>
  <c r="DH67" i="3"/>
  <c r="DH63" i="3"/>
  <c r="DF59" i="3"/>
  <c r="CW50" i="3"/>
  <c r="CX50" i="3"/>
  <c r="CX48" i="3"/>
  <c r="DF80" i="3"/>
  <c r="DF78" i="3"/>
  <c r="DH77" i="3"/>
  <c r="DI77" i="3"/>
  <c r="DJ77" i="3" s="1"/>
  <c r="DH75" i="3"/>
  <c r="DI75" i="3"/>
  <c r="DI73" i="3"/>
  <c r="CW71" i="3"/>
  <c r="DH70" i="3"/>
  <c r="DF69" i="3"/>
  <c r="DI68" i="3"/>
  <c r="DJ68" i="3" s="1"/>
  <c r="DG67" i="3"/>
  <c r="DF66" i="3"/>
  <c r="DJ66" i="3" s="1"/>
  <c r="DG66" i="3"/>
  <c r="DF64" i="3"/>
  <c r="DJ64" i="3" s="1"/>
  <c r="DG63" i="3"/>
  <c r="DF62" i="3"/>
  <c r="DG62" i="3"/>
  <c r="DJ62" i="3" s="1"/>
  <c r="DH61" i="3"/>
  <c r="DI61" i="3"/>
  <c r="CX57" i="3"/>
  <c r="CW42" i="3"/>
  <c r="CW40" i="3"/>
  <c r="DG38" i="3"/>
  <c r="DH38" i="3"/>
  <c r="DF35" i="3"/>
  <c r="DJ35" i="3" s="1"/>
  <c r="DG35" i="3"/>
  <c r="DH33" i="3"/>
  <c r="DI33" i="3"/>
  <c r="DH31" i="3"/>
  <c r="DI31" i="3"/>
  <c r="DI29" i="3"/>
  <c r="DF29" i="3"/>
  <c r="DJ29" i="3" s="1"/>
  <c r="DI25" i="3"/>
  <c r="DF25" i="3"/>
  <c r="DJ25" i="3" s="1"/>
  <c r="DH21" i="3"/>
  <c r="DI21" i="3"/>
  <c r="DJ21" i="3" s="1"/>
  <c r="DH19" i="3"/>
  <c r="DI19" i="3"/>
  <c r="DF5" i="3"/>
  <c r="DG5" i="3"/>
  <c r="DJ5" i="3" s="1"/>
  <c r="DH4" i="3"/>
  <c r="DI4" i="3"/>
  <c r="DH37" i="3"/>
  <c r="DI37" i="3"/>
  <c r="DI35" i="3"/>
  <c r="DG33" i="3"/>
  <c r="DJ33" i="3" s="1"/>
  <c r="DF32" i="3"/>
  <c r="DG32" i="3"/>
  <c r="DJ32" i="3" s="1"/>
  <c r="DG31" i="3"/>
  <c r="DJ31" i="3" s="1"/>
  <c r="DF30" i="3"/>
  <c r="DG30" i="3"/>
  <c r="DH29" i="3"/>
  <c r="DH25" i="3"/>
  <c r="DF21" i="3"/>
  <c r="DI18" i="3"/>
  <c r="DF18" i="3"/>
  <c r="DJ18" i="3" s="1"/>
  <c r="CW16" i="3"/>
  <c r="CX16" i="3"/>
  <c r="CW14" i="3"/>
  <c r="CX14" i="3"/>
  <c r="CW12" i="3"/>
  <c r="CX12" i="3"/>
  <c r="DF8" i="3"/>
  <c r="DJ8" i="3" s="1"/>
  <c r="DG8" i="3"/>
  <c r="DI5" i="3"/>
  <c r="DG4" i="3"/>
  <c r="DJ4" i="3" s="1"/>
  <c r="DF3" i="3"/>
  <c r="DG3" i="3"/>
  <c r="DJ3" i="3" s="1"/>
  <c r="DH2" i="3"/>
  <c r="DI2" i="3"/>
  <c r="CX43" i="3"/>
  <c r="CX41" i="3"/>
  <c r="DI38" i="3"/>
  <c r="DI36" i="3"/>
  <c r="DF36" i="3"/>
  <c r="DJ36" i="3" s="1"/>
  <c r="DH35" i="3"/>
  <c r="DG34" i="3"/>
  <c r="DH34" i="3"/>
  <c r="DF33" i="3"/>
  <c r="DI32" i="3"/>
  <c r="DF31" i="3"/>
  <c r="DI30" i="3"/>
  <c r="DJ30" i="3" s="1"/>
  <c r="DG29" i="3"/>
  <c r="DF28" i="3"/>
  <c r="DJ28" i="3" s="1"/>
  <c r="DG28" i="3"/>
  <c r="DG25" i="3"/>
  <c r="DF24" i="3"/>
  <c r="DG24" i="3"/>
  <c r="DJ24" i="3" s="1"/>
  <c r="DH23" i="3"/>
  <c r="DI23" i="3"/>
  <c r="DG19" i="3"/>
  <c r="DH18" i="3"/>
  <c r="DI15" i="3"/>
  <c r="DF15" i="3"/>
  <c r="DI13" i="3"/>
  <c r="DF13" i="3"/>
  <c r="DI11" i="3"/>
  <c r="DJ11" i="3" s="1"/>
  <c r="DF11" i="3"/>
  <c r="DH10" i="3"/>
  <c r="DI10" i="3"/>
  <c r="DI8" i="3"/>
  <c r="DH5" i="3"/>
  <c r="DF4" i="3"/>
  <c r="DI3" i="3"/>
  <c r="DG2" i="3"/>
  <c r="DJ2" i="3" s="1"/>
  <c r="CX1" i="3"/>
  <c r="CX39" i="3"/>
  <c r="DF38" i="3"/>
  <c r="DJ38" i="3" s="1"/>
  <c r="DG37" i="3"/>
  <c r="DH36" i="3"/>
  <c r="CW33" i="3"/>
  <c r="DH32" i="3"/>
  <c r="CW31" i="3"/>
  <c r="DH30" i="3"/>
  <c r="DI28" i="3"/>
  <c r="DH26" i="3"/>
  <c r="DI26" i="3"/>
  <c r="DI24" i="3"/>
  <c r="DG23" i="3"/>
  <c r="DJ23" i="3" s="1"/>
  <c r="DF22" i="3"/>
  <c r="DG22" i="3"/>
  <c r="DJ22" i="3" s="1"/>
  <c r="DF19" i="3"/>
  <c r="DJ19" i="3" s="1"/>
  <c r="DG18" i="3"/>
  <c r="DF17" i="3"/>
  <c r="DJ17" i="3" s="1"/>
  <c r="DG17" i="3"/>
  <c r="DH15" i="3"/>
  <c r="DH13" i="3"/>
  <c r="DH11" i="3"/>
  <c r="DH8" i="3"/>
  <c r="DH6" i="3"/>
  <c r="DI6" i="3"/>
  <c r="CW4" i="3"/>
  <c r="DH3" i="3"/>
  <c r="DF2" i="3"/>
  <c r="DG12" i="3" l="1"/>
  <c r="DJ12" i="3" s="1"/>
  <c r="DH12" i="3"/>
  <c r="DI12" i="3"/>
  <c r="DF12" i="3"/>
  <c r="DH39" i="3"/>
  <c r="DI39" i="3"/>
  <c r="DJ39" i="3" s="1"/>
  <c r="DG39" i="3"/>
  <c r="DF39" i="3"/>
  <c r="DF43" i="3"/>
  <c r="DG43" i="3"/>
  <c r="DJ43" i="3" s="1"/>
  <c r="DH43" i="3"/>
  <c r="DI43" i="3"/>
  <c r="DH48" i="3"/>
  <c r="DI48" i="3"/>
  <c r="DF48" i="3"/>
  <c r="DJ48" i="3" s="1"/>
  <c r="DG48" i="3"/>
  <c r="DG54" i="3"/>
  <c r="DJ54" i="3" s="1"/>
  <c r="DH54" i="3"/>
  <c r="DF54" i="3"/>
  <c r="DI54" i="3"/>
  <c r="DH103" i="3"/>
  <c r="DI103" i="3"/>
  <c r="DG103" i="3"/>
  <c r="DJ103" i="3" s="1"/>
  <c r="DF103" i="3"/>
  <c r="DG121" i="3"/>
  <c r="DJ121" i="3" s="1"/>
  <c r="DH121" i="3"/>
  <c r="DI121" i="3"/>
  <c r="DF121" i="3"/>
  <c r="DG133" i="3"/>
  <c r="DH133" i="3"/>
  <c r="DI133" i="3"/>
  <c r="DJ133" i="3" s="1"/>
  <c r="DF133" i="3"/>
  <c r="DG145" i="3"/>
  <c r="DH145" i="3"/>
  <c r="DI145" i="3"/>
  <c r="DJ145" i="3" s="1"/>
  <c r="DF145" i="3"/>
  <c r="DH141" i="3"/>
  <c r="DI141" i="3"/>
  <c r="DF141" i="3"/>
  <c r="DJ141" i="3" s="1"/>
  <c r="DG141" i="3"/>
  <c r="DH209" i="3"/>
  <c r="DI209" i="3"/>
  <c r="DF209" i="3"/>
  <c r="DJ209" i="3" s="1"/>
  <c r="DG209" i="3"/>
  <c r="DF223" i="3"/>
  <c r="DJ223" i="3" s="1"/>
  <c r="DG223" i="3"/>
  <c r="DH223" i="3"/>
  <c r="DI223" i="3"/>
  <c r="DH257" i="3"/>
  <c r="DG257" i="3"/>
  <c r="DF257" i="3"/>
  <c r="DI257" i="3"/>
  <c r="DJ257" i="3" s="1"/>
  <c r="DH206" i="3"/>
  <c r="DI206" i="3"/>
  <c r="DF206" i="3"/>
  <c r="DG206" i="3"/>
  <c r="DJ206" i="3" s="1"/>
  <c r="DH233" i="3"/>
  <c r="DI233" i="3"/>
  <c r="DF233" i="3"/>
  <c r="DJ233" i="3" s="1"/>
  <c r="DG233" i="3"/>
  <c r="DF239" i="3"/>
  <c r="DJ239" i="3" s="1"/>
  <c r="DH239" i="3"/>
  <c r="DI239" i="3"/>
  <c r="DG239" i="3"/>
  <c r="DI208" i="3"/>
  <c r="DF208" i="3"/>
  <c r="DJ208" i="3" s="1"/>
  <c r="DG208" i="3"/>
  <c r="DH208" i="3"/>
  <c r="DF244" i="3"/>
  <c r="DJ244" i="3" s="1"/>
  <c r="DH244" i="3"/>
  <c r="DI244" i="3"/>
  <c r="DG244" i="3"/>
  <c r="DI232" i="3"/>
  <c r="DF232" i="3"/>
  <c r="DJ232" i="3" s="1"/>
  <c r="DG232" i="3"/>
  <c r="DH232" i="3"/>
  <c r="DI268" i="3"/>
  <c r="DF268" i="3"/>
  <c r="DG268" i="3"/>
  <c r="DJ268" i="3" s="1"/>
  <c r="DH268" i="3"/>
  <c r="DI291" i="3"/>
  <c r="DF291" i="3"/>
  <c r="DG291" i="3"/>
  <c r="DJ291" i="3" s="1"/>
  <c r="DH291" i="3"/>
  <c r="DI311" i="3"/>
  <c r="DF311" i="3"/>
  <c r="DJ311" i="3" s="1"/>
  <c r="DG311" i="3"/>
  <c r="DH311" i="3"/>
  <c r="DH297" i="3"/>
  <c r="DI297" i="3"/>
  <c r="DJ297" i="3" s="1"/>
  <c r="DF297" i="3"/>
  <c r="DG297" i="3"/>
  <c r="DI324" i="3"/>
  <c r="DF324" i="3"/>
  <c r="DJ324" i="3" s="1"/>
  <c r="DG324" i="3"/>
  <c r="DH324" i="3"/>
  <c r="DH286" i="3"/>
  <c r="DI286" i="3"/>
  <c r="DF286" i="3"/>
  <c r="DJ286" i="3" s="1"/>
  <c r="DG286" i="3"/>
  <c r="DH299" i="3"/>
  <c r="DI299" i="3"/>
  <c r="DF299" i="3"/>
  <c r="DG299" i="3"/>
  <c r="DJ299" i="3" s="1"/>
  <c r="DF323" i="3"/>
  <c r="DJ323" i="3" s="1"/>
  <c r="DG323" i="3"/>
  <c r="DH323" i="3"/>
  <c r="DI323" i="3"/>
  <c r="DF293" i="3"/>
  <c r="DJ293" i="3" s="1"/>
  <c r="DG293" i="3"/>
  <c r="DH293" i="3"/>
  <c r="DI293" i="3"/>
  <c r="DI320" i="3"/>
  <c r="DF320" i="3"/>
  <c r="DJ320" i="3" s="1"/>
  <c r="DG320" i="3"/>
  <c r="DH320" i="3"/>
  <c r="DI337" i="3"/>
  <c r="DG337" i="3"/>
  <c r="DH337" i="3"/>
  <c r="DF337" i="3"/>
  <c r="DJ337" i="3" s="1"/>
  <c r="DH343" i="3"/>
  <c r="DI343" i="3"/>
  <c r="DJ343" i="3" s="1"/>
  <c r="DF343" i="3"/>
  <c r="DG343" i="3"/>
  <c r="DH380" i="3"/>
  <c r="DI380" i="3"/>
  <c r="DF380" i="3"/>
  <c r="DG380" i="3"/>
  <c r="DJ380" i="3" s="1"/>
  <c r="DF401" i="3"/>
  <c r="DJ401" i="3" s="1"/>
  <c r="DG401" i="3"/>
  <c r="DH401" i="3"/>
  <c r="DI401" i="3"/>
  <c r="DI413" i="3"/>
  <c r="DF413" i="3"/>
  <c r="DJ413" i="3" s="1"/>
  <c r="DG413" i="3"/>
  <c r="DH413" i="3"/>
  <c r="DH428" i="3"/>
  <c r="DF428" i="3"/>
  <c r="DG428" i="3"/>
  <c r="DJ428" i="3" s="1"/>
  <c r="DI428" i="3"/>
  <c r="DH345" i="3"/>
  <c r="DI345" i="3"/>
  <c r="DF345" i="3"/>
  <c r="DG345" i="3"/>
  <c r="DJ345" i="3" s="1"/>
  <c r="DI374" i="3"/>
  <c r="DF374" i="3"/>
  <c r="DJ374" i="3" s="1"/>
  <c r="DG374" i="3"/>
  <c r="DH374" i="3"/>
  <c r="DF406" i="3"/>
  <c r="DJ406" i="3" s="1"/>
  <c r="DG406" i="3"/>
  <c r="DH406" i="3"/>
  <c r="DI406" i="3"/>
  <c r="DH420" i="3"/>
  <c r="DI420" i="3"/>
  <c r="DF420" i="3"/>
  <c r="DJ420" i="3" s="1"/>
  <c r="DG420" i="3"/>
  <c r="DH347" i="3"/>
  <c r="DI347" i="3"/>
  <c r="DF347" i="3"/>
  <c r="DG347" i="3"/>
  <c r="DJ347" i="3" s="1"/>
  <c r="DF373" i="3"/>
  <c r="DJ373" i="3" s="1"/>
  <c r="DG373" i="3"/>
  <c r="DH373" i="3"/>
  <c r="DI373" i="3"/>
  <c r="DH395" i="3"/>
  <c r="DI395" i="3"/>
  <c r="DJ395" i="3" s="1"/>
  <c r="DF395" i="3"/>
  <c r="DG395" i="3"/>
  <c r="DH354" i="3"/>
  <c r="DI354" i="3"/>
  <c r="DF354" i="3"/>
  <c r="DJ354" i="3" s="1"/>
  <c r="DG354" i="3"/>
  <c r="DF386" i="3"/>
  <c r="DJ386" i="3" s="1"/>
  <c r="DG386" i="3"/>
  <c r="DH386" i="3"/>
  <c r="DI386" i="3"/>
  <c r="DI402" i="3"/>
  <c r="DF402" i="3"/>
  <c r="DJ402" i="3" s="1"/>
  <c r="DG402" i="3"/>
  <c r="DH402" i="3"/>
  <c r="DI435" i="3"/>
  <c r="DH435" i="3"/>
  <c r="DF435" i="3"/>
  <c r="DJ435" i="3" s="1"/>
  <c r="DG435" i="3"/>
  <c r="DI458" i="3"/>
  <c r="DF458" i="3"/>
  <c r="DG458" i="3"/>
  <c r="DJ458" i="3" s="1"/>
  <c r="DH458" i="3"/>
  <c r="DI495" i="3"/>
  <c r="DF495" i="3"/>
  <c r="DG495" i="3"/>
  <c r="DJ495" i="3" s="1"/>
  <c r="DH495" i="3"/>
  <c r="DI527" i="3"/>
  <c r="DF527" i="3"/>
  <c r="DG527" i="3"/>
  <c r="DJ527" i="3" s="1"/>
  <c r="DH527" i="3"/>
  <c r="DI517" i="3"/>
  <c r="DJ517" i="3" s="1"/>
  <c r="DF517" i="3"/>
  <c r="DG517" i="3"/>
  <c r="DH517" i="3"/>
  <c r="DI465" i="3"/>
  <c r="DF465" i="3"/>
  <c r="DJ465" i="3" s="1"/>
  <c r="DG465" i="3"/>
  <c r="DH465" i="3"/>
  <c r="DH504" i="3"/>
  <c r="DI504" i="3"/>
  <c r="DF504" i="3"/>
  <c r="DJ504" i="3" s="1"/>
  <c r="DG504" i="3"/>
  <c r="DH524" i="3"/>
  <c r="DI524" i="3"/>
  <c r="DF524" i="3"/>
  <c r="DJ524" i="3" s="1"/>
  <c r="DG524" i="3"/>
  <c r="DF472" i="3"/>
  <c r="DJ472" i="3" s="1"/>
  <c r="DG472" i="3"/>
  <c r="DH472" i="3"/>
  <c r="DI472" i="3"/>
  <c r="DH516" i="3"/>
  <c r="DI516" i="3"/>
  <c r="DF516" i="3"/>
  <c r="DJ516" i="3" s="1"/>
  <c r="DG516" i="3"/>
  <c r="DH442" i="3"/>
  <c r="DI442" i="3"/>
  <c r="DF442" i="3"/>
  <c r="DJ442" i="3" s="1"/>
  <c r="DG442" i="3"/>
  <c r="DI477" i="3"/>
  <c r="DF477" i="3"/>
  <c r="DJ477" i="3" s="1"/>
  <c r="DG477" i="3"/>
  <c r="DH477" i="3"/>
  <c r="DH508" i="3"/>
  <c r="DI508" i="3"/>
  <c r="DF508" i="3"/>
  <c r="DJ508" i="3" s="1"/>
  <c r="DG508" i="3"/>
  <c r="DH533" i="3"/>
  <c r="DI533" i="3"/>
  <c r="DF533" i="3"/>
  <c r="DG533" i="3"/>
  <c r="DJ533" i="3" s="1"/>
  <c r="DH565" i="3"/>
  <c r="DI565" i="3"/>
  <c r="DF565" i="3"/>
  <c r="DJ565" i="3" s="1"/>
  <c r="DG565" i="3"/>
  <c r="DF597" i="3"/>
  <c r="DJ597" i="3" s="1"/>
  <c r="DG597" i="3"/>
  <c r="DH597" i="3"/>
  <c r="DI597" i="3"/>
  <c r="DI624" i="3"/>
  <c r="DF624" i="3"/>
  <c r="DJ624" i="3" s="1"/>
  <c r="DG624" i="3"/>
  <c r="DH624" i="3"/>
  <c r="DI645" i="3"/>
  <c r="DF645" i="3"/>
  <c r="DJ645" i="3" s="1"/>
  <c r="DG645" i="3"/>
  <c r="DH645" i="3"/>
  <c r="DI666" i="3"/>
  <c r="DF666" i="3"/>
  <c r="DJ666" i="3" s="1"/>
  <c r="DG666" i="3"/>
  <c r="DH666" i="3"/>
  <c r="DI684" i="3"/>
  <c r="DF684" i="3"/>
  <c r="DJ684" i="3" s="1"/>
  <c r="DG684" i="3"/>
  <c r="DH684" i="3"/>
  <c r="DF148" i="3"/>
  <c r="DJ148" i="3" s="1"/>
  <c r="DG148" i="3"/>
  <c r="DH148" i="3"/>
  <c r="DI148" i="3"/>
  <c r="DH576" i="3"/>
  <c r="DI576" i="3"/>
  <c r="DJ576" i="3" s="1"/>
  <c r="DF576" i="3"/>
  <c r="DG576" i="3"/>
  <c r="DF602" i="3"/>
  <c r="DG602" i="3"/>
  <c r="DJ602" i="3" s="1"/>
  <c r="DH602" i="3"/>
  <c r="DI602" i="3"/>
  <c r="DF631" i="3"/>
  <c r="DJ631" i="3" s="1"/>
  <c r="DG631" i="3"/>
  <c r="DH631" i="3"/>
  <c r="DI631" i="3"/>
  <c r="DF665" i="3"/>
  <c r="DJ665" i="3" s="1"/>
  <c r="DG665" i="3"/>
  <c r="DH665" i="3"/>
  <c r="DI665" i="3"/>
  <c r="DH699" i="3"/>
  <c r="DI699" i="3"/>
  <c r="DF699" i="3"/>
  <c r="DJ699" i="3" s="1"/>
  <c r="DG699" i="3"/>
  <c r="DI710" i="3"/>
  <c r="DG710" i="3"/>
  <c r="DH710" i="3"/>
  <c r="DF710" i="3"/>
  <c r="DJ710" i="3" s="1"/>
  <c r="DF581" i="3"/>
  <c r="DG581" i="3"/>
  <c r="DJ581" i="3" s="1"/>
  <c r="DH581" i="3"/>
  <c r="DI581" i="3"/>
  <c r="DI607" i="3"/>
  <c r="DF607" i="3"/>
  <c r="DJ607" i="3" s="1"/>
  <c r="DG607" i="3"/>
  <c r="DH607" i="3"/>
  <c r="DI641" i="3"/>
  <c r="DF641" i="3"/>
  <c r="DJ641" i="3" s="1"/>
  <c r="DG641" i="3"/>
  <c r="DH641" i="3"/>
  <c r="DH659" i="3"/>
  <c r="DI659" i="3"/>
  <c r="DF659" i="3"/>
  <c r="DJ659" i="3" s="1"/>
  <c r="DG659" i="3"/>
  <c r="DH680" i="3"/>
  <c r="DI680" i="3"/>
  <c r="DF680" i="3"/>
  <c r="DJ680" i="3" s="1"/>
  <c r="DG680" i="3"/>
  <c r="DI696" i="3"/>
  <c r="DF696" i="3"/>
  <c r="DJ696" i="3" s="1"/>
  <c r="DG696" i="3"/>
  <c r="DH696" i="3"/>
  <c r="DG58" i="3"/>
  <c r="DH58" i="3"/>
  <c r="DF58" i="3"/>
  <c r="DJ58" i="3" s="1"/>
  <c r="DI58" i="3"/>
  <c r="DH557" i="3"/>
  <c r="DI557" i="3"/>
  <c r="DF557" i="3"/>
  <c r="DJ557" i="3" s="1"/>
  <c r="DG557" i="3"/>
  <c r="DF614" i="3"/>
  <c r="DJ614" i="3" s="1"/>
  <c r="DG614" i="3"/>
  <c r="DH614" i="3"/>
  <c r="DI614" i="3"/>
  <c r="DF648" i="3"/>
  <c r="DJ648" i="3" s="1"/>
  <c r="DG648" i="3"/>
  <c r="DH648" i="3"/>
  <c r="DI648" i="3"/>
  <c r="DI672" i="3"/>
  <c r="DF672" i="3"/>
  <c r="DJ672" i="3" s="1"/>
  <c r="DG672" i="3"/>
  <c r="DH672" i="3"/>
  <c r="DH701" i="3"/>
  <c r="DI701" i="3"/>
  <c r="DJ701" i="3" s="1"/>
  <c r="DF701" i="3"/>
  <c r="DG701" i="3"/>
  <c r="DF46" i="3"/>
  <c r="DJ46" i="3" s="1"/>
  <c r="DG46" i="3"/>
  <c r="DH46" i="3"/>
  <c r="DI46" i="3"/>
  <c r="DG45" i="3"/>
  <c r="DH45" i="3"/>
  <c r="DI45" i="3"/>
  <c r="DF45" i="3"/>
  <c r="DJ45" i="3" s="1"/>
  <c r="GM39" i="1"/>
  <c r="GN39" i="1" s="1"/>
  <c r="X46" i="1"/>
  <c r="CY46" i="1"/>
  <c r="Y46" i="1"/>
  <c r="CZ46" i="1"/>
  <c r="X50" i="1"/>
  <c r="CY50" i="1"/>
  <c r="Y50" i="1"/>
  <c r="CZ50" i="1"/>
  <c r="DI726" i="3"/>
  <c r="DF726" i="3"/>
  <c r="DG726" i="3"/>
  <c r="DJ726" i="3" s="1"/>
  <c r="DH726" i="3"/>
  <c r="Y56" i="1"/>
  <c r="CZ56" i="1"/>
  <c r="CY56" i="1"/>
  <c r="X56" i="1"/>
  <c r="DF197" i="3"/>
  <c r="DG197" i="3"/>
  <c r="DH197" i="3"/>
  <c r="DI197" i="3"/>
  <c r="DJ197" i="3" s="1"/>
  <c r="DF228" i="3"/>
  <c r="DG228" i="3"/>
  <c r="DJ228" i="3" s="1"/>
  <c r="DH228" i="3"/>
  <c r="DI228" i="3"/>
  <c r="GM30" i="1"/>
  <c r="DF156" i="3"/>
  <c r="DJ156" i="3" s="1"/>
  <c r="DG156" i="3"/>
  <c r="DH156" i="3"/>
  <c r="DI156" i="3"/>
  <c r="GM57" i="1"/>
  <c r="GO57" i="1" s="1"/>
  <c r="AE167" i="1"/>
  <c r="DI179" i="3"/>
  <c r="DF179" i="3"/>
  <c r="DG179" i="3"/>
  <c r="DJ179" i="3" s="1"/>
  <c r="DH179" i="3"/>
  <c r="DH225" i="3"/>
  <c r="DI225" i="3"/>
  <c r="DF225" i="3"/>
  <c r="DJ225" i="3" s="1"/>
  <c r="DG225" i="3"/>
  <c r="CP53" i="1"/>
  <c r="O53" i="1" s="1"/>
  <c r="X54" i="1"/>
  <c r="Y54" i="1"/>
  <c r="CZ54" i="1"/>
  <c r="CY54" i="1"/>
  <c r="DI174" i="3"/>
  <c r="DF174" i="3"/>
  <c r="DH174" i="3"/>
  <c r="DG174" i="3"/>
  <c r="DJ174" i="3" s="1"/>
  <c r="DF215" i="3"/>
  <c r="DG215" i="3"/>
  <c r="DJ215" i="3" s="1"/>
  <c r="DH215" i="3"/>
  <c r="DI215" i="3"/>
  <c r="GM90" i="1"/>
  <c r="GO90" i="1" s="1"/>
  <c r="DG265" i="3"/>
  <c r="DH265" i="3"/>
  <c r="DI265" i="3"/>
  <c r="DF265" i="3"/>
  <c r="DJ265" i="3" s="1"/>
  <c r="DF258" i="3"/>
  <c r="DI258" i="3"/>
  <c r="DG258" i="3"/>
  <c r="DJ258" i="3" s="1"/>
  <c r="DH258" i="3"/>
  <c r="GM34" i="1"/>
  <c r="GN34" i="1" s="1"/>
  <c r="GM42" i="1"/>
  <c r="GO42" i="1" s="1"/>
  <c r="CP56" i="1"/>
  <c r="O56" i="1" s="1"/>
  <c r="GM56" i="1" s="1"/>
  <c r="GO56" i="1" s="1"/>
  <c r="DG238" i="3"/>
  <c r="DI238" i="3"/>
  <c r="DF238" i="3"/>
  <c r="DJ238" i="3" s="1"/>
  <c r="DH238" i="3"/>
  <c r="DG249" i="3"/>
  <c r="DI249" i="3"/>
  <c r="DJ249" i="3" s="1"/>
  <c r="DF249" i="3"/>
  <c r="DH249" i="3"/>
  <c r="DG288" i="3"/>
  <c r="DJ288" i="3" s="1"/>
  <c r="DH288" i="3"/>
  <c r="DI288" i="3"/>
  <c r="DF288" i="3"/>
  <c r="T63" i="1"/>
  <c r="DF300" i="3"/>
  <c r="DG300" i="3"/>
  <c r="DJ300" i="3" s="1"/>
  <c r="DH300" i="3"/>
  <c r="DI300" i="3"/>
  <c r="DG305" i="3"/>
  <c r="DH305" i="3"/>
  <c r="DI305" i="3"/>
  <c r="DF305" i="3"/>
  <c r="DJ305" i="3" s="1"/>
  <c r="DI359" i="3"/>
  <c r="DJ359" i="3" s="1"/>
  <c r="DF359" i="3"/>
  <c r="DG359" i="3"/>
  <c r="DH359" i="3"/>
  <c r="DG364" i="3"/>
  <c r="DJ364" i="3" s="1"/>
  <c r="DH364" i="3"/>
  <c r="DI364" i="3"/>
  <c r="DF364" i="3"/>
  <c r="DH367" i="3"/>
  <c r="DI367" i="3"/>
  <c r="DF367" i="3"/>
  <c r="DJ367" i="3" s="1"/>
  <c r="DG367" i="3"/>
  <c r="S63" i="1"/>
  <c r="S71" i="1"/>
  <c r="U87" i="1"/>
  <c r="X113" i="1"/>
  <c r="CY113" i="1"/>
  <c r="Y113" i="1"/>
  <c r="CZ113" i="1"/>
  <c r="DF414" i="3"/>
  <c r="DG414" i="3"/>
  <c r="DH414" i="3"/>
  <c r="DI414" i="3"/>
  <c r="DJ414" i="3" s="1"/>
  <c r="GX69" i="1"/>
  <c r="R103" i="1"/>
  <c r="S103" i="1"/>
  <c r="P103" i="1"/>
  <c r="Q103" i="1"/>
  <c r="DG267" i="3"/>
  <c r="DH267" i="3"/>
  <c r="DI267" i="3"/>
  <c r="DJ267" i="3" s="1"/>
  <c r="DF267" i="3"/>
  <c r="DG335" i="3"/>
  <c r="DI335" i="3"/>
  <c r="DF335" i="3"/>
  <c r="DJ335" i="3" s="1"/>
  <c r="DH335" i="3"/>
  <c r="DH334" i="3"/>
  <c r="DF334" i="3"/>
  <c r="DJ334" i="3" s="1"/>
  <c r="DG334" i="3"/>
  <c r="DI334" i="3"/>
  <c r="DH393" i="3"/>
  <c r="DI393" i="3"/>
  <c r="DF393" i="3"/>
  <c r="DJ393" i="3" s="1"/>
  <c r="DG393" i="3"/>
  <c r="X146" i="1"/>
  <c r="CY146" i="1"/>
  <c r="Y146" i="1"/>
  <c r="CZ146" i="1"/>
  <c r="DG407" i="3"/>
  <c r="DH407" i="3"/>
  <c r="DI407" i="3"/>
  <c r="DJ407" i="3" s="1"/>
  <c r="DF407" i="3"/>
  <c r="W71" i="1"/>
  <c r="GM96" i="1"/>
  <c r="GO96" i="1" s="1"/>
  <c r="DI285" i="3"/>
  <c r="DF285" i="3"/>
  <c r="DJ285" i="3" s="1"/>
  <c r="DG285" i="3"/>
  <c r="DH285" i="3"/>
  <c r="DF281" i="3"/>
  <c r="DG281" i="3"/>
  <c r="DJ281" i="3" s="1"/>
  <c r="DH281" i="3"/>
  <c r="DI281" i="3"/>
  <c r="DF314" i="3"/>
  <c r="DG314" i="3"/>
  <c r="DJ314" i="3" s="1"/>
  <c r="DH314" i="3"/>
  <c r="DI314" i="3"/>
  <c r="DG318" i="3"/>
  <c r="DH318" i="3"/>
  <c r="DI318" i="3"/>
  <c r="DF318" i="3"/>
  <c r="DJ318" i="3" s="1"/>
  <c r="DF375" i="3"/>
  <c r="DG375" i="3"/>
  <c r="DH375" i="3"/>
  <c r="DI375" i="3"/>
  <c r="DJ375" i="3" s="1"/>
  <c r="CP146" i="1"/>
  <c r="O146" i="1" s="1"/>
  <c r="T105" i="1"/>
  <c r="Y155" i="1"/>
  <c r="CZ155" i="1"/>
  <c r="CY155" i="1"/>
  <c r="X155" i="1"/>
  <c r="DG422" i="3"/>
  <c r="DJ422" i="3" s="1"/>
  <c r="DH422" i="3"/>
  <c r="DI422" i="3"/>
  <c r="DF422" i="3"/>
  <c r="BC26" i="1"/>
  <c r="F183" i="1"/>
  <c r="BC318" i="1"/>
  <c r="DI501" i="3"/>
  <c r="DJ501" i="3" s="1"/>
  <c r="DF501" i="3"/>
  <c r="DG501" i="3"/>
  <c r="DH501" i="3"/>
  <c r="DG537" i="3"/>
  <c r="DI537" i="3"/>
  <c r="DF537" i="3"/>
  <c r="DJ537" i="3" s="1"/>
  <c r="DH537" i="3"/>
  <c r="DH578" i="3"/>
  <c r="DI578" i="3"/>
  <c r="DF578" i="3"/>
  <c r="DG578" i="3"/>
  <c r="DJ578" i="3" s="1"/>
  <c r="X242" i="1"/>
  <c r="GM242" i="1" s="1"/>
  <c r="GO242" i="1" s="1"/>
  <c r="CY242" i="1"/>
  <c r="Y242" i="1"/>
  <c r="CZ242" i="1"/>
  <c r="DH625" i="3"/>
  <c r="DI625" i="3"/>
  <c r="DF625" i="3"/>
  <c r="DJ625" i="3" s="1"/>
  <c r="DG625" i="3"/>
  <c r="DG676" i="3"/>
  <c r="DH676" i="3"/>
  <c r="DI676" i="3"/>
  <c r="DF676" i="3"/>
  <c r="DJ676" i="3" s="1"/>
  <c r="Y159" i="1"/>
  <c r="CY159" i="1"/>
  <c r="CZ159" i="1"/>
  <c r="X159" i="1"/>
  <c r="BD26" i="1"/>
  <c r="F192" i="1"/>
  <c r="BD318" i="1"/>
  <c r="DI525" i="3"/>
  <c r="DJ525" i="3" s="1"/>
  <c r="DF525" i="3"/>
  <c r="DG525" i="3"/>
  <c r="DH525" i="3"/>
  <c r="DH571" i="3"/>
  <c r="DI571" i="3"/>
  <c r="DF571" i="3"/>
  <c r="DG571" i="3"/>
  <c r="DJ571" i="3" s="1"/>
  <c r="DF604" i="3"/>
  <c r="DG604" i="3"/>
  <c r="DJ604" i="3" s="1"/>
  <c r="DH604" i="3"/>
  <c r="DI604" i="3"/>
  <c r="DG609" i="3"/>
  <c r="DH609" i="3"/>
  <c r="DI609" i="3"/>
  <c r="DF609" i="3"/>
  <c r="DJ609" i="3" s="1"/>
  <c r="DH616" i="3"/>
  <c r="DI616" i="3"/>
  <c r="DF616" i="3"/>
  <c r="DJ616" i="3" s="1"/>
  <c r="DG616" i="3"/>
  <c r="DF707" i="3"/>
  <c r="DH707" i="3"/>
  <c r="DI707" i="3"/>
  <c r="DG707" i="3"/>
  <c r="DJ707" i="3" s="1"/>
  <c r="GM116" i="1"/>
  <c r="GO116" i="1" s="1"/>
  <c r="S160" i="1"/>
  <c r="EU26" i="1"/>
  <c r="P183" i="1"/>
  <c r="EU318" i="1"/>
  <c r="DG471" i="3"/>
  <c r="DH471" i="3"/>
  <c r="DI471" i="3"/>
  <c r="DF471" i="3"/>
  <c r="DJ471" i="3" s="1"/>
  <c r="DG521" i="3"/>
  <c r="DH521" i="3"/>
  <c r="DI521" i="3"/>
  <c r="DF521" i="3"/>
  <c r="DJ521" i="3" s="1"/>
  <c r="DG566" i="3"/>
  <c r="DH566" i="3"/>
  <c r="DI566" i="3"/>
  <c r="DF566" i="3"/>
  <c r="DJ566" i="3" s="1"/>
  <c r="DF655" i="3"/>
  <c r="DG655" i="3"/>
  <c r="DJ655" i="3" s="1"/>
  <c r="DH655" i="3"/>
  <c r="DI655" i="3"/>
  <c r="DG664" i="3"/>
  <c r="DH664" i="3"/>
  <c r="DI664" i="3"/>
  <c r="DF664" i="3"/>
  <c r="DJ664" i="3" s="1"/>
  <c r="GX103" i="1"/>
  <c r="X151" i="1"/>
  <c r="GM151" i="1" s="1"/>
  <c r="GN151" i="1" s="1"/>
  <c r="CY151" i="1"/>
  <c r="Y151" i="1"/>
  <c r="CZ151" i="1"/>
  <c r="DF440" i="3"/>
  <c r="DG440" i="3"/>
  <c r="DJ440" i="3" s="1"/>
  <c r="DH440" i="3"/>
  <c r="DI440" i="3"/>
  <c r="BB26" i="1"/>
  <c r="F180" i="1"/>
  <c r="BB318" i="1"/>
  <c r="DG467" i="3"/>
  <c r="DH467" i="3"/>
  <c r="DI467" i="3"/>
  <c r="DF467" i="3"/>
  <c r="DJ467" i="3" s="1"/>
  <c r="DH466" i="3"/>
  <c r="DI466" i="3"/>
  <c r="DF466" i="3"/>
  <c r="DJ466" i="3" s="1"/>
  <c r="DG466" i="3"/>
  <c r="X207" i="1"/>
  <c r="CY207" i="1"/>
  <c r="Y207" i="1"/>
  <c r="CZ207" i="1"/>
  <c r="GM215" i="1"/>
  <c r="GO215" i="1" s="1"/>
  <c r="DI509" i="3"/>
  <c r="DJ509" i="3" s="1"/>
  <c r="DF509" i="3"/>
  <c r="DG509" i="3"/>
  <c r="DH509" i="3"/>
  <c r="GM222" i="1"/>
  <c r="GN222" i="1" s="1"/>
  <c r="GM228" i="1"/>
  <c r="GN228" i="1" s="1"/>
  <c r="DG558" i="3"/>
  <c r="DH558" i="3"/>
  <c r="DI558" i="3"/>
  <c r="DF558" i="3"/>
  <c r="DJ558" i="3" s="1"/>
  <c r="X233" i="1"/>
  <c r="CY233" i="1"/>
  <c r="Y233" i="1"/>
  <c r="CZ233" i="1"/>
  <c r="GM240" i="1"/>
  <c r="GO240" i="1" s="1"/>
  <c r="DG588" i="3"/>
  <c r="DH588" i="3"/>
  <c r="DI588" i="3"/>
  <c r="DF588" i="3"/>
  <c r="DJ588" i="3" s="1"/>
  <c r="GM248" i="1"/>
  <c r="GO248" i="1" s="1"/>
  <c r="DF638" i="3"/>
  <c r="DG638" i="3"/>
  <c r="DJ638" i="3" s="1"/>
  <c r="DH638" i="3"/>
  <c r="DI638" i="3"/>
  <c r="DG647" i="3"/>
  <c r="DH647" i="3"/>
  <c r="DI647" i="3"/>
  <c r="DF647" i="3"/>
  <c r="DJ647" i="3" s="1"/>
  <c r="GM264" i="1"/>
  <c r="GN264" i="1" s="1"/>
  <c r="DF687" i="3"/>
  <c r="DG687" i="3"/>
  <c r="DJ687" i="3" s="1"/>
  <c r="DH687" i="3"/>
  <c r="DI687" i="3"/>
  <c r="DF719" i="3"/>
  <c r="DG719" i="3"/>
  <c r="DH719" i="3"/>
  <c r="DI719" i="3"/>
  <c r="DJ719" i="3" s="1"/>
  <c r="CJ26" i="1"/>
  <c r="BA167" i="1"/>
  <c r="T220" i="1"/>
  <c r="U224" i="1"/>
  <c r="CP233" i="1"/>
  <c r="O233" i="1" s="1"/>
  <c r="DI681" i="3"/>
  <c r="DJ681" i="3" s="1"/>
  <c r="DF681" i="3"/>
  <c r="DG681" i="3"/>
  <c r="DH681" i="3"/>
  <c r="X272" i="1"/>
  <c r="CY272" i="1"/>
  <c r="Y272" i="1"/>
  <c r="CZ272" i="1"/>
  <c r="DH727" i="3"/>
  <c r="DI727" i="3"/>
  <c r="DF727" i="3"/>
  <c r="DJ727" i="3" s="1"/>
  <c r="DG727" i="3"/>
  <c r="AI26" i="1"/>
  <c r="V167" i="1"/>
  <c r="GM163" i="1"/>
  <c r="GO163" i="1" s="1"/>
  <c r="CP207" i="1"/>
  <c r="O207" i="1" s="1"/>
  <c r="V216" i="1"/>
  <c r="W224" i="1"/>
  <c r="GX246" i="1"/>
  <c r="GM255" i="1"/>
  <c r="GO255" i="1" s="1"/>
  <c r="W262" i="1"/>
  <c r="GM270" i="1"/>
  <c r="GO270" i="1" s="1"/>
  <c r="BB199" i="1"/>
  <c r="F301" i="1"/>
  <c r="GX161" i="1"/>
  <c r="GX216" i="1"/>
  <c r="GX244" i="1"/>
  <c r="FR275" i="1"/>
  <c r="BY288" i="1" s="1"/>
  <c r="CP275" i="1"/>
  <c r="O275" i="1" s="1"/>
  <c r="GM275" i="1" s="1"/>
  <c r="EG199" i="1"/>
  <c r="P292" i="1"/>
  <c r="V204" i="1"/>
  <c r="GM217" i="1"/>
  <c r="GN217" i="1" s="1"/>
  <c r="Q284" i="1"/>
  <c r="R284" i="1"/>
  <c r="AO199" i="1"/>
  <c r="F292" i="1"/>
  <c r="U284" i="1"/>
  <c r="V284" i="1"/>
  <c r="AH199" i="1"/>
  <c r="U288" i="1"/>
  <c r="DG137" i="3"/>
  <c r="DJ137" i="3" s="1"/>
  <c r="DH137" i="3"/>
  <c r="DI137" i="3"/>
  <c r="DF137" i="3"/>
  <c r="DG147" i="3"/>
  <c r="DH147" i="3"/>
  <c r="DI147" i="3"/>
  <c r="DJ147" i="3" s="1"/>
  <c r="DF147" i="3"/>
  <c r="DF132" i="3"/>
  <c r="DG132" i="3"/>
  <c r="DH132" i="3"/>
  <c r="DI132" i="3"/>
  <c r="DJ132" i="3" s="1"/>
  <c r="DH135" i="3"/>
  <c r="DI135" i="3"/>
  <c r="DF135" i="3"/>
  <c r="DJ135" i="3" s="1"/>
  <c r="DG135" i="3"/>
  <c r="DG166" i="3"/>
  <c r="DJ166" i="3" s="1"/>
  <c r="DH166" i="3"/>
  <c r="DI166" i="3"/>
  <c r="DF166" i="3"/>
  <c r="DF169" i="3"/>
  <c r="DG169" i="3"/>
  <c r="DH169" i="3"/>
  <c r="DI169" i="3"/>
  <c r="DJ169" i="3" s="1"/>
  <c r="DH175" i="3"/>
  <c r="DI175" i="3"/>
  <c r="DG175" i="3"/>
  <c r="DF175" i="3"/>
  <c r="DJ175" i="3" s="1"/>
  <c r="DI192" i="3"/>
  <c r="DF192" i="3"/>
  <c r="DG192" i="3"/>
  <c r="DJ192" i="3" s="1"/>
  <c r="DH192" i="3"/>
  <c r="DI212" i="3"/>
  <c r="DF212" i="3"/>
  <c r="DJ212" i="3" s="1"/>
  <c r="DG212" i="3"/>
  <c r="DH212" i="3"/>
  <c r="DF231" i="3"/>
  <c r="DJ231" i="3" s="1"/>
  <c r="DG231" i="3"/>
  <c r="DH231" i="3"/>
  <c r="DI231" i="3"/>
  <c r="DF182" i="3"/>
  <c r="DJ182" i="3" s="1"/>
  <c r="DG182" i="3"/>
  <c r="DH182" i="3"/>
  <c r="DI182" i="3"/>
  <c r="DF211" i="3"/>
  <c r="DJ211" i="3" s="1"/>
  <c r="DG211" i="3"/>
  <c r="DH211" i="3"/>
  <c r="DI211" i="3"/>
  <c r="DI240" i="3"/>
  <c r="DG240" i="3"/>
  <c r="DH240" i="3"/>
  <c r="DF240" i="3"/>
  <c r="DJ240" i="3" s="1"/>
  <c r="DH261" i="3"/>
  <c r="DG261" i="3"/>
  <c r="DJ261" i="3" s="1"/>
  <c r="DF261" i="3"/>
  <c r="DI261" i="3"/>
  <c r="DI216" i="3"/>
  <c r="DF216" i="3"/>
  <c r="DJ216" i="3" s="1"/>
  <c r="DG216" i="3"/>
  <c r="DH216" i="3"/>
  <c r="DI245" i="3"/>
  <c r="DG245" i="3"/>
  <c r="DH245" i="3"/>
  <c r="DF245" i="3"/>
  <c r="DJ245" i="3" s="1"/>
  <c r="DI250" i="3"/>
  <c r="DG250" i="3"/>
  <c r="DJ250" i="3" s="1"/>
  <c r="DH250" i="3"/>
  <c r="DF250" i="3"/>
  <c r="DI270" i="3"/>
  <c r="DF270" i="3"/>
  <c r="DG270" i="3"/>
  <c r="DJ270" i="3" s="1"/>
  <c r="DH270" i="3"/>
  <c r="DH295" i="3"/>
  <c r="DI295" i="3"/>
  <c r="DF295" i="3"/>
  <c r="DJ295" i="3" s="1"/>
  <c r="DG295" i="3"/>
  <c r="DF319" i="3"/>
  <c r="DJ319" i="3" s="1"/>
  <c r="DG319" i="3"/>
  <c r="DH319" i="3"/>
  <c r="DI319" i="3"/>
  <c r="DH273" i="3"/>
  <c r="DI273" i="3"/>
  <c r="DF273" i="3"/>
  <c r="DJ273" i="3" s="1"/>
  <c r="DG273" i="3"/>
  <c r="DF310" i="3"/>
  <c r="DJ310" i="3" s="1"/>
  <c r="DG310" i="3"/>
  <c r="DH310" i="3"/>
  <c r="DI310" i="3"/>
  <c r="DH329" i="3"/>
  <c r="DI329" i="3"/>
  <c r="DF329" i="3"/>
  <c r="DG329" i="3"/>
  <c r="DJ329" i="3" s="1"/>
  <c r="DH304" i="3"/>
  <c r="DI304" i="3"/>
  <c r="DF304" i="3"/>
  <c r="DJ304" i="3" s="1"/>
  <c r="DG304" i="3"/>
  <c r="DH331" i="3"/>
  <c r="DI331" i="3"/>
  <c r="DF331" i="3"/>
  <c r="DG331" i="3"/>
  <c r="DJ331" i="3" s="1"/>
  <c r="DF277" i="3"/>
  <c r="DG277" i="3"/>
  <c r="DH277" i="3"/>
  <c r="DI277" i="3"/>
  <c r="DJ277" i="3" s="1"/>
  <c r="DH301" i="3"/>
  <c r="DI301" i="3"/>
  <c r="DF301" i="3"/>
  <c r="DG301" i="3"/>
  <c r="DJ301" i="3" s="1"/>
  <c r="DH325" i="3"/>
  <c r="DI325" i="3"/>
  <c r="DF325" i="3"/>
  <c r="DJ325" i="3" s="1"/>
  <c r="DG325" i="3"/>
  <c r="DH338" i="3"/>
  <c r="DF338" i="3"/>
  <c r="DJ338" i="3" s="1"/>
  <c r="DG338" i="3"/>
  <c r="DI338" i="3"/>
  <c r="DF356" i="3"/>
  <c r="DJ356" i="3" s="1"/>
  <c r="DG356" i="3"/>
  <c r="DH356" i="3"/>
  <c r="DI356" i="3"/>
  <c r="DI383" i="3"/>
  <c r="DF383" i="3"/>
  <c r="DJ383" i="3" s="1"/>
  <c r="DG383" i="3"/>
  <c r="DH383" i="3"/>
  <c r="DH404" i="3"/>
  <c r="DI404" i="3"/>
  <c r="DF404" i="3"/>
  <c r="DG404" i="3"/>
  <c r="DJ404" i="3" s="1"/>
  <c r="DF430" i="3"/>
  <c r="DJ430" i="3" s="1"/>
  <c r="DH430" i="3"/>
  <c r="DI430" i="3"/>
  <c r="DG430" i="3"/>
  <c r="DH350" i="3"/>
  <c r="DI350" i="3"/>
  <c r="DF350" i="3"/>
  <c r="DJ350" i="3" s="1"/>
  <c r="DG350" i="3"/>
  <c r="DF382" i="3"/>
  <c r="DJ382" i="3" s="1"/>
  <c r="DG382" i="3"/>
  <c r="DH382" i="3"/>
  <c r="DI382" i="3"/>
  <c r="DI432" i="3"/>
  <c r="DG432" i="3"/>
  <c r="DJ432" i="3" s="1"/>
  <c r="DH432" i="3"/>
  <c r="DF432" i="3"/>
  <c r="DF352" i="3"/>
  <c r="DJ352" i="3" s="1"/>
  <c r="DG352" i="3"/>
  <c r="DH352" i="3"/>
  <c r="DI352" i="3"/>
  <c r="DH376" i="3"/>
  <c r="DI376" i="3"/>
  <c r="DF376" i="3"/>
  <c r="DG376" i="3"/>
  <c r="DJ376" i="3" s="1"/>
  <c r="DH417" i="3"/>
  <c r="DI417" i="3"/>
  <c r="DF417" i="3"/>
  <c r="DG417" i="3"/>
  <c r="DJ417" i="3" s="1"/>
  <c r="DI357" i="3"/>
  <c r="DF357" i="3"/>
  <c r="DJ357" i="3" s="1"/>
  <c r="DG357" i="3"/>
  <c r="DH357" i="3"/>
  <c r="DI503" i="3"/>
  <c r="DF503" i="3"/>
  <c r="DG503" i="3"/>
  <c r="DJ503" i="3" s="1"/>
  <c r="DH503" i="3"/>
  <c r="DF460" i="3"/>
  <c r="DJ460" i="3" s="1"/>
  <c r="DG460" i="3"/>
  <c r="DH460" i="3"/>
  <c r="DI460" i="3"/>
  <c r="DH500" i="3"/>
  <c r="DI500" i="3"/>
  <c r="DF500" i="3"/>
  <c r="DJ500" i="3" s="1"/>
  <c r="DG500" i="3"/>
  <c r="DF522" i="3"/>
  <c r="DJ522" i="3" s="1"/>
  <c r="DG522" i="3"/>
  <c r="DH522" i="3"/>
  <c r="DI522" i="3"/>
  <c r="DI441" i="3"/>
  <c r="DF441" i="3"/>
  <c r="DJ441" i="3" s="1"/>
  <c r="DG441" i="3"/>
  <c r="DH441" i="3"/>
  <c r="DH470" i="3"/>
  <c r="DI470" i="3"/>
  <c r="DF470" i="3"/>
  <c r="DG470" i="3"/>
  <c r="DJ470" i="3" s="1"/>
  <c r="DI507" i="3"/>
  <c r="DF507" i="3"/>
  <c r="DJ507" i="3" s="1"/>
  <c r="DG507" i="3"/>
  <c r="DH507" i="3"/>
  <c r="DI499" i="3"/>
  <c r="DF499" i="3"/>
  <c r="DJ499" i="3" s="1"/>
  <c r="DG499" i="3"/>
  <c r="DH499" i="3"/>
  <c r="DI493" i="3"/>
  <c r="DJ493" i="3" s="1"/>
  <c r="DF493" i="3"/>
  <c r="DG493" i="3"/>
  <c r="DH493" i="3"/>
  <c r="DH551" i="3"/>
  <c r="DI551" i="3"/>
  <c r="DJ551" i="3" s="1"/>
  <c r="DF551" i="3"/>
  <c r="DG551" i="3"/>
  <c r="DF577" i="3"/>
  <c r="DG577" i="3"/>
  <c r="DJ577" i="3" s="1"/>
  <c r="DH577" i="3"/>
  <c r="DI577" i="3"/>
  <c r="DH599" i="3"/>
  <c r="DI599" i="3"/>
  <c r="DF599" i="3"/>
  <c r="DJ599" i="3" s="1"/>
  <c r="DG599" i="3"/>
  <c r="DH629" i="3"/>
  <c r="DI629" i="3"/>
  <c r="DF629" i="3"/>
  <c r="DJ629" i="3" s="1"/>
  <c r="DG629" i="3"/>
  <c r="DH650" i="3"/>
  <c r="DI650" i="3"/>
  <c r="DF650" i="3"/>
  <c r="DJ650" i="3" s="1"/>
  <c r="DG650" i="3"/>
  <c r="DF671" i="3"/>
  <c r="DJ671" i="3" s="1"/>
  <c r="DG671" i="3"/>
  <c r="DH671" i="3"/>
  <c r="DI671" i="3"/>
  <c r="DH689" i="3"/>
  <c r="DI689" i="3"/>
  <c r="DF689" i="3"/>
  <c r="DJ689" i="3" s="1"/>
  <c r="DG689" i="3"/>
  <c r="X33" i="1"/>
  <c r="GM33" i="1" s="1"/>
  <c r="GO33" i="1" s="1"/>
  <c r="CY33" i="1"/>
  <c r="Y33" i="1"/>
  <c r="CZ33" i="1"/>
  <c r="DI136" i="3"/>
  <c r="DJ136" i="3" s="1"/>
  <c r="DF136" i="3"/>
  <c r="DG136" i="3"/>
  <c r="DH136" i="3"/>
  <c r="DF579" i="3"/>
  <c r="DG579" i="3"/>
  <c r="DJ579" i="3" s="1"/>
  <c r="DH579" i="3"/>
  <c r="DI579" i="3"/>
  <c r="DH605" i="3"/>
  <c r="DI605" i="3"/>
  <c r="DF605" i="3"/>
  <c r="DG605" i="3"/>
  <c r="DJ605" i="3" s="1"/>
  <c r="DH639" i="3"/>
  <c r="DI639" i="3"/>
  <c r="DF639" i="3"/>
  <c r="DG639" i="3"/>
  <c r="DJ639" i="3" s="1"/>
  <c r="DF683" i="3"/>
  <c r="DJ683" i="3" s="1"/>
  <c r="DG683" i="3"/>
  <c r="DH683" i="3"/>
  <c r="DI683" i="3"/>
  <c r="DF705" i="3"/>
  <c r="DH705" i="3"/>
  <c r="DI705" i="3"/>
  <c r="DJ705" i="3" s="1"/>
  <c r="DG705" i="3"/>
  <c r="DH711" i="3"/>
  <c r="DF711" i="3"/>
  <c r="DJ711" i="3" s="1"/>
  <c r="DG711" i="3"/>
  <c r="DI711" i="3"/>
  <c r="DF146" i="3"/>
  <c r="DJ146" i="3" s="1"/>
  <c r="DG146" i="3"/>
  <c r="DH146" i="3"/>
  <c r="DI146" i="3"/>
  <c r="DI168" i="3"/>
  <c r="DF168" i="3"/>
  <c r="DJ168" i="3" s="1"/>
  <c r="DG168" i="3"/>
  <c r="DH168" i="3"/>
  <c r="DI615" i="3"/>
  <c r="DF615" i="3"/>
  <c r="DJ615" i="3" s="1"/>
  <c r="DG615" i="3"/>
  <c r="DH615" i="3"/>
  <c r="DH646" i="3"/>
  <c r="DI646" i="3"/>
  <c r="DF646" i="3"/>
  <c r="DJ646" i="3" s="1"/>
  <c r="DG646" i="3"/>
  <c r="DI662" i="3"/>
  <c r="DF662" i="3"/>
  <c r="DJ662" i="3" s="1"/>
  <c r="DG662" i="3"/>
  <c r="DH662" i="3"/>
  <c r="DI714" i="3"/>
  <c r="DG714" i="3"/>
  <c r="DJ714" i="3" s="1"/>
  <c r="DH714" i="3"/>
  <c r="DF714" i="3"/>
  <c r="DI53" i="3"/>
  <c r="DF53" i="3"/>
  <c r="DG53" i="3"/>
  <c r="DJ53" i="3" s="1"/>
  <c r="DH53" i="3"/>
  <c r="DI49" i="3"/>
  <c r="DJ49" i="3" s="1"/>
  <c r="DF49" i="3"/>
  <c r="DG49" i="3"/>
  <c r="DH49" i="3"/>
  <c r="DI142" i="3"/>
  <c r="DJ142" i="3" s="1"/>
  <c r="DF142" i="3"/>
  <c r="DG142" i="3"/>
  <c r="DH142" i="3"/>
  <c r="DF572" i="3"/>
  <c r="DG572" i="3"/>
  <c r="DJ572" i="3" s="1"/>
  <c r="DH572" i="3"/>
  <c r="DI572" i="3"/>
  <c r="DH622" i="3"/>
  <c r="DI622" i="3"/>
  <c r="DF622" i="3"/>
  <c r="DG622" i="3"/>
  <c r="DJ622" i="3" s="1"/>
  <c r="DH656" i="3"/>
  <c r="DI656" i="3"/>
  <c r="DF656" i="3"/>
  <c r="DG656" i="3"/>
  <c r="DJ656" i="3" s="1"/>
  <c r="DH677" i="3"/>
  <c r="DI677" i="3"/>
  <c r="DJ677" i="3" s="1"/>
  <c r="DF677" i="3"/>
  <c r="DG677" i="3"/>
  <c r="DI704" i="3"/>
  <c r="DF704" i="3"/>
  <c r="DJ704" i="3" s="1"/>
  <c r="DG704" i="3"/>
  <c r="DH704" i="3"/>
  <c r="CP31" i="1"/>
  <c r="O31" i="1" s="1"/>
  <c r="X40" i="1"/>
  <c r="GM40" i="1" s="1"/>
  <c r="GO40" i="1" s="1"/>
  <c r="CY40" i="1"/>
  <c r="Y40" i="1"/>
  <c r="CZ40" i="1"/>
  <c r="DF150" i="3"/>
  <c r="DJ150" i="3" s="1"/>
  <c r="DG150" i="3"/>
  <c r="DH150" i="3"/>
  <c r="DI150" i="3"/>
  <c r="FR58" i="1"/>
  <c r="BY167" i="1" s="1"/>
  <c r="CP58" i="1"/>
  <c r="O58" i="1" s="1"/>
  <c r="GM58" i="1" s="1"/>
  <c r="AC167" i="1"/>
  <c r="DF172" i="3"/>
  <c r="DJ172" i="3" s="1"/>
  <c r="DG172" i="3"/>
  <c r="DH172" i="3"/>
  <c r="DI172" i="3"/>
  <c r="DG202" i="3"/>
  <c r="DH202" i="3"/>
  <c r="DI202" i="3"/>
  <c r="DF202" i="3"/>
  <c r="DJ202" i="3" s="1"/>
  <c r="DF241" i="3"/>
  <c r="DH241" i="3"/>
  <c r="DI241" i="3"/>
  <c r="DJ241" i="3" s="1"/>
  <c r="DG241" i="3"/>
  <c r="GM50" i="1"/>
  <c r="GO50" i="1" s="1"/>
  <c r="DG226" i="3"/>
  <c r="DH226" i="3"/>
  <c r="DI226" i="3"/>
  <c r="DF226" i="3"/>
  <c r="DJ226" i="3" s="1"/>
  <c r="DF213" i="3"/>
  <c r="DG213" i="3"/>
  <c r="DH213" i="3"/>
  <c r="DI213" i="3"/>
  <c r="DJ213" i="3" s="1"/>
  <c r="DF207" i="3"/>
  <c r="DG207" i="3"/>
  <c r="DJ207" i="3" s="1"/>
  <c r="DH207" i="3"/>
  <c r="DI207" i="3"/>
  <c r="DI234" i="3"/>
  <c r="DJ234" i="3" s="1"/>
  <c r="DF234" i="3"/>
  <c r="DG234" i="3"/>
  <c r="DH234" i="3"/>
  <c r="DH237" i="3"/>
  <c r="DF237" i="3"/>
  <c r="DJ237" i="3" s="1"/>
  <c r="DG237" i="3"/>
  <c r="DI237" i="3"/>
  <c r="DG296" i="3"/>
  <c r="DH296" i="3"/>
  <c r="DI296" i="3"/>
  <c r="DF296" i="3"/>
  <c r="DJ296" i="3" s="1"/>
  <c r="DF298" i="3"/>
  <c r="DG298" i="3"/>
  <c r="DJ298" i="3" s="1"/>
  <c r="DH298" i="3"/>
  <c r="DI298" i="3"/>
  <c r="DG362" i="3"/>
  <c r="DJ362" i="3" s="1"/>
  <c r="DH362" i="3"/>
  <c r="DI362" i="3"/>
  <c r="DF362" i="3"/>
  <c r="DG400" i="3"/>
  <c r="DJ400" i="3" s="1"/>
  <c r="DH400" i="3"/>
  <c r="DI400" i="3"/>
  <c r="DF400" i="3"/>
  <c r="T71" i="1"/>
  <c r="CP107" i="1"/>
  <c r="O107" i="1" s="1"/>
  <c r="GM107" i="1" s="1"/>
  <c r="GO107" i="1" s="1"/>
  <c r="X117" i="1"/>
  <c r="CY117" i="1"/>
  <c r="Y117" i="1"/>
  <c r="CZ117" i="1"/>
  <c r="X119" i="1"/>
  <c r="CY119" i="1"/>
  <c r="Y119" i="1"/>
  <c r="CZ119" i="1"/>
  <c r="DF348" i="3"/>
  <c r="DG348" i="3"/>
  <c r="DJ348" i="3" s="1"/>
  <c r="DH348" i="3"/>
  <c r="DI348" i="3"/>
  <c r="DG355" i="3"/>
  <c r="DH355" i="3"/>
  <c r="DI355" i="3"/>
  <c r="DF355" i="3"/>
  <c r="DJ355" i="3" s="1"/>
  <c r="X128" i="1"/>
  <c r="CY128" i="1"/>
  <c r="Y128" i="1"/>
  <c r="CZ128" i="1"/>
  <c r="X130" i="1"/>
  <c r="CY130" i="1"/>
  <c r="Y130" i="1"/>
  <c r="CZ130" i="1"/>
  <c r="X135" i="1"/>
  <c r="CY135" i="1"/>
  <c r="Y135" i="1"/>
  <c r="CZ135" i="1"/>
  <c r="GX63" i="1"/>
  <c r="U71" i="1"/>
  <c r="W87" i="1"/>
  <c r="DG274" i="3"/>
  <c r="DH274" i="3"/>
  <c r="DI274" i="3"/>
  <c r="DF274" i="3"/>
  <c r="DJ274" i="3" s="1"/>
  <c r="DF332" i="3"/>
  <c r="DG332" i="3"/>
  <c r="DJ332" i="3" s="1"/>
  <c r="DH332" i="3"/>
  <c r="DI332" i="3"/>
  <c r="S69" i="1"/>
  <c r="GM99" i="1"/>
  <c r="GO99" i="1" s="1"/>
  <c r="DF279" i="3"/>
  <c r="DG279" i="3"/>
  <c r="DJ279" i="3" s="1"/>
  <c r="DH279" i="3"/>
  <c r="DI279" i="3"/>
  <c r="DF312" i="3"/>
  <c r="DG312" i="3"/>
  <c r="DH312" i="3"/>
  <c r="DI312" i="3"/>
  <c r="DJ312" i="3" s="1"/>
  <c r="DG389" i="3"/>
  <c r="DH389" i="3"/>
  <c r="DI389" i="3"/>
  <c r="DF389" i="3"/>
  <c r="DJ389" i="3" s="1"/>
  <c r="GM134" i="1"/>
  <c r="GN134" i="1" s="1"/>
  <c r="GM138" i="1"/>
  <c r="GN138" i="1" s="1"/>
  <c r="DF427" i="3"/>
  <c r="DH427" i="3"/>
  <c r="DI427" i="3"/>
  <c r="DG427" i="3"/>
  <c r="DJ427" i="3" s="1"/>
  <c r="CP128" i="1"/>
  <c r="O128" i="1" s="1"/>
  <c r="Y154" i="1"/>
  <c r="CZ154" i="1"/>
  <c r="CY154" i="1"/>
  <c r="X154" i="1"/>
  <c r="Y157" i="1"/>
  <c r="CZ157" i="1"/>
  <c r="CY157" i="1"/>
  <c r="X157" i="1"/>
  <c r="GM157" i="1" s="1"/>
  <c r="GN157" i="1" s="1"/>
  <c r="EG26" i="1"/>
  <c r="P171" i="1"/>
  <c r="EG318" i="1"/>
  <c r="DF534" i="3"/>
  <c r="DG534" i="3"/>
  <c r="DJ534" i="3" s="1"/>
  <c r="DH534" i="3"/>
  <c r="DI534" i="3"/>
  <c r="X230" i="1"/>
  <c r="GM230" i="1" s="1"/>
  <c r="GO230" i="1" s="1"/>
  <c r="CY230" i="1"/>
  <c r="Y230" i="1"/>
  <c r="CZ230" i="1"/>
  <c r="DF623" i="3"/>
  <c r="DG623" i="3"/>
  <c r="DJ623" i="3" s="1"/>
  <c r="DH623" i="3"/>
  <c r="DI623" i="3"/>
  <c r="DG634" i="3"/>
  <c r="DH634" i="3"/>
  <c r="DI634" i="3"/>
  <c r="DF634" i="3"/>
  <c r="DJ634" i="3" s="1"/>
  <c r="DG702" i="3"/>
  <c r="DH702" i="3"/>
  <c r="DI702" i="3"/>
  <c r="DF702" i="3"/>
  <c r="DJ702" i="3" s="1"/>
  <c r="CP113" i="1"/>
  <c r="O113" i="1" s="1"/>
  <c r="GM113" i="1" s="1"/>
  <c r="GN113" i="1" s="1"/>
  <c r="EH26" i="1"/>
  <c r="P176" i="1"/>
  <c r="DH496" i="3"/>
  <c r="DI496" i="3"/>
  <c r="DF496" i="3"/>
  <c r="DJ496" i="3" s="1"/>
  <c r="DG496" i="3"/>
  <c r="DH528" i="3"/>
  <c r="DI528" i="3"/>
  <c r="DF528" i="3"/>
  <c r="DJ528" i="3" s="1"/>
  <c r="DG528" i="3"/>
  <c r="Q224" i="1"/>
  <c r="R224" i="1"/>
  <c r="S224" i="1"/>
  <c r="DH569" i="3"/>
  <c r="DI569" i="3"/>
  <c r="DF569" i="3"/>
  <c r="DG569" i="3"/>
  <c r="DJ569" i="3" s="1"/>
  <c r="Q236" i="1"/>
  <c r="CP236" i="1" s="1"/>
  <c r="O236" i="1" s="1"/>
  <c r="R236" i="1"/>
  <c r="S236" i="1"/>
  <c r="DH612" i="3"/>
  <c r="DI612" i="3"/>
  <c r="DF612" i="3"/>
  <c r="DJ612" i="3" s="1"/>
  <c r="DG612" i="3"/>
  <c r="Q252" i="1"/>
  <c r="R252" i="1"/>
  <c r="S252" i="1"/>
  <c r="DF697" i="3"/>
  <c r="DG697" i="3"/>
  <c r="DH697" i="3"/>
  <c r="DI697" i="3"/>
  <c r="DJ697" i="3" s="1"/>
  <c r="X150" i="1"/>
  <c r="CY150" i="1"/>
  <c r="Y150" i="1"/>
  <c r="CZ150" i="1"/>
  <c r="W160" i="1"/>
  <c r="AO26" i="1"/>
  <c r="F171" i="1"/>
  <c r="AO318" i="1"/>
  <c r="DF469" i="3"/>
  <c r="DG469" i="3"/>
  <c r="DJ469" i="3" s="1"/>
  <c r="DH469" i="3"/>
  <c r="DI469" i="3"/>
  <c r="DG518" i="3"/>
  <c r="DJ518" i="3" s="1"/>
  <c r="DH518" i="3"/>
  <c r="DI518" i="3"/>
  <c r="DF518" i="3"/>
  <c r="DI564" i="3"/>
  <c r="DF564" i="3"/>
  <c r="DJ564" i="3" s="1"/>
  <c r="DG564" i="3"/>
  <c r="DH564" i="3"/>
  <c r="DG562" i="3"/>
  <c r="DH562" i="3"/>
  <c r="DI562" i="3"/>
  <c r="DF562" i="3"/>
  <c r="DJ562" i="3" s="1"/>
  <c r="DH595" i="3"/>
  <c r="DI595" i="3"/>
  <c r="DF595" i="3"/>
  <c r="DG595" i="3"/>
  <c r="DJ595" i="3" s="1"/>
  <c r="DF653" i="3"/>
  <c r="DG653" i="3"/>
  <c r="DJ653" i="3" s="1"/>
  <c r="DH653" i="3"/>
  <c r="DI653" i="3"/>
  <c r="DG660" i="3"/>
  <c r="DH660" i="3"/>
  <c r="DI660" i="3"/>
  <c r="DF660" i="3"/>
  <c r="DJ660" i="3" s="1"/>
  <c r="GX105" i="1"/>
  <c r="CP150" i="1"/>
  <c r="O150" i="1" s="1"/>
  <c r="DF438" i="3"/>
  <c r="DG438" i="3"/>
  <c r="DH438" i="3"/>
  <c r="DI438" i="3"/>
  <c r="DJ438" i="3" s="1"/>
  <c r="EV26" i="1"/>
  <c r="P192" i="1"/>
  <c r="EV318" i="1"/>
  <c r="DG463" i="3"/>
  <c r="DH463" i="3"/>
  <c r="DI463" i="3"/>
  <c r="DF463" i="3"/>
  <c r="DJ463" i="3" s="1"/>
  <c r="X205" i="1"/>
  <c r="GM205" i="1" s="1"/>
  <c r="GO205" i="1" s="1"/>
  <c r="CY205" i="1"/>
  <c r="Y205" i="1"/>
  <c r="AL288" i="1" s="1"/>
  <c r="CZ205" i="1"/>
  <c r="AF288" i="1"/>
  <c r="X213" i="1"/>
  <c r="CY213" i="1"/>
  <c r="Y213" i="1"/>
  <c r="CZ213" i="1"/>
  <c r="P216" i="1"/>
  <c r="DH512" i="3"/>
  <c r="DI512" i="3"/>
  <c r="DF512" i="3"/>
  <c r="DJ512" i="3" s="1"/>
  <c r="DG512" i="3"/>
  <c r="X225" i="1"/>
  <c r="CY225" i="1"/>
  <c r="Y225" i="1"/>
  <c r="CZ225" i="1"/>
  <c r="DI556" i="3"/>
  <c r="DF556" i="3"/>
  <c r="DJ556" i="3" s="1"/>
  <c r="DG556" i="3"/>
  <c r="DH556" i="3"/>
  <c r="DG554" i="3"/>
  <c r="DH554" i="3"/>
  <c r="DI554" i="3"/>
  <c r="DF554" i="3"/>
  <c r="DJ554" i="3" s="1"/>
  <c r="S232" i="1"/>
  <c r="Q232" i="1"/>
  <c r="R232" i="1"/>
  <c r="S244" i="1"/>
  <c r="Q244" i="1"/>
  <c r="CP244" i="1" s="1"/>
  <c r="O244" i="1" s="1"/>
  <c r="R244" i="1"/>
  <c r="DF636" i="3"/>
  <c r="DG636" i="3"/>
  <c r="DJ636" i="3" s="1"/>
  <c r="DH636" i="3"/>
  <c r="DI636" i="3"/>
  <c r="DG643" i="3"/>
  <c r="DH643" i="3"/>
  <c r="DI643" i="3"/>
  <c r="DF643" i="3"/>
  <c r="DJ643" i="3" s="1"/>
  <c r="DH642" i="3"/>
  <c r="DI642" i="3"/>
  <c r="DF642" i="3"/>
  <c r="DJ642" i="3" s="1"/>
  <c r="DG642" i="3"/>
  <c r="S260" i="1"/>
  <c r="Q260" i="1"/>
  <c r="R260" i="1"/>
  <c r="DF678" i="3"/>
  <c r="DG678" i="3"/>
  <c r="DJ678" i="3" s="1"/>
  <c r="DH678" i="3"/>
  <c r="DI678" i="3"/>
  <c r="DF685" i="3"/>
  <c r="DG685" i="3"/>
  <c r="DH685" i="3"/>
  <c r="DI685" i="3"/>
  <c r="DJ685" i="3" s="1"/>
  <c r="T161" i="1"/>
  <c r="CP225" i="1"/>
  <c r="O225" i="1" s="1"/>
  <c r="W236" i="1"/>
  <c r="V244" i="1"/>
  <c r="S268" i="1"/>
  <c r="R268" i="1"/>
  <c r="Q268" i="1"/>
  <c r="DF692" i="3"/>
  <c r="DG692" i="3"/>
  <c r="DJ692" i="3" s="1"/>
  <c r="DH692" i="3"/>
  <c r="DI692" i="3"/>
  <c r="DG728" i="3"/>
  <c r="DH728" i="3"/>
  <c r="DI728" i="3"/>
  <c r="DF728" i="3"/>
  <c r="DJ728" i="3" s="1"/>
  <c r="GX224" i="1"/>
  <c r="U232" i="1"/>
  <c r="W244" i="1"/>
  <c r="V252" i="1"/>
  <c r="GM272" i="1"/>
  <c r="GO272" i="1" s="1"/>
  <c r="CG199" i="1"/>
  <c r="AX288" i="1"/>
  <c r="P246" i="1"/>
  <c r="W252" i="1"/>
  <c r="V258" i="1"/>
  <c r="T262" i="1"/>
  <c r="AQ199" i="1"/>
  <c r="F298" i="1"/>
  <c r="W220" i="1"/>
  <c r="V236" i="1"/>
  <c r="V246" i="1"/>
  <c r="W258" i="1"/>
  <c r="P262" i="1"/>
  <c r="BD199" i="1"/>
  <c r="F313" i="1"/>
  <c r="EU199" i="1"/>
  <c r="P304" i="1"/>
  <c r="AG199" i="1"/>
  <c r="T288" i="1"/>
  <c r="U268" i="1"/>
  <c r="DG50" i="3"/>
  <c r="DJ50" i="3" s="1"/>
  <c r="DH50" i="3"/>
  <c r="DI50" i="3"/>
  <c r="DF50" i="3"/>
  <c r="DG95" i="3"/>
  <c r="DH95" i="3"/>
  <c r="DI95" i="3"/>
  <c r="DJ95" i="3" s="1"/>
  <c r="DF95" i="3"/>
  <c r="DG52" i="3"/>
  <c r="DJ52" i="3" s="1"/>
  <c r="DH52" i="3"/>
  <c r="DF52" i="3"/>
  <c r="DI52" i="3"/>
  <c r="DG123" i="3"/>
  <c r="DJ123" i="3" s="1"/>
  <c r="DH123" i="3"/>
  <c r="DI123" i="3"/>
  <c r="DF123" i="3"/>
  <c r="DH105" i="3"/>
  <c r="DG105" i="3"/>
  <c r="DJ105" i="3" s="1"/>
  <c r="DF105" i="3"/>
  <c r="DI105" i="3"/>
  <c r="DG178" i="3"/>
  <c r="DH178" i="3"/>
  <c r="DF178" i="3"/>
  <c r="DI178" i="3"/>
  <c r="DJ178" i="3" s="1"/>
  <c r="DH152" i="3"/>
  <c r="DI152" i="3"/>
  <c r="DF152" i="3"/>
  <c r="DJ152" i="3" s="1"/>
  <c r="DG152" i="3"/>
  <c r="DI221" i="3"/>
  <c r="DF221" i="3"/>
  <c r="DG221" i="3"/>
  <c r="DJ221" i="3" s="1"/>
  <c r="DH221" i="3"/>
  <c r="DH201" i="3"/>
  <c r="DI201" i="3"/>
  <c r="DF201" i="3"/>
  <c r="DJ201" i="3" s="1"/>
  <c r="DG201" i="3"/>
  <c r="DH217" i="3"/>
  <c r="DI217" i="3"/>
  <c r="DF217" i="3"/>
  <c r="DJ217" i="3" s="1"/>
  <c r="DG217" i="3"/>
  <c r="DI254" i="3"/>
  <c r="DH254" i="3"/>
  <c r="DF254" i="3"/>
  <c r="DJ254" i="3" s="1"/>
  <c r="DG254" i="3"/>
  <c r="DH198" i="3"/>
  <c r="DI198" i="3"/>
  <c r="DF198" i="3"/>
  <c r="DG198" i="3"/>
  <c r="DJ198" i="3" s="1"/>
  <c r="DH214" i="3"/>
  <c r="DI214" i="3"/>
  <c r="DF214" i="3"/>
  <c r="DG214" i="3"/>
  <c r="DJ214" i="3" s="1"/>
  <c r="DI236" i="3"/>
  <c r="DG236" i="3"/>
  <c r="DJ236" i="3" s="1"/>
  <c r="DH236" i="3"/>
  <c r="DF236" i="3"/>
  <c r="DI263" i="3"/>
  <c r="DH263" i="3"/>
  <c r="DF263" i="3"/>
  <c r="DJ263" i="3" s="1"/>
  <c r="DG263" i="3"/>
  <c r="DH227" i="3"/>
  <c r="DI227" i="3"/>
  <c r="DJ227" i="3" s="1"/>
  <c r="DF227" i="3"/>
  <c r="DG227" i="3"/>
  <c r="DH246" i="3"/>
  <c r="DF246" i="3"/>
  <c r="DJ246" i="3" s="1"/>
  <c r="DG246" i="3"/>
  <c r="DI246" i="3"/>
  <c r="DI224" i="3"/>
  <c r="DF224" i="3"/>
  <c r="DJ224" i="3" s="1"/>
  <c r="DG224" i="3"/>
  <c r="DH224" i="3"/>
  <c r="DI272" i="3"/>
  <c r="DF272" i="3"/>
  <c r="DG272" i="3"/>
  <c r="DJ272" i="3" s="1"/>
  <c r="DH272" i="3"/>
  <c r="DI303" i="3"/>
  <c r="DF303" i="3"/>
  <c r="DJ303" i="3" s="1"/>
  <c r="DG303" i="3"/>
  <c r="DH303" i="3"/>
  <c r="DH327" i="3"/>
  <c r="DI327" i="3"/>
  <c r="DJ327" i="3" s="1"/>
  <c r="DF327" i="3"/>
  <c r="DG327" i="3"/>
  <c r="DF284" i="3"/>
  <c r="DJ284" i="3" s="1"/>
  <c r="DG284" i="3"/>
  <c r="DH284" i="3"/>
  <c r="DI284" i="3"/>
  <c r="DH313" i="3"/>
  <c r="DI313" i="3"/>
  <c r="DF313" i="3"/>
  <c r="DG313" i="3"/>
  <c r="DJ313" i="3" s="1"/>
  <c r="DG342" i="3"/>
  <c r="DH342" i="3"/>
  <c r="DI342" i="3"/>
  <c r="DF342" i="3"/>
  <c r="DJ342" i="3" s="1"/>
  <c r="DF275" i="3"/>
  <c r="DJ275" i="3" s="1"/>
  <c r="DG275" i="3"/>
  <c r="DH275" i="3"/>
  <c r="DI275" i="3"/>
  <c r="DI307" i="3"/>
  <c r="DF307" i="3"/>
  <c r="DJ307" i="3" s="1"/>
  <c r="DG307" i="3"/>
  <c r="DH307" i="3"/>
  <c r="DF266" i="3"/>
  <c r="DJ266" i="3" s="1"/>
  <c r="DG266" i="3"/>
  <c r="DH266" i="3"/>
  <c r="DI266" i="3"/>
  <c r="DH280" i="3"/>
  <c r="DI280" i="3"/>
  <c r="DF280" i="3"/>
  <c r="DG280" i="3"/>
  <c r="DJ280" i="3" s="1"/>
  <c r="DF306" i="3"/>
  <c r="DJ306" i="3" s="1"/>
  <c r="DG306" i="3"/>
  <c r="DH306" i="3"/>
  <c r="DI306" i="3"/>
  <c r="DI333" i="3"/>
  <c r="DG333" i="3"/>
  <c r="DH333" i="3"/>
  <c r="DF333" i="3"/>
  <c r="DJ333" i="3" s="1"/>
  <c r="DF340" i="3"/>
  <c r="DJ340" i="3" s="1"/>
  <c r="DI340" i="3"/>
  <c r="DG340" i="3"/>
  <c r="DH340" i="3"/>
  <c r="DI361" i="3"/>
  <c r="DF361" i="3"/>
  <c r="DG361" i="3"/>
  <c r="DJ361" i="3" s="1"/>
  <c r="DH361" i="3"/>
  <c r="DI408" i="3"/>
  <c r="DF408" i="3"/>
  <c r="DG408" i="3"/>
  <c r="DJ408" i="3" s="1"/>
  <c r="DH408" i="3"/>
  <c r="DI423" i="3"/>
  <c r="DF423" i="3"/>
  <c r="DG423" i="3"/>
  <c r="DJ423" i="3" s="1"/>
  <c r="DH423" i="3"/>
  <c r="DH388" i="3"/>
  <c r="DI388" i="3"/>
  <c r="DF388" i="3"/>
  <c r="DJ388" i="3" s="1"/>
  <c r="DG388" i="3"/>
  <c r="DI353" i="3"/>
  <c r="DF353" i="3"/>
  <c r="DJ353" i="3" s="1"/>
  <c r="DG353" i="3"/>
  <c r="DH353" i="3"/>
  <c r="DI366" i="3"/>
  <c r="DF366" i="3"/>
  <c r="DJ366" i="3" s="1"/>
  <c r="DG366" i="3"/>
  <c r="DH366" i="3"/>
  <c r="DF390" i="3"/>
  <c r="DJ390" i="3" s="1"/>
  <c r="DG390" i="3"/>
  <c r="DH390" i="3"/>
  <c r="DI390" i="3"/>
  <c r="DF412" i="3"/>
  <c r="DJ412" i="3" s="1"/>
  <c r="DG412" i="3"/>
  <c r="DH412" i="3"/>
  <c r="DI412" i="3"/>
  <c r="DH384" i="3"/>
  <c r="DI384" i="3"/>
  <c r="DF384" i="3"/>
  <c r="DJ384" i="3" s="1"/>
  <c r="DG384" i="3"/>
  <c r="DF434" i="3"/>
  <c r="DJ434" i="3" s="1"/>
  <c r="DI434" i="3"/>
  <c r="DG434" i="3"/>
  <c r="DH434" i="3"/>
  <c r="DI370" i="3"/>
  <c r="DF370" i="3"/>
  <c r="DJ370" i="3" s="1"/>
  <c r="DG370" i="3"/>
  <c r="DH370" i="3"/>
  <c r="DI397" i="3"/>
  <c r="DF397" i="3"/>
  <c r="DJ397" i="3" s="1"/>
  <c r="DG397" i="3"/>
  <c r="DH397" i="3"/>
  <c r="DI419" i="3"/>
  <c r="DF419" i="3"/>
  <c r="DJ419" i="3" s="1"/>
  <c r="DG419" i="3"/>
  <c r="DH419" i="3"/>
  <c r="DI453" i="3"/>
  <c r="DF453" i="3"/>
  <c r="DG453" i="3"/>
  <c r="DJ453" i="3" s="1"/>
  <c r="DH453" i="3"/>
  <c r="DI487" i="3"/>
  <c r="DF487" i="3"/>
  <c r="DG487" i="3"/>
  <c r="DJ487" i="3" s="1"/>
  <c r="DH487" i="3"/>
  <c r="DI511" i="3"/>
  <c r="DF511" i="3"/>
  <c r="DG511" i="3"/>
  <c r="DJ511" i="3" s="1"/>
  <c r="DH511" i="3"/>
  <c r="DH439" i="3"/>
  <c r="DI439" i="3"/>
  <c r="DF439" i="3"/>
  <c r="DG439" i="3"/>
  <c r="DJ439" i="3" s="1"/>
  <c r="DH468" i="3"/>
  <c r="DI468" i="3"/>
  <c r="DJ468" i="3" s="1"/>
  <c r="DF468" i="3"/>
  <c r="DG468" i="3"/>
  <c r="DI473" i="3"/>
  <c r="DF473" i="3"/>
  <c r="DJ473" i="3" s="1"/>
  <c r="DG473" i="3"/>
  <c r="DH473" i="3"/>
  <c r="DF514" i="3"/>
  <c r="DJ514" i="3" s="1"/>
  <c r="DG514" i="3"/>
  <c r="DH514" i="3"/>
  <c r="DI514" i="3"/>
  <c r="DF538" i="3"/>
  <c r="DJ538" i="3" s="1"/>
  <c r="DH538" i="3"/>
  <c r="DI538" i="3"/>
  <c r="DG538" i="3"/>
  <c r="DF506" i="3"/>
  <c r="DJ506" i="3" s="1"/>
  <c r="DG506" i="3"/>
  <c r="DH506" i="3"/>
  <c r="DI506" i="3"/>
  <c r="DI531" i="3"/>
  <c r="DF531" i="3"/>
  <c r="DJ531" i="3" s="1"/>
  <c r="DG531" i="3"/>
  <c r="DH531" i="3"/>
  <c r="DI461" i="3"/>
  <c r="DF461" i="3"/>
  <c r="DJ461" i="3" s="1"/>
  <c r="DG461" i="3"/>
  <c r="DH461" i="3"/>
  <c r="DF498" i="3"/>
  <c r="DJ498" i="3" s="1"/>
  <c r="DG498" i="3"/>
  <c r="DH498" i="3"/>
  <c r="DI498" i="3"/>
  <c r="DI523" i="3"/>
  <c r="DF523" i="3"/>
  <c r="DJ523" i="3" s="1"/>
  <c r="DG523" i="3"/>
  <c r="DH523" i="3"/>
  <c r="DF560" i="3"/>
  <c r="DG560" i="3"/>
  <c r="DJ560" i="3" s="1"/>
  <c r="DH560" i="3"/>
  <c r="DI560" i="3"/>
  <c r="DH585" i="3"/>
  <c r="DI585" i="3"/>
  <c r="DJ585" i="3" s="1"/>
  <c r="DF585" i="3"/>
  <c r="DG585" i="3"/>
  <c r="DH603" i="3"/>
  <c r="DI603" i="3"/>
  <c r="DF603" i="3"/>
  <c r="DG603" i="3"/>
  <c r="DJ603" i="3" s="1"/>
  <c r="DI632" i="3"/>
  <c r="DF632" i="3"/>
  <c r="DJ632" i="3" s="1"/>
  <c r="DG632" i="3"/>
  <c r="DH632" i="3"/>
  <c r="DI658" i="3"/>
  <c r="DF658" i="3"/>
  <c r="DJ658" i="3" s="1"/>
  <c r="DG658" i="3"/>
  <c r="DH658" i="3"/>
  <c r="DI674" i="3"/>
  <c r="DF674" i="3"/>
  <c r="DJ674" i="3" s="1"/>
  <c r="DG674" i="3"/>
  <c r="DH674" i="3"/>
  <c r="DF703" i="3"/>
  <c r="DJ703" i="3" s="1"/>
  <c r="DG703" i="3"/>
  <c r="DH703" i="3"/>
  <c r="DI703" i="3"/>
  <c r="DF138" i="3"/>
  <c r="DJ138" i="3" s="1"/>
  <c r="DG138" i="3"/>
  <c r="DH138" i="3"/>
  <c r="DI138" i="3"/>
  <c r="X49" i="1"/>
  <c r="GM49" i="1" s="1"/>
  <c r="GO49" i="1" s="1"/>
  <c r="CY49" i="1"/>
  <c r="Y49" i="1"/>
  <c r="CZ49" i="1"/>
  <c r="DH559" i="3"/>
  <c r="DI559" i="3"/>
  <c r="DJ559" i="3" s="1"/>
  <c r="DF559" i="3"/>
  <c r="DG559" i="3"/>
  <c r="DI590" i="3"/>
  <c r="DF590" i="3"/>
  <c r="DJ590" i="3" s="1"/>
  <c r="DG590" i="3"/>
  <c r="DH590" i="3"/>
  <c r="DF610" i="3"/>
  <c r="DJ610" i="3" s="1"/>
  <c r="DG610" i="3"/>
  <c r="DH610" i="3"/>
  <c r="DI610" i="3"/>
  <c r="DF644" i="3"/>
  <c r="DJ644" i="3" s="1"/>
  <c r="DG644" i="3"/>
  <c r="DH644" i="3"/>
  <c r="DI644" i="3"/>
  <c r="DH686" i="3"/>
  <c r="DI686" i="3"/>
  <c r="DF686" i="3"/>
  <c r="DG686" i="3"/>
  <c r="DJ686" i="3" s="1"/>
  <c r="DH706" i="3"/>
  <c r="DF706" i="3"/>
  <c r="DG706" i="3"/>
  <c r="DJ706" i="3" s="1"/>
  <c r="DI706" i="3"/>
  <c r="DI134" i="3"/>
  <c r="DF134" i="3"/>
  <c r="DG134" i="3"/>
  <c r="DJ134" i="3" s="1"/>
  <c r="DH134" i="3"/>
  <c r="DI165" i="3"/>
  <c r="DJ165" i="3" s="1"/>
  <c r="DF165" i="3"/>
  <c r="DG165" i="3"/>
  <c r="DH165" i="3"/>
  <c r="DH567" i="3"/>
  <c r="DI567" i="3"/>
  <c r="DJ567" i="3" s="1"/>
  <c r="DF567" i="3"/>
  <c r="DG567" i="3"/>
  <c r="DI598" i="3"/>
  <c r="DF598" i="3"/>
  <c r="DJ598" i="3" s="1"/>
  <c r="DG598" i="3"/>
  <c r="DH598" i="3"/>
  <c r="DH620" i="3"/>
  <c r="DI620" i="3"/>
  <c r="DF620" i="3"/>
  <c r="DG620" i="3"/>
  <c r="DJ620" i="3" s="1"/>
  <c r="DI649" i="3"/>
  <c r="DF649" i="3"/>
  <c r="DJ649" i="3" s="1"/>
  <c r="DG649" i="3"/>
  <c r="DH649" i="3"/>
  <c r="DH667" i="3"/>
  <c r="DI667" i="3"/>
  <c r="DF667" i="3"/>
  <c r="DJ667" i="3" s="1"/>
  <c r="DG667" i="3"/>
  <c r="DI688" i="3"/>
  <c r="DF688" i="3"/>
  <c r="DJ688" i="3" s="1"/>
  <c r="DG688" i="3"/>
  <c r="DH688" i="3"/>
  <c r="DI51" i="3"/>
  <c r="DF51" i="3"/>
  <c r="DG51" i="3"/>
  <c r="DJ51" i="3" s="1"/>
  <c r="DH51" i="3"/>
  <c r="DF144" i="3"/>
  <c r="DJ144" i="3" s="1"/>
  <c r="DG144" i="3"/>
  <c r="DH144" i="3"/>
  <c r="DI144" i="3"/>
  <c r="DF552" i="3"/>
  <c r="DG552" i="3"/>
  <c r="DJ552" i="3" s="1"/>
  <c r="DH552" i="3"/>
  <c r="DI552" i="3"/>
  <c r="DF586" i="3"/>
  <c r="DG586" i="3"/>
  <c r="DJ586" i="3" s="1"/>
  <c r="DH586" i="3"/>
  <c r="DI586" i="3"/>
  <c r="DF627" i="3"/>
  <c r="DJ627" i="3" s="1"/>
  <c r="DG627" i="3"/>
  <c r="DH627" i="3"/>
  <c r="DI627" i="3"/>
  <c r="DF661" i="3"/>
  <c r="DJ661" i="3" s="1"/>
  <c r="DG661" i="3"/>
  <c r="DH661" i="3"/>
  <c r="DI661" i="3"/>
  <c r="DF695" i="3"/>
  <c r="DJ695" i="3" s="1"/>
  <c r="DG695" i="3"/>
  <c r="DH695" i="3"/>
  <c r="DI695" i="3"/>
  <c r="DI716" i="3"/>
  <c r="DG716" i="3"/>
  <c r="DJ716" i="3" s="1"/>
  <c r="DH716" i="3"/>
  <c r="DF716" i="3"/>
  <c r="DI47" i="3"/>
  <c r="DF47" i="3"/>
  <c r="DJ47" i="3" s="1"/>
  <c r="DG47" i="3"/>
  <c r="DH47" i="3"/>
  <c r="DF42" i="3"/>
  <c r="DG42" i="3"/>
  <c r="DJ42" i="3" s="1"/>
  <c r="DH42" i="3"/>
  <c r="DI42" i="3"/>
  <c r="DG171" i="3"/>
  <c r="DH171" i="3"/>
  <c r="DI171" i="3"/>
  <c r="DF171" i="3"/>
  <c r="DJ171" i="3" s="1"/>
  <c r="DG230" i="3"/>
  <c r="DH230" i="3"/>
  <c r="DI230" i="3"/>
  <c r="DF230" i="3"/>
  <c r="DJ230" i="3" s="1"/>
  <c r="DG247" i="3"/>
  <c r="DI247" i="3"/>
  <c r="DF247" i="3"/>
  <c r="DJ247" i="3" s="1"/>
  <c r="DH247" i="3"/>
  <c r="X53" i="1"/>
  <c r="CY53" i="1"/>
  <c r="Y53" i="1"/>
  <c r="CZ53" i="1"/>
  <c r="DG155" i="3"/>
  <c r="DH155" i="3"/>
  <c r="DI155" i="3"/>
  <c r="DF155" i="3"/>
  <c r="DJ155" i="3" s="1"/>
  <c r="Y60" i="1"/>
  <c r="CZ60" i="1"/>
  <c r="X60" i="1"/>
  <c r="GM60" i="1" s="1"/>
  <c r="GO60" i="1" s="1"/>
  <c r="CY60" i="1"/>
  <c r="DG181" i="3"/>
  <c r="DH181" i="3"/>
  <c r="DF181" i="3"/>
  <c r="DJ181" i="3" s="1"/>
  <c r="DI181" i="3"/>
  <c r="DG222" i="3"/>
  <c r="DJ222" i="3" s="1"/>
  <c r="DH222" i="3"/>
  <c r="DI222" i="3"/>
  <c r="DF222" i="3"/>
  <c r="Y55" i="1"/>
  <c r="CZ55" i="1"/>
  <c r="CY55" i="1"/>
  <c r="X55" i="1"/>
  <c r="GM55" i="1" s="1"/>
  <c r="AD167" i="1"/>
  <c r="DG176" i="3"/>
  <c r="DH176" i="3"/>
  <c r="DF176" i="3"/>
  <c r="DJ176" i="3" s="1"/>
  <c r="DI176" i="3"/>
  <c r="DG218" i="3"/>
  <c r="DH218" i="3"/>
  <c r="DI218" i="3"/>
  <c r="DF218" i="3"/>
  <c r="DJ218" i="3" s="1"/>
  <c r="P87" i="1"/>
  <c r="Q87" i="1"/>
  <c r="R87" i="1"/>
  <c r="S87" i="1"/>
  <c r="DF262" i="3"/>
  <c r="DI262" i="3"/>
  <c r="DG262" i="3"/>
  <c r="DJ262" i="3" s="1"/>
  <c r="DH262" i="3"/>
  <c r="DI722" i="3"/>
  <c r="DF722" i="3"/>
  <c r="DJ722" i="3" s="1"/>
  <c r="DG722" i="3"/>
  <c r="DH722" i="3"/>
  <c r="GM38" i="1"/>
  <c r="GN38" i="1" s="1"/>
  <c r="DF205" i="3"/>
  <c r="DG205" i="3"/>
  <c r="DH205" i="3"/>
  <c r="DI205" i="3"/>
  <c r="DJ205" i="3" s="1"/>
  <c r="X85" i="1"/>
  <c r="GM85" i="1" s="1"/>
  <c r="GO85" i="1" s="1"/>
  <c r="CY85" i="1"/>
  <c r="Y85" i="1"/>
  <c r="CZ85" i="1"/>
  <c r="DG256" i="3"/>
  <c r="DF256" i="3"/>
  <c r="DJ256" i="3" s="1"/>
  <c r="DH256" i="3"/>
  <c r="DI256" i="3"/>
  <c r="DH255" i="3"/>
  <c r="DG255" i="3"/>
  <c r="DF255" i="3"/>
  <c r="DJ255" i="3" s="1"/>
  <c r="DI255" i="3"/>
  <c r="DG292" i="3"/>
  <c r="DJ292" i="3" s="1"/>
  <c r="DH292" i="3"/>
  <c r="DI292" i="3"/>
  <c r="DF292" i="3"/>
  <c r="DG372" i="3"/>
  <c r="DH372" i="3"/>
  <c r="DI372" i="3"/>
  <c r="DF372" i="3"/>
  <c r="DJ372" i="3" s="1"/>
  <c r="DG360" i="3"/>
  <c r="DJ360" i="3" s="1"/>
  <c r="DH360" i="3"/>
  <c r="DI360" i="3"/>
  <c r="DF360" i="3"/>
  <c r="DF346" i="3"/>
  <c r="DG346" i="3"/>
  <c r="DJ346" i="3" s="1"/>
  <c r="DH346" i="3"/>
  <c r="DI346" i="3"/>
  <c r="DG351" i="3"/>
  <c r="DH351" i="3"/>
  <c r="DI351" i="3"/>
  <c r="DF351" i="3"/>
  <c r="DJ351" i="3" s="1"/>
  <c r="DF418" i="3"/>
  <c r="DG418" i="3"/>
  <c r="DJ418" i="3" s="1"/>
  <c r="DH418" i="3"/>
  <c r="DI418" i="3"/>
  <c r="GM72" i="1"/>
  <c r="GN72" i="1" s="1"/>
  <c r="X101" i="1"/>
  <c r="CY101" i="1"/>
  <c r="CZ101" i="1"/>
  <c r="Y101" i="1"/>
  <c r="CP101" i="1"/>
  <c r="O101" i="1" s="1"/>
  <c r="DG271" i="3"/>
  <c r="DJ271" i="3" s="1"/>
  <c r="DH271" i="3"/>
  <c r="DI271" i="3"/>
  <c r="DF271" i="3"/>
  <c r="AG26" i="1"/>
  <c r="T167" i="1"/>
  <c r="DF330" i="3"/>
  <c r="DG330" i="3"/>
  <c r="DJ330" i="3" s="1"/>
  <c r="DH330" i="3"/>
  <c r="DI330" i="3"/>
  <c r="DG394" i="3"/>
  <c r="DH394" i="3"/>
  <c r="DI394" i="3"/>
  <c r="DF394" i="3"/>
  <c r="DJ394" i="3" s="1"/>
  <c r="DG411" i="3"/>
  <c r="DJ411" i="3" s="1"/>
  <c r="DH411" i="3"/>
  <c r="DI411" i="3"/>
  <c r="DF411" i="3"/>
  <c r="GX87" i="1"/>
  <c r="GM98" i="1"/>
  <c r="GO98" i="1" s="1"/>
  <c r="DG283" i="3"/>
  <c r="DH283" i="3"/>
  <c r="DI283" i="3"/>
  <c r="DF283" i="3"/>
  <c r="DJ283" i="3" s="1"/>
  <c r="DG326" i="3"/>
  <c r="DH326" i="3"/>
  <c r="DI326" i="3"/>
  <c r="DF326" i="3"/>
  <c r="DJ326" i="3" s="1"/>
  <c r="DF379" i="3"/>
  <c r="DG379" i="3"/>
  <c r="DJ379" i="3" s="1"/>
  <c r="DH379" i="3"/>
  <c r="DI379" i="3"/>
  <c r="DG385" i="3"/>
  <c r="DH385" i="3"/>
  <c r="DI385" i="3"/>
  <c r="DF385" i="3"/>
  <c r="DJ385" i="3" s="1"/>
  <c r="DF403" i="3"/>
  <c r="DG403" i="3"/>
  <c r="DH403" i="3"/>
  <c r="DI403" i="3"/>
  <c r="DJ403" i="3" s="1"/>
  <c r="GM115" i="1"/>
  <c r="GO115" i="1" s="1"/>
  <c r="CP130" i="1"/>
  <c r="O130" i="1" s="1"/>
  <c r="GM130" i="1" s="1"/>
  <c r="GO130" i="1" s="1"/>
  <c r="X148" i="1"/>
  <c r="CY148" i="1"/>
  <c r="Y148" i="1"/>
  <c r="CZ148" i="1"/>
  <c r="Y153" i="1"/>
  <c r="CZ153" i="1"/>
  <c r="CY153" i="1"/>
  <c r="X153" i="1"/>
  <c r="GM153" i="1" s="1"/>
  <c r="GN153" i="1" s="1"/>
  <c r="DH424" i="3"/>
  <c r="DI424" i="3"/>
  <c r="DF424" i="3"/>
  <c r="DJ424" i="3" s="1"/>
  <c r="DG424" i="3"/>
  <c r="AQ26" i="1"/>
  <c r="F177" i="1"/>
  <c r="AQ318" i="1"/>
  <c r="X202" i="1"/>
  <c r="CY202" i="1"/>
  <c r="Y202" i="1"/>
  <c r="CZ202" i="1"/>
  <c r="DG505" i="3"/>
  <c r="DH505" i="3"/>
  <c r="DI505" i="3"/>
  <c r="DF505" i="3"/>
  <c r="DJ505" i="3" s="1"/>
  <c r="DF532" i="3"/>
  <c r="DG532" i="3"/>
  <c r="DH532" i="3"/>
  <c r="DI532" i="3"/>
  <c r="DJ532" i="3" s="1"/>
  <c r="DI582" i="3"/>
  <c r="DF582" i="3"/>
  <c r="DJ582" i="3" s="1"/>
  <c r="DG582" i="3"/>
  <c r="DH582" i="3"/>
  <c r="DG584" i="3"/>
  <c r="DH584" i="3"/>
  <c r="DI584" i="3"/>
  <c r="DF584" i="3"/>
  <c r="DJ584" i="3" s="1"/>
  <c r="DH583" i="3"/>
  <c r="DI583" i="3"/>
  <c r="DF583" i="3"/>
  <c r="DJ583" i="3" s="1"/>
  <c r="DG583" i="3"/>
  <c r="DF621" i="3"/>
  <c r="DG621" i="3"/>
  <c r="DJ621" i="3" s="1"/>
  <c r="DH621" i="3"/>
  <c r="DI621" i="3"/>
  <c r="DG630" i="3"/>
  <c r="DH630" i="3"/>
  <c r="DI630" i="3"/>
  <c r="DF630" i="3"/>
  <c r="DJ630" i="3" s="1"/>
  <c r="X256" i="1"/>
  <c r="GM256" i="1" s="1"/>
  <c r="GO256" i="1" s="1"/>
  <c r="CY256" i="1"/>
  <c r="Y256" i="1"/>
  <c r="CZ256" i="1"/>
  <c r="U103" i="1"/>
  <c r="X149" i="1"/>
  <c r="CY149" i="1"/>
  <c r="Y149" i="1"/>
  <c r="CZ149" i="1"/>
  <c r="CP159" i="1"/>
  <c r="O159" i="1" s="1"/>
  <c r="GM159" i="1" s="1"/>
  <c r="GO159" i="1" s="1"/>
  <c r="R160" i="1"/>
  <c r="GX160" i="1"/>
  <c r="T160" i="1"/>
  <c r="P160" i="1"/>
  <c r="CP160" i="1" s="1"/>
  <c r="O160" i="1" s="1"/>
  <c r="Q160" i="1"/>
  <c r="V160" i="1"/>
  <c r="ET26" i="1"/>
  <c r="P180" i="1"/>
  <c r="ET318" i="1"/>
  <c r="DG497" i="3"/>
  <c r="DH497" i="3"/>
  <c r="DI497" i="3"/>
  <c r="DF497" i="3"/>
  <c r="DJ497" i="3" s="1"/>
  <c r="Q216" i="1"/>
  <c r="R216" i="1"/>
  <c r="S216" i="1"/>
  <c r="DG529" i="3"/>
  <c r="DH529" i="3"/>
  <c r="DI529" i="3"/>
  <c r="DF529" i="3"/>
  <c r="DJ529" i="3" s="1"/>
  <c r="DG617" i="3"/>
  <c r="DH617" i="3"/>
  <c r="DI617" i="3"/>
  <c r="DF617" i="3"/>
  <c r="DJ617" i="3" s="1"/>
  <c r="DH608" i="3"/>
  <c r="DI608" i="3"/>
  <c r="DF608" i="3"/>
  <c r="DJ608" i="3" s="1"/>
  <c r="DG608" i="3"/>
  <c r="Q250" i="1"/>
  <c r="R250" i="1"/>
  <c r="S250" i="1"/>
  <c r="DG670" i="3"/>
  <c r="DH670" i="3"/>
  <c r="DI670" i="3"/>
  <c r="DF670" i="3"/>
  <c r="DJ670" i="3" s="1"/>
  <c r="DG700" i="3"/>
  <c r="DH700" i="3"/>
  <c r="DI700" i="3"/>
  <c r="DF700" i="3"/>
  <c r="DJ700" i="3" s="1"/>
  <c r="GM121" i="1"/>
  <c r="GO121" i="1" s="1"/>
  <c r="GM142" i="1"/>
  <c r="GN142" i="1" s="1"/>
  <c r="CP149" i="1"/>
  <c r="O149" i="1" s="1"/>
  <c r="GM149" i="1" s="1"/>
  <c r="GN149" i="1" s="1"/>
  <c r="Q161" i="1"/>
  <c r="R161" i="1"/>
  <c r="P161" i="1"/>
  <c r="EI26" i="1"/>
  <c r="P177" i="1"/>
  <c r="EI318" i="1"/>
  <c r="DG600" i="3"/>
  <c r="DH600" i="3"/>
  <c r="DI600" i="3"/>
  <c r="DF600" i="3"/>
  <c r="DJ600" i="3" s="1"/>
  <c r="CP119" i="1"/>
  <c r="O119" i="1" s="1"/>
  <c r="GM119" i="1" s="1"/>
  <c r="GO119" i="1" s="1"/>
  <c r="CP135" i="1"/>
  <c r="O135" i="1" s="1"/>
  <c r="GM135" i="1" s="1"/>
  <c r="GN135" i="1" s="1"/>
  <c r="CP154" i="1"/>
  <c r="O154" i="1" s="1"/>
  <c r="GM154" i="1" s="1"/>
  <c r="GN154" i="1" s="1"/>
  <c r="DG433" i="3"/>
  <c r="DJ433" i="3" s="1"/>
  <c r="DI433" i="3"/>
  <c r="DF433" i="3"/>
  <c r="DH433" i="3"/>
  <c r="DG443" i="3"/>
  <c r="DH443" i="3"/>
  <c r="DI443" i="3"/>
  <c r="DF443" i="3"/>
  <c r="DJ443" i="3" s="1"/>
  <c r="GA26" i="1"/>
  <c r="ER167" i="1"/>
  <c r="DG459" i="3"/>
  <c r="DJ459" i="3" s="1"/>
  <c r="DH459" i="3"/>
  <c r="DI459" i="3"/>
  <c r="DF459" i="3"/>
  <c r="S204" i="1"/>
  <c r="Q204" i="1"/>
  <c r="DV288" i="1" s="1"/>
  <c r="R204" i="1"/>
  <c r="DG513" i="3"/>
  <c r="DH513" i="3"/>
  <c r="DI513" i="3"/>
  <c r="DF513" i="3"/>
  <c r="DJ513" i="3" s="1"/>
  <c r="X221" i="1"/>
  <c r="CY221" i="1"/>
  <c r="Y221" i="1"/>
  <c r="CZ221" i="1"/>
  <c r="P224" i="1"/>
  <c r="CP224" i="1" s="1"/>
  <c r="O224" i="1" s="1"/>
  <c r="X227" i="1"/>
  <c r="CY227" i="1"/>
  <c r="Y227" i="1"/>
  <c r="CZ227" i="1"/>
  <c r="X239" i="1"/>
  <c r="GM239" i="1" s="1"/>
  <c r="GO239" i="1" s="1"/>
  <c r="CY239" i="1"/>
  <c r="Y239" i="1"/>
  <c r="CZ239" i="1"/>
  <c r="DH591" i="3"/>
  <c r="DI591" i="3"/>
  <c r="DF591" i="3"/>
  <c r="DJ591" i="3" s="1"/>
  <c r="DG591" i="3"/>
  <c r="X247" i="1"/>
  <c r="CY247" i="1"/>
  <c r="Y247" i="1"/>
  <c r="CZ247" i="1"/>
  <c r="P250" i="1"/>
  <c r="CP250" i="1" s="1"/>
  <c r="O250" i="1" s="1"/>
  <c r="P252" i="1"/>
  <c r="CP252" i="1" s="1"/>
  <c r="O252" i="1" s="1"/>
  <c r="X263" i="1"/>
  <c r="CY263" i="1"/>
  <c r="Y263" i="1"/>
  <c r="CZ263" i="1"/>
  <c r="DG690" i="3"/>
  <c r="DH690" i="3"/>
  <c r="DI690" i="3"/>
  <c r="DF690" i="3"/>
  <c r="DJ690" i="3" s="1"/>
  <c r="DH723" i="3"/>
  <c r="DI723" i="3"/>
  <c r="DF723" i="3"/>
  <c r="DJ723" i="3" s="1"/>
  <c r="DG723" i="3"/>
  <c r="W204" i="1"/>
  <c r="GX236" i="1"/>
  <c r="U244" i="1"/>
  <c r="P260" i="1"/>
  <c r="CP260" i="1" s="1"/>
  <c r="O260" i="1" s="1"/>
  <c r="DG682" i="3"/>
  <c r="DJ682" i="3" s="1"/>
  <c r="DH682" i="3"/>
  <c r="DI682" i="3"/>
  <c r="DF682" i="3"/>
  <c r="T268" i="1"/>
  <c r="X277" i="1"/>
  <c r="CY277" i="1"/>
  <c r="Y277" i="1"/>
  <c r="CZ277" i="1"/>
  <c r="DG725" i="3"/>
  <c r="DJ725" i="3" s="1"/>
  <c r="DH725" i="3"/>
  <c r="DI725" i="3"/>
  <c r="DF725" i="3"/>
  <c r="EI199" i="1"/>
  <c r="P298" i="1"/>
  <c r="U161" i="1"/>
  <c r="T204" i="1"/>
  <c r="P220" i="1"/>
  <c r="CP227" i="1"/>
  <c r="O227" i="1" s="1"/>
  <c r="GM227" i="1" s="1"/>
  <c r="GN227" i="1" s="1"/>
  <c r="T236" i="1"/>
  <c r="V250" i="1"/>
  <c r="U252" i="1"/>
  <c r="V260" i="1"/>
  <c r="P268" i="1"/>
  <c r="CP268" i="1" s="1"/>
  <c r="O268" i="1" s="1"/>
  <c r="CP276" i="1"/>
  <c r="O276" i="1" s="1"/>
  <c r="FR276" i="1"/>
  <c r="FQ288" i="1" s="1"/>
  <c r="EV199" i="1"/>
  <c r="P313" i="1"/>
  <c r="GM201" i="1"/>
  <c r="CP213" i="1"/>
  <c r="O213" i="1" s="1"/>
  <c r="GM213" i="1" s="1"/>
  <c r="GO213" i="1" s="1"/>
  <c r="W232" i="1"/>
  <c r="CP247" i="1"/>
  <c r="O247" i="1" s="1"/>
  <c r="GX252" i="1"/>
  <c r="V268" i="1"/>
  <c r="X269" i="1"/>
  <c r="CY269" i="1"/>
  <c r="Y269" i="1"/>
  <c r="CZ269" i="1"/>
  <c r="X273" i="1"/>
  <c r="GM273" i="1" s="1"/>
  <c r="GO273" i="1" s="1"/>
  <c r="CY273" i="1"/>
  <c r="Y273" i="1"/>
  <c r="CZ273" i="1"/>
  <c r="AU199" i="1"/>
  <c r="F307" i="1"/>
  <c r="T232" i="1"/>
  <c r="U236" i="1"/>
  <c r="CP263" i="1"/>
  <c r="O263" i="1" s="1"/>
  <c r="W268" i="1"/>
  <c r="DG715" i="3"/>
  <c r="DJ715" i="3" s="1"/>
  <c r="DI715" i="3"/>
  <c r="DF715" i="3"/>
  <c r="DH715" i="3"/>
  <c r="DG717" i="3"/>
  <c r="DF717" i="3"/>
  <c r="DJ717" i="3" s="1"/>
  <c r="DH717" i="3"/>
  <c r="DI717" i="3"/>
  <c r="ET199" i="1"/>
  <c r="P301" i="1"/>
  <c r="CJ199" i="1"/>
  <c r="BA288" i="1"/>
  <c r="V199" i="1"/>
  <c r="F311" i="1"/>
  <c r="DF1" i="3"/>
  <c r="DG1" i="3"/>
  <c r="DI1" i="3"/>
  <c r="DJ1" i="3" s="1"/>
  <c r="DH1" i="3"/>
  <c r="DG16" i="3"/>
  <c r="DJ16" i="3" s="1"/>
  <c r="DH16" i="3"/>
  <c r="DI16" i="3"/>
  <c r="DF16" i="3"/>
  <c r="DI56" i="3"/>
  <c r="DF56" i="3"/>
  <c r="DJ56" i="3" s="1"/>
  <c r="DG56" i="3"/>
  <c r="DH56" i="3"/>
  <c r="DG139" i="3"/>
  <c r="DH139" i="3"/>
  <c r="DI139" i="3"/>
  <c r="DJ139" i="3" s="1"/>
  <c r="DF139" i="3"/>
  <c r="DG149" i="3"/>
  <c r="DH149" i="3"/>
  <c r="DI149" i="3"/>
  <c r="DJ149" i="3" s="1"/>
  <c r="DF149" i="3"/>
  <c r="DH41" i="3"/>
  <c r="DI41" i="3"/>
  <c r="DG41" i="3"/>
  <c r="DJ41" i="3" s="1"/>
  <c r="DF41" i="3"/>
  <c r="DG14" i="3"/>
  <c r="DJ14" i="3" s="1"/>
  <c r="DH14" i="3"/>
  <c r="DI14" i="3"/>
  <c r="DF14" i="3"/>
  <c r="DH57" i="3"/>
  <c r="DI57" i="3"/>
  <c r="DF57" i="3"/>
  <c r="DJ57" i="3" s="1"/>
  <c r="DG57" i="3"/>
  <c r="DH44" i="3"/>
  <c r="DI44" i="3"/>
  <c r="DF44" i="3"/>
  <c r="DG44" i="3"/>
  <c r="DJ44" i="3" s="1"/>
  <c r="DG143" i="3"/>
  <c r="DJ143" i="3" s="1"/>
  <c r="DH143" i="3"/>
  <c r="DI143" i="3"/>
  <c r="DF143" i="3"/>
  <c r="DG157" i="3"/>
  <c r="DH157" i="3"/>
  <c r="DI157" i="3"/>
  <c r="DJ157" i="3" s="1"/>
  <c r="DF157" i="3"/>
  <c r="DG173" i="3"/>
  <c r="DH173" i="3"/>
  <c r="DI173" i="3"/>
  <c r="DJ173" i="3" s="1"/>
  <c r="DF173" i="3"/>
  <c r="DH154" i="3"/>
  <c r="DI154" i="3"/>
  <c r="DF154" i="3"/>
  <c r="DJ154" i="3" s="1"/>
  <c r="DG154" i="3"/>
  <c r="DH170" i="3"/>
  <c r="DI170" i="3"/>
  <c r="DF170" i="3"/>
  <c r="DG170" i="3"/>
  <c r="DJ170" i="3" s="1"/>
  <c r="DH180" i="3"/>
  <c r="DI180" i="3"/>
  <c r="DF180" i="3"/>
  <c r="DJ180" i="3" s="1"/>
  <c r="DG180" i="3"/>
  <c r="DI204" i="3"/>
  <c r="DF204" i="3"/>
  <c r="DJ204" i="3" s="1"/>
  <c r="DG204" i="3"/>
  <c r="DH204" i="3"/>
  <c r="DF203" i="3"/>
  <c r="DJ203" i="3" s="1"/>
  <c r="DG203" i="3"/>
  <c r="DH203" i="3"/>
  <c r="DI203" i="3"/>
  <c r="DF219" i="3"/>
  <c r="DJ219" i="3" s="1"/>
  <c r="DG219" i="3"/>
  <c r="DH219" i="3"/>
  <c r="DI219" i="3"/>
  <c r="DH259" i="3"/>
  <c r="DG259" i="3"/>
  <c r="DJ259" i="3" s="1"/>
  <c r="DF259" i="3"/>
  <c r="DI259" i="3"/>
  <c r="DI200" i="3"/>
  <c r="DF200" i="3"/>
  <c r="DJ200" i="3" s="1"/>
  <c r="DG200" i="3"/>
  <c r="DH200" i="3"/>
  <c r="DH242" i="3"/>
  <c r="DF242" i="3"/>
  <c r="DG242" i="3"/>
  <c r="DJ242" i="3" s="1"/>
  <c r="DI242" i="3"/>
  <c r="DF248" i="3"/>
  <c r="DJ248" i="3" s="1"/>
  <c r="DH248" i="3"/>
  <c r="DI248" i="3"/>
  <c r="DG248" i="3"/>
  <c r="DH229" i="3"/>
  <c r="DI229" i="3"/>
  <c r="DF229" i="3"/>
  <c r="DG229" i="3"/>
  <c r="DJ229" i="3" s="1"/>
  <c r="DF253" i="3"/>
  <c r="DJ253" i="3" s="1"/>
  <c r="DI253" i="3"/>
  <c r="DG253" i="3"/>
  <c r="DH253" i="3"/>
  <c r="DI289" i="3"/>
  <c r="DF289" i="3"/>
  <c r="DG289" i="3"/>
  <c r="DJ289" i="3" s="1"/>
  <c r="DH289" i="3"/>
  <c r="DH282" i="3"/>
  <c r="DI282" i="3"/>
  <c r="DF282" i="3"/>
  <c r="DG282" i="3"/>
  <c r="DJ282" i="3" s="1"/>
  <c r="DH308" i="3"/>
  <c r="DI308" i="3"/>
  <c r="DF308" i="3"/>
  <c r="DJ308" i="3" s="1"/>
  <c r="DG308" i="3"/>
  <c r="DI341" i="3"/>
  <c r="DH341" i="3"/>
  <c r="DF341" i="3"/>
  <c r="DJ341" i="3" s="1"/>
  <c r="DG341" i="3"/>
  <c r="DH321" i="3"/>
  <c r="DI321" i="3"/>
  <c r="DF321" i="3"/>
  <c r="DJ321" i="3" s="1"/>
  <c r="DG321" i="3"/>
  <c r="DH264" i="3"/>
  <c r="DI264" i="3"/>
  <c r="DF264" i="3"/>
  <c r="DJ264" i="3" s="1"/>
  <c r="DG264" i="3"/>
  <c r="DH278" i="3"/>
  <c r="DI278" i="3"/>
  <c r="DF278" i="3"/>
  <c r="DG278" i="3"/>
  <c r="DJ278" i="3" s="1"/>
  <c r="DI294" i="3"/>
  <c r="DF294" i="3"/>
  <c r="DJ294" i="3" s="1"/>
  <c r="DG294" i="3"/>
  <c r="DH294" i="3"/>
  <c r="DH315" i="3"/>
  <c r="DI315" i="3"/>
  <c r="DF315" i="3"/>
  <c r="DG315" i="3"/>
  <c r="DJ315" i="3" s="1"/>
  <c r="DH317" i="3"/>
  <c r="DI317" i="3"/>
  <c r="DF317" i="3"/>
  <c r="DG317" i="3"/>
  <c r="DJ317" i="3" s="1"/>
  <c r="DF336" i="3"/>
  <c r="DJ336" i="3" s="1"/>
  <c r="DH336" i="3"/>
  <c r="DI336" i="3"/>
  <c r="DG336" i="3"/>
  <c r="DI363" i="3"/>
  <c r="DF363" i="3"/>
  <c r="DG363" i="3"/>
  <c r="DJ363" i="3" s="1"/>
  <c r="DH363" i="3"/>
  <c r="DI392" i="3"/>
  <c r="DF392" i="3"/>
  <c r="DG392" i="3"/>
  <c r="DJ392" i="3" s="1"/>
  <c r="DH392" i="3"/>
  <c r="DI410" i="3"/>
  <c r="DF410" i="3"/>
  <c r="DG410" i="3"/>
  <c r="DJ410" i="3" s="1"/>
  <c r="DH410" i="3"/>
  <c r="DF369" i="3"/>
  <c r="DJ369" i="3" s="1"/>
  <c r="DG369" i="3"/>
  <c r="DH369" i="3"/>
  <c r="DI369" i="3"/>
  <c r="DH426" i="3"/>
  <c r="DF426" i="3"/>
  <c r="DG426" i="3"/>
  <c r="DI426" i="3"/>
  <c r="DJ426" i="3" s="1"/>
  <c r="DG436" i="3"/>
  <c r="DF436" i="3"/>
  <c r="DJ436" i="3" s="1"/>
  <c r="DH436" i="3"/>
  <c r="DI436" i="3"/>
  <c r="DH358" i="3"/>
  <c r="DI358" i="3"/>
  <c r="DF358" i="3"/>
  <c r="DJ358" i="3" s="1"/>
  <c r="DG358" i="3"/>
  <c r="DH371" i="3"/>
  <c r="DI371" i="3"/>
  <c r="DF371" i="3"/>
  <c r="DJ371" i="3" s="1"/>
  <c r="DG371" i="3"/>
  <c r="DH398" i="3"/>
  <c r="DI398" i="3"/>
  <c r="DF398" i="3"/>
  <c r="DJ398" i="3" s="1"/>
  <c r="DG398" i="3"/>
  <c r="DH415" i="3"/>
  <c r="DI415" i="3"/>
  <c r="DF415" i="3"/>
  <c r="DG415" i="3"/>
  <c r="DJ415" i="3" s="1"/>
  <c r="DF365" i="3"/>
  <c r="DJ365" i="3" s="1"/>
  <c r="DG365" i="3"/>
  <c r="DH365" i="3"/>
  <c r="DI365" i="3"/>
  <c r="DI387" i="3"/>
  <c r="DF387" i="3"/>
  <c r="DJ387" i="3" s="1"/>
  <c r="DG387" i="3"/>
  <c r="DH387" i="3"/>
  <c r="DI349" i="3"/>
  <c r="DF349" i="3"/>
  <c r="DJ349" i="3" s="1"/>
  <c r="DG349" i="3"/>
  <c r="DH349" i="3"/>
  <c r="DH378" i="3"/>
  <c r="DI378" i="3"/>
  <c r="DF378" i="3"/>
  <c r="DG378" i="3"/>
  <c r="DJ378" i="3" s="1"/>
  <c r="DI399" i="3"/>
  <c r="DJ399" i="3" s="1"/>
  <c r="DF399" i="3"/>
  <c r="DG399" i="3"/>
  <c r="DH399" i="3"/>
  <c r="DI421" i="3"/>
  <c r="DJ421" i="3" s="1"/>
  <c r="DF421" i="3"/>
  <c r="DG421" i="3"/>
  <c r="DH421" i="3"/>
  <c r="DI446" i="3"/>
  <c r="DF446" i="3"/>
  <c r="DG446" i="3"/>
  <c r="DJ446" i="3" s="1"/>
  <c r="DH446" i="3"/>
  <c r="DI519" i="3"/>
  <c r="DF519" i="3"/>
  <c r="DG519" i="3"/>
  <c r="DJ519" i="3" s="1"/>
  <c r="DH519" i="3"/>
  <c r="DF444" i="3"/>
  <c r="DJ444" i="3" s="1"/>
  <c r="DG444" i="3"/>
  <c r="DH444" i="3"/>
  <c r="DI444" i="3"/>
  <c r="DF476" i="3"/>
  <c r="DJ476" i="3" s="1"/>
  <c r="DG476" i="3"/>
  <c r="DH476" i="3"/>
  <c r="DI476" i="3"/>
  <c r="DI515" i="3"/>
  <c r="DF515" i="3"/>
  <c r="DJ515" i="3" s="1"/>
  <c r="DG515" i="3"/>
  <c r="DH515" i="3"/>
  <c r="DI535" i="3"/>
  <c r="DF535" i="3"/>
  <c r="DJ535" i="3" s="1"/>
  <c r="DG535" i="3"/>
  <c r="DH535" i="3"/>
  <c r="DH462" i="3"/>
  <c r="DI462" i="3"/>
  <c r="DF462" i="3"/>
  <c r="DJ462" i="3" s="1"/>
  <c r="DG462" i="3"/>
  <c r="DH478" i="3"/>
  <c r="DI478" i="3"/>
  <c r="DF478" i="3"/>
  <c r="DJ478" i="3" s="1"/>
  <c r="DG478" i="3"/>
  <c r="DF464" i="3"/>
  <c r="DJ464" i="3" s="1"/>
  <c r="DG464" i="3"/>
  <c r="DH464" i="3"/>
  <c r="DI464" i="3"/>
  <c r="DH536" i="3"/>
  <c r="DI536" i="3"/>
  <c r="DF536" i="3"/>
  <c r="DJ536" i="3" s="1"/>
  <c r="DG536" i="3"/>
  <c r="DI437" i="3"/>
  <c r="DF437" i="3"/>
  <c r="DJ437" i="3" s="1"/>
  <c r="DG437" i="3"/>
  <c r="DH437" i="3"/>
  <c r="DH474" i="3"/>
  <c r="DI474" i="3"/>
  <c r="DF474" i="3"/>
  <c r="DJ474" i="3" s="1"/>
  <c r="DG474" i="3"/>
  <c r="DF530" i="3"/>
  <c r="DJ530" i="3" s="1"/>
  <c r="DG530" i="3"/>
  <c r="DH530" i="3"/>
  <c r="DI530" i="3"/>
  <c r="DF563" i="3"/>
  <c r="DJ563" i="3" s="1"/>
  <c r="DG563" i="3"/>
  <c r="DH563" i="3"/>
  <c r="DI563" i="3"/>
  <c r="DF594" i="3"/>
  <c r="DG594" i="3"/>
  <c r="DJ594" i="3" s="1"/>
  <c r="DH594" i="3"/>
  <c r="DI594" i="3"/>
  <c r="DI611" i="3"/>
  <c r="DF611" i="3"/>
  <c r="DJ611" i="3" s="1"/>
  <c r="DG611" i="3"/>
  <c r="DH611" i="3"/>
  <c r="DH637" i="3"/>
  <c r="DI637" i="3"/>
  <c r="DF637" i="3"/>
  <c r="DG637" i="3"/>
  <c r="DJ637" i="3" s="1"/>
  <c r="DH663" i="3"/>
  <c r="DI663" i="3"/>
  <c r="DF663" i="3"/>
  <c r="DJ663" i="3" s="1"/>
  <c r="DG663" i="3"/>
  <c r="DI679" i="3"/>
  <c r="DF679" i="3"/>
  <c r="DJ679" i="3" s="1"/>
  <c r="DG679" i="3"/>
  <c r="DH679" i="3"/>
  <c r="DI712" i="3"/>
  <c r="DJ712" i="3" s="1"/>
  <c r="DG712" i="3"/>
  <c r="DH712" i="3"/>
  <c r="DF712" i="3"/>
  <c r="DF568" i="3"/>
  <c r="DG568" i="3"/>
  <c r="DJ568" i="3" s="1"/>
  <c r="DH568" i="3"/>
  <c r="DI568" i="3"/>
  <c r="DH593" i="3"/>
  <c r="DI593" i="3"/>
  <c r="DJ593" i="3" s="1"/>
  <c r="DF593" i="3"/>
  <c r="DG593" i="3"/>
  <c r="DH618" i="3"/>
  <c r="DI618" i="3"/>
  <c r="DJ618" i="3" s="1"/>
  <c r="DF618" i="3"/>
  <c r="DG618" i="3"/>
  <c r="DH652" i="3"/>
  <c r="DI652" i="3"/>
  <c r="DJ652" i="3" s="1"/>
  <c r="DF652" i="3"/>
  <c r="DG652" i="3"/>
  <c r="DH691" i="3"/>
  <c r="DI691" i="3"/>
  <c r="DJ691" i="3" s="1"/>
  <c r="DF691" i="3"/>
  <c r="DG691" i="3"/>
  <c r="DH708" i="3"/>
  <c r="DF708" i="3"/>
  <c r="DG708" i="3"/>
  <c r="DJ708" i="3" s="1"/>
  <c r="DI708" i="3"/>
  <c r="DF167" i="3"/>
  <c r="DJ167" i="3" s="1"/>
  <c r="DG167" i="3"/>
  <c r="DH167" i="3"/>
  <c r="DI167" i="3"/>
  <c r="DF570" i="3"/>
  <c r="DG570" i="3"/>
  <c r="DJ570" i="3" s="1"/>
  <c r="DH570" i="3"/>
  <c r="DI570" i="3"/>
  <c r="DH601" i="3"/>
  <c r="DI601" i="3"/>
  <c r="DJ601" i="3" s="1"/>
  <c r="DF601" i="3"/>
  <c r="DG601" i="3"/>
  <c r="DI628" i="3"/>
  <c r="DF628" i="3"/>
  <c r="DJ628" i="3" s="1"/>
  <c r="DG628" i="3"/>
  <c r="DH628" i="3"/>
  <c r="DH654" i="3"/>
  <c r="DI654" i="3"/>
  <c r="DF654" i="3"/>
  <c r="DG654" i="3"/>
  <c r="DJ654" i="3" s="1"/>
  <c r="DH675" i="3"/>
  <c r="DI675" i="3"/>
  <c r="DF675" i="3"/>
  <c r="DJ675" i="3" s="1"/>
  <c r="DG675" i="3"/>
  <c r="DH693" i="3"/>
  <c r="DI693" i="3"/>
  <c r="DF693" i="3"/>
  <c r="DG693" i="3"/>
  <c r="DJ693" i="3" s="1"/>
  <c r="DF55" i="3"/>
  <c r="DJ55" i="3" s="1"/>
  <c r="DG55" i="3"/>
  <c r="DI55" i="3"/>
  <c r="DH55" i="3"/>
  <c r="DF555" i="3"/>
  <c r="DJ555" i="3" s="1"/>
  <c r="DG555" i="3"/>
  <c r="DH555" i="3"/>
  <c r="DI555" i="3"/>
  <c r="DF589" i="3"/>
  <c r="DJ589" i="3" s="1"/>
  <c r="DG589" i="3"/>
  <c r="DH589" i="3"/>
  <c r="DI589" i="3"/>
  <c r="DH635" i="3"/>
  <c r="DI635" i="3"/>
  <c r="DJ635" i="3" s="1"/>
  <c r="DF635" i="3"/>
  <c r="DG635" i="3"/>
  <c r="DH669" i="3"/>
  <c r="DI669" i="3"/>
  <c r="DJ669" i="3" s="1"/>
  <c r="DF669" i="3"/>
  <c r="DG669" i="3"/>
  <c r="DI698" i="3"/>
  <c r="DF698" i="3"/>
  <c r="DJ698" i="3" s="1"/>
  <c r="DG698" i="3"/>
  <c r="DH698" i="3"/>
  <c r="DF40" i="3"/>
  <c r="DG40" i="3"/>
  <c r="DJ40" i="3" s="1"/>
  <c r="DH40" i="3"/>
  <c r="DI40" i="3"/>
  <c r="X36" i="1"/>
  <c r="GM36" i="1" s="1"/>
  <c r="GO36" i="1" s="1"/>
  <c r="CY36" i="1"/>
  <c r="Y36" i="1"/>
  <c r="CZ36" i="1"/>
  <c r="X44" i="1"/>
  <c r="GM44" i="1" s="1"/>
  <c r="GO44" i="1" s="1"/>
  <c r="CY44" i="1"/>
  <c r="Y44" i="1"/>
  <c r="CZ44" i="1"/>
  <c r="AF167" i="1"/>
  <c r="DI140" i="3"/>
  <c r="DF140" i="3"/>
  <c r="DG140" i="3"/>
  <c r="DJ140" i="3" s="1"/>
  <c r="DH140" i="3"/>
  <c r="DI151" i="3"/>
  <c r="DF151" i="3"/>
  <c r="DJ151" i="3" s="1"/>
  <c r="DG151" i="3"/>
  <c r="DH151" i="3"/>
  <c r="CP45" i="1"/>
  <c r="O45" i="1" s="1"/>
  <c r="GM45" i="1" s="1"/>
  <c r="GO45" i="1" s="1"/>
  <c r="GM61" i="1"/>
  <c r="GO61" i="1" s="1"/>
  <c r="DF199" i="3"/>
  <c r="DG199" i="3"/>
  <c r="DJ199" i="3" s="1"/>
  <c r="DH199" i="3"/>
  <c r="DI199" i="3"/>
  <c r="DG243" i="3"/>
  <c r="DI243" i="3"/>
  <c r="DF243" i="3"/>
  <c r="DJ243" i="3" s="1"/>
  <c r="DH243" i="3"/>
  <c r="DI718" i="3"/>
  <c r="DF718" i="3"/>
  <c r="DJ718" i="3" s="1"/>
  <c r="DG718" i="3"/>
  <c r="DH718" i="3"/>
  <c r="CP46" i="1"/>
  <c r="O46" i="1" s="1"/>
  <c r="GM46" i="1" s="1"/>
  <c r="GO46" i="1" s="1"/>
  <c r="DI153" i="3"/>
  <c r="DJ153" i="3" s="1"/>
  <c r="DF153" i="3"/>
  <c r="DG153" i="3"/>
  <c r="DH153" i="3"/>
  <c r="Y59" i="1"/>
  <c r="CZ59" i="1"/>
  <c r="X59" i="1"/>
  <c r="GM59" i="1" s="1"/>
  <c r="CY59" i="1"/>
  <c r="DG220" i="3"/>
  <c r="DH220" i="3"/>
  <c r="DI220" i="3"/>
  <c r="DJ220" i="3" s="1"/>
  <c r="DF220" i="3"/>
  <c r="DH720" i="3"/>
  <c r="DI720" i="3"/>
  <c r="DF720" i="3"/>
  <c r="DG720" i="3"/>
  <c r="DJ720" i="3" s="1"/>
  <c r="GM52" i="1"/>
  <c r="GN52" i="1" s="1"/>
  <c r="DF177" i="3"/>
  <c r="DJ177" i="3" s="1"/>
  <c r="DG177" i="3"/>
  <c r="DI177" i="3"/>
  <c r="DH177" i="3"/>
  <c r="P69" i="1"/>
  <c r="Q69" i="1"/>
  <c r="DV167" i="1" s="1"/>
  <c r="R69" i="1"/>
  <c r="P71" i="1"/>
  <c r="Q71" i="1"/>
  <c r="R71" i="1"/>
  <c r="DF260" i="3"/>
  <c r="DI260" i="3"/>
  <c r="DG260" i="3"/>
  <c r="DJ260" i="3" s="1"/>
  <c r="DH260" i="3"/>
  <c r="DI724" i="3"/>
  <c r="DJ724" i="3" s="1"/>
  <c r="DF724" i="3"/>
  <c r="DG724" i="3"/>
  <c r="DH724" i="3"/>
  <c r="CP54" i="1"/>
  <c r="O54" i="1" s="1"/>
  <c r="GM54" i="1" s="1"/>
  <c r="Q63" i="1"/>
  <c r="CP63" i="1" s="1"/>
  <c r="O63" i="1" s="1"/>
  <c r="R63" i="1"/>
  <c r="DW167" i="1" s="1"/>
  <c r="DG210" i="3"/>
  <c r="DH210" i="3"/>
  <c r="DI210" i="3"/>
  <c r="DF210" i="3"/>
  <c r="DJ210" i="3" s="1"/>
  <c r="DG235" i="3"/>
  <c r="DJ235" i="3" s="1"/>
  <c r="DI235" i="3"/>
  <c r="DF235" i="3"/>
  <c r="DH235" i="3"/>
  <c r="DG252" i="3"/>
  <c r="DI252" i="3"/>
  <c r="DF252" i="3"/>
  <c r="DJ252" i="3" s="1"/>
  <c r="DH252" i="3"/>
  <c r="DH251" i="3"/>
  <c r="DF251" i="3"/>
  <c r="DJ251" i="3" s="1"/>
  <c r="DG251" i="3"/>
  <c r="DI251" i="3"/>
  <c r="DI287" i="3"/>
  <c r="DJ287" i="3" s="1"/>
  <c r="DF287" i="3"/>
  <c r="DG287" i="3"/>
  <c r="DH287" i="3"/>
  <c r="DG290" i="3"/>
  <c r="DJ290" i="3" s="1"/>
  <c r="DH290" i="3"/>
  <c r="DI290" i="3"/>
  <c r="DF290" i="3"/>
  <c r="V63" i="1"/>
  <c r="U69" i="1"/>
  <c r="DZ167" i="1" s="1"/>
  <c r="T87" i="1"/>
  <c r="DF302" i="3"/>
  <c r="DG302" i="3"/>
  <c r="DJ302" i="3" s="1"/>
  <c r="DH302" i="3"/>
  <c r="DI302" i="3"/>
  <c r="DG309" i="3"/>
  <c r="DH309" i="3"/>
  <c r="DI309" i="3"/>
  <c r="DF309" i="3"/>
  <c r="DJ309" i="3" s="1"/>
  <c r="DG368" i="3"/>
  <c r="DH368" i="3"/>
  <c r="DI368" i="3"/>
  <c r="DF368" i="3"/>
  <c r="DJ368" i="3" s="1"/>
  <c r="W69" i="1"/>
  <c r="EB167" i="1" s="1"/>
  <c r="X106" i="1"/>
  <c r="CY106" i="1"/>
  <c r="CZ106" i="1"/>
  <c r="Y106" i="1"/>
  <c r="AL167" i="1" s="1"/>
  <c r="X118" i="1"/>
  <c r="GM118" i="1" s="1"/>
  <c r="GO118" i="1" s="1"/>
  <c r="CY118" i="1"/>
  <c r="Y118" i="1"/>
  <c r="CZ118" i="1"/>
  <c r="DF344" i="3"/>
  <c r="DG344" i="3"/>
  <c r="DJ344" i="3" s="1"/>
  <c r="DH344" i="3"/>
  <c r="DI344" i="3"/>
  <c r="X127" i="1"/>
  <c r="GM127" i="1" s="1"/>
  <c r="GO127" i="1" s="1"/>
  <c r="CY127" i="1"/>
  <c r="Y127" i="1"/>
  <c r="CZ127" i="1"/>
  <c r="X129" i="1"/>
  <c r="GM129" i="1" s="1"/>
  <c r="GO129" i="1" s="1"/>
  <c r="CY129" i="1"/>
  <c r="Y129" i="1"/>
  <c r="CZ129" i="1"/>
  <c r="X131" i="1"/>
  <c r="GM131" i="1" s="1"/>
  <c r="GO131" i="1" s="1"/>
  <c r="CY131" i="1"/>
  <c r="Y131" i="1"/>
  <c r="CZ131" i="1"/>
  <c r="X139" i="1"/>
  <c r="GM139" i="1" s="1"/>
  <c r="GN139" i="1" s="1"/>
  <c r="CY139" i="1"/>
  <c r="Y139" i="1"/>
  <c r="CZ139" i="1"/>
  <c r="DF396" i="3"/>
  <c r="DG396" i="3"/>
  <c r="DJ396" i="3" s="1"/>
  <c r="DH396" i="3"/>
  <c r="DI396" i="3"/>
  <c r="DF416" i="3"/>
  <c r="DG416" i="3"/>
  <c r="DJ416" i="3" s="1"/>
  <c r="DH416" i="3"/>
  <c r="DI416" i="3"/>
  <c r="V69" i="1"/>
  <c r="R105" i="1"/>
  <c r="S105" i="1"/>
  <c r="DX167" i="1" s="1"/>
  <c r="P105" i="1"/>
  <c r="Q105" i="1"/>
  <c r="DI276" i="3"/>
  <c r="DF276" i="3"/>
  <c r="DJ276" i="3" s="1"/>
  <c r="DG276" i="3"/>
  <c r="DH276" i="3"/>
  <c r="DG269" i="3"/>
  <c r="DJ269" i="3" s="1"/>
  <c r="DH269" i="3"/>
  <c r="DI269" i="3"/>
  <c r="DF269" i="3"/>
  <c r="AH26" i="1"/>
  <c r="U167" i="1"/>
  <c r="DG339" i="3"/>
  <c r="DI339" i="3"/>
  <c r="DF339" i="3"/>
  <c r="DJ339" i="3" s="1"/>
  <c r="DH339" i="3"/>
  <c r="DF328" i="3"/>
  <c r="DG328" i="3"/>
  <c r="DJ328" i="3" s="1"/>
  <c r="DH328" i="3"/>
  <c r="DI328" i="3"/>
  <c r="DG391" i="3"/>
  <c r="DH391" i="3"/>
  <c r="DI391" i="3"/>
  <c r="DJ391" i="3" s="1"/>
  <c r="DF391" i="3"/>
  <c r="DG409" i="3"/>
  <c r="DJ409" i="3" s="1"/>
  <c r="DH409" i="3"/>
  <c r="DI409" i="3"/>
  <c r="DF409" i="3"/>
  <c r="GM97" i="1"/>
  <c r="GO97" i="1" s="1"/>
  <c r="W103" i="1"/>
  <c r="CP106" i="1"/>
  <c r="O106" i="1" s="1"/>
  <c r="DF316" i="3"/>
  <c r="DG316" i="3"/>
  <c r="DJ316" i="3" s="1"/>
  <c r="DH316" i="3"/>
  <c r="DI316" i="3"/>
  <c r="DG322" i="3"/>
  <c r="DH322" i="3"/>
  <c r="DI322" i="3"/>
  <c r="DF322" i="3"/>
  <c r="DJ322" i="3" s="1"/>
  <c r="DF377" i="3"/>
  <c r="DG377" i="3"/>
  <c r="DJ377" i="3" s="1"/>
  <c r="DH377" i="3"/>
  <c r="DI377" i="3"/>
  <c r="DG381" i="3"/>
  <c r="DH381" i="3"/>
  <c r="DI381" i="3"/>
  <c r="DF381" i="3"/>
  <c r="DJ381" i="3" s="1"/>
  <c r="DG405" i="3"/>
  <c r="DH405" i="3"/>
  <c r="DI405" i="3"/>
  <c r="DF405" i="3"/>
  <c r="DJ405" i="3" s="1"/>
  <c r="DG429" i="3"/>
  <c r="DI429" i="3"/>
  <c r="DF429" i="3"/>
  <c r="DJ429" i="3" s="1"/>
  <c r="DH429" i="3"/>
  <c r="T103" i="1"/>
  <c r="DY167" i="1" s="1"/>
  <c r="GM123" i="1"/>
  <c r="GO123" i="1" s="1"/>
  <c r="GM133" i="1"/>
  <c r="GN133" i="1" s="1"/>
  <c r="GM145" i="1"/>
  <c r="GN145" i="1" s="1"/>
  <c r="AJ26" i="1"/>
  <c r="W167" i="1"/>
  <c r="CP152" i="1"/>
  <c r="O152" i="1" s="1"/>
  <c r="GM152" i="1" s="1"/>
  <c r="GN152" i="1" s="1"/>
  <c r="DG425" i="3"/>
  <c r="DI425" i="3"/>
  <c r="DF425" i="3"/>
  <c r="DJ425" i="3" s="1"/>
  <c r="DH425" i="3"/>
  <c r="GM156" i="1"/>
  <c r="GN156" i="1" s="1"/>
  <c r="AU26" i="1"/>
  <c r="F186" i="1"/>
  <c r="AU318" i="1"/>
  <c r="DG502" i="3"/>
  <c r="DJ502" i="3" s="1"/>
  <c r="DH502" i="3"/>
  <c r="DI502" i="3"/>
  <c r="DF502" i="3"/>
  <c r="X218" i="1"/>
  <c r="GM218" i="1" s="1"/>
  <c r="GN218" i="1" s="1"/>
  <c r="CY218" i="1"/>
  <c r="Y218" i="1"/>
  <c r="CZ218" i="1"/>
  <c r="DH580" i="3"/>
  <c r="DI580" i="3"/>
  <c r="DF580" i="3"/>
  <c r="DG580" i="3"/>
  <c r="DJ580" i="3" s="1"/>
  <c r="DF619" i="3"/>
  <c r="DG619" i="3"/>
  <c r="DJ619" i="3" s="1"/>
  <c r="DH619" i="3"/>
  <c r="DI619" i="3"/>
  <c r="DG626" i="3"/>
  <c r="DH626" i="3"/>
  <c r="DI626" i="3"/>
  <c r="DF626" i="3"/>
  <c r="DJ626" i="3" s="1"/>
  <c r="DH633" i="3"/>
  <c r="DI633" i="3"/>
  <c r="DF633" i="3"/>
  <c r="DJ633" i="3" s="1"/>
  <c r="DG633" i="3"/>
  <c r="DF673" i="3"/>
  <c r="DG673" i="3"/>
  <c r="DH673" i="3"/>
  <c r="DI673" i="3"/>
  <c r="DJ673" i="3" s="1"/>
  <c r="U105" i="1"/>
  <c r="CP117" i="1"/>
  <c r="O117" i="1" s="1"/>
  <c r="GM117" i="1" s="1"/>
  <c r="GO117" i="1" s="1"/>
  <c r="CP148" i="1"/>
  <c r="O148" i="1" s="1"/>
  <c r="GM148" i="1" s="1"/>
  <c r="GN148" i="1" s="1"/>
  <c r="FY26" i="1"/>
  <c r="EP167" i="1"/>
  <c r="DG494" i="3"/>
  <c r="DJ494" i="3" s="1"/>
  <c r="DH494" i="3"/>
  <c r="DI494" i="3"/>
  <c r="DF494" i="3"/>
  <c r="DG526" i="3"/>
  <c r="DJ526" i="3" s="1"/>
  <c r="DH526" i="3"/>
  <c r="DI526" i="3"/>
  <c r="DF526" i="3"/>
  <c r="DI573" i="3"/>
  <c r="DF573" i="3"/>
  <c r="DJ573" i="3" s="1"/>
  <c r="DG573" i="3"/>
  <c r="DH573" i="3"/>
  <c r="DG575" i="3"/>
  <c r="DH575" i="3"/>
  <c r="DI575" i="3"/>
  <c r="DF575" i="3"/>
  <c r="DJ575" i="3" s="1"/>
  <c r="DH574" i="3"/>
  <c r="DI574" i="3"/>
  <c r="DF574" i="3"/>
  <c r="DJ574" i="3" s="1"/>
  <c r="DG574" i="3"/>
  <c r="DF606" i="3"/>
  <c r="DG606" i="3"/>
  <c r="DJ606" i="3" s="1"/>
  <c r="DH606" i="3"/>
  <c r="DI606" i="3"/>
  <c r="DG613" i="3"/>
  <c r="DH613" i="3"/>
  <c r="DI613" i="3"/>
  <c r="DF613" i="3"/>
  <c r="DJ613" i="3" s="1"/>
  <c r="DF709" i="3"/>
  <c r="DH709" i="3"/>
  <c r="DI709" i="3"/>
  <c r="DG709" i="3"/>
  <c r="DJ709" i="3" s="1"/>
  <c r="GM112" i="1"/>
  <c r="GN112" i="1" s="1"/>
  <c r="GM125" i="1"/>
  <c r="GO125" i="1" s="1"/>
  <c r="GM144" i="1"/>
  <c r="GN144" i="1" s="1"/>
  <c r="CP162" i="1"/>
  <c r="O162" i="1" s="1"/>
  <c r="GM162" i="1" s="1"/>
  <c r="GO162" i="1" s="1"/>
  <c r="EM26" i="1"/>
  <c r="P186" i="1"/>
  <c r="EM318" i="1"/>
  <c r="DG475" i="3"/>
  <c r="DH475" i="3"/>
  <c r="DI475" i="3"/>
  <c r="DF475" i="3"/>
  <c r="DJ475" i="3" s="1"/>
  <c r="AD288" i="1"/>
  <c r="DH520" i="3"/>
  <c r="DI520" i="3"/>
  <c r="DF520" i="3"/>
  <c r="DJ520" i="3" s="1"/>
  <c r="DG520" i="3"/>
  <c r="DH561" i="3"/>
  <c r="DI561" i="3"/>
  <c r="DF561" i="3"/>
  <c r="DG561" i="3"/>
  <c r="DJ561" i="3" s="1"/>
  <c r="DG596" i="3"/>
  <c r="DH596" i="3"/>
  <c r="DI596" i="3"/>
  <c r="DF596" i="3"/>
  <c r="DJ596" i="3" s="1"/>
  <c r="DF657" i="3"/>
  <c r="DG657" i="3"/>
  <c r="DJ657" i="3" s="1"/>
  <c r="DH657" i="3"/>
  <c r="DI657" i="3"/>
  <c r="DG668" i="3"/>
  <c r="DH668" i="3"/>
  <c r="DI668" i="3"/>
  <c r="DF668" i="3"/>
  <c r="DJ668" i="3" s="1"/>
  <c r="GM120" i="1"/>
  <c r="GO120" i="1" s="1"/>
  <c r="X147" i="1"/>
  <c r="GM147" i="1" s="1"/>
  <c r="GN147" i="1" s="1"/>
  <c r="CY147" i="1"/>
  <c r="Y147" i="1"/>
  <c r="CZ147" i="1"/>
  <c r="CP155" i="1"/>
  <c r="O155" i="1" s="1"/>
  <c r="GM155" i="1" s="1"/>
  <c r="GN155" i="1" s="1"/>
  <c r="DG431" i="3"/>
  <c r="DI431" i="3"/>
  <c r="DJ431" i="3" s="1"/>
  <c r="DF431" i="3"/>
  <c r="DH431" i="3"/>
  <c r="CP158" i="1"/>
  <c r="O158" i="1" s="1"/>
  <c r="GM158" i="1" s="1"/>
  <c r="GO158" i="1" s="1"/>
  <c r="S161" i="1"/>
  <c r="AX26" i="1"/>
  <c r="F174" i="1"/>
  <c r="AX318" i="1"/>
  <c r="DG457" i="3"/>
  <c r="DH457" i="3"/>
  <c r="DI457" i="3"/>
  <c r="DJ457" i="3" s="1"/>
  <c r="DF457" i="3"/>
  <c r="AE288" i="1"/>
  <c r="GM206" i="1"/>
  <c r="GO206" i="1" s="1"/>
  <c r="GM214" i="1"/>
  <c r="GO214" i="1" s="1"/>
  <c r="DG510" i="3"/>
  <c r="DJ510" i="3" s="1"/>
  <c r="DH510" i="3"/>
  <c r="DI510" i="3"/>
  <c r="DF510" i="3"/>
  <c r="S220" i="1"/>
  <c r="Q220" i="1"/>
  <c r="R220" i="1"/>
  <c r="DH553" i="3"/>
  <c r="DI553" i="3"/>
  <c r="DF553" i="3"/>
  <c r="DG553" i="3"/>
  <c r="DJ553" i="3" s="1"/>
  <c r="CP235" i="1"/>
  <c r="O235" i="1" s="1"/>
  <c r="GM235" i="1" s="1"/>
  <c r="GO235" i="1" s="1"/>
  <c r="AC288" i="1"/>
  <c r="DG592" i="3"/>
  <c r="DH592" i="3"/>
  <c r="DI592" i="3"/>
  <c r="DF592" i="3"/>
  <c r="DJ592" i="3" s="1"/>
  <c r="DH587" i="3"/>
  <c r="DI587" i="3"/>
  <c r="DF587" i="3"/>
  <c r="DG587" i="3"/>
  <c r="DJ587" i="3" s="1"/>
  <c r="S246" i="1"/>
  <c r="Q246" i="1"/>
  <c r="R246" i="1"/>
  <c r="DF640" i="3"/>
  <c r="DG640" i="3"/>
  <c r="DJ640" i="3" s="1"/>
  <c r="DH640" i="3"/>
  <c r="DI640" i="3"/>
  <c r="DG651" i="3"/>
  <c r="DH651" i="3"/>
  <c r="DI651" i="3"/>
  <c r="DF651" i="3"/>
  <c r="DJ651" i="3" s="1"/>
  <c r="S258" i="1"/>
  <c r="Q258" i="1"/>
  <c r="CP258" i="1" s="1"/>
  <c r="O258" i="1" s="1"/>
  <c r="R258" i="1"/>
  <c r="S262" i="1"/>
  <c r="Q262" i="1"/>
  <c r="R262" i="1"/>
  <c r="DF721" i="3"/>
  <c r="DG721" i="3"/>
  <c r="DJ721" i="3" s="1"/>
  <c r="DH721" i="3"/>
  <c r="DI721" i="3"/>
  <c r="V224" i="1"/>
  <c r="P232" i="1"/>
  <c r="CP232" i="1" s="1"/>
  <c r="O232" i="1" s="1"/>
  <c r="W246" i="1"/>
  <c r="V262" i="1"/>
  <c r="X266" i="1"/>
  <c r="GM266" i="1" s="1"/>
  <c r="GO266" i="1" s="1"/>
  <c r="CY266" i="1"/>
  <c r="Y266" i="1"/>
  <c r="CZ266" i="1"/>
  <c r="DG694" i="3"/>
  <c r="DH694" i="3"/>
  <c r="DI694" i="3"/>
  <c r="DF694" i="3"/>
  <c r="DJ694" i="3" s="1"/>
  <c r="X276" i="1"/>
  <c r="CY276" i="1"/>
  <c r="Y276" i="1"/>
  <c r="CZ276" i="1"/>
  <c r="EM199" i="1"/>
  <c r="P307" i="1"/>
  <c r="GX204" i="1"/>
  <c r="GB288" i="1" s="1"/>
  <c r="CP221" i="1"/>
  <c r="O221" i="1" s="1"/>
  <c r="GM221" i="1" s="1"/>
  <c r="GN221" i="1" s="1"/>
  <c r="GM237" i="1"/>
  <c r="GO237" i="1" s="1"/>
  <c r="T246" i="1"/>
  <c r="U250" i="1"/>
  <c r="U260" i="1"/>
  <c r="GM274" i="1"/>
  <c r="GO274" i="1" s="1"/>
  <c r="CP277" i="1"/>
  <c r="O277" i="1" s="1"/>
  <c r="GM277" i="1" s="1"/>
  <c r="GN277" i="1" s="1"/>
  <c r="GM283" i="1"/>
  <c r="GN283" i="1" s="1"/>
  <c r="V161" i="1"/>
  <c r="P204" i="1"/>
  <c r="W216" i="1"/>
  <c r="U220" i="1"/>
  <c r="DZ288" i="1" s="1"/>
  <c r="T244" i="1"/>
  <c r="W250" i="1"/>
  <c r="W260" i="1"/>
  <c r="GM265" i="1"/>
  <c r="GO265" i="1" s="1"/>
  <c r="GX268" i="1"/>
  <c r="GM271" i="1"/>
  <c r="GO271" i="1" s="1"/>
  <c r="GM281" i="1"/>
  <c r="GN281" i="1" s="1"/>
  <c r="BC199" i="1"/>
  <c r="F304" i="1"/>
  <c r="CP202" i="1"/>
  <c r="O202" i="1" s="1"/>
  <c r="T216" i="1"/>
  <c r="GX232" i="1"/>
  <c r="GM241" i="1"/>
  <c r="GO241" i="1" s="1"/>
  <c r="T250" i="1"/>
  <c r="T260" i="1"/>
  <c r="CP269" i="1"/>
  <c r="O269" i="1" s="1"/>
  <c r="GM269" i="1" s="1"/>
  <c r="GO269" i="1" s="1"/>
  <c r="GM278" i="1"/>
  <c r="GN278" i="1" s="1"/>
  <c r="Y281" i="1"/>
  <c r="CZ281" i="1"/>
  <c r="CY281" i="1"/>
  <c r="X281" i="1"/>
  <c r="AK288" i="1" s="1"/>
  <c r="DG713" i="3"/>
  <c r="DJ713" i="3" s="1"/>
  <c r="DI713" i="3"/>
  <c r="DF713" i="3"/>
  <c r="DH713" i="3"/>
  <c r="GM282" i="1"/>
  <c r="GN282" i="1" s="1"/>
  <c r="FY199" i="1"/>
  <c r="EP288" i="1"/>
  <c r="S284" i="1"/>
  <c r="CP284" i="1" s="1"/>
  <c r="O284" i="1" s="1"/>
  <c r="AJ199" i="1"/>
  <c r="W288" i="1"/>
  <c r="GM286" i="1"/>
  <c r="GN286" i="1" s="1"/>
  <c r="DY26" i="1" l="1"/>
  <c r="DL167" i="1"/>
  <c r="DX26" i="1"/>
  <c r="DK167" i="1"/>
  <c r="DZ199" i="1"/>
  <c r="DM288" i="1"/>
  <c r="AK199" i="1"/>
  <c r="X288" i="1"/>
  <c r="DZ26" i="1"/>
  <c r="DM167" i="1"/>
  <c r="AL199" i="1"/>
  <c r="Y288" i="1"/>
  <c r="DV26" i="1"/>
  <c r="DI167" i="1"/>
  <c r="AL26" i="1"/>
  <c r="Y167" i="1"/>
  <c r="EB26" i="1"/>
  <c r="DO167" i="1"/>
  <c r="DW26" i="1"/>
  <c r="DJ167" i="1"/>
  <c r="DV199" i="1"/>
  <c r="DI288" i="1"/>
  <c r="W199" i="1"/>
  <c r="F312" i="1"/>
  <c r="EA167" i="1"/>
  <c r="BA199" i="1"/>
  <c r="F308" i="1"/>
  <c r="AB288" i="1"/>
  <c r="X204" i="1"/>
  <c r="CY204" i="1"/>
  <c r="Y204" i="1"/>
  <c r="CZ204" i="1"/>
  <c r="Y250" i="1"/>
  <c r="CZ250" i="1"/>
  <c r="X250" i="1"/>
  <c r="GM250" i="1" s="1"/>
  <c r="GO250" i="1" s="1"/>
  <c r="CY250" i="1"/>
  <c r="CP246" i="1"/>
  <c r="O246" i="1" s="1"/>
  <c r="X268" i="1"/>
  <c r="CY268" i="1"/>
  <c r="Y268" i="1"/>
  <c r="CZ268" i="1"/>
  <c r="EV22" i="1"/>
  <c r="EV351" i="1"/>
  <c r="P343" i="1"/>
  <c r="Y236" i="1"/>
  <c r="CZ236" i="1"/>
  <c r="X236" i="1"/>
  <c r="GM236" i="1" s="1"/>
  <c r="GO236" i="1" s="1"/>
  <c r="CY236" i="1"/>
  <c r="GB167" i="1"/>
  <c r="AK167" i="1"/>
  <c r="AC26" i="1"/>
  <c r="CH167" i="1"/>
  <c r="P167" i="1"/>
  <c r="CE167" i="1"/>
  <c r="CF167" i="1"/>
  <c r="GM31" i="1"/>
  <c r="X103" i="1"/>
  <c r="CY103" i="1"/>
  <c r="Y103" i="1"/>
  <c r="CZ103" i="1"/>
  <c r="X71" i="1"/>
  <c r="CY71" i="1"/>
  <c r="Y71" i="1"/>
  <c r="CZ71" i="1"/>
  <c r="GM53" i="1"/>
  <c r="GN53" i="1" s="1"/>
  <c r="GN30" i="1"/>
  <c r="W26" i="1"/>
  <c r="F191" i="1"/>
  <c r="W318" i="1"/>
  <c r="GM202" i="1"/>
  <c r="CP204" i="1"/>
  <c r="O204" i="1" s="1"/>
  <c r="DU288" i="1"/>
  <c r="CP105" i="1"/>
  <c r="O105" i="1" s="1"/>
  <c r="CP69" i="1"/>
  <c r="O69" i="1" s="1"/>
  <c r="GM69" i="1" s="1"/>
  <c r="GO69" i="1" s="1"/>
  <c r="GM263" i="1"/>
  <c r="GN263" i="1" s="1"/>
  <c r="GM247" i="1"/>
  <c r="GO247" i="1" s="1"/>
  <c r="GO201" i="1"/>
  <c r="FQ199" i="1"/>
  <c r="GA288" i="1"/>
  <c r="EH288" i="1"/>
  <c r="CP220" i="1"/>
  <c r="O220" i="1" s="1"/>
  <c r="ER26" i="1"/>
  <c r="P178" i="1"/>
  <c r="DX288" i="1"/>
  <c r="T26" i="1"/>
  <c r="F188" i="1"/>
  <c r="T318" i="1"/>
  <c r="AX199" i="1"/>
  <c r="F295" i="1"/>
  <c r="X232" i="1"/>
  <c r="CY232" i="1"/>
  <c r="Y232" i="1"/>
  <c r="CZ232" i="1"/>
  <c r="AO22" i="1"/>
  <c r="F322" i="1"/>
  <c r="AO351" i="1"/>
  <c r="Y252" i="1"/>
  <c r="CZ252" i="1"/>
  <c r="X252" i="1"/>
  <c r="CY252" i="1"/>
  <c r="GM128" i="1"/>
  <c r="GO128" i="1" s="1"/>
  <c r="X69" i="1"/>
  <c r="CY69" i="1"/>
  <c r="Y69" i="1"/>
  <c r="CZ69" i="1"/>
  <c r="U199" i="1"/>
  <c r="F310" i="1"/>
  <c r="CB288" i="1"/>
  <c r="V26" i="1"/>
  <c r="F190" i="1"/>
  <c r="V318" i="1"/>
  <c r="X160" i="1"/>
  <c r="Y160" i="1"/>
  <c r="CY160" i="1"/>
  <c r="CZ160" i="1"/>
  <c r="X63" i="1"/>
  <c r="GM63" i="1" s="1"/>
  <c r="GO63" i="1" s="1"/>
  <c r="CY63" i="1"/>
  <c r="Y63" i="1"/>
  <c r="ED167" i="1" s="1"/>
  <c r="CZ63" i="1"/>
  <c r="AE26" i="1"/>
  <c r="R167" i="1"/>
  <c r="X262" i="1"/>
  <c r="CY262" i="1"/>
  <c r="Y262" i="1"/>
  <c r="CZ262" i="1"/>
  <c r="X284" i="1"/>
  <c r="GM284" i="1" s="1"/>
  <c r="GN284" i="1" s="1"/>
  <c r="CY284" i="1"/>
  <c r="Y284" i="1"/>
  <c r="CZ284" i="1"/>
  <c r="X246" i="1"/>
  <c r="CY246" i="1"/>
  <c r="Y246" i="1"/>
  <c r="CZ246" i="1"/>
  <c r="AE199" i="1"/>
  <c r="R288" i="1"/>
  <c r="X161" i="1"/>
  <c r="CY161" i="1"/>
  <c r="Y161" i="1"/>
  <c r="CZ161" i="1"/>
  <c r="AD199" i="1"/>
  <c r="Q288" i="1"/>
  <c r="EP26" i="1"/>
  <c r="P174" i="1"/>
  <c r="EP318" i="1"/>
  <c r="U26" i="1"/>
  <c r="F189" i="1"/>
  <c r="U318" i="1"/>
  <c r="X105" i="1"/>
  <c r="EC167" i="1" s="1"/>
  <c r="CY105" i="1"/>
  <c r="Y105" i="1"/>
  <c r="CZ105" i="1"/>
  <c r="CP71" i="1"/>
  <c r="O71" i="1" s="1"/>
  <c r="GM71" i="1" s="1"/>
  <c r="GO71" i="1" s="1"/>
  <c r="GM276" i="1"/>
  <c r="DY288" i="1"/>
  <c r="EB288" i="1"/>
  <c r="DW288" i="1"/>
  <c r="CP161" i="1"/>
  <c r="O161" i="1" s="1"/>
  <c r="ET22" i="1"/>
  <c r="P331" i="1"/>
  <c r="ET351" i="1"/>
  <c r="AQ22" i="1"/>
  <c r="AQ351" i="1"/>
  <c r="F328" i="1"/>
  <c r="CP87" i="1"/>
  <c r="O87" i="1" s="1"/>
  <c r="CP262" i="1"/>
  <c r="O262" i="1" s="1"/>
  <c r="X244" i="1"/>
  <c r="GM244" i="1" s="1"/>
  <c r="GO244" i="1" s="1"/>
  <c r="CY244" i="1"/>
  <c r="Y244" i="1"/>
  <c r="CZ244" i="1"/>
  <c r="CP216" i="1"/>
  <c r="O216" i="1" s="1"/>
  <c r="EG22" i="1"/>
  <c r="EG351" i="1"/>
  <c r="P322" i="1"/>
  <c r="BY26" i="1"/>
  <c r="CI167" i="1"/>
  <c r="AP167" i="1"/>
  <c r="EA288" i="1"/>
  <c r="BA26" i="1"/>
  <c r="F187" i="1"/>
  <c r="BA318" i="1"/>
  <c r="BB22" i="1"/>
  <c r="BB351" i="1"/>
  <c r="F331" i="1"/>
  <c r="EU22" i="1"/>
  <c r="P334" i="1"/>
  <c r="EU351" i="1"/>
  <c r="BC22" i="1"/>
  <c r="F334" i="1"/>
  <c r="BC351" i="1"/>
  <c r="GM232" i="1"/>
  <c r="GO232" i="1" s="1"/>
  <c r="EP199" i="1"/>
  <c r="P295" i="1"/>
  <c r="GB199" i="1"/>
  <c r="ES288" i="1"/>
  <c r="X258" i="1"/>
  <c r="GM258" i="1" s="1"/>
  <c r="GO258" i="1" s="1"/>
  <c r="CY258" i="1"/>
  <c r="Y258" i="1"/>
  <c r="CZ258" i="1"/>
  <c r="AC199" i="1"/>
  <c r="CF288" i="1"/>
  <c r="CH288" i="1"/>
  <c r="P288" i="1"/>
  <c r="CE288" i="1"/>
  <c r="X220" i="1"/>
  <c r="EC288" i="1" s="1"/>
  <c r="CY220" i="1"/>
  <c r="Y220" i="1"/>
  <c r="CZ220" i="1"/>
  <c r="AX22" i="1"/>
  <c r="F325" i="1"/>
  <c r="AX351" i="1"/>
  <c r="EM22" i="1"/>
  <c r="P337" i="1"/>
  <c r="EM351" i="1"/>
  <c r="AU22" i="1"/>
  <c r="F337" i="1"/>
  <c r="AU351" i="1"/>
  <c r="GM106" i="1"/>
  <c r="GO106" i="1" s="1"/>
  <c r="CC167" i="1" s="1"/>
  <c r="AF26" i="1"/>
  <c r="S167" i="1"/>
  <c r="GM268" i="1"/>
  <c r="GO268" i="1" s="1"/>
  <c r="GM252" i="1"/>
  <c r="GO252" i="1" s="1"/>
  <c r="EI22" i="1"/>
  <c r="P328" i="1"/>
  <c r="EI351" i="1"/>
  <c r="Y216" i="1"/>
  <c r="CZ216" i="1"/>
  <c r="X216" i="1"/>
  <c r="CY216" i="1"/>
  <c r="GM160" i="1"/>
  <c r="GO160" i="1" s="1"/>
  <c r="GM101" i="1"/>
  <c r="GO101" i="1" s="1"/>
  <c r="X87" i="1"/>
  <c r="CY87" i="1"/>
  <c r="Y87" i="1"/>
  <c r="CZ87" i="1"/>
  <c r="AD26" i="1"/>
  <c r="Q167" i="1"/>
  <c r="T199" i="1"/>
  <c r="F309" i="1"/>
  <c r="GM225" i="1"/>
  <c r="GO225" i="1" s="1"/>
  <c r="X260" i="1"/>
  <c r="GM260" i="1" s="1"/>
  <c r="GO260" i="1" s="1"/>
  <c r="CY260" i="1"/>
  <c r="Y260" i="1"/>
  <c r="ED288" i="1" s="1"/>
  <c r="CZ260" i="1"/>
  <c r="AF199" i="1"/>
  <c r="S288" i="1"/>
  <c r="GM150" i="1"/>
  <c r="GN150" i="1" s="1"/>
  <c r="Y224" i="1"/>
  <c r="CZ224" i="1"/>
  <c r="X224" i="1"/>
  <c r="GM224" i="1" s="1"/>
  <c r="GN224" i="1" s="1"/>
  <c r="CY224" i="1"/>
  <c r="DU167" i="1"/>
  <c r="BY199" i="1"/>
  <c r="AP288" i="1"/>
  <c r="CI288" i="1"/>
  <c r="GM207" i="1"/>
  <c r="GO207" i="1" s="1"/>
  <c r="GM233" i="1"/>
  <c r="GO233" i="1" s="1"/>
  <c r="BD22" i="1"/>
  <c r="F343" i="1"/>
  <c r="BD351" i="1"/>
  <c r="GM146" i="1"/>
  <c r="GN146" i="1" s="1"/>
  <c r="CP103" i="1"/>
  <c r="O103" i="1" s="1"/>
  <c r="GM103" i="1" s="1"/>
  <c r="GO103" i="1" s="1"/>
  <c r="AB167" i="1"/>
  <c r="EC199" i="1" l="1"/>
  <c r="DP288" i="1"/>
  <c r="EC26" i="1"/>
  <c r="DP167" i="1"/>
  <c r="ED26" i="1"/>
  <c r="DQ167" i="1"/>
  <c r="ED199" i="1"/>
  <c r="DQ288" i="1"/>
  <c r="CC26" i="1"/>
  <c r="AT167" i="1"/>
  <c r="CF199" i="1"/>
  <c r="AW288" i="1"/>
  <c r="AX18" i="1"/>
  <c r="F358" i="1"/>
  <c r="P199" i="1"/>
  <c r="F291" i="1"/>
  <c r="ES199" i="1"/>
  <c r="P308" i="1"/>
  <c r="EU18" i="1"/>
  <c r="P367" i="1"/>
  <c r="BB18" i="1"/>
  <c r="F364" i="1"/>
  <c r="GM216" i="1"/>
  <c r="GO216" i="1" s="1"/>
  <c r="AQ18" i="1"/>
  <c r="F361" i="1"/>
  <c r="DY199" i="1"/>
  <c r="DL288" i="1"/>
  <c r="V22" i="1"/>
  <c r="F341" i="1"/>
  <c r="V351" i="1"/>
  <c r="GA199" i="1"/>
  <c r="ER288" i="1"/>
  <c r="DU199" i="1"/>
  <c r="DH288" i="1"/>
  <c r="FW288" i="1"/>
  <c r="FX288" i="1"/>
  <c r="FZ288" i="1"/>
  <c r="W22" i="1"/>
  <c r="W351" i="1"/>
  <c r="F342" i="1"/>
  <c r="CB167" i="1"/>
  <c r="CF26" i="1"/>
  <c r="AW167" i="1"/>
  <c r="EV18" i="1"/>
  <c r="P376" i="1"/>
  <c r="AB199" i="1"/>
  <c r="O288" i="1"/>
  <c r="DI26" i="1"/>
  <c r="P179" i="1"/>
  <c r="DI318" i="1"/>
  <c r="DM199" i="1"/>
  <c r="P310" i="1"/>
  <c r="DK26" i="1"/>
  <c r="P182" i="1"/>
  <c r="Q26" i="1"/>
  <c r="F179" i="1"/>
  <c r="Q318" i="1"/>
  <c r="BD18" i="1"/>
  <c r="F376" i="1"/>
  <c r="DU26" i="1"/>
  <c r="FX167" i="1"/>
  <c r="FZ167" i="1"/>
  <c r="DH167" i="1"/>
  <c r="FW167" i="1"/>
  <c r="EI18" i="1"/>
  <c r="P361" i="1"/>
  <c r="EM18" i="1"/>
  <c r="P370" i="1"/>
  <c r="CH199" i="1"/>
  <c r="AY288" i="1"/>
  <c r="BC18" i="1"/>
  <c r="F367" i="1"/>
  <c r="EA199" i="1"/>
  <c r="DN288" i="1"/>
  <c r="GM262" i="1"/>
  <c r="GO262" i="1" s="1"/>
  <c r="GM161" i="1"/>
  <c r="GO161" i="1" s="1"/>
  <c r="FU167" i="1" s="1"/>
  <c r="Q199" i="1"/>
  <c r="F300" i="1"/>
  <c r="R26" i="1"/>
  <c r="F181" i="1"/>
  <c r="R318" i="1"/>
  <c r="T22" i="1"/>
  <c r="F339" i="1"/>
  <c r="T351" i="1"/>
  <c r="DX199" i="1"/>
  <c r="DK288" i="1"/>
  <c r="GM204" i="1"/>
  <c r="GO204" i="1" s="1"/>
  <c r="CE26" i="1"/>
  <c r="AV167" i="1"/>
  <c r="AK26" i="1"/>
  <c r="X167" i="1"/>
  <c r="DJ26" i="1"/>
  <c r="P181" i="1"/>
  <c r="Y26" i="1"/>
  <c r="F194" i="1"/>
  <c r="Y318" i="1"/>
  <c r="DM26" i="1"/>
  <c r="P189" i="1"/>
  <c r="DM318" i="1"/>
  <c r="X199" i="1"/>
  <c r="F314" i="1"/>
  <c r="AB26" i="1"/>
  <c r="O167" i="1"/>
  <c r="AU18" i="1"/>
  <c r="F370" i="1"/>
  <c r="BA22" i="1"/>
  <c r="F338" i="1"/>
  <c r="W16" i="2" s="1"/>
  <c r="BA351" i="1"/>
  <c r="AP26" i="1"/>
  <c r="F176" i="1"/>
  <c r="AP318" i="1"/>
  <c r="EG18" i="1"/>
  <c r="P355" i="1"/>
  <c r="GM87" i="1"/>
  <c r="GO87" i="1" s="1"/>
  <c r="ET18" i="1"/>
  <c r="P364" i="1"/>
  <c r="DW199" i="1"/>
  <c r="DJ288" i="1"/>
  <c r="EP22" i="1"/>
  <c r="P325" i="1"/>
  <c r="EP351" i="1"/>
  <c r="GM220" i="1"/>
  <c r="GN220" i="1" s="1"/>
  <c r="FT288" i="1" s="1"/>
  <c r="CA288" i="1"/>
  <c r="DT288" i="1"/>
  <c r="DT167" i="1"/>
  <c r="P26" i="1"/>
  <c r="F170" i="1"/>
  <c r="P318" i="1"/>
  <c r="GB26" i="1"/>
  <c r="ES167" i="1"/>
  <c r="GM246" i="1"/>
  <c r="GO246" i="1" s="1"/>
  <c r="DI199" i="1"/>
  <c r="P300" i="1"/>
  <c r="Y199" i="1"/>
  <c r="F315" i="1"/>
  <c r="DL26" i="1"/>
  <c r="P188" i="1"/>
  <c r="DL318" i="1"/>
  <c r="CI199" i="1"/>
  <c r="AZ288" i="1"/>
  <c r="AP199" i="1"/>
  <c r="F297" i="1"/>
  <c r="S199" i="1"/>
  <c r="F303" i="1"/>
  <c r="S26" i="1"/>
  <c r="F182" i="1"/>
  <c r="S318" i="1"/>
  <c r="CE199" i="1"/>
  <c r="AV288" i="1"/>
  <c r="CI26" i="1"/>
  <c r="AZ167" i="1"/>
  <c r="EB199" i="1"/>
  <c r="DO288" i="1"/>
  <c r="DO318" i="1" s="1"/>
  <c r="U22" i="1"/>
  <c r="U351" i="1"/>
  <c r="F340" i="1"/>
  <c r="R199" i="1"/>
  <c r="F302" i="1"/>
  <c r="CB199" i="1"/>
  <c r="AS288" i="1"/>
  <c r="AO18" i="1"/>
  <c r="F355" i="1"/>
  <c r="EH199" i="1"/>
  <c r="P297" i="1"/>
  <c r="EH318" i="1"/>
  <c r="CC288" i="1"/>
  <c r="GM105" i="1"/>
  <c r="GO105" i="1" s="1"/>
  <c r="GO202" i="1"/>
  <c r="FS288" i="1"/>
  <c r="CA167" i="1"/>
  <c r="GN31" i="1"/>
  <c r="FT167" i="1" s="1"/>
  <c r="FS167" i="1"/>
  <c r="CH26" i="1"/>
  <c r="AY167" i="1"/>
  <c r="EA26" i="1"/>
  <c r="DN167" i="1"/>
  <c r="DO26" i="1"/>
  <c r="P191" i="1"/>
  <c r="FU26" i="1" l="1"/>
  <c r="EL167" i="1"/>
  <c r="DO22" i="1"/>
  <c r="DO351" i="1"/>
  <c r="P342" i="1"/>
  <c r="CA26" i="1"/>
  <c r="AR167" i="1"/>
  <c r="FS199" i="1"/>
  <c r="EJ288" i="1"/>
  <c r="AV199" i="1"/>
  <c r="F293" i="1"/>
  <c r="FT26" i="1"/>
  <c r="EK167" i="1"/>
  <c r="U18" i="1"/>
  <c r="F373" i="1"/>
  <c r="AZ26" i="1"/>
  <c r="F178" i="1"/>
  <c r="AZ318" i="1"/>
  <c r="AZ199" i="1"/>
  <c r="F299" i="1"/>
  <c r="P22" i="1"/>
  <c r="F321" i="1"/>
  <c r="P351" i="1"/>
  <c r="DT199" i="1"/>
  <c r="DG288" i="1"/>
  <c r="BA18" i="1"/>
  <c r="F371" i="1"/>
  <c r="Y22" i="1"/>
  <c r="F345" i="1"/>
  <c r="Y351" i="1"/>
  <c r="AV26" i="1"/>
  <c r="F172" i="1"/>
  <c r="AV318" i="1"/>
  <c r="R22" i="1"/>
  <c r="F332" i="1"/>
  <c r="R351" i="1"/>
  <c r="FX26" i="1"/>
  <c r="EO167" i="1"/>
  <c r="Q22" i="1"/>
  <c r="Q351" i="1"/>
  <c r="F330" i="1"/>
  <c r="DI22" i="1"/>
  <c r="P330" i="1"/>
  <c r="DI351" i="1"/>
  <c r="DH199" i="1"/>
  <c r="P291" i="1"/>
  <c r="V18" i="1"/>
  <c r="F374" i="1"/>
  <c r="AY26" i="1"/>
  <c r="F175" i="1"/>
  <c r="AY318" i="1"/>
  <c r="CA199" i="1"/>
  <c r="AR288" i="1"/>
  <c r="AP22" i="1"/>
  <c r="F327" i="1"/>
  <c r="V16" i="2" s="1"/>
  <c r="AP351" i="1"/>
  <c r="O26" i="1"/>
  <c r="F169" i="1"/>
  <c r="O318" i="1"/>
  <c r="DM22" i="1"/>
  <c r="P340" i="1"/>
  <c r="DM351" i="1"/>
  <c r="T18" i="1"/>
  <c r="F372" i="1"/>
  <c r="FW26" i="1"/>
  <c r="EN167" i="1"/>
  <c r="CB26" i="1"/>
  <c r="AS167" i="1"/>
  <c r="FZ199" i="1"/>
  <c r="EQ288" i="1"/>
  <c r="AT26" i="1"/>
  <c r="F185" i="1"/>
  <c r="DQ26" i="1"/>
  <c r="P194" i="1"/>
  <c r="DQ318" i="1"/>
  <c r="FT199" i="1"/>
  <c r="EK288" i="1"/>
  <c r="DJ199" i="1"/>
  <c r="P302" i="1"/>
  <c r="X26" i="1"/>
  <c r="F193" i="1"/>
  <c r="X318" i="1"/>
  <c r="DH26" i="1"/>
  <c r="P170" i="1"/>
  <c r="DH318" i="1"/>
  <c r="FX199" i="1"/>
  <c r="EO288" i="1"/>
  <c r="ER199" i="1"/>
  <c r="P299" i="1"/>
  <c r="ER318" i="1"/>
  <c r="AW199" i="1"/>
  <c r="F294" i="1"/>
  <c r="DP199" i="1"/>
  <c r="P314" i="1"/>
  <c r="CC199" i="1"/>
  <c r="AT288" i="1"/>
  <c r="S22" i="1"/>
  <c r="F333" i="1"/>
  <c r="Y16" i="2" s="1"/>
  <c r="S351" i="1"/>
  <c r="EH22" i="1"/>
  <c r="P327" i="1"/>
  <c r="G16" i="2" s="1"/>
  <c r="EH351" i="1"/>
  <c r="DO199" i="1"/>
  <c r="P312" i="1"/>
  <c r="DL22" i="1"/>
  <c r="P339" i="1"/>
  <c r="DL351" i="1"/>
  <c r="ES26" i="1"/>
  <c r="P187" i="1"/>
  <c r="ES318" i="1"/>
  <c r="DN26" i="1"/>
  <c r="P190" i="1"/>
  <c r="DN318" i="1"/>
  <c r="FS26" i="1"/>
  <c r="EJ167" i="1"/>
  <c r="FU288" i="1"/>
  <c r="AS199" i="1"/>
  <c r="F305" i="1"/>
  <c r="DT26" i="1"/>
  <c r="DG167" i="1"/>
  <c r="EP18" i="1"/>
  <c r="P358" i="1"/>
  <c r="DJ318" i="1"/>
  <c r="DK199" i="1"/>
  <c r="P303" i="1"/>
  <c r="DN199" i="1"/>
  <c r="P311" i="1"/>
  <c r="AY199" i="1"/>
  <c r="F296" i="1"/>
  <c r="FZ26" i="1"/>
  <c r="EQ167" i="1"/>
  <c r="DK318" i="1"/>
  <c r="O199" i="1"/>
  <c r="F290" i="1"/>
  <c r="AW26" i="1"/>
  <c r="F173" i="1"/>
  <c r="AW318" i="1"/>
  <c r="W18" i="1"/>
  <c r="F375" i="1"/>
  <c r="FW199" i="1"/>
  <c r="EN288" i="1"/>
  <c r="DL199" i="1"/>
  <c r="P309" i="1"/>
  <c r="DQ199" i="1"/>
  <c r="P315" i="1"/>
  <c r="DP26" i="1"/>
  <c r="P193" i="1"/>
  <c r="DP318" i="1"/>
  <c r="DP22" i="1" l="1"/>
  <c r="P344" i="1"/>
  <c r="DP351" i="1"/>
  <c r="DK22" i="1"/>
  <c r="P333" i="1"/>
  <c r="DK351" i="1"/>
  <c r="AT199" i="1"/>
  <c r="F306" i="1"/>
  <c r="DG199" i="1"/>
  <c r="P290" i="1"/>
  <c r="EK26" i="1"/>
  <c r="P184" i="1"/>
  <c r="EK318" i="1"/>
  <c r="EQ26" i="1"/>
  <c r="P175" i="1"/>
  <c r="EQ318" i="1"/>
  <c r="DJ22" i="1"/>
  <c r="DJ351" i="1"/>
  <c r="P332" i="1"/>
  <c r="EJ26" i="1"/>
  <c r="P195" i="1"/>
  <c r="EJ318" i="1"/>
  <c r="DL18" i="1"/>
  <c r="P372" i="1"/>
  <c r="S18" i="1"/>
  <c r="F366" i="1"/>
  <c r="EO199" i="1"/>
  <c r="P294" i="1"/>
  <c r="DQ22" i="1"/>
  <c r="DQ351" i="1"/>
  <c r="P345" i="1"/>
  <c r="AS26" i="1"/>
  <c r="F184" i="1"/>
  <c r="AS318" i="1"/>
  <c r="AP18" i="1"/>
  <c r="F360" i="1"/>
  <c r="DI18" i="1"/>
  <c r="P363" i="1"/>
  <c r="Q18" i="1"/>
  <c r="F363" i="1"/>
  <c r="R18" i="1"/>
  <c r="F365" i="1"/>
  <c r="DO18" i="1"/>
  <c r="P375" i="1"/>
  <c r="FU199" i="1"/>
  <c r="EL288" i="1"/>
  <c r="AR199" i="1"/>
  <c r="F316" i="1"/>
  <c r="ER22" i="1"/>
  <c r="ER351" i="1"/>
  <c r="P329" i="1"/>
  <c r="X22" i="1"/>
  <c r="F344" i="1"/>
  <c r="X351" i="1"/>
  <c r="O22" i="1"/>
  <c r="O351" i="1"/>
  <c r="F320" i="1"/>
  <c r="AY22" i="1"/>
  <c r="AY351" i="1"/>
  <c r="F326" i="1"/>
  <c r="P18" i="1"/>
  <c r="F354" i="1"/>
  <c r="AR26" i="1"/>
  <c r="F195" i="1"/>
  <c r="AR318" i="1"/>
  <c r="DG26" i="1"/>
  <c r="P169" i="1"/>
  <c r="DG318" i="1"/>
  <c r="ES22" i="1"/>
  <c r="P338" i="1"/>
  <c r="H16" i="2" s="1"/>
  <c r="ES351" i="1"/>
  <c r="EH18" i="1"/>
  <c r="P360" i="1"/>
  <c r="EN199" i="1"/>
  <c r="P293" i="1"/>
  <c r="AW22" i="1"/>
  <c r="F324" i="1"/>
  <c r="AW351" i="1"/>
  <c r="DN22" i="1"/>
  <c r="P341" i="1"/>
  <c r="DN351" i="1"/>
  <c r="DH22" i="1"/>
  <c r="P321" i="1"/>
  <c r="DH351" i="1"/>
  <c r="EK199" i="1"/>
  <c r="P305" i="1"/>
  <c r="EQ199" i="1"/>
  <c r="P296" i="1"/>
  <c r="EN26" i="1"/>
  <c r="P172" i="1"/>
  <c r="EN318" i="1"/>
  <c r="DM18" i="1"/>
  <c r="P373" i="1"/>
  <c r="EO26" i="1"/>
  <c r="P173" i="1"/>
  <c r="EO318" i="1"/>
  <c r="Y18" i="1"/>
  <c r="F378" i="1"/>
  <c r="AZ22" i="1"/>
  <c r="F329" i="1"/>
  <c r="AZ351" i="1"/>
  <c r="EL26" i="1"/>
  <c r="P185" i="1"/>
  <c r="EL318" i="1"/>
  <c r="AT318" i="1"/>
  <c r="AV22" i="1"/>
  <c r="F323" i="1"/>
  <c r="AV351" i="1"/>
  <c r="EJ199" i="1"/>
  <c r="P316" i="1"/>
  <c r="AR22" i="1" l="1"/>
  <c r="AR351" i="1"/>
  <c r="F346" i="1"/>
  <c r="F347" i="1" s="1"/>
  <c r="EK22" i="1"/>
  <c r="P335" i="1"/>
  <c r="E16" i="2" s="1"/>
  <c r="I16" i="2" s="1"/>
  <c r="N16" i="2" s="1"/>
  <c r="EK351" i="1"/>
  <c r="J16" i="2"/>
  <c r="AV18" i="1"/>
  <c r="F356" i="1"/>
  <c r="EL22" i="1"/>
  <c r="EL351" i="1"/>
  <c r="P336" i="1"/>
  <c r="F16" i="2" s="1"/>
  <c r="EO22" i="1"/>
  <c r="P324" i="1"/>
  <c r="EO351" i="1"/>
  <c r="DH18" i="1"/>
  <c r="P354" i="1"/>
  <c r="DG22" i="1"/>
  <c r="P320" i="1"/>
  <c r="DG351" i="1"/>
  <c r="O18" i="1"/>
  <c r="F353" i="1"/>
  <c r="EQ22" i="1"/>
  <c r="EQ351" i="1"/>
  <c r="P326" i="1"/>
  <c r="EN22" i="1"/>
  <c r="P323" i="1"/>
  <c r="EN351" i="1"/>
  <c r="AY18" i="1"/>
  <c r="F359" i="1"/>
  <c r="DP18" i="1"/>
  <c r="P377" i="1"/>
  <c r="AW18" i="1"/>
  <c r="F357" i="1"/>
  <c r="X18" i="1"/>
  <c r="F377" i="1"/>
  <c r="ER18" i="1"/>
  <c r="P362" i="1"/>
  <c r="EL199" i="1"/>
  <c r="P306" i="1"/>
  <c r="AS22" i="1"/>
  <c r="F335" i="1"/>
  <c r="T16" i="2" s="1"/>
  <c r="AS351" i="1"/>
  <c r="DQ18" i="1"/>
  <c r="P378" i="1"/>
  <c r="EJ22" i="1"/>
  <c r="P346" i="1"/>
  <c r="P347" i="1" s="1"/>
  <c r="EJ351" i="1"/>
  <c r="DJ18" i="1"/>
  <c r="P365" i="1"/>
  <c r="DK18" i="1"/>
  <c r="P366" i="1"/>
  <c r="ES18" i="1"/>
  <c r="P371" i="1"/>
  <c r="AT22" i="1"/>
  <c r="AT351" i="1"/>
  <c r="F336" i="1"/>
  <c r="U16" i="2" s="1"/>
  <c r="AZ18" i="1"/>
  <c r="F362" i="1"/>
  <c r="DN18" i="1"/>
  <c r="P374" i="1"/>
  <c r="AT18" i="1" l="1"/>
  <c r="F369" i="1"/>
  <c r="EJ18" i="1"/>
  <c r="P379" i="1"/>
  <c r="P380" i="1" s="1"/>
  <c r="EN18" i="1"/>
  <c r="P356" i="1"/>
  <c r="EQ18" i="1"/>
  <c r="P359" i="1"/>
  <c r="DG18" i="1"/>
  <c r="P353" i="1"/>
  <c r="P348" i="1"/>
  <c r="P349" i="1"/>
  <c r="EO18" i="1"/>
  <c r="P357" i="1"/>
  <c r="EL18" i="1"/>
  <c r="P369" i="1"/>
  <c r="F348" i="1"/>
  <c r="F349" i="1" s="1"/>
  <c r="AS18" i="1"/>
  <c r="F368" i="1"/>
  <c r="X16" i="2"/>
  <c r="AC16" i="2" s="1"/>
  <c r="EK18" i="1"/>
  <c r="P368" i="1"/>
  <c r="AR18" i="1"/>
  <c r="F379" i="1"/>
  <c r="F380" i="1" s="1"/>
  <c r="P381" i="1" l="1"/>
  <c r="P382" i="1"/>
  <c r="F381" i="1"/>
  <c r="F382" i="1" s="1"/>
</calcChain>
</file>

<file path=xl/sharedStrings.xml><?xml version="1.0" encoding="utf-8"?>
<sst xmlns="http://schemas.openxmlformats.org/spreadsheetml/2006/main" count="26294" uniqueCount="775">
  <si>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</si>
  <si>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</si>
  <si>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</si>
  <si>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</si>
  <si>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</t>
  </si>
  <si>
    <t>02-01-21</t>
  </si>
  <si>
    <t>02-01-21 Спринклерное пожаротушение</t>
  </si>
  <si>
    <t>2024-00375-01-0-ИОС2.2</t>
  </si>
  <si>
    <t>Гришечкина О.А.</t>
  </si>
  <si>
    <t>Ведущий инженер-сметчик</t>
  </si>
  <si>
    <t>Феденко И.В.</t>
  </si>
  <si>
    <t>Руководитель сметного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</si>
  <si>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</si>
  <si>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</si>
  <si>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</si>
  <si>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</si>
  <si>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</si>
  <si>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</si>
  <si>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</si>
  <si>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</si>
  <si>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Спринклерное пожаротушение.</t>
  </si>
  <si>
    <t>Новый раздел</t>
  </si>
  <si>
    <t>Насосная установка.</t>
  </si>
  <si>
    <t>4.7-21-3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</si>
  <si>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0,425 т</t>
  </si>
  <si>
    <t>1  ШТ.</t>
  </si>
  <si>
    <t>ТСН-2001.4 Доп. 80, Сб. 7, т. 21, поз. 3</t>
  </si>
  <si>
    <t>*0,75)*1</t>
  </si>
  <si>
    <t>*0,75)*1,2</t>
  </si>
  <si>
    <t>Монтаж оборудования</t>
  </si>
  <si>
    <t>ТСН-2001.4-7. Компрессорные машины, насосы, вентиляторы</t>
  </si>
  <si>
    <t>ТСН-2001.4-7-1</t>
  </si>
  <si>
    <t>Поправка: Гл.4.Прил.2.2.п.2.2.17_04.00.01.24.001
Поправка: Гл.12.Прил.8.п.8. 3_12.00.01.11.001</t>
  </si>
  <si>
    <t>1</t>
  </si>
  <si>
    <t>3.18-11-2</t>
  </si>
  <si>
    <t>Установка насосов центробежных с электродвигателем массой агрегата до 0,2 т</t>
  </si>
  <si>
    <t>1 насос</t>
  </si>
  <si>
    <t>ТСН-2001.3 Доп. 79, Сб. 18, т. 11, поз. 2</t>
  </si>
  <si>
    <t>*1)*1</t>
  </si>
  <si>
    <t>*1,2)*1,25</t>
  </si>
  <si>
    <t>*1,2)*1,15</t>
  </si>
  <si>
    <t>Строительные работы</t>
  </si>
  <si>
    <t>ТСН-2001.3-18. Отопление - внутренние устройства</t>
  </si>
  <si>
    <t>ТСН-2001.3-18-1</t>
  </si>
  <si>
    <t>Поправка: Гл.12.Прил.8.п.8. 3_12.00.01.11.001
Поправка: Гл.6.Прил.2.2.п.2.2.6_06.00.01.07.001</t>
  </si>
  <si>
    <t>4.7-21-1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</si>
  <si>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0,064 т</t>
  </si>
  <si>
    <t>ТСН-2001.4 Доп. 80, Сб. 7, т. 21, поз. 1</t>
  </si>
  <si>
    <t>*1</t>
  </si>
  <si>
    <t>*1,2</t>
  </si>
  <si>
    <t>Поправка: Гл.12.Прил.8.п.8. 3_12.00.01.11.001</t>
  </si>
  <si>
    <t>2</t>
  </si>
  <si>
    <t>3.17-10-1</t>
  </si>
  <si>
    <t>Установка насосов погружных центробежных фекальных с электродвигателем производительностью 10 м3/час</t>
  </si>
  <si>
    <t>ТСН-2001.3 Доп. 79, Сб. 17, т. 10, поз. 1</t>
  </si>
  <si>
    <t>ТСН-2001.3-17. Водопровод и канализация - внутренние устройства</t>
  </si>
  <si>
    <t>ТСН-2001.3-17-1</t>
  </si>
  <si>
    <t>4.6-48-4</t>
  </si>
  <si>
    <t>Бак внутренней установки без давления цилиндрический вертикальный, вместимость 1,0 м3 (60 л.)</t>
  </si>
  <si>
    <t>1 Т</t>
  </si>
  <si>
    <t>ТСН-2001.4. Доп. 1-42. Сб. 6, т. 48, поз. 4</t>
  </si>
  <si>
    <t>ТСН-2001.4-6. Теплосиловое оборудование</t>
  </si>
  <si>
    <t>ТСН-2001.4-6-1</t>
  </si>
  <si>
    <t>3.18-8-1</t>
  </si>
  <si>
    <t>Установка баков расширительных круглых и прямоугольных вместимостью до 0,1 м3 (60 л.)</t>
  </si>
  <si>
    <t>1 бак</t>
  </si>
  <si>
    <t>ТСН-2001.3 Доп. 72, Сб. 18, т. 8, поз. 1</t>
  </si>
  <si>
    <t>4.8-240-4</t>
  </si>
  <si>
    <t>Монтаж пультов и шкафов управления, шкафа (пульта) управления навесного, высотой, шириной, глубиной до 600х600х350 мм</t>
  </si>
  <si>
    <t>ТСН-2001.4 Доп. 80, Сб. 8, т. 240, поз. 4</t>
  </si>
  <si>
    <t>ТСН-2001.4-8. Электротехнические установки</t>
  </si>
  <si>
    <t>ТСН-2001.4-8-1</t>
  </si>
  <si>
    <t>3</t>
  </si>
  <si>
    <t>4.11-17-1</t>
  </si>
  <si>
    <t>Монтаж щитов и пультов массой до 50кг</t>
  </si>
  <si>
    <t>ТСН-2001.4 Доп. 80, Сб. 11, т. 17, поз. 1</t>
  </si>
  <si>
    <t>ТСН-2001.4-11. Приборы и средства автоматизации и вычислительной техники</t>
  </si>
  <si>
    <t>ТСН-2001.4-11-1</t>
  </si>
  <si>
    <t>4</t>
  </si>
  <si>
    <t>4.11-3-1</t>
  </si>
  <si>
    <t>Установка прибора массой до 5 кг на металлоконструкциях или щитах/ выносная панель ВПИ</t>
  </si>
  <si>
    <t>ТСН-2001.4 Доп. 67, Сб. 11, т. 3, поз. 1</t>
  </si>
  <si>
    <t>4.12-48-9</t>
  </si>
  <si>
    <t>Монтаж арматуры фланцевой с ручным приводом или без привода на номинальное давление до 4 МПа, номинальный диаметр прохода 80 мм (обратный клапан, затвор поворотный)</t>
  </si>
  <si>
    <t>ТСН-2001.4 Доп. 68, Сб. 12, т. 48, поз. 9</t>
  </si>
  <si>
    <t>ТСН-2001.4-12. Технологические трубопроводы</t>
  </si>
  <si>
    <t>ТСН-2001.4-12-1</t>
  </si>
  <si>
    <t>4.12-48-11</t>
  </si>
  <si>
    <t>Монтаж арматуры фланцевой с ручным приводом или без привода на номинальное давление до 4 МПа, номинальный диаметр прохода 125 мм (затвор поворотный разделительный)</t>
  </si>
  <si>
    <t>ТСН-2001.4 Доп. 68, Сб. 12, т. 48, поз. 11</t>
  </si>
  <si>
    <t>4.12-48-4</t>
  </si>
  <si>
    <t>Монтаж арматуры фланцевой с ручным приводом или без привода на номинальное давление до 4 МПа, номинальный диаметр прохода 25 мм (обратный клапан, затвор поворотный для жокея)</t>
  </si>
  <si>
    <t>ТСН-2001.4 Доп. 67, Сб. 12, т. 48, поз. 4</t>
  </si>
  <si>
    <t>3.18-20-2</t>
  </si>
  <si>
    <t>Установка манометров с трехходовым краном (реле давления, манометр)</t>
  </si>
  <si>
    <t>1 комплект</t>
  </si>
  <si>
    <t>ТСН-2001.3. Доп. 1-42. Сб. 18, т. 20, поз. 2</t>
  </si>
  <si>
    <t>*1,25)*1,2</t>
  </si>
  <si>
    <t>*1,15)*1,2</t>
  </si>
  <si>
    <t>Поправка: Гл.6.Прил.2.2.п.2.2.6_06.00.01.07.001
Поправка: Гл.12.Прил.8.п.8. 3_12.00.01.11.001</t>
  </si>
  <si>
    <t>5</t>
  </si>
  <si>
    <t>КА. п. 1</t>
  </si>
  <si>
    <t>Насосная установка пожаротушения Q-66,38 (м3/ч), H- 25,0 м.в.ст., Жокей насос Q-3.0 (м3/ч),H- 30,0 м.в.ст., комплектно со шкафом автоматического управления ШУПН-3-С ОН/РН/ЖН-18,5/18,5/1,5-УПП/УПП/П-В и комплектно с выносной панелью индикации ВП</t>
  </si>
  <si>
    <t>компл.</t>
  </si>
  <si>
    <t>Поправка: Гл.4.Прил.2.2.п.2.2.17_04.00.01.24.001_x000D_
Наименование: При разнице в массе оборудования более 10% к норме и расценке ближайшего по массе оборудования при коэффициенте изменения массы оборудования до 0,5 т</t>
  </si>
  <si>
    <t>Сметная стоимость оборудования</t>
  </si>
  <si>
    <t>ТСН-2001.13. Сметная стоимость оборудования</t>
  </si>
  <si>
    <t>ТСН-2001.13</t>
  </si>
  <si>
    <t>Поправка: Гл.4.Прил.2.2.п.2.2.17_04.00.01.24.001</t>
  </si>
  <si>
    <t>[1 764 680 / 1,22 /  7,57] +  3% Трансп +  1,2% Заг.скл</t>
  </si>
  <si>
    <t>1,2</t>
  </si>
  <si>
    <t>6</t>
  </si>
  <si>
    <t>4.12-50-6</t>
  </si>
  <si>
    <t>Монтаж арматуры фланцевой с электрическим приводом на номинальное давление до 4 МПа, номинальный диаметр прохода 100 мм</t>
  </si>
  <si>
    <t>ТСН-2001.4 Доп. 68, Сб. 12, т. 50, поз. 6</t>
  </si>
  <si>
    <t>6,1</t>
  </si>
  <si>
    <t>КА. п. 2</t>
  </si>
  <si>
    <t>Узел управления спринклерный водозаполненный УУ-С100/1,6В-ВФ.О4 Прямоточный-100</t>
  </si>
  <si>
    <t>шт.</t>
  </si>
  <si>
    <t>[69 300 / 1,22 /  7,57] +  3% Трансп +  1,2% Заг.скл</t>
  </si>
  <si>
    <t>7</t>
  </si>
  <si>
    <t>4.12-48-10</t>
  </si>
  <si>
    <t>Монтаж арматуры фланцевой с ручным приводом или без привода на номинальное давление до 4 МПа, номинальный диаметр прохода 100 мм</t>
  </si>
  <si>
    <t>ТСН-2001.4 Доп. 68, Сб. 12, т. 48, поз. 10</t>
  </si>
  <si>
    <t>7,1</t>
  </si>
  <si>
    <t>1.13-5-40</t>
  </si>
  <si>
    <t>Затвор дисковый, поворотный, корпус из чугуна, диск из нержавеющей стали, с ручкой, номинальное давление PN 1,6 МПа, номинальный диаметр DN 100 мм</t>
  </si>
  <si>
    <t>ТСН-2001.1 Доп. 79, Р. 13, о. 5, поз. 40</t>
  </si>
  <si>
    <t>8</t>
  </si>
  <si>
    <t>1.12-9-21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</si>
  <si>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100 мм</t>
  </si>
  <si>
    <t>ТСН-2001.1 Доп. 80, Р. 12, о. 9, поз. 21</t>
  </si>
  <si>
    <t>Материалы строительные</t>
  </si>
  <si>
    <t>ТСН-2001.1 Материалы строительные</t>
  </si>
  <si>
    <t>ТСН-2001.1-1</t>
  </si>
  <si>
    <t>9</t>
  </si>
  <si>
    <t>Монтаж арматуры фланцевой с ручным приводом или без привода на номинальное давление до 4 МПа, номинальный диаметр прохода 80 мм</t>
  </si>
  <si>
    <t>9,1</t>
  </si>
  <si>
    <t>1.13-3-109</t>
  </si>
  <si>
    <t>Клапан обратный, чугунный, фланцевый, температура рабочей среды от -10 до +100°С, условная пропускная способность 222 м3/ч, номинальное давление РN 1,6 МПа, номинальный диаметр DN 80 мм</t>
  </si>
  <si>
    <t>ТСН-2001.1 Доп. 79, Р. 13, о. 3, поз. 109</t>
  </si>
  <si>
    <t>9,2</t>
  </si>
  <si>
    <t>1.13-5-39</t>
  </si>
  <si>
    <t>Затвор дисковый, поворотный, корпус из чугуна, диск из нержавеющей стали, с ручкой, номинальное давление PN 1,6 МПа, номинальный диаметр DN 80 мм</t>
  </si>
  <si>
    <t>ТСН-2001.1 Доп. 79, Р. 13, о. 5, поз. 39</t>
  </si>
  <si>
    <t>10</t>
  </si>
  <si>
    <t>1.12-9-20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</si>
  <si>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80 мм</t>
  </si>
  <si>
    <t>ТСН-2001.1 Доп. 80, Р. 12, о. 9, поз. 20</t>
  </si>
  <si>
    <t>4.12-52-12</t>
  </si>
  <si>
    <t>Монтаж арматуры приварной с ручным приводом или без привода на номинальное давление до 4 МПа, номинальный диаметр 150 мм</t>
  </si>
  <si>
    <t>ТСН-2001.4 Доп. 79, Сб. 12, т. 52, поз. 12</t>
  </si>
  <si>
    <t>1.12-11-52</t>
  </si>
  <si>
    <t>Отвод крутоизогнутый, стальной, оцинкованный, ГОСТ 17375-01, наружный диаметр 159 мм, толщина стенки от 4,5 от 5,0 мм, под углом 90°</t>
  </si>
  <si>
    <t>ТСН-2001.1 Доп. 79, Р. 12, о. 11, поз. 52</t>
  </si>
  <si>
    <t>4.12-52-10</t>
  </si>
  <si>
    <t>Монтаж арматуры приварной с ручным приводом или без привода на номинальное давление до 4 МПа, номинальный диаметр 100 мм</t>
  </si>
  <si>
    <t>ТСН-2001.4 Доп. 80, Сб. 12, т. 52, поз. 10</t>
  </si>
  <si>
    <t>1.12-11-48</t>
  </si>
  <si>
    <t>Отвод крутоизогнутый, стальной, оцинкованный, ГОСТ 17375-01, наружный диаметр 108 мм, толщина стенки 4,0 мм, под углом 90°</t>
  </si>
  <si>
    <t>ТСН-2001.1 Доп. 79, Р. 12, о. 11, поз. 48</t>
  </si>
  <si>
    <t>4.12-52-9</t>
  </si>
  <si>
    <t>Монтаж арматуры приварной с ручным приводом или без привода на номинальное давление до 4 МПа, номинальный диаметр 80 мм</t>
  </si>
  <si>
    <t>ТСН-2001.4 Доп. 68, Сб. 12, т. 52, поз. 9</t>
  </si>
  <si>
    <t>4.12-56-9</t>
  </si>
  <si>
    <t>Монтаж арматуры муфтовой с ручным приводом или без привода на номинальное давление до 10 МПа, номинальный диаметр 80 мм</t>
  </si>
  <si>
    <t>ТСН-2001.4 Доп. 68, Сб. 12, т. 56, поз. 9</t>
  </si>
  <si>
    <t>1.17-7-46</t>
  </si>
  <si>
    <t>Головка соединительная напорная, для соединения напорных пожарных рукавов между собой и с пожарным оборудованием, муфтовая ГМ-80</t>
  </si>
  <si>
    <t>ТСН-2001.1 Доп. 79, Р. 17, о. 7, поз. 46</t>
  </si>
  <si>
    <t>11</t>
  </si>
  <si>
    <t>12</t>
  </si>
  <si>
    <t>4.12-56-5</t>
  </si>
  <si>
    <t>Монтаж арматуры муфтовой с ручным приводом или без привода на номинальное давление до 10 МПа, номинальный диаметр 32 мм</t>
  </si>
  <si>
    <t>ТСН-2001.4 Доп. 79, Сб. 12, т. 56, поз. 5</t>
  </si>
  <si>
    <t>12,1</t>
  </si>
  <si>
    <t>1.13-4-128</t>
  </si>
  <si>
    <t>Кран шаровой, латунный, полнопроходной, муфтовый, 11б27п1, номинальное давление PN 1,6 МПа, номинальный диаметр DN 32 мм</t>
  </si>
  <si>
    <t>ТСН-2001.1 Доп. 73, Р. 13, о. 4, поз. 128</t>
  </si>
  <si>
    <t>12,2</t>
  </si>
  <si>
    <t>1.13-3-40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</si>
  <si>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32 мм</t>
  </si>
  <si>
    <t>ТСН-2001.1 Доп. 73, Р. 13, о. 3, поз. 40</t>
  </si>
  <si>
    <t>13</t>
  </si>
  <si>
    <t>4.12-32-4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</si>
  <si>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150 мм</t>
  </si>
  <si>
    <t>100 м</t>
  </si>
  <si>
    <t>ТСН-2001.4 Доп. 80, Сб. 12, т. 32, поз. 4</t>
  </si>
  <si>
    <t>13,1</t>
  </si>
  <si>
    <t>1.12-6-41</t>
  </si>
  <si>
    <t>Трубы стальные электросварные прямошовные, ГОСТ 10705-80, ГОСТ 10704-91, наружный диаметр 159 мм, толщина стенки 4 мм</t>
  </si>
  <si>
    <t>м</t>
  </si>
  <si>
    <t>ТСН-2001.1 Доп. 79, Р. 12, о. 6, поз. 41</t>
  </si>
  <si>
    <t>13,2</t>
  </si>
  <si>
    <t>14</t>
  </si>
  <si>
    <t>4.12-32-3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</si>
  <si>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100 мм</t>
  </si>
  <si>
    <t>ТСН-2001.4 Доп. 80, Сб. 12, т. 32, поз. 3</t>
  </si>
  <si>
    <t>14,1</t>
  </si>
  <si>
    <t>1.12-6-31</t>
  </si>
  <si>
    <t>Трубы стальные электросварные прямошовные, ГОСТ 10705-80, ГОСТ 10704-91, наружный диаметр 108 мм, толщина стенки 3 мм</t>
  </si>
  <si>
    <t>ТСН-2001.1 Доп. 79, Р. 12, о. 6, поз. 31</t>
  </si>
  <si>
    <t>14,2</t>
  </si>
  <si>
    <t>1.12-6-24</t>
  </si>
  <si>
    <t>Трубы стальные электросварные прямошовные, ГОСТ 10705-80, ГОСТ 10704-91, наружный диаметр 89 мм, толщина стенки 3 мм</t>
  </si>
  <si>
    <t>ТСН-2001.1 Доп. 79, Р. 12, о. 6, поз. 24</t>
  </si>
  <si>
    <t>15</t>
  </si>
  <si>
    <t>16</t>
  </si>
  <si>
    <t>1.12-11-47</t>
  </si>
  <si>
    <t>Отвод крутоизогнутый, стальной, оцинкованный, ГОСТ 17375-01, наружный диаметр 89 мм, толщина стенки от 3,5 до 4,0 мм, под углом 90°</t>
  </si>
  <si>
    <t>ТСН-2001.1 Доп. 79, Р. 12, о. 11, поз. 47</t>
  </si>
  <si>
    <t>17</t>
  </si>
  <si>
    <t>4.12-32-2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</si>
  <si>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50 мм</t>
  </si>
  <si>
    <t>ТСН-2001.4 Доп. 80, Сб. 12, т. 32, поз. 2</t>
  </si>
  <si>
    <t>17,1</t>
  </si>
  <si>
    <t>1.12-1-57</t>
  </si>
  <si>
    <t>Узел трубопровода из стальных водогазопроводных оцинкованных труб, с гильзами, для водоснабжения, диаметр условного прохода 50 мм</t>
  </si>
  <si>
    <t>ТСН-2001.1 Доп. 79, Р. 12, о. 1, поз. 57</t>
  </si>
  <si>
    <t>4.12-34-1</t>
  </si>
  <si>
    <t>Монтаж трубопровода от узлов управления до выпускных насадок спринклерных установок водяного пожаротушения и побудительные в помещениях с подвесными потолками, номинальный диаметр труб до 40 мм</t>
  </si>
  <si>
    <t>1000 м</t>
  </si>
  <si>
    <t>ТСН-2001.4 Доп. 80, Сб. 12, т. 34, поз. 1</t>
  </si>
  <si>
    <t>1000 М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</si>
  <si>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</si>
  <si>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</si>
  <si>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</si>
  <si>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1.12-1-54</t>
  </si>
  <si>
    <t>Узел трубопровода из стальных водогазопроводных оцинкованных труб, с гильзами, для водоснабжения, диаметр условного прохода 25 мм</t>
  </si>
  <si>
    <t>ТСН-2001.1 Доп. 79, Р. 12, о. 1, поз. 54</t>
  </si>
  <si>
    <t>18</t>
  </si>
  <si>
    <t>4.12-32-1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</si>
  <si>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40 мм</t>
  </si>
  <si>
    <t>ТСН-2001.4 Доп. 80, Сб. 12, т. 32, поз. 1</t>
  </si>
  <si>
    <t>18,1</t>
  </si>
  <si>
    <t>18,2</t>
  </si>
  <si>
    <t>19</t>
  </si>
  <si>
    <t>1.6-1-312</t>
  </si>
  <si>
    <t>Опора скользящая типа ОПП3-165 для трубопровода с наружным диаметром 165 мм</t>
  </si>
  <si>
    <t>ТСН-2001.1 Доп. 79, Р. 6, о. 1, поз. 312</t>
  </si>
  <si>
    <t>20</t>
  </si>
  <si>
    <t>1.7-5-376</t>
  </si>
  <si>
    <t>Хомут U-образный из оцинкованной стали, размер 3 1/2", для крепления труб диаметром от 90 до 102 мм</t>
  </si>
  <si>
    <t>ТСН-2001.1 Доп. 77, Р. 7, о. 5, поз. 376</t>
  </si>
  <si>
    <t>21</t>
  </si>
  <si>
    <t>1.7-5-375</t>
  </si>
  <si>
    <t>Хомут U-образный из оцинкованной стали, размер 3", для крепления труб диаметром от 80 до 90 мм</t>
  </si>
  <si>
    <t>ТСН-2001.1 Доп. 77, Р. 7, о. 5, поз. 375</t>
  </si>
  <si>
    <t>22</t>
  </si>
  <si>
    <t>1.12-10-156</t>
  </si>
  <si>
    <t>Кронштейн Г-образный, стальной, окрашенный, для крепления экранов радиаторов к стенам, длина 150 мм (Угол стальной 45х45 для кронштейнов крепления, ст.3)</t>
  </si>
  <si>
    <t>ТСН-2001.1 Доп. 69, Р. 12, о. 10, поз. 156</t>
  </si>
  <si>
    <t>3.70-41-2</t>
  </si>
  <si>
    <t>Установка распорных анкеров в готовые отверстия</t>
  </si>
  <si>
    <t>100 шт.</t>
  </si>
  <si>
    <t>ТСН-2001.3 Доп. 78, Сб. 70, т. 41, поз. 2</t>
  </si>
  <si>
    <t>ТСН-2001.3-70. Металлические конструкции</t>
  </si>
  <si>
    <t>ТСН-2001.3-70-4</t>
  </si>
  <si>
    <t>1.3-4-176</t>
  </si>
  <si>
    <t>Шпилька анкерная, стальная, резьбовая, оцинкованная, в комплекте с шайбой и гайкой, М12x110 мм</t>
  </si>
  <si>
    <t>ТСН-2001.1 Доп. 73, Р. 3, о. 4, поз. 176</t>
  </si>
  <si>
    <t>1.7-5-262</t>
  </si>
  <si>
    <t>Анкер забивной, латунный, внутренняя резьба М10, диаметр 12 мм, длина 34 мм</t>
  </si>
  <si>
    <t>ТСН-2001.1 Доп. 79, Р. 7, о. 5, поз. 262</t>
  </si>
  <si>
    <t>23</t>
  </si>
  <si>
    <t>3.9-72-2</t>
  </si>
  <si>
    <t>ТСН-2001.3 Доп. 74, Сб. 9, т. 72, поз. 2</t>
  </si>
  <si>
    <t>ТСН-2001.3-9. Металлические конструкции</t>
  </si>
  <si>
    <t>ТСН-2001.3-9-1</t>
  </si>
  <si>
    <t>23,1</t>
  </si>
  <si>
    <t>Поправка: Гл.12.Прил.8.п.8. 3_12.00.01.11.001_x000D_
Поправка: Гл.6.Прил.2.2.п.2.2.6_06.00.01.07.001</t>
  </si>
  <si>
    <t>23,2</t>
  </si>
  <si>
    <t>24</t>
  </si>
  <si>
    <t>3.13-9-2</t>
  </si>
  <si>
    <t>Огрунтовка металлических поверхностей грунтовкой ГФ-021 за один раз</t>
  </si>
  <si>
    <t>100 м2</t>
  </si>
  <si>
    <t>ТСН-2001.3 Доп. 79, Сб. 13, т. 9, поз. 2</t>
  </si>
  <si>
    <t>ТСН-2001.3-13. Защита строительных конструкций и оборудования от коррозии</t>
  </si>
  <si>
    <t>ТСН-2001.3-13-1</t>
  </si>
  <si>
    <t>24,1</t>
  </si>
  <si>
    <t>1.1-1-165</t>
  </si>
  <si>
    <t>Грунтовка глифталевая, типа ГФ-021</t>
  </si>
  <si>
    <t>т</t>
  </si>
  <si>
    <t>ТСН-2001.1 Доп. 79, Р. 1, о. 1, поз. 165</t>
  </si>
  <si>
    <t>25</t>
  </si>
  <si>
    <t>3.13-11-8</t>
  </si>
  <si>
    <t>Окраска огрунтованных металлических поверхностей эмалями ПФ-115</t>
  </si>
  <si>
    <t>ТСН-2001.3 Доп. 79, Сб. 13, т. 11, поз. 8</t>
  </si>
  <si>
    <t>4.12-53-10</t>
  </si>
  <si>
    <t>Монтаж арматуры приварной с ручным приводом или без привода на номинальное давление до 10 МПа, номинальный диаметр 100 мм</t>
  </si>
  <si>
    <t>ТСН-2001.4 Доп. 79, Сб. 12, т. 53, поз. 10</t>
  </si>
  <si>
    <t>КА. п. 3</t>
  </si>
  <si>
    <t>Расходомер ДУ100 Пульсар</t>
  </si>
  <si>
    <t>[31 049,7 / 1,22 /  9,84] +  2% Заг.скл</t>
  </si>
  <si>
    <t>0</t>
  </si>
  <si>
    <t>26</t>
  </si>
  <si>
    <t>27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</si>
  <si>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</si>
  <si>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</si>
  <si>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</si>
  <si>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</si>
  <si>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</si>
  <si>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</si>
  <si>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</si>
  <si>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</si>
  <si>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</si>
  <si>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</si>
  <si>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</si>
  <si>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</si>
  <si>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</si>
  <si>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</si>
  <si>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</si>
  <si>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</si>
  <si>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</si>
  <si>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</si>
  <si>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</si>
  <si>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</si>
  <si>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</si>
  <si>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</si>
  <si>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</si>
  <si>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</si>
  <si>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</si>
  <si>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</si>
  <si>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</si>
  <si>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</si>
  <si>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</si>
  <si>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</si>
  <si>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</si>
  <si>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</si>
  <si>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</si>
  <si>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</si>
  <si>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</si>
  <si>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</si>
  <si>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</si>
  <si>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</si>
  <si>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</si>
  <si>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</si>
  <si>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</si>
  <si>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</si>
  <si>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</si>
  <si>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</si>
  <si>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</si>
  <si>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</si>
  <si>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</si>
  <si>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</si>
  <si>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</si>
  <si>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</si>
  <si>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</si>
  <si>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</si>
  <si>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</si>
  <si>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</si>
  <si>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Автоматическая установка водяного пожаротушения.</t>
  </si>
  <si>
    <t>28</t>
  </si>
  <si>
    <t>4.12-35-14</t>
  </si>
  <si>
    <t>Монтаж оросителя установки водяного или пенного пожаротушения, спринклерный или дренчерный в подвесных потолках</t>
  </si>
  <si>
    <t>ТСН-2001.4 Доп. 81, Сб. 12, т. 35, поз. 14</t>
  </si>
  <si>
    <t>28,1</t>
  </si>
  <si>
    <t>1.17-7-51</t>
  </si>
  <si>
    <t>Ороситель спринклерный, латунный, без покрытия, стандартного реагирования, для воды и пены, настенный, горизонтальный, присоединение 1/2", коэффициент производительности 80, колба 5 мм</t>
  </si>
  <si>
    <t>ТСН-2001.1 Доп. 79, Р. 17, о. 7, поз. 51</t>
  </si>
  <si>
    <t>29</t>
  </si>
  <si>
    <t>1.12-10-126</t>
  </si>
  <si>
    <t>Бобышка стальная, прямая, типа ЗК4-1-85  (Муфта стальная приварная 1/2")</t>
  </si>
  <si>
    <t>ТСН-2001.1 Доп. 73, Р. 12, о. 10, поз. 126</t>
  </si>
  <si>
    <t>30</t>
  </si>
  <si>
    <t>4.12-56-7</t>
  </si>
  <si>
    <t>Монтаж арматуры муфтовой с ручным приводом или без привода на номинальное давление до 10 МПа, номинальный диаметр 50 мм</t>
  </si>
  <si>
    <t>ТСН-2001.4 Доп. 80, Сб. 12, т. 56, поз. 7</t>
  </si>
  <si>
    <t>30,1</t>
  </si>
  <si>
    <t>1.13-4-66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</si>
  <si>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50 мм</t>
  </si>
  <si>
    <t>ТСН-2001.1 Доп. 79, Р. 13, о. 4, поз. 66</t>
  </si>
  <si>
    <t>30,2</t>
  </si>
  <si>
    <t>1.17-7-44</t>
  </si>
  <si>
    <t>Головка соединительная напорная, для соединения напорных пожарных рукавов между собой и с пожарным оборудованием, муфтовая ГМ-50</t>
  </si>
  <si>
    <t>ТСН-2001.1 Доп. 67, Р. 17, о. 7, поз. 44</t>
  </si>
  <si>
    <t>4.12-39-1</t>
  </si>
  <si>
    <t>Монтаж закладного устройства прибора: бобышки, штуцера на номинальное давление до 10 МПа</t>
  </si>
  <si>
    <t>ТСН-2001.4 Доп. 79, Сб. 12, т. 39, поз. 1</t>
  </si>
  <si>
    <t>1.12-10-23</t>
  </si>
  <si>
    <t>Фитинг (сгон) из стальных водогазопроводных неоцинкованных труб для соединения стальных трубопроводов, с муфтой и контргайкой, номинальный диаметр DN 50 мм</t>
  </si>
  <si>
    <t>КОМПЛЕКТ</t>
  </si>
  <si>
    <t>ТСН-2001.1 Доп. 79, Р. 12, о. 10, поз. 23</t>
  </si>
  <si>
    <t>31</t>
  </si>
  <si>
    <t>3.18-21-1</t>
  </si>
  <si>
    <t>Установка воздухоотводчиков</t>
  </si>
  <si>
    <t>ТСН-2001.3 Доп. 68, Сб. 18, т. 21, поз. 1</t>
  </si>
  <si>
    <t>31,1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</si>
  <si>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</si>
  <si>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</si>
  <si>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</si>
  <si>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3.16-15-1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</si>
  <si>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</si>
  <si>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ТСН-2001.3 Доп. 79, Сб. 16, т. 15, поз. 1</t>
  </si>
  <si>
    <t>ТСН-2001.3-16. Трубопроводы внутренние</t>
  </si>
  <si>
    <t>ТСН-2001.3-16-1</t>
  </si>
  <si>
    <t>1.13-3-33</t>
  </si>
  <si>
    <t>Клапан обратный, латунный, подъемный, муфтовый, 16б1бк, номинальное давление PN 1,6 МПа, номинальный диаметр DN 15 мм</t>
  </si>
  <si>
    <t>ТСН-2001.1 Доп. 73, Р. 13, о. 3, поз. 33</t>
  </si>
  <si>
    <t>Поправка: Гл.6.Прил.2.2.п.2.2.6_06.00.01.07.001_x000D_
Поправка: Гл.12.Прил.8.п.8. 3_12.00.01.11.001</t>
  </si>
  <si>
    <t>32</t>
  </si>
  <si>
    <t>4.12-56-2</t>
  </si>
  <si>
    <t>Монтаж арматуры муфтовой с ручным приводом или без привода на номинальное давление до 10 МПа, номинальный диаметр 15 мм</t>
  </si>
  <si>
    <t>ТСН-2001.4 Доп. 79, Сб. 12, т. 56, поз. 2</t>
  </si>
  <si>
    <t>33</t>
  </si>
  <si>
    <t>34</t>
  </si>
  <si>
    <t>34,1</t>
  </si>
  <si>
    <t>35</t>
  </si>
  <si>
    <t>36</t>
  </si>
  <si>
    <t>1.12-11-104</t>
  </si>
  <si>
    <t>Тройник сварной, стальной, диаметр 108 мм, толщина стенки 6 мм</t>
  </si>
  <si>
    <t>ТСН-2001.1 Доп. 79, Р. 12, о. 11, поз. 104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</si>
  <si>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</si>
  <si>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</si>
  <si>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</si>
  <si>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37</t>
  </si>
  <si>
    <t>37,1</t>
  </si>
  <si>
    <t>37,2</t>
  </si>
  <si>
    <t>37,3</t>
  </si>
  <si>
    <t>1.12-1-53</t>
  </si>
  <si>
    <t>Узел трубопровода из стальных водогазопроводных оцинкованных труб, с гильзами, для водоснабжения, диаметр условного прохода 20 мм</t>
  </si>
  <si>
    <t>ТСН-2001.1 Доп. 79, Р. 12, о. 1, поз. 53</t>
  </si>
  <si>
    <t>6.65-47-1</t>
  </si>
  <si>
    <t>Установка заглушек, диаметр трубопроводов до 100 мм</t>
  </si>
  <si>
    <t>100 заглушек</t>
  </si>
  <si>
    <t>ТСН-2001.6 Доп. 79, Сб. 65, т. 47, поз. 1</t>
  </si>
  <si>
    <t>Ремонтно-строительные работы</t>
  </si>
  <si>
    <t>ТСН-2001.6-65. Внутренние санитарно-технические работы: смена труб, санприборов, запорной арматуры и другое</t>
  </si>
  <si>
    <t>ТСН-2001.6-65-2</t>
  </si>
  <si>
    <t>38</t>
  </si>
  <si>
    <t>38,1</t>
  </si>
  <si>
    <t>39</t>
  </si>
  <si>
    <t>40</t>
  </si>
  <si>
    <t>41</t>
  </si>
  <si>
    <t>4.11-2-1</t>
  </si>
  <si>
    <t>Установка прибора на резьбовых соединениях</t>
  </si>
  <si>
    <t>ТСН-2001.4 Доп. 67, Сб. 11, т. 2, поз. 1</t>
  </si>
  <si>
    <t>41,1</t>
  </si>
  <si>
    <t>КА. п. 4</t>
  </si>
  <si>
    <t>Сигнализатор потока жидкости СПЖ (25-200)-0,63/1,6(3)-УН(G3/4).У2-"Стрим"</t>
  </si>
  <si>
    <t>[15 939 / 1,22 /  7,57] +  3% Трансп +  1,2% Заг.скл</t>
  </si>
  <si>
    <t>42</t>
  </si>
  <si>
    <t>43</t>
  </si>
  <si>
    <t>1.7-5-371</t>
  </si>
  <si>
    <t>Хомут U-образный из оцинкованной стали, размер 1 1/4", для крепления труб диаметром от 33 до 42 мм</t>
  </si>
  <si>
    <t>ТСН-2001.1 Доп. 77, Р. 7, о. 5, поз. 371</t>
  </si>
  <si>
    <t>44</t>
  </si>
  <si>
    <t>44,1</t>
  </si>
  <si>
    <t>45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</si>
  <si>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</si>
  <si>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</si>
  <si>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</si>
  <si>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</si>
  <si>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</si>
  <si>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</si>
  <si>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</si>
  <si>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</si>
  <si>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</si>
  <si>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</si>
  <si>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</si>
  <si>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</si>
  <si>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</si>
  <si>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</si>
  <si>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</si>
  <si>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</si>
  <si>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</si>
  <si>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</si>
  <si>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</si>
  <si>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</si>
  <si>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</si>
  <si>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</si>
  <si>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Коэффициенты к ТСН-2001 МГЭ Дополнение 81, строительство</t>
  </si>
  <si>
    <t>_OBSM_</t>
  </si>
  <si>
    <t>9999990008</t>
  </si>
  <si>
    <t>Трудозатраты рабочих</t>
  </si>
  <si>
    <t>чел.-ч.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</si>
  <si>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</si>
  <si>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</si>
  <si>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</si>
  <si>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маш.-ч</t>
  </si>
  <si>
    <t>2.1-13-16</t>
  </si>
  <si>
    <t>ТСН-2001.2. Доп. 68. п.1-13-16 (136301)</t>
  </si>
  <si>
    <t>Аппараты для газовой сварки и резки (комплект оборудования)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</si>
  <si>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</si>
  <si>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</si>
  <si>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</si>
  <si>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</si>
  <si>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2.1-30-19</t>
  </si>
  <si>
    <t>ТСН-2001.2. Доп. 80. п.1-30-19 (305001)</t>
  </si>
  <si>
    <t>Машины шлифовальные электрические, мощность до 1700 Вт</t>
  </si>
  <si>
    <t>2.1-4-98</t>
  </si>
  <si>
    <t>ТСН-2001.2. Доп. 68. п.1-4-98 (042931)</t>
  </si>
  <si>
    <t>Лебедки электрические, тяговое усилие до 31,39 кН (3,2 тс)</t>
  </si>
  <si>
    <t>1.1-1-1677</t>
  </si>
  <si>
    <t>ТСН-2001.1 Доп. 79, Р. 1, о. 1, поз. 1677</t>
  </si>
  <si>
    <t>Электроды, типа УОНИ 13/55, диаметр от 4 до 5 мм</t>
  </si>
  <si>
    <t>1.1-1-1920</t>
  </si>
  <si>
    <t>ТСН-2001.1. Доп. 1-42. Р. 1, о. 1, поз. 1920</t>
  </si>
  <si>
    <t>Электроэнергия</t>
  </si>
  <si>
    <t>квт.-ч.</t>
  </si>
  <si>
    <t>1.1-1-2613</t>
  </si>
  <si>
    <t>ТСН-2001.1 Доп. 79, Р. 1, о. 1, поз. 2613</t>
  </si>
  <si>
    <t>Пропан-бутан, сжиженный газ</t>
  </si>
  <si>
    <t>кг</t>
  </si>
  <si>
    <t>1.1-1-376</t>
  </si>
  <si>
    <t>ТСН-2001.1 Доп. 79, Р. 1, о. 1, поз. 376</t>
  </si>
  <si>
    <t>Кислород технический, газообразный</t>
  </si>
  <si>
    <t>м3</t>
  </si>
  <si>
    <t>2.1-3-38</t>
  </si>
  <si>
    <t>ТСН-2001.2. Доп. 68. п.1-3-38 (032009)</t>
  </si>
  <si>
    <t>Краны на автомобильном ходу, грузоподъемность до 16 т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</si>
  <si>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</si>
  <si>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</si>
  <si>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</si>
  <si>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</si>
  <si>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</si>
  <si>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</si>
  <si>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1.12-9-6</t>
  </si>
  <si>
    <t>ТСН-2001.1 Доп. 80, Р. 12, о. 9, поз. 6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</si>
  <si>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80 мм</t>
  </si>
  <si>
    <t>1.12-9-7</t>
  </si>
  <si>
    <t>ТСН-2001.1 Доп. 80, Р. 12, о. 9, поз. 7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</si>
  <si>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100 мм</t>
  </si>
  <si>
    <t>1.3-2-3</t>
  </si>
  <si>
    <t>ТСН-2001.1 Доп. 79, Р. 3, о. 2, поз. 3</t>
  </si>
  <si>
    <t>Раствор цементный, марка М50</t>
  </si>
  <si>
    <t>1.1-1-57</t>
  </si>
  <si>
    <t>ТСН-2001.1 Доп. 79, Р. 1, о. 1, поз. 57</t>
  </si>
  <si>
    <t>Болты строительные с гайками и шайбами, черные, М10х100 мм</t>
  </si>
  <si>
    <t>1.12-9-3</t>
  </si>
  <si>
    <t>ТСН-2001.1 Доп. 80, Р. 12, о. 9, поз. 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</si>
  <si>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</si>
  <si>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</si>
  <si>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</si>
  <si>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</si>
  <si>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</si>
  <si>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</si>
  <si>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</si>
  <si>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1.1-1-118</t>
  </si>
  <si>
    <t>ТСН-2001.1. Доп. 1-42. Р. 1, о. 1, поз. 118</t>
  </si>
  <si>
    <t>Вода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</si>
  <si>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</si>
  <si>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</si>
  <si>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</si>
  <si>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</si>
  <si>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</si>
  <si>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</si>
  <si>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</si>
  <si>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</si>
  <si>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</si>
  <si>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</si>
  <si>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</si>
  <si>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</si>
  <si>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2.1-30-7</t>
  </si>
  <si>
    <t>ТСН-2001.2. Доп. 68. п.1-30-7 (303801)</t>
  </si>
  <si>
    <t>Молотки бурильные пневматические легкие</t>
  </si>
  <si>
    <t>1.1-1-1577</t>
  </si>
  <si>
    <t>ТСН-2001.1 Доп. 79, Р. 1, о. 1, поз. 1577</t>
  </si>
  <si>
    <t>Эмаль пентафталевая, цветная, типа ПФ-115</t>
  </si>
  <si>
    <t>2.1-30-37</t>
  </si>
  <si>
    <t>ТСН-2001.2. Доп. 68. п.1-30-37 (307101)</t>
  </si>
  <si>
    <t>Станки вертикально-сверлильные</t>
  </si>
  <si>
    <t>1.1-1-1566</t>
  </si>
  <si>
    <t>ТСН-2001.1 Доп. 79, Р. 1, о. 1, поз. 1566</t>
  </si>
  <si>
    <t>Электроды, типа Э-42, Э-46, Э-50, диаметр от 4 до 6 мм</t>
  </si>
  <si>
    <t>1.1-1-1576</t>
  </si>
  <si>
    <t>ТСН-2001.1 Доп. 79, Р. 1, о. 1, поз. 1576</t>
  </si>
  <si>
    <t>Эмаль пентафталевая, белая, типа ПФ-115</t>
  </si>
  <si>
    <t>1.1-1-2623</t>
  </si>
  <si>
    <t>ТСН-2001.1 Доп. 79, Р. 1, о. 1, поз. 2623</t>
  </si>
  <si>
    <t>Болты строительные с шестигранной головкой, М12</t>
  </si>
  <si>
    <t>1.1-1-3482</t>
  </si>
  <si>
    <t>ТСН-2001.1 Доп. 79, Р. 1, о. 1, поз. 3482</t>
  </si>
  <si>
    <t>Лист рифленый, с ромбическим рифлением, из стали углеродистой обыкновенного качества, полуспокойной и спокойной, толщина 4 мм</t>
  </si>
  <si>
    <t>1.1-1-995</t>
  </si>
  <si>
    <t>ТСН-2001.1 Доп. 79, Р. 1, о. 1, поз. 995</t>
  </si>
  <si>
    <t>Растворитель типа Р-4</t>
  </si>
  <si>
    <t>1.1-1-999</t>
  </si>
  <si>
    <t>ТСН-2001.1 Доп. 79, Р. 1, о. 1, поз. 999</t>
  </si>
  <si>
    <t>Растворитель "Уайт-спирит"</t>
  </si>
  <si>
    <t>1.1-1-1664</t>
  </si>
  <si>
    <t>ТСН-2001.1 Доп. 79, Р. 1, о. 1, поз. 1664</t>
  </si>
  <si>
    <t>Проволока сварочная, марка СВ-08 Г2С, диаметр 2 мм</t>
  </si>
  <si>
    <t>1.1-1-26</t>
  </si>
  <si>
    <t>ТСН-2001.1 Доп. 79, Р. 1, о. 1, поз. 26</t>
  </si>
  <si>
    <t>Ацетилен технический</t>
  </si>
  <si>
    <t>2.1-10-2</t>
  </si>
  <si>
    <t>ТСН-2001.2. Доп. 68. п.1-10-2 (100102)</t>
  </si>
  <si>
    <t>Компрессоры передвижные с двигателем внутреннего сгорания, давление до 7 ат, производительность до 6,5 м3/мин</t>
  </si>
  <si>
    <t>2.1-11-27</t>
  </si>
  <si>
    <t>ТСН-2001.2. Доп. 71. п.1-11-27 (115402)</t>
  </si>
  <si>
    <t>Насосы химические, производительность до 7,2 м3/ч, напор до 30 м</t>
  </si>
  <si>
    <t>2.1-4-32</t>
  </si>
  <si>
    <t>ТСН-2001.2. Доп. 68. п.1-4-32 (042904)</t>
  </si>
  <si>
    <t>Лебедки электрические, тяговое усилие до 19,62 кН (2 тc)</t>
  </si>
  <si>
    <t>1.1-1-1948</t>
  </si>
  <si>
    <t>ТСН-2001.1 Доп. 79, Р. 1, о. 1, поз. 1948</t>
  </si>
  <si>
    <t>Гвозди (дюбели металлические) для пороховых монтажных пистолетов, диаметр 4 мм, длина 37 мм, для крепления в бетон и сталь</t>
  </si>
  <si>
    <t>1.1-1-1949</t>
  </si>
  <si>
    <t>ТСН-2001.1 Доп. 73, Р. 1, о. 1, поз. 1949</t>
  </si>
  <si>
    <t>Патроны для пороховых монтажных пистолетов, калибр 6,8х11 мм</t>
  </si>
  <si>
    <t>1.21-5-731</t>
  </si>
  <si>
    <t>ТСН-2001.1 Доп. 77, Р. 21, о. 5, поз. 731</t>
  </si>
  <si>
    <t>Колпачок изолированный, типа СЕСТ 16-150</t>
  </si>
  <si>
    <t>2.1-10-12</t>
  </si>
  <si>
    <t>ТСН-2001.2. Доп. 68. п.1-10-12 (105001)</t>
  </si>
  <si>
    <t>Компрессоры передвижные электрические, давление до 10 ат, производительность до 3,5 м3/мин</t>
  </si>
  <si>
    <t>2.1-4-12</t>
  </si>
  <si>
    <t>ТСН-2001.2. Доп. 68. п.1-4-12 (040205)</t>
  </si>
  <si>
    <t>Автопогрузчики вилочные, грузоподъемность до 5 т</t>
  </si>
  <si>
    <t>2.1-4-30</t>
  </si>
  <si>
    <t>ТСН-2001.2. Доп. 68. п.1-4-30 (042901)</t>
  </si>
  <si>
    <t>Лебедки электрические, тяговое усилие до 4,9 кН (0,5 тс)</t>
  </si>
  <si>
    <t>1.1-1-489</t>
  </si>
  <si>
    <t>ТСН-2001.1 Доп. 79, Р. 1, о. 1, поз. 489</t>
  </si>
  <si>
    <t>Ксилол нефтяной, марка А</t>
  </si>
  <si>
    <t>2.1-30-56</t>
  </si>
  <si>
    <t>ТСН-2001.2. Доп. 68. п.1-30-56 (309101)</t>
  </si>
  <si>
    <t>Шуруповерты</t>
  </si>
  <si>
    <t>1.1-1-8035</t>
  </si>
  <si>
    <t>ТСН-2001.1 Доп. 79, Р. 1, о. 1, поз. 8035</t>
  </si>
  <si>
    <t>Состав уплотнительный на органической основе с минеральным наполнителем для герметизации кабельных вводов, муфт, зазоров, резьбовых соединений газовых и водопроводных труб</t>
  </si>
  <si>
    <t>1.12-10-227</t>
  </si>
  <si>
    <t>ТСН-2001.1 Доп. 81, Р. 12, о. 10, поз. 227</t>
  </si>
  <si>
    <t>Рейка стальная для крепления гибких подводок к подвесному потолку в спринклерных системах пожаротушения</t>
  </si>
  <si>
    <t>1.12-10-228</t>
  </si>
  <si>
    <t>ТСН-2001.1 Доп. 81, Р. 12, о. 10, поз. 228</t>
  </si>
  <si>
    <t>Зажим (кронштейн) стальной для центрального крепления спринклерной подводки в точке орошения</t>
  </si>
  <si>
    <t>1.12-10-229</t>
  </si>
  <si>
    <t>ТСН-2001.1 Доп. 81, Р. 12, о. 10, поз. 229</t>
  </si>
  <si>
    <t>Зажим (кронштейн) стальной для фиксации реечного крепления гибких подводок к несущему профилю подвесного потолка</t>
  </si>
  <si>
    <t>1.12-10-230</t>
  </si>
  <si>
    <t>ТСН-2001.1 Доп. 81, Р. 12, о. 10, поз. 230</t>
  </si>
  <si>
    <t>Зажим для фиксации спринклерной подводки к потолку</t>
  </si>
  <si>
    <t>1.17-7-69</t>
  </si>
  <si>
    <t>ТСН-2001.1 Доп. 81, Р. 17, о. 7, поз. 69</t>
  </si>
  <si>
    <t>Отражатель декоративный пластиковый для спринклерного оросителя в подвесной потолок или стеновую панель, диаметр присоединительной резьбы 1/2"</t>
  </si>
  <si>
    <t>1.12-10-131</t>
  </si>
  <si>
    <t>ТСН-2001.1 Доп. 79, Р. 12, о. 10, поз. 131</t>
  </si>
  <si>
    <t>Заглушка стальная, резьбовая, диаметр 20 мм</t>
  </si>
  <si>
    <t>1.18-7-84</t>
  </si>
  <si>
    <t>ТСН-2001.1 Доп. 65, Р. 18, о. 7, поз. 84</t>
  </si>
  <si>
    <t>Пробка П-М27x2,0 из стали 20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</si>
  <si>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</si>
  <si>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</si>
  <si>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</si>
  <si>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1.1-1-1668</t>
  </si>
  <si>
    <t>ТСН-2001.1 Доп. 79, Р. 1, о. 1, поз. 1668</t>
  </si>
  <si>
    <t>Электроды, типа Э-42А, диаметр от 2 до 2,5 мм</t>
  </si>
  <si>
    <t>1.1-1-1103</t>
  </si>
  <si>
    <t>ТСН-2001.1 Доп. 79, Р. 1, о. 1, поз. 1103</t>
  </si>
  <si>
    <t>Прокат листовой, из стали углеродистой обыкновенного качества, полуспокойной, толщина более 4 мм</t>
  </si>
  <si>
    <t>1.1-1-1679</t>
  </si>
  <si>
    <t>ТСН-2001.1 Доп. 79, Р. 1, о. 1, поз. 1679</t>
  </si>
  <si>
    <t>Паронит общего назначения типа ПОН-Б, толщина от 0,4 до 5,0 мм</t>
  </si>
  <si>
    <t>9999990002</t>
  </si>
  <si>
    <t>Масса оборудования</t>
  </si>
  <si>
    <t>3630000000</t>
  </si>
  <si>
    <t>Насосные агрегаты</t>
  </si>
  <si>
    <t>1297020000</t>
  </si>
  <si>
    <t>Болты анкерные в комплекте с гайками и шайбами</t>
  </si>
  <si>
    <t>Болты строительные с гайками и шайбами (1297030000, 1610000000, 1620000000, 1680000000)</t>
  </si>
  <si>
    <t>3631910000</t>
  </si>
  <si>
    <t>Насосы вихревые, центробежные</t>
  </si>
  <si>
    <t>3631820000</t>
  </si>
  <si>
    <t>Насосы</t>
  </si>
  <si>
    <t>4932510000</t>
  </si>
  <si>
    <t>Баки расширительные</t>
  </si>
  <si>
    <t>3430000000</t>
  </si>
  <si>
    <t>Шкафы (пульты) управления навесные</t>
  </si>
  <si>
    <t>4236000000</t>
  </si>
  <si>
    <t>Щиты и пульты автоматики (4235000000)</t>
  </si>
  <si>
    <t>4200000000</t>
  </si>
  <si>
    <t>Приборы, устанавливаемые на металлоконструкциях или щитах</t>
  </si>
  <si>
    <t>3700000000</t>
  </si>
  <si>
    <t>Арматура трубопроводная</t>
  </si>
  <si>
    <t>3712220000</t>
  </si>
  <si>
    <t>Кран трехходовой</t>
  </si>
  <si>
    <t>4212130000</t>
  </si>
  <si>
    <t>Контрольно-измерительные приборы</t>
  </si>
  <si>
    <t>1300000000</t>
  </si>
  <si>
    <t>Узлы из стальных труб</t>
  </si>
  <si>
    <t>Трубы стальные</t>
  </si>
  <si>
    <t>5285920000</t>
  </si>
  <si>
    <t>Анкер распорный для установки в бетон</t>
  </si>
  <si>
    <t>2312130000</t>
  </si>
  <si>
    <t>Грунтовка ГФ-021 красно-коричневая</t>
  </si>
  <si>
    <t>1371001000</t>
  </si>
  <si>
    <t>Трубы гофрированные из нержавеющей стали</t>
  </si>
  <si>
    <t>4193103000</t>
  </si>
  <si>
    <t>Муфты с внутренней резьбой для стальных гофрированных труб</t>
  </si>
  <si>
    <t>Муфты с наружной резьбой для стальных гофрированных труб</t>
  </si>
  <si>
    <t>4854870000</t>
  </si>
  <si>
    <t>Оросители, насадки</t>
  </si>
  <si>
    <t>3799000000</t>
  </si>
  <si>
    <t>Закладные устройства приборов</t>
  </si>
  <si>
    <t>1468010000</t>
  </si>
  <si>
    <t>Фланцы стальные</t>
  </si>
  <si>
    <t>4932521000</t>
  </si>
  <si>
    <t>Воздухоотводчики</t>
  </si>
  <si>
    <t>Фланцы стальные плоские приварные</t>
  </si>
  <si>
    <t>Приборы, устанавливаемые на резьбовых соединениях</t>
  </si>
  <si>
    <t>*0,75</t>
  </si>
  <si>
    <t>Гл.4.Прил.2.2.п.2.2.17_04.00.01.24.001</t>
  </si>
  <si>
    <t>При разнице в массе оборудования более 10% к норме и расценке ближайшего по массе оборудования при коэффициенте изменения массы оборудования до 0,5 т</t>
  </si>
  <si>
    <t>Глава 4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</si>
  <si>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</si>
  <si>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</si>
  <si>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</si>
  <si>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</si>
  <si>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</si>
  <si>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</si>
  <si>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</si>
  <si>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</si>
  <si>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Поправка: Гл.4.Прил.2.2.п.2.2.17_04.00.01.24.001
Наименование: При разнице в массе оборудования более 10% к норме и расценке ближайшего по массе оборудования при коэффициенте изменения массы оборудования до 0,5 т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</si>
  <si>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</si>
  <si>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</si>
  <si>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</si>
  <si>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</si>
  <si>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</si>
  <si>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</si>
  <si>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</si>
  <si>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</si>
  <si>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</si>
  <si>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</si>
  <si>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</si>
  <si>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</si>
  <si>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</si>
  <si>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</si>
  <si>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</si>
  <si>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</si>
  <si>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</si>
  <si>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</si>
  <si>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</si>
  <si>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</si>
  <si>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</si>
  <si>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</si>
  <si>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</si>
  <si>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</si>
  <si>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</si>
  <si>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</si>
  <si>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</si>
  <si>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</si>
  <si>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№5. 02-01-21 Спринклерное пожаротушение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</si>
  <si>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</si>
  <si>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</si>
  <si>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</si>
  <si>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</si>
  <si>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1,2*1,15</t>
  </si>
  <si>
    <t>ЭМ</t>
  </si>
  <si>
    <t>1,2*1,25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</si>
  <si>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</si>
  <si>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</si>
  <si>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</si>
  <si>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</si>
  <si>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</si>
  <si>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</si>
  <si>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</si>
  <si>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</si>
  <si>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</si>
  <si>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</si>
  <si>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Насосная установка пожаротушения Q-66,38 (м3/ч), H- 25,0 м.в.ст., Жокей насос Q-3.0 (м3/ч),H- 30,0 м.в.ст., комплектно со шкафом автоматического управления ШУПН-3-С ОН/РН/ЖН-18,5/18,5/1,5-УПП/УПП/П-В и комплектно с выносной панелью индикации ВП</t>
    </r>
    <r>
      <rPr>
        <i/>
        <sz val="10"/>
        <color rgb="FF821E82"/>
        <rFont val="Arial"/>
        <family val="2"/>
        <charset val="204"/>
      </rPr>
      <t xml:space="preserve">
199 171,86 = [1 764 680 / 1,22 /  7,57] +  3% Трансп +  1,2% Заг.скл</t>
    </r>
  </si>
  <si>
    <r>
      <t>ОБОРУДОВАНИЕ:_x000D_
Узел управления спринклерный водозаполненный УУ-С100/1,6В-ВФ.О4 Прямоточный-100</t>
    </r>
    <r>
      <rPr>
        <i/>
        <sz val="10"/>
        <color rgb="FF821E82"/>
        <rFont val="Arial"/>
        <family val="2"/>
        <charset val="204"/>
      </rPr>
      <t xml:space="preserve">
7 821,60 = [69 300 / 1,22 /  7,57] +  3% Трансп +  1,2% Заг.скл</t>
    </r>
  </si>
  <si>
    <r>
      <t>Расходомер ДУ100 Пульсар</t>
    </r>
    <r>
      <rPr>
        <i/>
        <sz val="10"/>
        <rFont val="Arial"/>
        <family val="2"/>
        <charset val="204"/>
      </rPr>
      <t xml:space="preserve">
2 638,17 = [31 049,7 / 1,22 /  9,84] +  2% Заг.скл</t>
    </r>
  </si>
  <si>
    <t xml:space="preserve">   Итого по ТСН-2001.16</t>
  </si>
  <si>
    <t xml:space="preserve">   Итого возвратных сумм</t>
  </si>
  <si>
    <t>1,15*1,2</t>
  </si>
  <si>
    <t>1,25*1,2</t>
  </si>
  <si>
    <r>
      <t>ОБОРУДОВАНИЕ:_x000D_
Сигнализатор потока жидкости СПЖ (25-200)-0,63/1,6(3)-УН(G3/4).У2-"Стрим"</t>
    </r>
    <r>
      <rPr>
        <i/>
        <sz val="10"/>
        <color rgb="FF821E82"/>
        <rFont val="Arial"/>
        <family val="2"/>
        <charset val="204"/>
      </rPr>
      <t xml:space="preserve">
1 798,97 = [15 939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</si>
  <si>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</si>
  <si>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</si>
  <si>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</si>
  <si>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</si>
  <si>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Спринклерное пожаротушение</t>
  </si>
  <si>
    <t xml:space="preserve"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</si>
</sst>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0" fillId="0" borderId="0" xfId="0" applyFont="1" applyAlignment="1">
      <alignment vertical="top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70"/>
  <sheetViews>
    <sheetView tabSelected="1" zoomScaleNormal="100" workbookViewId="0">
      <selection activeCell="AW13" sqref="AW1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140625" bestFit="1" customWidth="1"/>
    <col min="6" max="6" width="11.28515625" bestFit="1" customWidth="1"/>
    <col min="7" max="7" width="8.710937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36" t="s">
        <v>742</v>
      </c>
      <c r="K2" s="36"/>
    </row>
    <row r="3" spans="1:42" ht="47.25" x14ac:dyDescent="0.25">
      <c r="A3" s="77" t="s">
        <v>774</v>
      </c>
      <c r="B3" s="77"/>
      <c r="C3" s="77"/>
      <c r="D3" s="77"/>
      <c r="E3" s="77"/>
      <c r="F3" s="77"/>
      <c r="G3" s="77"/>
      <c r="H3" s="77"/>
      <c r="I3" s="77"/>
      <c r="J3" s="77"/>
      <c r="K3" s="77"/>
      <c r="AP3" s="37" t="s">
        <v>743</v>
      </c>
    </row>
    <row r="4" spans="1:42" x14ac:dyDescent="0.2">
      <c r="A4" s="18" t="s">
        <v>721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17" t="str">
        <f>CONCATENATE( "ЛОКАЛЬНАЯ СМЕТА № ",IF(Source!F12&lt;&gt;"Новый объект", Source!F12, ""))</f>
        <v>ЛОКАЛЬНАЯ СМЕТА № 02-01-21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20" t="s">
        <v>773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">
      <c r="A9" s="21" t="s">
        <v>722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23" t="str">
        <f>CONCATENATE( "Основание: чертежи № ", Source!J12)</f>
        <v>Основание: чертежи № 2024-00375-01-0-ИОС2.2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.25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25" t="s">
        <v>723</v>
      </c>
      <c r="J13" s="25" t="s">
        <v>724</v>
      </c>
      <c r="K13" s="16"/>
    </row>
    <row r="14" spans="1:42" ht="15" x14ac:dyDescent="0.25">
      <c r="A14" s="16"/>
      <c r="B14" s="16"/>
      <c r="C14" s="16"/>
      <c r="D14" s="16"/>
      <c r="E14" s="26" t="s">
        <v>725</v>
      </c>
      <c r="F14" s="26"/>
      <c r="G14" s="26"/>
      <c r="H14" s="26"/>
      <c r="I14" s="27">
        <f>I15+I16+I17+I18</f>
        <v>754.65</v>
      </c>
      <c r="J14" s="27">
        <f>J15+J16+J17+J18</f>
        <v>15937.039999999999</v>
      </c>
      <c r="K14" s="28" t="s">
        <v>769</v>
      </c>
    </row>
    <row r="15" spans="1:42" ht="14.25" x14ac:dyDescent="0.2">
      <c r="A15" s="16"/>
      <c r="B15" s="16"/>
      <c r="C15" s="16"/>
      <c r="D15" s="16"/>
      <c r="E15" s="29" t="s">
        <v>41</v>
      </c>
      <c r="F15" s="29"/>
      <c r="G15" s="29"/>
      <c r="H15" s="29"/>
      <c r="I15" s="30">
        <f>ROUND((Source!F368)/1000, 2)</f>
        <v>17</v>
      </c>
      <c r="J15" s="30">
        <f>ROUND((Source!P368)/1000, 2)</f>
        <v>410.92</v>
      </c>
      <c r="K15" s="16" t="s">
        <v>769</v>
      </c>
    </row>
    <row r="16" spans="1:42" ht="14.25" x14ac:dyDescent="0.2">
      <c r="A16" s="16"/>
      <c r="B16" s="16"/>
      <c r="C16" s="16"/>
      <c r="D16" s="16"/>
      <c r="E16" s="29" t="s">
        <v>726</v>
      </c>
      <c r="F16" s="29"/>
      <c r="G16" s="29"/>
      <c r="H16" s="29"/>
      <c r="I16" s="30">
        <f>ROUND((Source!F369)/1000, 2)</f>
        <v>528.86</v>
      </c>
      <c r="J16" s="30">
        <f>ROUND((Source!P369)/1000, 2)</f>
        <v>13945.56</v>
      </c>
      <c r="K16" s="16" t="s">
        <v>769</v>
      </c>
    </row>
    <row r="17" spans="1:42" ht="14.25" x14ac:dyDescent="0.2">
      <c r="A17" s="16"/>
      <c r="B17" s="16"/>
      <c r="C17" s="16"/>
      <c r="D17" s="16"/>
      <c r="E17" s="29" t="s">
        <v>727</v>
      </c>
      <c r="F17" s="29"/>
      <c r="G17" s="29"/>
      <c r="H17" s="29"/>
      <c r="I17" s="30">
        <f>ROUND((Source!F360)/1000, 2)</f>
        <v>208.79</v>
      </c>
      <c r="J17" s="30">
        <f>ROUND((Source!P360)/1000, 2)</f>
        <v>1580.56</v>
      </c>
      <c r="K17" s="16" t="s">
        <v>769</v>
      </c>
    </row>
    <row r="18" spans="1:42" ht="14.25" x14ac:dyDescent="0.2">
      <c r="A18" s="16"/>
      <c r="B18" s="16"/>
      <c r="C18" s="16"/>
      <c r="D18" s="16"/>
      <c r="E18" s="29" t="s">
        <v>728</v>
      </c>
      <c r="F18" s="29"/>
      <c r="G18" s="29"/>
      <c r="H18" s="29"/>
      <c r="I18" s="30">
        <f>ROUND((Source!F370+Source!F371)/1000, 2)</f>
        <v>0</v>
      </c>
      <c r="J18" s="30">
        <f>ROUND((Source!P370+Source!P371)/1000, 2)</f>
        <v>0</v>
      </c>
      <c r="K18" s="16" t="s">
        <v>769</v>
      </c>
    </row>
    <row r="19" spans="1:42" ht="14.25" x14ac:dyDescent="0.2">
      <c r="A19" s="16"/>
      <c r="B19" s="16"/>
      <c r="C19" s="16"/>
      <c r="D19" s="16"/>
      <c r="E19" s="29" t="s">
        <v>729</v>
      </c>
      <c r="F19" s="29"/>
      <c r="G19" s="29"/>
      <c r="H19" s="29"/>
      <c r="I19" s="30">
        <f>(Source!F366+ Source!F365)/1000</f>
        <v>79.482960000000006</v>
      </c>
      <c r="J19" s="30">
        <f>((Source!P366 + Source!P365)/1000)</f>
        <v>4478.8647999999994</v>
      </c>
      <c r="K19" s="16" t="s">
        <v>769</v>
      </c>
    </row>
    <row r="20" spans="1:42" ht="14.25" x14ac:dyDescent="0.2">
      <c r="A20" s="16"/>
      <c r="B20" s="16"/>
      <c r="C20" s="16"/>
      <c r="D20" s="16"/>
      <c r="E20" s="29" t="s">
        <v>730</v>
      </c>
      <c r="F20" s="29"/>
      <c r="G20" s="29"/>
      <c r="H20" s="29"/>
      <c r="I20" s="30">
        <f>Source!F373</f>
        <v>6037.8927298559984</v>
      </c>
      <c r="J20" s="30"/>
      <c r="K20" s="16" t="s">
        <v>475</v>
      </c>
    </row>
    <row r="21" spans="1:42" ht="14.25" hidden="1" x14ac:dyDescent="0.2">
      <c r="A21" s="16"/>
      <c r="B21" s="16"/>
      <c r="C21" s="16"/>
      <c r="D21" s="16"/>
      <c r="E21" s="31" t="s">
        <v>731</v>
      </c>
      <c r="F21" s="31"/>
      <c r="G21" s="31"/>
      <c r="H21" s="31"/>
      <c r="I21" s="30"/>
      <c r="J21" s="30"/>
      <c r="K21" s="16"/>
    </row>
    <row r="22" spans="1:42" ht="14.25" hidden="1" x14ac:dyDescent="0.2">
      <c r="A22" s="16"/>
      <c r="B22" s="16"/>
      <c r="C22" s="16"/>
      <c r="D22" s="16"/>
      <c r="E22" s="32" t="s">
        <v>336</v>
      </c>
      <c r="F22" s="32"/>
      <c r="G22" s="32"/>
      <c r="H22" s="32"/>
      <c r="I22" s="30">
        <f>SUM(Y1:Y462)/1000</f>
        <v>0</v>
      </c>
      <c r="J22" s="30">
        <f>SUM(Z1:Z462)/1000</f>
        <v>0</v>
      </c>
      <c r="K22" s="16" t="s">
        <v>769</v>
      </c>
    </row>
    <row r="23" spans="1:42" ht="14.25" x14ac:dyDescent="0.2">
      <c r="A23" s="16"/>
      <c r="B23" s="16"/>
      <c r="C23" s="16"/>
      <c r="D23" s="16"/>
      <c r="E23" s="16"/>
      <c r="F23" s="33"/>
      <c r="G23" s="33"/>
      <c r="H23" s="33"/>
      <c r="I23" s="30"/>
      <c r="J23" s="30"/>
      <c r="K23" s="16"/>
    </row>
    <row r="24" spans="1:42" ht="14.25" x14ac:dyDescent="0.2">
      <c r="A24" s="16" t="s">
        <v>744</v>
      </c>
      <c r="B24" s="16"/>
      <c r="C24" s="16"/>
      <c r="D24" s="16"/>
      <c r="E24" s="16"/>
      <c r="F24" s="33"/>
      <c r="G24" s="33"/>
      <c r="H24" s="33"/>
      <c r="I24" s="30"/>
      <c r="J24" s="30"/>
      <c r="K24" s="16"/>
    </row>
    <row r="25" spans="1:42" ht="28.5" x14ac:dyDescent="0.2">
      <c r="A25" s="23" t="s">
        <v>745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8" t="s">
        <v>745</v>
      </c>
    </row>
    <row r="26" spans="1:42" ht="114" x14ac:dyDescent="0.2">
      <c r="A26" s="34" t="s">
        <v>732</v>
      </c>
      <c r="B26" s="34" t="s">
        <v>733</v>
      </c>
      <c r="C26" s="34" t="s">
        <v>734</v>
      </c>
      <c r="D26" s="34" t="s">
        <v>735</v>
      </c>
      <c r="E26" s="34" t="s">
        <v>736</v>
      </c>
      <c r="F26" s="34" t="s">
        <v>737</v>
      </c>
      <c r="G26" s="35" t="s">
        <v>738</v>
      </c>
      <c r="H26" s="35" t="s">
        <v>739</v>
      </c>
      <c r="I26" s="34" t="s">
        <v>746</v>
      </c>
      <c r="J26" s="34" t="s">
        <v>740</v>
      </c>
      <c r="K26" s="34" t="s">
        <v>741</v>
      </c>
    </row>
    <row r="27" spans="1:42" ht="14.25" x14ac:dyDescent="0.2">
      <c r="A27" s="34">
        <v>1</v>
      </c>
      <c r="B27" s="34">
        <v>2</v>
      </c>
      <c r="C27" s="34">
        <v>3</v>
      </c>
      <c r="D27" s="34">
        <v>4</v>
      </c>
      <c r="E27" s="34">
        <v>5</v>
      </c>
      <c r="F27" s="34">
        <v>6</v>
      </c>
      <c r="G27" s="34">
        <v>7</v>
      </c>
      <c r="H27" s="34">
        <v>8</v>
      </c>
      <c r="I27" s="34">
        <v>9</v>
      </c>
      <c r="J27" s="34">
        <v>10</v>
      </c>
      <c r="K27" s="34">
        <v>11</v>
      </c>
    </row>
    <row r="29" spans="1:42" ht="16.5" x14ac:dyDescent="0.2">
      <c r="A29" s="39" t="str">
        <f>CONCATENATE("Локальная смета: ",IF(Source!G20&lt;&gt;"Новая локальная смета", Source!G20, ""))</f>
        <v>Локальная смета: Спринклерное пожаротушение.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1" spans="1:42" ht="16.5" x14ac:dyDescent="0.2">
      <c r="A31" s="39" t="str">
        <f>CONCATENATE("Раздел: ",IF(Source!G24&lt;&gt;"Новый раздел", Source!G24, ""))</f>
        <v>Раздел: Насосная установка.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42" ht="42.75" x14ac:dyDescent="0.2">
      <c r="A32" s="40">
        <v>1</v>
      </c>
      <c r="B32" s="40" t="str">
        <f>Source!F30</f>
        <v>3.18-11-2</v>
      </c>
      <c r="C32" s="40" t="s">
        <v>35</v>
      </c>
      <c r="D32" s="42" t="str">
        <f>Source!H30</f>
        <v>1 насос</v>
      </c>
      <c r="E32" s="41">
        <f>Source!I30</f>
        <v>1</v>
      </c>
      <c r="F32" s="44"/>
      <c r="G32" s="43"/>
      <c r="H32" s="41"/>
      <c r="I32" s="44"/>
      <c r="J32" s="41"/>
      <c r="K32" s="44"/>
      <c r="Q32">
        <f>Source!X30</f>
        <v>356.79</v>
      </c>
      <c r="R32">
        <f>Source!X31</f>
        <v>20105.259999999998</v>
      </c>
      <c r="S32">
        <f>Source!Y30</f>
        <v>212.31</v>
      </c>
      <c r="T32">
        <f>Source!Y31</f>
        <v>11963.46</v>
      </c>
      <c r="U32">
        <f>ROUND((175/100)*ROUND(Source!R30, 2), 2)</f>
        <v>4.01</v>
      </c>
      <c r="V32">
        <f>ROUND((0/100)*ROUND(Source!R31, 2), 2)</f>
        <v>0</v>
      </c>
      <c r="AC32">
        <v>0</v>
      </c>
    </row>
    <row r="33" spans="1:29" ht="14.25" x14ac:dyDescent="0.2">
      <c r="A33" s="40"/>
      <c r="B33" s="40"/>
      <c r="C33" s="40" t="s">
        <v>747</v>
      </c>
      <c r="D33" s="42"/>
      <c r="E33" s="41"/>
      <c r="F33" s="44">
        <f>Source!AO30</f>
        <v>198.7</v>
      </c>
      <c r="G33" s="45" t="s">
        <v>748</v>
      </c>
      <c r="H33" s="41">
        <f>Source!AV31</f>
        <v>1.0669999999999999</v>
      </c>
      <c r="I33" s="44">
        <f>Source!S30</f>
        <v>292.58</v>
      </c>
      <c r="J33" s="41">
        <f>IF(Source!BA31&lt;&gt; 0, Source!BA31, 1)</f>
        <v>56.35</v>
      </c>
      <c r="K33" s="44">
        <f>Source!S31</f>
        <v>16486.88</v>
      </c>
    </row>
    <row r="34" spans="1:29" ht="14.25" x14ac:dyDescent="0.2">
      <c r="A34" s="40"/>
      <c r="B34" s="40"/>
      <c r="C34" s="40" t="s">
        <v>749</v>
      </c>
      <c r="D34" s="42"/>
      <c r="E34" s="41"/>
      <c r="F34" s="44">
        <f>Source!AM30</f>
        <v>15.92</v>
      </c>
      <c r="G34" s="45" t="s">
        <v>750</v>
      </c>
      <c r="H34" s="41">
        <f>Source!AV31</f>
        <v>1.0669999999999999</v>
      </c>
      <c r="I34" s="44">
        <f>Source!Q30</f>
        <v>25.48</v>
      </c>
      <c r="J34" s="41">
        <f>IF(Source!BB31&lt;&gt; 0, Source!BB31, 1)</f>
        <v>15.03</v>
      </c>
      <c r="K34" s="44">
        <f>Source!Q31</f>
        <v>382.96</v>
      </c>
    </row>
    <row r="35" spans="1:29" ht="14.25" x14ac:dyDescent="0.2">
      <c r="A35" s="40"/>
      <c r="B35" s="40"/>
      <c r="C35" s="40" t="s">
        <v>751</v>
      </c>
      <c r="D35" s="42"/>
      <c r="E35" s="41"/>
      <c r="F35" s="44">
        <f>Source!AN30</f>
        <v>1.43</v>
      </c>
      <c r="G35" s="45" t="s">
        <v>750</v>
      </c>
      <c r="H35" s="41">
        <f>Source!AV31</f>
        <v>1.0669999999999999</v>
      </c>
      <c r="I35" s="46">
        <f>Source!R30</f>
        <v>2.29</v>
      </c>
      <c r="J35" s="41">
        <f>IF(Source!BS31&lt;&gt; 0, Source!BS31, 1)</f>
        <v>56.35</v>
      </c>
      <c r="K35" s="46">
        <f>Source!R31</f>
        <v>129.04</v>
      </c>
    </row>
    <row r="36" spans="1:29" ht="14.25" x14ac:dyDescent="0.2">
      <c r="A36" s="40"/>
      <c r="B36" s="40"/>
      <c r="C36" s="40" t="s">
        <v>752</v>
      </c>
      <c r="D36" s="42"/>
      <c r="E36" s="41"/>
      <c r="F36" s="44">
        <f>Source!AL30</f>
        <v>172.01</v>
      </c>
      <c r="G36" s="45" t="s">
        <v>3</v>
      </c>
      <c r="H36" s="41">
        <f>Source!AW31</f>
        <v>1</v>
      </c>
      <c r="I36" s="44">
        <f>Source!P30</f>
        <v>172.01</v>
      </c>
      <c r="J36" s="41">
        <f>IF(Source!BC31&lt;&gt; 0, Source!BC31, 1)</f>
        <v>7.27</v>
      </c>
      <c r="K36" s="44">
        <f>Source!P31</f>
        <v>1250.51</v>
      </c>
    </row>
    <row r="37" spans="1:29" ht="14.25" x14ac:dyDescent="0.2">
      <c r="A37" s="40"/>
      <c r="B37" s="40"/>
      <c r="C37" s="40" t="s">
        <v>753</v>
      </c>
      <c r="D37" s="42" t="s">
        <v>754</v>
      </c>
      <c r="E37" s="41">
        <f>Source!BZ31</f>
        <v>121</v>
      </c>
      <c r="F37" s="44"/>
      <c r="G37" s="43"/>
      <c r="H37" s="41"/>
      <c r="I37" s="44">
        <f>SUM(Q32:Q36)</f>
        <v>356.79</v>
      </c>
      <c r="J37" s="41">
        <f>Source!AT31</f>
        <v>121</v>
      </c>
      <c r="K37" s="44">
        <f>SUM(R32:R36)</f>
        <v>20105.259999999998</v>
      </c>
    </row>
    <row r="38" spans="1:29" ht="14.25" x14ac:dyDescent="0.2">
      <c r="A38" s="40"/>
      <c r="B38" s="40"/>
      <c r="C38" s="40" t="s">
        <v>755</v>
      </c>
      <c r="D38" s="42" t="s">
        <v>754</v>
      </c>
      <c r="E38" s="41">
        <f>Source!CA31</f>
        <v>72</v>
      </c>
      <c r="F38" s="44"/>
      <c r="G38" s="43"/>
      <c r="H38" s="41"/>
      <c r="I38" s="44">
        <f>SUM(S32:S37)</f>
        <v>212.31</v>
      </c>
      <c r="J38" s="41">
        <f>Source!AU31</f>
        <v>72</v>
      </c>
      <c r="K38" s="44">
        <f>SUM(T32:T37)</f>
        <v>11963.46</v>
      </c>
    </row>
    <row r="39" spans="1:29" ht="14.25" x14ac:dyDescent="0.2">
      <c r="A39" s="47"/>
      <c r="B39" s="47"/>
      <c r="C39" s="47" t="s">
        <v>756</v>
      </c>
      <c r="D39" s="48" t="s">
        <v>757</v>
      </c>
      <c r="E39" s="49">
        <f>Source!AQ30</f>
        <v>16.3</v>
      </c>
      <c r="F39" s="50"/>
      <c r="G39" s="51" t="s">
        <v>748</v>
      </c>
      <c r="H39" s="49">
        <f>Source!AV31</f>
        <v>1.0669999999999999</v>
      </c>
      <c r="I39" s="50">
        <f>Source!U30</f>
        <v>24.001097999999995</v>
      </c>
      <c r="J39" s="49"/>
      <c r="K39" s="50"/>
    </row>
    <row r="40" spans="1:29" ht="15" x14ac:dyDescent="0.2">
      <c r="C40" s="52" t="s">
        <v>758</v>
      </c>
      <c r="H40" s="53">
        <f>I33+I34+I36+I37+I38+0-0-0</f>
        <v>1059.17</v>
      </c>
      <c r="I40" s="53"/>
      <c r="J40" s="53">
        <f>K33+K34+K36+K37+K38+0-0-0</f>
        <v>50189.07</v>
      </c>
      <c r="K40" s="53"/>
    </row>
    <row r="41" spans="1:29" ht="15" hidden="1" x14ac:dyDescent="0.2">
      <c r="C41" s="52" t="s">
        <v>759</v>
      </c>
      <c r="H41" s="55">
        <f>0+0</f>
        <v>0</v>
      </c>
      <c r="I41" s="55"/>
      <c r="J41" s="55">
        <f>0+0</f>
        <v>0</v>
      </c>
      <c r="K41" s="55"/>
    </row>
    <row r="42" spans="1:29" ht="15" x14ac:dyDescent="0.2">
      <c r="C42" s="52" t="s">
        <v>760</v>
      </c>
      <c r="H42" s="55">
        <f>I33+I34+I36+I37+I38+0</f>
        <v>1059.17</v>
      </c>
      <c r="I42" s="55"/>
      <c r="J42" s="55">
        <f>K33+K34+K36+K37+K38+0</f>
        <v>50189.07</v>
      </c>
      <c r="K42" s="55"/>
      <c r="O42" s="56">
        <f>I33+I34+I36+I37+I38+0</f>
        <v>1059.17</v>
      </c>
      <c r="P42" s="56">
        <f>K33+K34+K36+K37+K38+0</f>
        <v>50189.07</v>
      </c>
    </row>
    <row r="44" spans="1:29" ht="57" x14ac:dyDescent="0.2">
      <c r="A44" s="40">
        <v>2</v>
      </c>
      <c r="B44" s="40" t="str">
        <f>Source!F34</f>
        <v>3.17-10-1</v>
      </c>
      <c r="C44" s="40" t="s">
        <v>53</v>
      </c>
      <c r="D44" s="42" t="str">
        <f>Source!H34</f>
        <v>1  ШТ.</v>
      </c>
      <c r="E44" s="41">
        <f>Source!I34</f>
        <v>1</v>
      </c>
      <c r="F44" s="44"/>
      <c r="G44" s="43"/>
      <c r="H44" s="41"/>
      <c r="I44" s="44"/>
      <c r="J44" s="41"/>
      <c r="K44" s="44"/>
      <c r="Q44">
        <f>Source!X34</f>
        <v>289.44</v>
      </c>
      <c r="R44">
        <f>Source!X35</f>
        <v>16310.18</v>
      </c>
      <c r="S44">
        <f>Source!Y34</f>
        <v>172.23</v>
      </c>
      <c r="T44">
        <f>Source!Y35</f>
        <v>9705.23</v>
      </c>
      <c r="U44">
        <f>ROUND((175/100)*ROUND(Source!R34, 2), 2)</f>
        <v>0.84</v>
      </c>
      <c r="V44">
        <f>ROUND((0/100)*ROUND(Source!R35, 2), 2)</f>
        <v>0</v>
      </c>
      <c r="AC44">
        <v>0</v>
      </c>
    </row>
    <row r="45" spans="1:29" ht="14.25" x14ac:dyDescent="0.2">
      <c r="A45" s="40"/>
      <c r="B45" s="40"/>
      <c r="C45" s="40" t="s">
        <v>747</v>
      </c>
      <c r="D45" s="42"/>
      <c r="E45" s="41"/>
      <c r="F45" s="44">
        <f>Source!AO34</f>
        <v>162.13</v>
      </c>
      <c r="G45" s="45" t="s">
        <v>748</v>
      </c>
      <c r="H45" s="41">
        <f>Source!AV35</f>
        <v>1.0669999999999999</v>
      </c>
      <c r="I45" s="44">
        <f>Source!S34</f>
        <v>238.73</v>
      </c>
      <c r="J45" s="41">
        <f>IF(Source!BA35&lt;&gt; 0, Source!BA35, 1)</f>
        <v>56.35</v>
      </c>
      <c r="K45" s="44">
        <f>Source!S35</f>
        <v>13452.44</v>
      </c>
    </row>
    <row r="46" spans="1:29" ht="14.25" x14ac:dyDescent="0.2">
      <c r="A46" s="40"/>
      <c r="B46" s="40"/>
      <c r="C46" s="40" t="s">
        <v>749</v>
      </c>
      <c r="D46" s="42"/>
      <c r="E46" s="41"/>
      <c r="F46" s="44">
        <f>Source!AM34</f>
        <v>6.25</v>
      </c>
      <c r="G46" s="45" t="s">
        <v>750</v>
      </c>
      <c r="H46" s="41">
        <f>Source!AV35</f>
        <v>1.0669999999999999</v>
      </c>
      <c r="I46" s="44">
        <f>Source!Q34</f>
        <v>10</v>
      </c>
      <c r="J46" s="41">
        <f>IF(Source!BB35&lt;&gt; 0, Source!BB35, 1)</f>
        <v>14.22</v>
      </c>
      <c r="K46" s="44">
        <f>Source!Q35</f>
        <v>142.19999999999999</v>
      </c>
    </row>
    <row r="47" spans="1:29" ht="14.25" x14ac:dyDescent="0.2">
      <c r="A47" s="40"/>
      <c r="B47" s="40"/>
      <c r="C47" s="40" t="s">
        <v>751</v>
      </c>
      <c r="D47" s="42"/>
      <c r="E47" s="41"/>
      <c r="F47" s="44">
        <f>Source!AN34</f>
        <v>0.3</v>
      </c>
      <c r="G47" s="45" t="s">
        <v>750</v>
      </c>
      <c r="H47" s="41">
        <f>Source!AV35</f>
        <v>1.0669999999999999</v>
      </c>
      <c r="I47" s="46">
        <f>Source!R34</f>
        <v>0.48</v>
      </c>
      <c r="J47" s="41">
        <f>IF(Source!BS35&lt;&gt; 0, Source!BS35, 1)</f>
        <v>56.35</v>
      </c>
      <c r="K47" s="46">
        <f>Source!R35</f>
        <v>27.05</v>
      </c>
    </row>
    <row r="48" spans="1:29" ht="14.25" x14ac:dyDescent="0.2">
      <c r="A48" s="40"/>
      <c r="B48" s="40"/>
      <c r="C48" s="40" t="s">
        <v>752</v>
      </c>
      <c r="D48" s="42"/>
      <c r="E48" s="41"/>
      <c r="F48" s="44">
        <f>Source!AL34</f>
        <v>109.65</v>
      </c>
      <c r="G48" s="45" t="s">
        <v>3</v>
      </c>
      <c r="H48" s="41">
        <f>Source!AW35</f>
        <v>1</v>
      </c>
      <c r="I48" s="44">
        <f>Source!P34</f>
        <v>109.65</v>
      </c>
      <c r="J48" s="41">
        <f>IF(Source!BC35&lt;&gt; 0, Source!BC35, 1)</f>
        <v>7.21</v>
      </c>
      <c r="K48" s="44">
        <f>Source!P35</f>
        <v>790.58</v>
      </c>
    </row>
    <row r="49" spans="1:29" ht="14.25" x14ac:dyDescent="0.2">
      <c r="A49" s="40"/>
      <c r="B49" s="40"/>
      <c r="C49" s="40" t="s">
        <v>753</v>
      </c>
      <c r="D49" s="42" t="s">
        <v>754</v>
      </c>
      <c r="E49" s="41">
        <f>Source!BZ35</f>
        <v>121</v>
      </c>
      <c r="F49" s="44"/>
      <c r="G49" s="43"/>
      <c r="H49" s="41"/>
      <c r="I49" s="44">
        <f>SUM(Q44:Q48)</f>
        <v>289.44</v>
      </c>
      <c r="J49" s="41">
        <f>Source!AT35</f>
        <v>121</v>
      </c>
      <c r="K49" s="44">
        <f>SUM(R44:R48)</f>
        <v>16310.18</v>
      </c>
    </row>
    <row r="50" spans="1:29" ht="14.25" x14ac:dyDescent="0.2">
      <c r="A50" s="40"/>
      <c r="B50" s="40"/>
      <c r="C50" s="40" t="s">
        <v>755</v>
      </c>
      <c r="D50" s="42" t="s">
        <v>754</v>
      </c>
      <c r="E50" s="41">
        <f>Source!CA35</f>
        <v>72</v>
      </c>
      <c r="F50" s="44"/>
      <c r="G50" s="43"/>
      <c r="H50" s="41"/>
      <c r="I50" s="44">
        <f>SUM(S44:S49)</f>
        <v>172.23</v>
      </c>
      <c r="J50" s="41">
        <f>Source!AU35</f>
        <v>72</v>
      </c>
      <c r="K50" s="44">
        <f>SUM(T44:T49)</f>
        <v>9705.23</v>
      </c>
    </row>
    <row r="51" spans="1:29" ht="14.25" x14ac:dyDescent="0.2">
      <c r="A51" s="47"/>
      <c r="B51" s="47"/>
      <c r="C51" s="47" t="s">
        <v>756</v>
      </c>
      <c r="D51" s="48" t="s">
        <v>757</v>
      </c>
      <c r="E51" s="49">
        <f>Source!AQ34</f>
        <v>13.3</v>
      </c>
      <c r="F51" s="50"/>
      <c r="G51" s="51" t="s">
        <v>748</v>
      </c>
      <c r="H51" s="49">
        <f>Source!AV35</f>
        <v>1.0669999999999999</v>
      </c>
      <c r="I51" s="50">
        <f>Source!U34</f>
        <v>19.583717999999998</v>
      </c>
      <c r="J51" s="49"/>
      <c r="K51" s="50"/>
    </row>
    <row r="52" spans="1:29" ht="15" x14ac:dyDescent="0.2">
      <c r="C52" s="52" t="s">
        <v>758</v>
      </c>
      <c r="H52" s="53">
        <f>I45+I46+I48+I49+I50+0-0-0</f>
        <v>820.05</v>
      </c>
      <c r="I52" s="53"/>
      <c r="J52" s="53">
        <f>K45+K46+K48+K49+K50+0-0-0</f>
        <v>40400.630000000005</v>
      </c>
      <c r="K52" s="53"/>
    </row>
    <row r="53" spans="1:29" ht="15" hidden="1" x14ac:dyDescent="0.2">
      <c r="C53" s="52" t="s">
        <v>759</v>
      </c>
      <c r="H53" s="55">
        <f>0+0</f>
        <v>0</v>
      </c>
      <c r="I53" s="55"/>
      <c r="J53" s="55">
        <f>0+0</f>
        <v>0</v>
      </c>
      <c r="K53" s="55"/>
    </row>
    <row r="54" spans="1:29" ht="15" x14ac:dyDescent="0.2">
      <c r="C54" s="52" t="s">
        <v>760</v>
      </c>
      <c r="H54" s="55">
        <f>I45+I46+I48+I49+I50+0</f>
        <v>820.05</v>
      </c>
      <c r="I54" s="55"/>
      <c r="J54" s="55">
        <f>K45+K46+K48+K49+K50+0</f>
        <v>40400.630000000005</v>
      </c>
      <c r="K54" s="55"/>
      <c r="O54" s="56">
        <f>I45+I46+I48+I49+I50+0</f>
        <v>820.05</v>
      </c>
      <c r="P54" s="56">
        <f>K45+K46+K48+K49+K50+0</f>
        <v>40400.630000000005</v>
      </c>
    </row>
    <row r="56" spans="1:29" ht="28.5" x14ac:dyDescent="0.2">
      <c r="A56" s="40">
        <v>3</v>
      </c>
      <c r="B56" s="40" t="str">
        <f>Source!F42</f>
        <v>4.11-17-1</v>
      </c>
      <c r="C56" s="40" t="s">
        <v>74</v>
      </c>
      <c r="D56" s="42" t="str">
        <f>Source!H42</f>
        <v>1  ШТ.</v>
      </c>
      <c r="E56" s="41">
        <f>Source!I42</f>
        <v>1</v>
      </c>
      <c r="F56" s="44"/>
      <c r="G56" s="43"/>
      <c r="H56" s="41"/>
      <c r="I56" s="44"/>
      <c r="J56" s="41"/>
      <c r="K56" s="44"/>
      <c r="Q56">
        <f>Source!X42</f>
        <v>68.040000000000006</v>
      </c>
      <c r="R56">
        <f>Source!X43</f>
        <v>3834.05</v>
      </c>
      <c r="S56">
        <f>Source!Y42</f>
        <v>34.78</v>
      </c>
      <c r="T56">
        <f>Source!Y43</f>
        <v>1959.63</v>
      </c>
      <c r="U56">
        <f>ROUND((175/100)*ROUND(Source!R42, 2), 2)</f>
        <v>0.84</v>
      </c>
      <c r="V56">
        <f>ROUND((0/100)*ROUND(Source!R43, 2), 2)</f>
        <v>0</v>
      </c>
      <c r="AC56">
        <v>0</v>
      </c>
    </row>
    <row r="57" spans="1:29" ht="14.25" x14ac:dyDescent="0.2">
      <c r="A57" s="40"/>
      <c r="B57" s="40"/>
      <c r="C57" s="40" t="s">
        <v>747</v>
      </c>
      <c r="D57" s="42"/>
      <c r="E57" s="41"/>
      <c r="F57" s="44">
        <f>Source!AO42</f>
        <v>59.79</v>
      </c>
      <c r="G57" s="45" t="s">
        <v>110</v>
      </c>
      <c r="H57" s="41">
        <f>Source!AV43</f>
        <v>1.0469999999999999</v>
      </c>
      <c r="I57" s="44">
        <f>Source!S42</f>
        <v>75.12</v>
      </c>
      <c r="J57" s="41">
        <f>IF(Source!BA43&lt;&gt; 0, Source!BA43, 1)</f>
        <v>56.35</v>
      </c>
      <c r="K57" s="44">
        <f>Source!S43</f>
        <v>4233.01</v>
      </c>
    </row>
    <row r="58" spans="1:29" ht="14.25" x14ac:dyDescent="0.2">
      <c r="A58" s="40"/>
      <c r="B58" s="40"/>
      <c r="C58" s="40" t="s">
        <v>749</v>
      </c>
      <c r="D58" s="42"/>
      <c r="E58" s="41"/>
      <c r="F58" s="44">
        <f>Source!AM42</f>
        <v>4.2699999999999996</v>
      </c>
      <c r="G58" s="45" t="s">
        <v>110</v>
      </c>
      <c r="H58" s="41">
        <f>Source!AV43</f>
        <v>1.0469999999999999</v>
      </c>
      <c r="I58" s="44">
        <f>Source!Q42</f>
        <v>5.36</v>
      </c>
      <c r="J58" s="41">
        <f>IF(Source!BB43&lt;&gt; 0, Source!BB43, 1)</f>
        <v>15.26</v>
      </c>
      <c r="K58" s="44">
        <f>Source!Q43</f>
        <v>81.790000000000006</v>
      </c>
    </row>
    <row r="59" spans="1:29" ht="14.25" x14ac:dyDescent="0.2">
      <c r="A59" s="40"/>
      <c r="B59" s="40"/>
      <c r="C59" s="40" t="s">
        <v>751</v>
      </c>
      <c r="D59" s="42"/>
      <c r="E59" s="41"/>
      <c r="F59" s="44">
        <f>Source!AN42</f>
        <v>0.38</v>
      </c>
      <c r="G59" s="45" t="s">
        <v>110</v>
      </c>
      <c r="H59" s="41">
        <f>Source!AV43</f>
        <v>1.0469999999999999</v>
      </c>
      <c r="I59" s="46">
        <f>Source!R42</f>
        <v>0.48</v>
      </c>
      <c r="J59" s="41">
        <f>IF(Source!BS43&lt;&gt; 0, Source!BS43, 1)</f>
        <v>56.35</v>
      </c>
      <c r="K59" s="46">
        <f>Source!R43</f>
        <v>27.05</v>
      </c>
    </row>
    <row r="60" spans="1:29" ht="14.25" x14ac:dyDescent="0.2">
      <c r="A60" s="40"/>
      <c r="B60" s="40"/>
      <c r="C60" s="40" t="s">
        <v>752</v>
      </c>
      <c r="D60" s="42"/>
      <c r="E60" s="41"/>
      <c r="F60" s="44">
        <f>Source!AL42</f>
        <v>89.36</v>
      </c>
      <c r="G60" s="45" t="s">
        <v>3</v>
      </c>
      <c r="H60" s="41">
        <f>Source!AW43</f>
        <v>1</v>
      </c>
      <c r="I60" s="44">
        <f>Source!P42</f>
        <v>89.36</v>
      </c>
      <c r="J60" s="41">
        <f>IF(Source!BC43&lt;&gt; 0, Source!BC43, 1)</f>
        <v>4.5</v>
      </c>
      <c r="K60" s="44">
        <f>Source!P43</f>
        <v>402.12</v>
      </c>
    </row>
    <row r="61" spans="1:29" ht="14.25" x14ac:dyDescent="0.2">
      <c r="A61" s="40"/>
      <c r="B61" s="40"/>
      <c r="C61" s="40" t="s">
        <v>753</v>
      </c>
      <c r="D61" s="42" t="s">
        <v>754</v>
      </c>
      <c r="E61" s="41">
        <f>Source!BZ43</f>
        <v>90</v>
      </c>
      <c r="F61" s="44"/>
      <c r="G61" s="43"/>
      <c r="H61" s="41"/>
      <c r="I61" s="44">
        <f>SUM(Q56:Q60)</f>
        <v>68.040000000000006</v>
      </c>
      <c r="J61" s="41">
        <f>Source!AT43</f>
        <v>90</v>
      </c>
      <c r="K61" s="44">
        <f>SUM(R56:R60)</f>
        <v>3834.05</v>
      </c>
    </row>
    <row r="62" spans="1:29" ht="14.25" x14ac:dyDescent="0.2">
      <c r="A62" s="40"/>
      <c r="B62" s="40"/>
      <c r="C62" s="40" t="s">
        <v>755</v>
      </c>
      <c r="D62" s="42" t="s">
        <v>754</v>
      </c>
      <c r="E62" s="41">
        <f>Source!CA43</f>
        <v>46</v>
      </c>
      <c r="F62" s="44"/>
      <c r="G62" s="43"/>
      <c r="H62" s="41"/>
      <c r="I62" s="44">
        <f>SUM(S56:S61)</f>
        <v>34.78</v>
      </c>
      <c r="J62" s="41">
        <f>Source!AU43</f>
        <v>46</v>
      </c>
      <c r="K62" s="44">
        <f>SUM(T56:T61)</f>
        <v>1959.63</v>
      </c>
    </row>
    <row r="63" spans="1:29" ht="14.25" x14ac:dyDescent="0.2">
      <c r="A63" s="47"/>
      <c r="B63" s="47"/>
      <c r="C63" s="47" t="s">
        <v>756</v>
      </c>
      <c r="D63" s="48" t="s">
        <v>757</v>
      </c>
      <c r="E63" s="49">
        <f>Source!AQ42</f>
        <v>5.15</v>
      </c>
      <c r="F63" s="50"/>
      <c r="G63" s="51" t="s">
        <v>110</v>
      </c>
      <c r="H63" s="49">
        <f>Source!AV43</f>
        <v>1.0469999999999999</v>
      </c>
      <c r="I63" s="50">
        <f>Source!U42</f>
        <v>6.4704600000000001</v>
      </c>
      <c r="J63" s="49"/>
      <c r="K63" s="50"/>
    </row>
    <row r="64" spans="1:29" ht="15" x14ac:dyDescent="0.2">
      <c r="C64" s="52" t="s">
        <v>758</v>
      </c>
      <c r="H64" s="53">
        <f>I57+I58+I60+I61+I62+0-0-0</f>
        <v>272.65999999999997</v>
      </c>
      <c r="I64" s="53"/>
      <c r="J64" s="53">
        <f>K57+K58+K60+K61+K62+0-0-0</f>
        <v>10510.600000000002</v>
      </c>
      <c r="K64" s="53"/>
    </row>
    <row r="65" spans="1:29" ht="15" hidden="1" x14ac:dyDescent="0.2">
      <c r="C65" s="52" t="s">
        <v>759</v>
      </c>
      <c r="H65" s="55">
        <f>0+0</f>
        <v>0</v>
      </c>
      <c r="I65" s="55"/>
      <c r="J65" s="55">
        <f>0+0</f>
        <v>0</v>
      </c>
      <c r="K65" s="55"/>
    </row>
    <row r="66" spans="1:29" ht="15" x14ac:dyDescent="0.2">
      <c r="C66" s="52" t="s">
        <v>760</v>
      </c>
      <c r="H66" s="55">
        <f>I57+I58+I60+I61+I62+0</f>
        <v>272.65999999999997</v>
      </c>
      <c r="I66" s="55"/>
      <c r="J66" s="55">
        <f>K57+K58+K60+K61+K62+0</f>
        <v>10510.600000000002</v>
      </c>
      <c r="K66" s="55"/>
      <c r="O66" s="56">
        <f>I57+I58+I60+I61+I62+0</f>
        <v>272.65999999999997</v>
      </c>
      <c r="P66" s="56">
        <f>K57+K58+K60+K61+K62+0</f>
        <v>10510.600000000002</v>
      </c>
    </row>
    <row r="68" spans="1:29" ht="42.75" x14ac:dyDescent="0.2">
      <c r="A68" s="40">
        <v>4</v>
      </c>
      <c r="B68" s="40" t="str">
        <f>Source!F44</f>
        <v>4.11-3-1</v>
      </c>
      <c r="C68" s="40" t="s">
        <v>80</v>
      </c>
      <c r="D68" s="42" t="str">
        <f>Source!H44</f>
        <v>1  ШТ.</v>
      </c>
      <c r="E68" s="41">
        <f>Source!I44</f>
        <v>1</v>
      </c>
      <c r="F68" s="44"/>
      <c r="G68" s="43"/>
      <c r="H68" s="41"/>
      <c r="I68" s="44"/>
      <c r="J68" s="41"/>
      <c r="K68" s="44"/>
      <c r="Q68">
        <f>Source!X44</f>
        <v>7.63</v>
      </c>
      <c r="R68">
        <f>Source!X45</f>
        <v>430.07</v>
      </c>
      <c r="S68">
        <f>Source!Y44</f>
        <v>3.9</v>
      </c>
      <c r="T68">
        <f>Source!Y45</f>
        <v>219.81</v>
      </c>
      <c r="U68">
        <f>ROUND((175/100)*ROUND(Source!R44, 2), 2)</f>
        <v>0</v>
      </c>
      <c r="V68">
        <f>ROUND((0/100)*ROUND(Source!R45, 2), 2)</f>
        <v>0</v>
      </c>
      <c r="AC68">
        <v>0</v>
      </c>
    </row>
    <row r="69" spans="1:29" ht="14.25" x14ac:dyDescent="0.2">
      <c r="A69" s="40"/>
      <c r="B69" s="40"/>
      <c r="C69" s="40" t="s">
        <v>747</v>
      </c>
      <c r="D69" s="42"/>
      <c r="E69" s="41"/>
      <c r="F69" s="44">
        <f>Source!AO44</f>
        <v>6.75</v>
      </c>
      <c r="G69" s="45" t="s">
        <v>110</v>
      </c>
      <c r="H69" s="41">
        <f>Source!AV45</f>
        <v>1.0469999999999999</v>
      </c>
      <c r="I69" s="44">
        <f>Source!S44</f>
        <v>8.48</v>
      </c>
      <c r="J69" s="41">
        <f>IF(Source!BA45&lt;&gt; 0, Source!BA45, 1)</f>
        <v>56.35</v>
      </c>
      <c r="K69" s="44">
        <f>Source!S45</f>
        <v>477.85</v>
      </c>
    </row>
    <row r="70" spans="1:29" ht="14.25" x14ac:dyDescent="0.2">
      <c r="A70" s="40"/>
      <c r="B70" s="40"/>
      <c r="C70" s="40" t="s">
        <v>753</v>
      </c>
      <c r="D70" s="42" t="s">
        <v>754</v>
      </c>
      <c r="E70" s="41">
        <f>Source!BZ45</f>
        <v>90</v>
      </c>
      <c r="F70" s="44"/>
      <c r="G70" s="43"/>
      <c r="H70" s="41"/>
      <c r="I70" s="44">
        <f>SUM(Q68:Q69)</f>
        <v>7.63</v>
      </c>
      <c r="J70" s="41">
        <f>Source!AT45</f>
        <v>90</v>
      </c>
      <c r="K70" s="44">
        <f>SUM(R68:R69)</f>
        <v>430.07</v>
      </c>
    </row>
    <row r="71" spans="1:29" ht="14.25" x14ac:dyDescent="0.2">
      <c r="A71" s="40"/>
      <c r="B71" s="40"/>
      <c r="C71" s="40" t="s">
        <v>755</v>
      </c>
      <c r="D71" s="42" t="s">
        <v>754</v>
      </c>
      <c r="E71" s="41">
        <f>Source!CA45</f>
        <v>46</v>
      </c>
      <c r="F71" s="44"/>
      <c r="G71" s="43"/>
      <c r="H71" s="41"/>
      <c r="I71" s="44">
        <f>SUM(S68:S70)</f>
        <v>3.9</v>
      </c>
      <c r="J71" s="41">
        <f>Source!AU45</f>
        <v>46</v>
      </c>
      <c r="K71" s="44">
        <f>SUM(T68:T70)</f>
        <v>219.81</v>
      </c>
    </row>
    <row r="72" spans="1:29" ht="14.25" x14ac:dyDescent="0.2">
      <c r="A72" s="47"/>
      <c r="B72" s="47"/>
      <c r="C72" s="47" t="s">
        <v>756</v>
      </c>
      <c r="D72" s="48" t="s">
        <v>757</v>
      </c>
      <c r="E72" s="49">
        <f>Source!AQ44</f>
        <v>0.52</v>
      </c>
      <c r="F72" s="50"/>
      <c r="G72" s="51" t="s">
        <v>110</v>
      </c>
      <c r="H72" s="49">
        <f>Source!AV45</f>
        <v>1.0469999999999999</v>
      </c>
      <c r="I72" s="50">
        <f>Source!U44</f>
        <v>0.65332799999999991</v>
      </c>
      <c r="J72" s="49"/>
      <c r="K72" s="50"/>
    </row>
    <row r="73" spans="1:29" ht="15" x14ac:dyDescent="0.2">
      <c r="C73" s="52" t="s">
        <v>758</v>
      </c>
      <c r="H73" s="53">
        <f>I69+I70+I71+0-0-0</f>
        <v>20.009999999999998</v>
      </c>
      <c r="I73" s="53"/>
      <c r="J73" s="53">
        <f>K69+K70+K71+0-0-0</f>
        <v>1127.73</v>
      </c>
      <c r="K73" s="53"/>
    </row>
    <row r="74" spans="1:29" ht="15" hidden="1" x14ac:dyDescent="0.2">
      <c r="C74" s="52" t="s">
        <v>759</v>
      </c>
      <c r="H74" s="55">
        <f>0+0</f>
        <v>0</v>
      </c>
      <c r="I74" s="55"/>
      <c r="J74" s="55">
        <f>0+0</f>
        <v>0</v>
      </c>
      <c r="K74" s="55"/>
    </row>
    <row r="75" spans="1:29" ht="15" x14ac:dyDescent="0.2">
      <c r="C75" s="52" t="s">
        <v>760</v>
      </c>
      <c r="H75" s="55">
        <f>I69+I70+I71+0</f>
        <v>20.009999999999998</v>
      </c>
      <c r="I75" s="55"/>
      <c r="J75" s="55">
        <f>K69+K70+K71+0</f>
        <v>1127.73</v>
      </c>
      <c r="K75" s="55"/>
      <c r="O75" s="56">
        <f>I69+I70+I71+0</f>
        <v>20.009999999999998</v>
      </c>
      <c r="P75" s="56">
        <f>K69+K70+K71+0</f>
        <v>1127.73</v>
      </c>
    </row>
    <row r="77" spans="1:29" ht="153.75" x14ac:dyDescent="0.2">
      <c r="A77" s="62">
        <v>5</v>
      </c>
      <c r="B77" s="62" t="str">
        <f>Source!F54</f>
        <v>КА. п. 1</v>
      </c>
      <c r="C77" s="62" t="s">
        <v>761</v>
      </c>
      <c r="D77" s="63" t="str">
        <f>Source!H54</f>
        <v>компл.</v>
      </c>
      <c r="E77" s="64">
        <f>Source!I54</f>
        <v>1</v>
      </c>
      <c r="F77" s="65">
        <f>Source!AL54</f>
        <v>199171.86</v>
      </c>
      <c r="G77" s="66" t="s">
        <v>3</v>
      </c>
      <c r="H77" s="64">
        <f>Source!AW55</f>
        <v>1</v>
      </c>
      <c r="I77" s="65">
        <f>Source!P54</f>
        <v>199171.86</v>
      </c>
      <c r="J77" s="64">
        <f>IF(Source!BC55&lt;&gt; 0, Source!BC55, 1)</f>
        <v>7.57</v>
      </c>
      <c r="K77" s="65">
        <f>Source!P55</f>
        <v>1507730.98</v>
      </c>
      <c r="Q77">
        <f>Source!X54</f>
        <v>0</v>
      </c>
      <c r="R77">
        <f>Source!X55</f>
        <v>0</v>
      </c>
      <c r="S77">
        <f>Source!Y54</f>
        <v>0</v>
      </c>
      <c r="T77">
        <f>Source!Y55</f>
        <v>0</v>
      </c>
      <c r="U77">
        <f>ROUND((175/100)*ROUND(Source!R54, 2), 2)</f>
        <v>0</v>
      </c>
      <c r="V77">
        <f>ROUND((0/100)*ROUND(Source!R55, 2), 2)</f>
        <v>0</v>
      </c>
      <c r="AC77">
        <v>5</v>
      </c>
    </row>
    <row r="78" spans="1:29" ht="15" x14ac:dyDescent="0.2">
      <c r="A78" s="67"/>
      <c r="B78" s="67"/>
      <c r="C78" s="68" t="s">
        <v>760</v>
      </c>
      <c r="D78" s="67"/>
      <c r="E78" s="67"/>
      <c r="F78" s="67"/>
      <c r="G78" s="67"/>
      <c r="H78" s="69">
        <f>I77+0</f>
        <v>199171.86</v>
      </c>
      <c r="I78" s="69"/>
      <c r="J78" s="69">
        <f>K77+0</f>
        <v>1507730.98</v>
      </c>
      <c r="K78" s="69"/>
      <c r="O78" s="56">
        <f>I77+0</f>
        <v>199171.86</v>
      </c>
      <c r="P78" s="56">
        <f>K77+0</f>
        <v>1507730.98</v>
      </c>
    </row>
    <row r="80" spans="1:29" ht="57" x14ac:dyDescent="0.2">
      <c r="A80" s="40">
        <v>6</v>
      </c>
      <c r="B80" s="40" t="str">
        <f>Source!F56</f>
        <v>4.12-50-6</v>
      </c>
      <c r="C80" s="40" t="s">
        <v>113</v>
      </c>
      <c r="D80" s="42" t="str">
        <f>Source!H56</f>
        <v>1  ШТ.</v>
      </c>
      <c r="E80" s="41">
        <f>Source!I56</f>
        <v>1</v>
      </c>
      <c r="F80" s="44"/>
      <c r="G80" s="43"/>
      <c r="H80" s="41"/>
      <c r="I80" s="44"/>
      <c r="J80" s="41"/>
      <c r="K80" s="44"/>
      <c r="Q80">
        <f>Source!X56</f>
        <v>81.3</v>
      </c>
      <c r="R80">
        <f>Source!X57</f>
        <v>4581.08</v>
      </c>
      <c r="S80">
        <f>Source!Y56</f>
        <v>41.55</v>
      </c>
      <c r="T80">
        <f>Source!Y57</f>
        <v>2341.44</v>
      </c>
      <c r="U80">
        <f>ROUND((175/100)*ROUND(Source!R56, 2), 2)</f>
        <v>2.56</v>
      </c>
      <c r="V80">
        <f>ROUND((0/100)*ROUND(Source!R57, 2), 2)</f>
        <v>0</v>
      </c>
      <c r="AC80">
        <v>0</v>
      </c>
    </row>
    <row r="81" spans="1:29" ht="14.25" x14ac:dyDescent="0.2">
      <c r="A81" s="40"/>
      <c r="B81" s="40"/>
      <c r="C81" s="40" t="s">
        <v>747</v>
      </c>
      <c r="D81" s="42"/>
      <c r="E81" s="41"/>
      <c r="F81" s="44">
        <f>Source!AO56</f>
        <v>69.41</v>
      </c>
      <c r="G81" s="45" t="s">
        <v>110</v>
      </c>
      <c r="H81" s="41">
        <f>Source!AV57</f>
        <v>1.0669999999999999</v>
      </c>
      <c r="I81" s="44">
        <f>Source!S56</f>
        <v>88.87</v>
      </c>
      <c r="J81" s="41">
        <f>IF(Source!BA57&lt;&gt; 0, Source!BA57, 1)</f>
        <v>56.35</v>
      </c>
      <c r="K81" s="44">
        <f>Source!S57</f>
        <v>5007.82</v>
      </c>
    </row>
    <row r="82" spans="1:29" ht="14.25" x14ac:dyDescent="0.2">
      <c r="A82" s="40"/>
      <c r="B82" s="40"/>
      <c r="C82" s="40" t="s">
        <v>749</v>
      </c>
      <c r="D82" s="42"/>
      <c r="E82" s="41"/>
      <c r="F82" s="44">
        <f>Source!AM56</f>
        <v>7.48</v>
      </c>
      <c r="G82" s="45" t="s">
        <v>110</v>
      </c>
      <c r="H82" s="41">
        <f>Source!AV57</f>
        <v>1.0669999999999999</v>
      </c>
      <c r="I82" s="44">
        <f>Source!Q56</f>
        <v>9.58</v>
      </c>
      <c r="J82" s="41">
        <f>IF(Source!BB57&lt;&gt; 0, Source!BB57, 1)</f>
        <v>17.07</v>
      </c>
      <c r="K82" s="44">
        <f>Source!Q57</f>
        <v>163.53</v>
      </c>
    </row>
    <row r="83" spans="1:29" ht="14.25" x14ac:dyDescent="0.2">
      <c r="A83" s="40"/>
      <c r="B83" s="40"/>
      <c r="C83" s="40" t="s">
        <v>751</v>
      </c>
      <c r="D83" s="42"/>
      <c r="E83" s="41"/>
      <c r="F83" s="44">
        <f>Source!AN56</f>
        <v>1.1399999999999999</v>
      </c>
      <c r="G83" s="45" t="s">
        <v>110</v>
      </c>
      <c r="H83" s="41">
        <f>Source!AV57</f>
        <v>1.0669999999999999</v>
      </c>
      <c r="I83" s="46">
        <f>Source!R56</f>
        <v>1.46</v>
      </c>
      <c r="J83" s="41">
        <f>IF(Source!BS57&lt;&gt; 0, Source!BS57, 1)</f>
        <v>56.35</v>
      </c>
      <c r="K83" s="46">
        <f>Source!R57</f>
        <v>82.27</v>
      </c>
    </row>
    <row r="84" spans="1:29" ht="14.25" x14ac:dyDescent="0.2">
      <c r="A84" s="40"/>
      <c r="B84" s="40"/>
      <c r="C84" s="40" t="s">
        <v>752</v>
      </c>
      <c r="D84" s="42"/>
      <c r="E84" s="41"/>
      <c r="F84" s="44">
        <f>Source!AL56</f>
        <v>3.93</v>
      </c>
      <c r="G84" s="45" t="s">
        <v>3</v>
      </c>
      <c r="H84" s="41">
        <f>Source!AW57</f>
        <v>1.028</v>
      </c>
      <c r="I84" s="44">
        <f>Source!P56</f>
        <v>4.04</v>
      </c>
      <c r="J84" s="41">
        <f>IF(Source!BC57&lt;&gt; 0, Source!BC57, 1)</f>
        <v>4.49</v>
      </c>
      <c r="K84" s="44">
        <f>Source!P57</f>
        <v>18.14</v>
      </c>
    </row>
    <row r="85" spans="1:29" ht="82.5" x14ac:dyDescent="0.2">
      <c r="A85" s="57" t="s">
        <v>115</v>
      </c>
      <c r="B85" s="57" t="str">
        <f>Source!F58</f>
        <v>КА. п. 2</v>
      </c>
      <c r="C85" s="57" t="s">
        <v>762</v>
      </c>
      <c r="D85" s="58" t="str">
        <f>Source!H58</f>
        <v>шт.</v>
      </c>
      <c r="E85" s="59">
        <f>Source!I58</f>
        <v>1</v>
      </c>
      <c r="F85" s="60">
        <f>Source!AK58</f>
        <v>7821.5999999999995</v>
      </c>
      <c r="G85" s="61" t="s">
        <v>3</v>
      </c>
      <c r="H85" s="59">
        <f>Source!AW59</f>
        <v>1</v>
      </c>
      <c r="I85" s="60">
        <f>Source!O58</f>
        <v>7821.6</v>
      </c>
      <c r="J85" s="59">
        <f>IF(Source!BC59&lt;&gt; 0, Source!BC59, 1)</f>
        <v>7.57</v>
      </c>
      <c r="K85" s="60">
        <f>Source!O59</f>
        <v>59209.51</v>
      </c>
      <c r="Q85">
        <f>Source!X58</f>
        <v>0</v>
      </c>
      <c r="R85">
        <f>Source!X59</f>
        <v>0</v>
      </c>
      <c r="S85">
        <f>Source!Y58</f>
        <v>0</v>
      </c>
      <c r="T85">
        <f>Source!Y59</f>
        <v>0</v>
      </c>
      <c r="U85">
        <f>ROUND((175/100)*ROUND(Source!R58, 2), 2)</f>
        <v>0</v>
      </c>
      <c r="V85">
        <f>ROUND((0/100)*ROUND(Source!R59, 2), 2)</f>
        <v>0</v>
      </c>
      <c r="AC85">
        <v>5</v>
      </c>
    </row>
    <row r="86" spans="1:29" ht="14.25" x14ac:dyDescent="0.2">
      <c r="A86" s="40"/>
      <c r="B86" s="40"/>
      <c r="C86" s="40" t="s">
        <v>753</v>
      </c>
      <c r="D86" s="42" t="s">
        <v>754</v>
      </c>
      <c r="E86" s="41">
        <f>Source!BZ57</f>
        <v>90</v>
      </c>
      <c r="F86" s="44"/>
      <c r="G86" s="43"/>
      <c r="H86" s="41"/>
      <c r="I86" s="44">
        <f>SUM(Q80:Q85)</f>
        <v>81.3</v>
      </c>
      <c r="J86" s="41">
        <f>Source!AT57</f>
        <v>90</v>
      </c>
      <c r="K86" s="44">
        <f>SUM(R80:R85)</f>
        <v>4581.08</v>
      </c>
    </row>
    <row r="87" spans="1:29" ht="14.25" x14ac:dyDescent="0.2">
      <c r="A87" s="40"/>
      <c r="B87" s="40"/>
      <c r="C87" s="40" t="s">
        <v>755</v>
      </c>
      <c r="D87" s="42" t="s">
        <v>754</v>
      </c>
      <c r="E87" s="41">
        <f>Source!CA57</f>
        <v>46</v>
      </c>
      <c r="F87" s="44"/>
      <c r="G87" s="43"/>
      <c r="H87" s="41"/>
      <c r="I87" s="44">
        <f>SUM(S80:S86)</f>
        <v>41.55</v>
      </c>
      <c r="J87" s="41">
        <f>Source!AU57</f>
        <v>46</v>
      </c>
      <c r="K87" s="44">
        <f>SUM(T80:T86)</f>
        <v>2341.44</v>
      </c>
    </row>
    <row r="88" spans="1:29" ht="14.25" x14ac:dyDescent="0.2">
      <c r="A88" s="47"/>
      <c r="B88" s="47"/>
      <c r="C88" s="47" t="s">
        <v>756</v>
      </c>
      <c r="D88" s="48" t="s">
        <v>757</v>
      </c>
      <c r="E88" s="49">
        <f>Source!AQ56</f>
        <v>5.5</v>
      </c>
      <c r="F88" s="50"/>
      <c r="G88" s="51" t="s">
        <v>110</v>
      </c>
      <c r="H88" s="49">
        <f>Source!AV57</f>
        <v>1.0669999999999999</v>
      </c>
      <c r="I88" s="50">
        <f>Source!U56</f>
        <v>7.0421999999999993</v>
      </c>
      <c r="J88" s="49"/>
      <c r="K88" s="50"/>
    </row>
    <row r="89" spans="1:29" ht="15" x14ac:dyDescent="0.2">
      <c r="C89" s="52" t="s">
        <v>758</v>
      </c>
      <c r="H89" s="53">
        <f>I81+I82+I84+I86+I87+SUM(I85:I85)-SUMIF(AC85:AC85, 5, I85:I85)-SUMIF(AC85:AC85, 6, I85:I85)</f>
        <v>225.34000000000015</v>
      </c>
      <c r="I89" s="53"/>
      <c r="J89" s="53">
        <f>K81+K82+K84+K86+K87+SUM(K85:K85)-SUMIF(AC85:AC85, 5, K85:K85)-SUMIF(AC85:AC85, 6, K85:K85)</f>
        <v>12112.010000000002</v>
      </c>
      <c r="K89" s="53"/>
    </row>
    <row r="90" spans="1:29" ht="15" x14ac:dyDescent="0.2">
      <c r="C90" s="52" t="s">
        <v>759</v>
      </c>
      <c r="H90" s="55">
        <f>SUMIF(AC85:AC85, 5, I85:I85)+SUMIF(AC85:AC85, 6, I85:I85)</f>
        <v>7821.6</v>
      </c>
      <c r="I90" s="55"/>
      <c r="J90" s="55">
        <f>SUMIF(AC85:AC85, 5, K85:K85)+SUMIF(AC85:AC85, 6, K85:K85)</f>
        <v>59209.51</v>
      </c>
      <c r="K90" s="55"/>
    </row>
    <row r="91" spans="1:29" ht="15" x14ac:dyDescent="0.2">
      <c r="C91" s="52" t="s">
        <v>760</v>
      </c>
      <c r="H91" s="55">
        <f>I81+I82+I84+I86+I87+SUM(I85:I85)</f>
        <v>8046.9400000000005</v>
      </c>
      <c r="I91" s="55"/>
      <c r="J91" s="55">
        <f>K81+K82+K84+K86+K87+SUM(K85:K85)</f>
        <v>71321.52</v>
      </c>
      <c r="K91" s="55"/>
      <c r="O91" s="56">
        <f>I81+I82+I84+I86+I87+SUM(I85:I85)</f>
        <v>8046.9400000000005</v>
      </c>
      <c r="P91" s="56">
        <f>K81+K82+K84+K86+K87+SUM(K85:K85)</f>
        <v>71321.52</v>
      </c>
    </row>
    <row r="93" spans="1:29" ht="57" x14ac:dyDescent="0.2">
      <c r="A93" s="40">
        <v>7</v>
      </c>
      <c r="B93" s="40" t="str">
        <f>Source!F60</f>
        <v>4.12-48-10</v>
      </c>
      <c r="C93" s="40" t="s">
        <v>122</v>
      </c>
      <c r="D93" s="42" t="str">
        <f>Source!H60</f>
        <v>1  ШТ.</v>
      </c>
      <c r="E93" s="41">
        <f>Source!I60</f>
        <v>9</v>
      </c>
      <c r="F93" s="44"/>
      <c r="G93" s="43"/>
      <c r="H93" s="41"/>
      <c r="I93" s="44"/>
      <c r="J93" s="41"/>
      <c r="K93" s="44"/>
      <c r="Q93">
        <f>Source!X60</f>
        <v>540.54999999999995</v>
      </c>
      <c r="R93">
        <f>Source!X61</f>
        <v>30459.93</v>
      </c>
      <c r="S93">
        <f>Source!Y60</f>
        <v>276.27999999999997</v>
      </c>
      <c r="T93">
        <f>Source!Y61</f>
        <v>15568.41</v>
      </c>
      <c r="U93">
        <f>ROUND((175/100)*ROUND(Source!R60, 2), 2)</f>
        <v>7.67</v>
      </c>
      <c r="V93">
        <f>ROUND((0/100)*ROUND(Source!R61, 2), 2)</f>
        <v>0</v>
      </c>
      <c r="AC93">
        <v>0</v>
      </c>
    </row>
    <row r="94" spans="1:29" ht="14.25" x14ac:dyDescent="0.2">
      <c r="A94" s="40"/>
      <c r="B94" s="40"/>
      <c r="C94" s="40" t="s">
        <v>747</v>
      </c>
      <c r="D94" s="42"/>
      <c r="E94" s="41"/>
      <c r="F94" s="44">
        <f>Source!AO60</f>
        <v>51.74</v>
      </c>
      <c r="G94" s="45" t="s">
        <v>110</v>
      </c>
      <c r="H94" s="41">
        <f>Source!AV61</f>
        <v>1.0669999999999999</v>
      </c>
      <c r="I94" s="44">
        <f>Source!S60</f>
        <v>596.23</v>
      </c>
      <c r="J94" s="41">
        <f>IF(Source!BA61&lt;&gt; 0, Source!BA61, 1)</f>
        <v>56.35</v>
      </c>
      <c r="K94" s="44">
        <f>Source!S61</f>
        <v>33597.56</v>
      </c>
    </row>
    <row r="95" spans="1:29" ht="14.25" x14ac:dyDescent="0.2">
      <c r="A95" s="40"/>
      <c r="B95" s="40"/>
      <c r="C95" s="40" t="s">
        <v>749</v>
      </c>
      <c r="D95" s="42"/>
      <c r="E95" s="41"/>
      <c r="F95" s="44">
        <f>Source!AM60</f>
        <v>2.4900000000000002</v>
      </c>
      <c r="G95" s="45" t="s">
        <v>110</v>
      </c>
      <c r="H95" s="41">
        <f>Source!AV61</f>
        <v>1.0669999999999999</v>
      </c>
      <c r="I95" s="44">
        <f>Source!Q60</f>
        <v>28.69</v>
      </c>
      <c r="J95" s="41">
        <f>IF(Source!BB61&lt;&gt; 0, Source!BB61, 1)</f>
        <v>17.09</v>
      </c>
      <c r="K95" s="44">
        <f>Source!Q61</f>
        <v>490.31</v>
      </c>
    </row>
    <row r="96" spans="1:29" ht="14.25" x14ac:dyDescent="0.2">
      <c r="A96" s="40"/>
      <c r="B96" s="40"/>
      <c r="C96" s="40" t="s">
        <v>751</v>
      </c>
      <c r="D96" s="42"/>
      <c r="E96" s="41"/>
      <c r="F96" s="44">
        <f>Source!AN60</f>
        <v>0.38</v>
      </c>
      <c r="G96" s="45" t="s">
        <v>110</v>
      </c>
      <c r="H96" s="41">
        <f>Source!AV61</f>
        <v>1.0669999999999999</v>
      </c>
      <c r="I96" s="46">
        <f>Source!R60</f>
        <v>4.38</v>
      </c>
      <c r="J96" s="41">
        <f>IF(Source!BS61&lt;&gt; 0, Source!BS61, 1)</f>
        <v>56.35</v>
      </c>
      <c r="K96" s="46">
        <f>Source!R61</f>
        <v>246.81</v>
      </c>
    </row>
    <row r="97" spans="1:29" ht="14.25" x14ac:dyDescent="0.2">
      <c r="A97" s="40"/>
      <c r="B97" s="40"/>
      <c r="C97" s="40" t="s">
        <v>752</v>
      </c>
      <c r="D97" s="42"/>
      <c r="E97" s="41"/>
      <c r="F97" s="44">
        <f>Source!AL60</f>
        <v>3.93</v>
      </c>
      <c r="G97" s="45" t="s">
        <v>3</v>
      </c>
      <c r="H97" s="41">
        <f>Source!AW61</f>
        <v>1.028</v>
      </c>
      <c r="I97" s="44">
        <f>Source!P60</f>
        <v>36.36</v>
      </c>
      <c r="J97" s="41">
        <f>IF(Source!BC61&lt;&gt; 0, Source!BC61, 1)</f>
        <v>4.49</v>
      </c>
      <c r="K97" s="44">
        <f>Source!P61</f>
        <v>163.26</v>
      </c>
    </row>
    <row r="98" spans="1:29" ht="71.25" x14ac:dyDescent="0.2">
      <c r="A98" s="40" t="s">
        <v>124</v>
      </c>
      <c r="B98" s="40" t="str">
        <f>Source!F62</f>
        <v>1.13-5-40</v>
      </c>
      <c r="C98" s="40" t="s">
        <v>126</v>
      </c>
      <c r="D98" s="42" t="str">
        <f>Source!H62</f>
        <v>шт.</v>
      </c>
      <c r="E98" s="41">
        <f>Source!I62</f>
        <v>9</v>
      </c>
      <c r="F98" s="44">
        <f>Source!AK62</f>
        <v>2177.9299999999998</v>
      </c>
      <c r="G98" s="45" t="s">
        <v>3</v>
      </c>
      <c r="H98" s="41">
        <f>Source!AW63</f>
        <v>1</v>
      </c>
      <c r="I98" s="44">
        <f>Source!O62</f>
        <v>19601.37</v>
      </c>
      <c r="J98" s="41">
        <f>IF(Source!BC63&lt;&gt; 0, Source!BC63, 1)</f>
        <v>3.11</v>
      </c>
      <c r="K98" s="44">
        <f>Source!O63</f>
        <v>60960.26</v>
      </c>
      <c r="Q98">
        <f>Source!X62</f>
        <v>0</v>
      </c>
      <c r="R98">
        <f>Source!X63</f>
        <v>0</v>
      </c>
      <c r="S98">
        <f>Source!Y62</f>
        <v>0</v>
      </c>
      <c r="T98">
        <f>Source!Y63</f>
        <v>0</v>
      </c>
      <c r="U98">
        <f>ROUND((175/100)*ROUND(Source!R62, 2), 2)</f>
        <v>0</v>
      </c>
      <c r="V98">
        <f>ROUND((0/100)*ROUND(Source!R63, 2), 2)</f>
        <v>0</v>
      </c>
      <c r="AC98">
        <v>3</v>
      </c>
    </row>
    <row r="99" spans="1:29" ht="14.25" x14ac:dyDescent="0.2">
      <c r="A99" s="40"/>
      <c r="B99" s="40"/>
      <c r="C99" s="40" t="s">
        <v>753</v>
      </c>
      <c r="D99" s="42" t="s">
        <v>754</v>
      </c>
      <c r="E99" s="41">
        <f>Source!BZ61</f>
        <v>90</v>
      </c>
      <c r="F99" s="44"/>
      <c r="G99" s="43"/>
      <c r="H99" s="41"/>
      <c r="I99" s="44">
        <f>SUM(Q93:Q98)</f>
        <v>540.54999999999995</v>
      </c>
      <c r="J99" s="41">
        <f>Source!AT61</f>
        <v>90</v>
      </c>
      <c r="K99" s="44">
        <f>SUM(R93:R98)</f>
        <v>30459.93</v>
      </c>
    </row>
    <row r="100" spans="1:29" ht="14.25" x14ac:dyDescent="0.2">
      <c r="A100" s="40"/>
      <c r="B100" s="40"/>
      <c r="C100" s="40" t="s">
        <v>755</v>
      </c>
      <c r="D100" s="42" t="s">
        <v>754</v>
      </c>
      <c r="E100" s="41">
        <f>Source!CA61</f>
        <v>46</v>
      </c>
      <c r="F100" s="44"/>
      <c r="G100" s="43"/>
      <c r="H100" s="41"/>
      <c r="I100" s="44">
        <f>SUM(S93:S99)</f>
        <v>276.27999999999997</v>
      </c>
      <c r="J100" s="41">
        <f>Source!AU61</f>
        <v>46</v>
      </c>
      <c r="K100" s="44">
        <f>SUM(T93:T99)</f>
        <v>15568.41</v>
      </c>
    </row>
    <row r="101" spans="1:29" ht="14.25" x14ac:dyDescent="0.2">
      <c r="A101" s="47"/>
      <c r="B101" s="47"/>
      <c r="C101" s="47" t="s">
        <v>756</v>
      </c>
      <c r="D101" s="48" t="s">
        <v>757</v>
      </c>
      <c r="E101" s="49">
        <f>Source!AQ60</f>
        <v>4.0999999999999996</v>
      </c>
      <c r="F101" s="50"/>
      <c r="G101" s="51" t="s">
        <v>110</v>
      </c>
      <c r="H101" s="49">
        <f>Source!AV61</f>
        <v>1.0669999999999999</v>
      </c>
      <c r="I101" s="50">
        <f>Source!U60</f>
        <v>47.246759999999988</v>
      </c>
      <c r="J101" s="49"/>
      <c r="K101" s="50"/>
    </row>
    <row r="102" spans="1:29" ht="15" x14ac:dyDescent="0.2">
      <c r="C102" s="52" t="s">
        <v>758</v>
      </c>
      <c r="H102" s="53">
        <f>I94+I95+I97+I99+I100+SUM(I98:I98)-SUMIF(AC98:AC98, 5, I98:I98)-SUMIF(AC98:AC98, 6, I98:I98)</f>
        <v>21079.48</v>
      </c>
      <c r="I102" s="53"/>
      <c r="J102" s="53">
        <f>K94+K95+K97+K99+K100+SUM(K98:K98)-SUMIF(AC98:AC98, 5, K98:K98)-SUMIF(AC98:AC98, 6, K98:K98)</f>
        <v>141239.73000000001</v>
      </c>
      <c r="K102" s="53"/>
    </row>
    <row r="103" spans="1:29" ht="15" hidden="1" x14ac:dyDescent="0.2">
      <c r="C103" s="52" t="s">
        <v>759</v>
      </c>
      <c r="H103" s="55">
        <f>SUMIF(AC98:AC98, 5, I98:I98)+SUMIF(AC98:AC98, 6, I98:I98)</f>
        <v>0</v>
      </c>
      <c r="I103" s="55"/>
      <c r="J103" s="55">
        <f>SUMIF(AC98:AC98, 5, K98:K98)+SUMIF(AC98:AC98, 6, K98:K98)</f>
        <v>0</v>
      </c>
      <c r="K103" s="55"/>
    </row>
    <row r="104" spans="1:29" ht="15" x14ac:dyDescent="0.2">
      <c r="C104" s="52" t="s">
        <v>760</v>
      </c>
      <c r="H104" s="55">
        <f>I94+I95+I97+I99+I100+SUM(I98:I98)</f>
        <v>21079.48</v>
      </c>
      <c r="I104" s="55"/>
      <c r="J104" s="55">
        <f>K94+K95+K97+K99+K100+SUM(K98:K98)</f>
        <v>141239.73000000001</v>
      </c>
      <c r="K104" s="55"/>
      <c r="O104" s="56">
        <f>I94+I95+I97+I99+I100+SUM(I98:I98)</f>
        <v>21079.48</v>
      </c>
      <c r="P104" s="56">
        <f>K94+K95+K97+K99+K100+SUM(K98:K98)</f>
        <v>141239.73000000001</v>
      </c>
    </row>
    <row r="106" spans="1:29" ht="71.25" x14ac:dyDescent="0.2">
      <c r="A106" s="47">
        <v>8</v>
      </c>
      <c r="B106" s="47" t="str">
        <f>Source!F64</f>
        <v>1.12-9-21</v>
      </c>
      <c r="C106" s="47" t="s">
        <v>130</v>
      </c>
      <c r="D106" s="48" t="str">
        <f>Source!H64</f>
        <v>шт.</v>
      </c>
      <c r="E106" s="49">
        <f>Source!I64</f>
        <v>10</v>
      </c>
      <c r="F106" s="50">
        <f>Source!AL64</f>
        <v>107.23</v>
      </c>
      <c r="G106" s="51" t="s">
        <v>3</v>
      </c>
      <c r="H106" s="49">
        <f>Source!AW65</f>
        <v>1</v>
      </c>
      <c r="I106" s="50">
        <f>Source!P64</f>
        <v>1072.3</v>
      </c>
      <c r="J106" s="49">
        <f>IF(Source!BC65&lt;&gt; 0, Source!BC65, 1)</f>
        <v>6.94</v>
      </c>
      <c r="K106" s="50">
        <f>Source!P65</f>
        <v>7441.76</v>
      </c>
      <c r="Q106">
        <f>Source!X64</f>
        <v>0</v>
      </c>
      <c r="R106">
        <f>Source!X65</f>
        <v>0</v>
      </c>
      <c r="S106">
        <f>Source!Y64</f>
        <v>0</v>
      </c>
      <c r="T106">
        <f>Source!Y65</f>
        <v>0</v>
      </c>
      <c r="U106">
        <f>ROUND((175/100)*ROUND(Source!R64, 2), 2)</f>
        <v>0</v>
      </c>
      <c r="V106">
        <f>ROUND((0/100)*ROUND(Source!R65, 2), 2)</f>
        <v>0</v>
      </c>
      <c r="AC106">
        <v>3</v>
      </c>
    </row>
    <row r="107" spans="1:29" ht="15" x14ac:dyDescent="0.2">
      <c r="C107" s="52" t="s">
        <v>760</v>
      </c>
      <c r="H107" s="53">
        <f>I106+0</f>
        <v>1072.3</v>
      </c>
      <c r="I107" s="53"/>
      <c r="J107" s="53">
        <f>K106+0</f>
        <v>7441.76</v>
      </c>
      <c r="K107" s="53"/>
      <c r="O107" s="56">
        <f>I106+0</f>
        <v>1072.3</v>
      </c>
      <c r="P107" s="56">
        <f>K106+0</f>
        <v>7441.76</v>
      </c>
    </row>
    <row r="109" spans="1:29" ht="57" x14ac:dyDescent="0.2">
      <c r="A109" s="40">
        <v>9</v>
      </c>
      <c r="B109" s="40" t="str">
        <f>Source!F66</f>
        <v>4.12-48-9</v>
      </c>
      <c r="C109" s="40" t="s">
        <v>136</v>
      </c>
      <c r="D109" s="42" t="str">
        <f>Source!H66</f>
        <v>1  ШТ.</v>
      </c>
      <c r="E109" s="41">
        <f>Source!I66</f>
        <v>8</v>
      </c>
      <c r="F109" s="44"/>
      <c r="G109" s="43"/>
      <c r="H109" s="41"/>
      <c r="I109" s="44"/>
      <c r="J109" s="41"/>
      <c r="K109" s="44"/>
      <c r="Q109">
        <f>Source!X66</f>
        <v>467.68</v>
      </c>
      <c r="R109">
        <f>Source!X67</f>
        <v>26353.55</v>
      </c>
      <c r="S109">
        <f>Source!Y66</f>
        <v>239.03</v>
      </c>
      <c r="T109">
        <f>Source!Y67</f>
        <v>13469.59</v>
      </c>
      <c r="U109">
        <f>ROUND((175/100)*ROUND(Source!R66, 2), 2)</f>
        <v>4.4800000000000004</v>
      </c>
      <c r="V109">
        <f>ROUND((0/100)*ROUND(Source!R67, 2), 2)</f>
        <v>0</v>
      </c>
      <c r="AC109">
        <v>0</v>
      </c>
    </row>
    <row r="110" spans="1:29" x14ac:dyDescent="0.2">
      <c r="C110" s="70" t="str">
        <f>"Объем: "&amp;Source!I66&amp;"=4+"&amp;"4"</f>
        <v>Объем: 8=4+4</v>
      </c>
    </row>
    <row r="111" spans="1:29" ht="14.25" x14ac:dyDescent="0.2">
      <c r="A111" s="40"/>
      <c r="B111" s="40"/>
      <c r="C111" s="40" t="s">
        <v>747</v>
      </c>
      <c r="D111" s="42"/>
      <c r="E111" s="41"/>
      <c r="F111" s="44">
        <f>Source!AO66</f>
        <v>50.48</v>
      </c>
      <c r="G111" s="45" t="s">
        <v>110</v>
      </c>
      <c r="H111" s="41">
        <f>Source!AV67</f>
        <v>1.0669999999999999</v>
      </c>
      <c r="I111" s="44">
        <f>Source!S66</f>
        <v>517.08000000000004</v>
      </c>
      <c r="J111" s="41">
        <f>IF(Source!BA67&lt;&gt; 0, Source!BA67, 1)</f>
        <v>56.35</v>
      </c>
      <c r="K111" s="44">
        <f>Source!S67</f>
        <v>29137.46</v>
      </c>
    </row>
    <row r="112" spans="1:29" ht="14.25" x14ac:dyDescent="0.2">
      <c r="A112" s="40"/>
      <c r="B112" s="40"/>
      <c r="C112" s="40" t="s">
        <v>749</v>
      </c>
      <c r="D112" s="42"/>
      <c r="E112" s="41"/>
      <c r="F112" s="44">
        <f>Source!AM66</f>
        <v>1.66</v>
      </c>
      <c r="G112" s="45" t="s">
        <v>110</v>
      </c>
      <c r="H112" s="41">
        <f>Source!AV67</f>
        <v>1.0669999999999999</v>
      </c>
      <c r="I112" s="44">
        <f>Source!Q66</f>
        <v>17</v>
      </c>
      <c r="J112" s="41">
        <f>IF(Source!BB67&lt;&gt; 0, Source!BB67, 1)</f>
        <v>17.09</v>
      </c>
      <c r="K112" s="44">
        <f>Source!Q67</f>
        <v>290.52999999999997</v>
      </c>
    </row>
    <row r="113" spans="1:29" ht="14.25" x14ac:dyDescent="0.2">
      <c r="A113" s="40"/>
      <c r="B113" s="40"/>
      <c r="C113" s="40" t="s">
        <v>751</v>
      </c>
      <c r="D113" s="42"/>
      <c r="E113" s="41"/>
      <c r="F113" s="44">
        <f>Source!AN66</f>
        <v>0.25</v>
      </c>
      <c r="G113" s="45" t="s">
        <v>110</v>
      </c>
      <c r="H113" s="41">
        <f>Source!AV67</f>
        <v>1.0669999999999999</v>
      </c>
      <c r="I113" s="46">
        <f>Source!R66</f>
        <v>2.56</v>
      </c>
      <c r="J113" s="41">
        <f>IF(Source!BS67&lt;&gt; 0, Source!BS67, 1)</f>
        <v>56.35</v>
      </c>
      <c r="K113" s="46">
        <f>Source!R67</f>
        <v>144.26</v>
      </c>
    </row>
    <row r="114" spans="1:29" ht="14.25" x14ac:dyDescent="0.2">
      <c r="A114" s="40"/>
      <c r="B114" s="40"/>
      <c r="C114" s="40" t="s">
        <v>752</v>
      </c>
      <c r="D114" s="42"/>
      <c r="E114" s="41"/>
      <c r="F114" s="44">
        <f>Source!AL66</f>
        <v>2.77</v>
      </c>
      <c r="G114" s="45" t="s">
        <v>3</v>
      </c>
      <c r="H114" s="41">
        <f>Source!AW67</f>
        <v>1.028</v>
      </c>
      <c r="I114" s="44">
        <f>Source!P66</f>
        <v>22.78</v>
      </c>
      <c r="J114" s="41">
        <f>IF(Source!BC67&lt;&gt; 0, Source!BC67, 1)</f>
        <v>4.5</v>
      </c>
      <c r="K114" s="44">
        <f>Source!P67</f>
        <v>102.51</v>
      </c>
    </row>
    <row r="115" spans="1:29" ht="85.5" x14ac:dyDescent="0.2">
      <c r="A115" s="40" t="s">
        <v>137</v>
      </c>
      <c r="B115" s="40" t="str">
        <f>Source!F68</f>
        <v>1.13-3-109</v>
      </c>
      <c r="C115" s="40" t="s">
        <v>139</v>
      </c>
      <c r="D115" s="42" t="str">
        <f>Source!H68</f>
        <v>шт.</v>
      </c>
      <c r="E115" s="41">
        <f>Source!I68</f>
        <v>4</v>
      </c>
      <c r="F115" s="44">
        <f>Source!AK68</f>
        <v>3030.49</v>
      </c>
      <c r="G115" s="45" t="s">
        <v>3</v>
      </c>
      <c r="H115" s="41">
        <f>Source!AW69</f>
        <v>1</v>
      </c>
      <c r="I115" s="44">
        <f>Source!O68</f>
        <v>12121.96</v>
      </c>
      <c r="J115" s="41">
        <f>IF(Source!BC69&lt;&gt; 0, Source!BC69, 1)</f>
        <v>6.25</v>
      </c>
      <c r="K115" s="44">
        <f>Source!O69</f>
        <v>75762.25</v>
      </c>
      <c r="Q115">
        <f>Source!X68</f>
        <v>0</v>
      </c>
      <c r="R115">
        <f>Source!X69</f>
        <v>0</v>
      </c>
      <c r="S115">
        <f>Source!Y68</f>
        <v>0</v>
      </c>
      <c r="T115">
        <f>Source!Y69</f>
        <v>0</v>
      </c>
      <c r="U115">
        <f>ROUND((175/100)*ROUND(Source!R68, 2), 2)</f>
        <v>0</v>
      </c>
      <c r="V115">
        <f>ROUND((0/100)*ROUND(Source!R69, 2), 2)</f>
        <v>0</v>
      </c>
      <c r="AC115">
        <v>3</v>
      </c>
    </row>
    <row r="116" spans="1:29" ht="71.25" x14ac:dyDescent="0.2">
      <c r="A116" s="40" t="s">
        <v>141</v>
      </c>
      <c r="B116" s="40" t="str">
        <f>Source!F70</f>
        <v>1.13-5-39</v>
      </c>
      <c r="C116" s="40" t="s">
        <v>143</v>
      </c>
      <c r="D116" s="42" t="str">
        <f>Source!H70</f>
        <v>шт.</v>
      </c>
      <c r="E116" s="41">
        <f>Source!I70</f>
        <v>4</v>
      </c>
      <c r="F116" s="44">
        <f>Source!AK70</f>
        <v>1974.43</v>
      </c>
      <c r="G116" s="45" t="s">
        <v>3</v>
      </c>
      <c r="H116" s="41">
        <f>Source!AW71</f>
        <v>1</v>
      </c>
      <c r="I116" s="44">
        <f>Source!O70</f>
        <v>7897.72</v>
      </c>
      <c r="J116" s="41">
        <f>IF(Source!BC71&lt;&gt; 0, Source!BC71, 1)</f>
        <v>1.78</v>
      </c>
      <c r="K116" s="44">
        <f>Source!O71</f>
        <v>14057.94</v>
      </c>
      <c r="Q116">
        <f>Source!X70</f>
        <v>0</v>
      </c>
      <c r="R116">
        <f>Source!X71</f>
        <v>0</v>
      </c>
      <c r="S116">
        <f>Source!Y70</f>
        <v>0</v>
      </c>
      <c r="T116">
        <f>Source!Y71</f>
        <v>0</v>
      </c>
      <c r="U116">
        <f>ROUND((175/100)*ROUND(Source!R70, 2), 2)</f>
        <v>0</v>
      </c>
      <c r="V116">
        <f>ROUND((0/100)*ROUND(Source!R71, 2), 2)</f>
        <v>0</v>
      </c>
      <c r="AC116">
        <v>3</v>
      </c>
    </row>
    <row r="117" spans="1:29" ht="14.25" x14ac:dyDescent="0.2">
      <c r="A117" s="40"/>
      <c r="B117" s="40"/>
      <c r="C117" s="40" t="s">
        <v>753</v>
      </c>
      <c r="D117" s="42" t="s">
        <v>754</v>
      </c>
      <c r="E117" s="41">
        <f>Source!BZ67</f>
        <v>90</v>
      </c>
      <c r="F117" s="44"/>
      <c r="G117" s="43"/>
      <c r="H117" s="41"/>
      <c r="I117" s="44">
        <f>SUM(Q109:Q116)</f>
        <v>467.68</v>
      </c>
      <c r="J117" s="41">
        <f>Source!AT67</f>
        <v>90</v>
      </c>
      <c r="K117" s="44">
        <f>SUM(R109:R116)</f>
        <v>26353.55</v>
      </c>
    </row>
    <row r="118" spans="1:29" ht="14.25" x14ac:dyDescent="0.2">
      <c r="A118" s="40"/>
      <c r="B118" s="40"/>
      <c r="C118" s="40" t="s">
        <v>755</v>
      </c>
      <c r="D118" s="42" t="s">
        <v>754</v>
      </c>
      <c r="E118" s="41">
        <f>Source!CA67</f>
        <v>46</v>
      </c>
      <c r="F118" s="44"/>
      <c r="G118" s="43"/>
      <c r="H118" s="41"/>
      <c r="I118" s="44">
        <f>SUM(S109:S117)</f>
        <v>239.03</v>
      </c>
      <c r="J118" s="41">
        <f>Source!AU67</f>
        <v>46</v>
      </c>
      <c r="K118" s="44">
        <f>SUM(T109:T117)</f>
        <v>13469.59</v>
      </c>
    </row>
    <row r="119" spans="1:29" ht="14.25" x14ac:dyDescent="0.2">
      <c r="A119" s="47"/>
      <c r="B119" s="47"/>
      <c r="C119" s="47" t="s">
        <v>756</v>
      </c>
      <c r="D119" s="48" t="s">
        <v>757</v>
      </c>
      <c r="E119" s="49">
        <f>Source!AQ66</f>
        <v>4</v>
      </c>
      <c r="F119" s="50"/>
      <c r="G119" s="51" t="s">
        <v>110</v>
      </c>
      <c r="H119" s="49">
        <f>Source!AV67</f>
        <v>1.0669999999999999</v>
      </c>
      <c r="I119" s="50">
        <f>Source!U66</f>
        <v>40.972799999999999</v>
      </c>
      <c r="J119" s="49"/>
      <c r="K119" s="50"/>
    </row>
    <row r="120" spans="1:29" ht="15" x14ac:dyDescent="0.2">
      <c r="C120" s="52" t="s">
        <v>758</v>
      </c>
      <c r="H120" s="53">
        <f>I111+I112+I114+I117+I118+SUM(I115:I116)-SUMIF(AC115:AC116, 5, I115:I116)-SUMIF(AC115:AC116, 6, I115:I116)</f>
        <v>21283.25</v>
      </c>
      <c r="I120" s="53"/>
      <c r="J120" s="53">
        <f>K111+K112+K114+K117+K118+SUM(K115:K116)-SUMIF(AC115:AC116, 5, K115:K116)-SUMIF(AC115:AC116, 6, K115:K116)</f>
        <v>159173.83000000002</v>
      </c>
      <c r="K120" s="53"/>
    </row>
    <row r="121" spans="1:29" ht="15" hidden="1" x14ac:dyDescent="0.2">
      <c r="C121" s="52" t="s">
        <v>759</v>
      </c>
      <c r="H121" s="55">
        <f>SUMIF(AC115:AC116, 5, I115:I116)+SUMIF(AC115:AC116, 6, I115:I116)</f>
        <v>0</v>
      </c>
      <c r="I121" s="55"/>
      <c r="J121" s="55">
        <f>SUMIF(AC115:AC116, 5, K115:K116)+SUMIF(AC115:AC116, 6, K115:K116)</f>
        <v>0</v>
      </c>
      <c r="K121" s="55"/>
    </row>
    <row r="122" spans="1:29" ht="15" x14ac:dyDescent="0.2">
      <c r="C122" s="52" t="s">
        <v>760</v>
      </c>
      <c r="H122" s="55">
        <f>I111+I112+I114+I117+I118+SUM(I115:I116)</f>
        <v>21283.25</v>
      </c>
      <c r="I122" s="55"/>
      <c r="J122" s="55">
        <f>K111+K112+K114+K117+K118+SUM(K115:K116)</f>
        <v>159173.83000000002</v>
      </c>
      <c r="K122" s="55"/>
      <c r="O122" s="56">
        <f>I111+I112+I114+I117+I118+SUM(I115:I116)</f>
        <v>21283.25</v>
      </c>
      <c r="P122" s="56">
        <f>K111+K112+K114+K117+K118+SUM(K115:K116)</f>
        <v>159173.83000000002</v>
      </c>
    </row>
    <row r="124" spans="1:29" ht="71.25" x14ac:dyDescent="0.2">
      <c r="A124" s="47">
        <v>10</v>
      </c>
      <c r="B124" s="47" t="str">
        <f>Source!F72</f>
        <v>1.12-9-20</v>
      </c>
      <c r="C124" s="47" t="s">
        <v>147</v>
      </c>
      <c r="D124" s="48" t="str">
        <f>Source!H72</f>
        <v>шт.</v>
      </c>
      <c r="E124" s="49">
        <f>Source!I72</f>
        <v>8</v>
      </c>
      <c r="F124" s="50">
        <f>Source!AL72</f>
        <v>79.92</v>
      </c>
      <c r="G124" s="51" t="s">
        <v>3</v>
      </c>
      <c r="H124" s="49">
        <f>Source!AW73</f>
        <v>1</v>
      </c>
      <c r="I124" s="50">
        <f>Source!P72</f>
        <v>639.36</v>
      </c>
      <c r="J124" s="49">
        <f>IF(Source!BC73&lt;&gt; 0, Source!BC73, 1)</f>
        <v>7.63</v>
      </c>
      <c r="K124" s="50">
        <f>Source!P73</f>
        <v>4878.32</v>
      </c>
      <c r="Q124">
        <f>Source!X72</f>
        <v>0</v>
      </c>
      <c r="R124">
        <f>Source!X73</f>
        <v>0</v>
      </c>
      <c r="S124">
        <f>Source!Y72</f>
        <v>0</v>
      </c>
      <c r="T124">
        <f>Source!Y73</f>
        <v>0</v>
      </c>
      <c r="U124">
        <f>ROUND((175/100)*ROUND(Source!R72, 2), 2)</f>
        <v>0</v>
      </c>
      <c r="V124">
        <f>ROUND((0/100)*ROUND(Source!R73, 2), 2)</f>
        <v>0</v>
      </c>
      <c r="AC124">
        <v>3</v>
      </c>
    </row>
    <row r="125" spans="1:29" ht="15" x14ac:dyDescent="0.2">
      <c r="C125" s="52" t="s">
        <v>760</v>
      </c>
      <c r="H125" s="53">
        <f>I124+0</f>
        <v>639.36</v>
      </c>
      <c r="I125" s="53"/>
      <c r="J125" s="53">
        <f>K124+0</f>
        <v>4878.32</v>
      </c>
      <c r="K125" s="53"/>
      <c r="O125" s="56">
        <f>I124+0</f>
        <v>639.36</v>
      </c>
      <c r="P125" s="56">
        <f>K124+0</f>
        <v>4878.32</v>
      </c>
    </row>
    <row r="127" spans="1:29" ht="57" x14ac:dyDescent="0.2">
      <c r="A127" s="47">
        <v>11</v>
      </c>
      <c r="B127" s="47" t="str">
        <f>Source!F92</f>
        <v>1.17-7-46</v>
      </c>
      <c r="C127" s="47" t="s">
        <v>168</v>
      </c>
      <c r="D127" s="48" t="str">
        <f>Source!H92</f>
        <v>шт.</v>
      </c>
      <c r="E127" s="49">
        <f>Source!I92</f>
        <v>2</v>
      </c>
      <c r="F127" s="50">
        <f>Source!AL92</f>
        <v>38.630000000000003</v>
      </c>
      <c r="G127" s="51" t="s">
        <v>3</v>
      </c>
      <c r="H127" s="49">
        <f>Source!AW93</f>
        <v>1</v>
      </c>
      <c r="I127" s="50">
        <f>Source!P92</f>
        <v>77.260000000000005</v>
      </c>
      <c r="J127" s="49">
        <f>IF(Source!BC93&lt;&gt; 0, Source!BC93, 1)</f>
        <v>4.5999999999999996</v>
      </c>
      <c r="K127" s="50">
        <f>Source!P93</f>
        <v>355.4</v>
      </c>
      <c r="Q127">
        <f>Source!X92</f>
        <v>0</v>
      </c>
      <c r="R127">
        <f>Source!X93</f>
        <v>0</v>
      </c>
      <c r="S127">
        <f>Source!Y92</f>
        <v>0</v>
      </c>
      <c r="T127">
        <f>Source!Y93</f>
        <v>0</v>
      </c>
      <c r="U127">
        <f>ROUND((175/100)*ROUND(Source!R92, 2), 2)</f>
        <v>0</v>
      </c>
      <c r="V127">
        <f>ROUND((0/100)*ROUND(Source!R93, 2), 2)</f>
        <v>0</v>
      </c>
      <c r="AC127">
        <v>3</v>
      </c>
    </row>
    <row r="128" spans="1:29" ht="15" x14ac:dyDescent="0.2">
      <c r="C128" s="52" t="s">
        <v>760</v>
      </c>
      <c r="H128" s="53">
        <f>I127+0</f>
        <v>77.260000000000005</v>
      </c>
      <c r="I128" s="53"/>
      <c r="J128" s="53">
        <f>K127+0</f>
        <v>355.4</v>
      </c>
      <c r="K128" s="53"/>
      <c r="O128" s="56">
        <f>I127+0</f>
        <v>77.260000000000005</v>
      </c>
      <c r="P128" s="56">
        <f>K127+0</f>
        <v>355.4</v>
      </c>
    </row>
    <row r="130" spans="1:29" ht="57" x14ac:dyDescent="0.2">
      <c r="A130" s="40">
        <v>12</v>
      </c>
      <c r="B130" s="40" t="str">
        <f>Source!F94</f>
        <v>4.12-56-5</v>
      </c>
      <c r="C130" s="40" t="s">
        <v>173</v>
      </c>
      <c r="D130" s="42" t="str">
        <f>Source!H94</f>
        <v>1  ШТ.</v>
      </c>
      <c r="E130" s="41">
        <f>Source!I94</f>
        <v>3</v>
      </c>
      <c r="F130" s="44"/>
      <c r="G130" s="43"/>
      <c r="H130" s="41"/>
      <c r="I130" s="44"/>
      <c r="J130" s="41"/>
      <c r="K130" s="44"/>
      <c r="Q130">
        <f>Source!X94</f>
        <v>209.43</v>
      </c>
      <c r="R130">
        <f>Source!X95</f>
        <v>11801.39</v>
      </c>
      <c r="S130">
        <f>Source!Y94</f>
        <v>107.04</v>
      </c>
      <c r="T130">
        <f>Source!Y95</f>
        <v>6031.82</v>
      </c>
      <c r="U130">
        <f>ROUND((175/100)*ROUND(Source!R94, 2), 2)</f>
        <v>0</v>
      </c>
      <c r="V130">
        <f>ROUND((0/100)*ROUND(Source!R95, 2), 2)</f>
        <v>0</v>
      </c>
      <c r="AC130">
        <v>0</v>
      </c>
    </row>
    <row r="131" spans="1:29" x14ac:dyDescent="0.2">
      <c r="C131" s="70" t="str">
        <f>"Объем: "&amp;Source!I94&amp;"=2+"&amp;"1"</f>
        <v>Объем: 3=2+1</v>
      </c>
    </row>
    <row r="132" spans="1:29" ht="14.25" x14ac:dyDescent="0.2">
      <c r="A132" s="40"/>
      <c r="B132" s="40"/>
      <c r="C132" s="40" t="s">
        <v>747</v>
      </c>
      <c r="D132" s="42"/>
      <c r="E132" s="41"/>
      <c r="F132" s="44">
        <f>Source!AO94</f>
        <v>60.58</v>
      </c>
      <c r="G132" s="45" t="s">
        <v>110</v>
      </c>
      <c r="H132" s="41">
        <f>Source!AV95</f>
        <v>1.0669999999999999</v>
      </c>
      <c r="I132" s="44">
        <f>Source!S94</f>
        <v>232.7</v>
      </c>
      <c r="J132" s="41">
        <f>IF(Source!BA95&lt;&gt; 0, Source!BA95, 1)</f>
        <v>56.35</v>
      </c>
      <c r="K132" s="44">
        <f>Source!S95</f>
        <v>13112.65</v>
      </c>
    </row>
    <row r="133" spans="1:29" ht="14.25" x14ac:dyDescent="0.2">
      <c r="A133" s="40"/>
      <c r="B133" s="40"/>
      <c r="C133" s="40" t="s">
        <v>749</v>
      </c>
      <c r="D133" s="42"/>
      <c r="E133" s="41"/>
      <c r="F133" s="44">
        <f>Source!AM94</f>
        <v>3.77</v>
      </c>
      <c r="G133" s="45" t="s">
        <v>110</v>
      </c>
      <c r="H133" s="41">
        <f>Source!AV95</f>
        <v>1.0669999999999999</v>
      </c>
      <c r="I133" s="44">
        <f>Source!Q94</f>
        <v>14.48</v>
      </c>
      <c r="J133" s="41">
        <f>IF(Source!BB95&lt;&gt; 0, Source!BB95, 1)</f>
        <v>13.45</v>
      </c>
      <c r="K133" s="44">
        <f>Source!Q95</f>
        <v>194.76</v>
      </c>
    </row>
    <row r="134" spans="1:29" ht="14.25" x14ac:dyDescent="0.2">
      <c r="A134" s="40"/>
      <c r="B134" s="40"/>
      <c r="C134" s="40" t="s">
        <v>752</v>
      </c>
      <c r="D134" s="42"/>
      <c r="E134" s="41"/>
      <c r="F134" s="44">
        <f>Source!AL94</f>
        <v>13.48</v>
      </c>
      <c r="G134" s="45" t="s">
        <v>3</v>
      </c>
      <c r="H134" s="41">
        <f>Source!AW95</f>
        <v>1.028</v>
      </c>
      <c r="I134" s="44">
        <f>Source!P94</f>
        <v>41.57</v>
      </c>
      <c r="J134" s="41">
        <f>IF(Source!BC95&lt;&gt; 0, Source!BC95, 1)</f>
        <v>5.68</v>
      </c>
      <c r="K134" s="44">
        <f>Source!P95</f>
        <v>236.12</v>
      </c>
    </row>
    <row r="135" spans="1:29" ht="57" x14ac:dyDescent="0.2">
      <c r="A135" s="40" t="s">
        <v>175</v>
      </c>
      <c r="B135" s="40" t="str">
        <f>Source!F96</f>
        <v>1.13-4-128</v>
      </c>
      <c r="C135" s="40" t="s">
        <v>177</v>
      </c>
      <c r="D135" s="42" t="str">
        <f>Source!H96</f>
        <v>шт.</v>
      </c>
      <c r="E135" s="41">
        <f>Source!I96</f>
        <v>2</v>
      </c>
      <c r="F135" s="44">
        <f>Source!AK96</f>
        <v>139.83000000000001</v>
      </c>
      <c r="G135" s="45" t="s">
        <v>3</v>
      </c>
      <c r="H135" s="41">
        <f>Source!AW97</f>
        <v>1</v>
      </c>
      <c r="I135" s="44">
        <f>Source!O96</f>
        <v>279.66000000000003</v>
      </c>
      <c r="J135" s="41">
        <f>IF(Source!BC97&lt;&gt; 0, Source!BC97, 1)</f>
        <v>3.35</v>
      </c>
      <c r="K135" s="44">
        <f>Source!O97</f>
        <v>936.86</v>
      </c>
      <c r="Q135">
        <f>Source!X96</f>
        <v>0</v>
      </c>
      <c r="R135">
        <f>Source!X97</f>
        <v>0</v>
      </c>
      <c r="S135">
        <f>Source!Y96</f>
        <v>0</v>
      </c>
      <c r="T135">
        <f>Source!Y97</f>
        <v>0</v>
      </c>
      <c r="U135">
        <f>ROUND((175/100)*ROUND(Source!R96, 2), 2)</f>
        <v>0</v>
      </c>
      <c r="V135">
        <f>ROUND((0/100)*ROUND(Source!R97, 2), 2)</f>
        <v>0</v>
      </c>
      <c r="AC135">
        <v>3</v>
      </c>
    </row>
    <row r="136" spans="1:29" ht="71.25" x14ac:dyDescent="0.2">
      <c r="A136" s="40" t="s">
        <v>179</v>
      </c>
      <c r="B136" s="40" t="str">
        <f>Source!F98</f>
        <v>1.13-3-40</v>
      </c>
      <c r="C136" s="40" t="s">
        <v>181</v>
      </c>
      <c r="D136" s="42" t="str">
        <f>Source!H98</f>
        <v>шт.</v>
      </c>
      <c r="E136" s="41">
        <f>Source!I98</f>
        <v>1</v>
      </c>
      <c r="F136" s="44">
        <f>Source!AK98</f>
        <v>279.67</v>
      </c>
      <c r="G136" s="45" t="s">
        <v>3</v>
      </c>
      <c r="H136" s="41">
        <f>Source!AW99</f>
        <v>1</v>
      </c>
      <c r="I136" s="44">
        <f>Source!O98</f>
        <v>279.67</v>
      </c>
      <c r="J136" s="41">
        <f>IF(Source!BC99&lt;&gt; 0, Source!BC99, 1)</f>
        <v>2.64</v>
      </c>
      <c r="K136" s="44">
        <f>Source!O99</f>
        <v>738.33</v>
      </c>
      <c r="Q136">
        <f>Source!X98</f>
        <v>0</v>
      </c>
      <c r="R136">
        <f>Source!X99</f>
        <v>0</v>
      </c>
      <c r="S136">
        <f>Source!Y98</f>
        <v>0</v>
      </c>
      <c r="T136">
        <f>Source!Y99</f>
        <v>0</v>
      </c>
      <c r="U136">
        <f>ROUND((175/100)*ROUND(Source!R98, 2), 2)</f>
        <v>0</v>
      </c>
      <c r="V136">
        <f>ROUND((0/100)*ROUND(Source!R99, 2), 2)</f>
        <v>0</v>
      </c>
      <c r="AC136">
        <v>3</v>
      </c>
    </row>
    <row r="137" spans="1:29" ht="14.25" x14ac:dyDescent="0.2">
      <c r="A137" s="40"/>
      <c r="B137" s="40"/>
      <c r="C137" s="40" t="s">
        <v>753</v>
      </c>
      <c r="D137" s="42" t="s">
        <v>754</v>
      </c>
      <c r="E137" s="41">
        <f>Source!BZ95</f>
        <v>90</v>
      </c>
      <c r="F137" s="44"/>
      <c r="G137" s="43"/>
      <c r="H137" s="41"/>
      <c r="I137" s="44">
        <f>SUM(Q130:Q136)</f>
        <v>209.43</v>
      </c>
      <c r="J137" s="41">
        <f>Source!AT95</f>
        <v>90</v>
      </c>
      <c r="K137" s="44">
        <f>SUM(R130:R136)</f>
        <v>11801.39</v>
      </c>
    </row>
    <row r="138" spans="1:29" ht="14.25" x14ac:dyDescent="0.2">
      <c r="A138" s="40"/>
      <c r="B138" s="40"/>
      <c r="C138" s="40" t="s">
        <v>755</v>
      </c>
      <c r="D138" s="42" t="s">
        <v>754</v>
      </c>
      <c r="E138" s="41">
        <f>Source!CA95</f>
        <v>46</v>
      </c>
      <c r="F138" s="44"/>
      <c r="G138" s="43"/>
      <c r="H138" s="41"/>
      <c r="I138" s="44">
        <f>SUM(S130:S137)</f>
        <v>107.04</v>
      </c>
      <c r="J138" s="41">
        <f>Source!AU95</f>
        <v>46</v>
      </c>
      <c r="K138" s="44">
        <f>SUM(T130:T137)</f>
        <v>6031.82</v>
      </c>
    </row>
    <row r="139" spans="1:29" ht="14.25" x14ac:dyDescent="0.2">
      <c r="A139" s="47"/>
      <c r="B139" s="47"/>
      <c r="C139" s="47" t="s">
        <v>756</v>
      </c>
      <c r="D139" s="48" t="s">
        <v>757</v>
      </c>
      <c r="E139" s="49">
        <f>Source!AQ94</f>
        <v>4.8</v>
      </c>
      <c r="F139" s="50"/>
      <c r="G139" s="51" t="s">
        <v>110</v>
      </c>
      <c r="H139" s="49">
        <f>Source!AV95</f>
        <v>1.0669999999999999</v>
      </c>
      <c r="I139" s="50">
        <f>Source!U94</f>
        <v>18.437759999999997</v>
      </c>
      <c r="J139" s="49"/>
      <c r="K139" s="50"/>
    </row>
    <row r="140" spans="1:29" ht="15" x14ac:dyDescent="0.2">
      <c r="C140" s="52" t="s">
        <v>758</v>
      </c>
      <c r="H140" s="53">
        <f>I132+I133+I134+I137+I138+SUM(I135:I136)-SUMIF(AC135:AC136, 5, I135:I136)-SUMIF(AC135:AC136, 6, I135:I136)</f>
        <v>1164.5500000000002</v>
      </c>
      <c r="I140" s="53"/>
      <c r="J140" s="53">
        <f>K132+K133+K134+K137+K138+SUM(K135:K136)-SUMIF(AC135:AC136, 5, K135:K136)-SUMIF(AC135:AC136, 6, K135:K136)</f>
        <v>33051.93</v>
      </c>
      <c r="K140" s="53"/>
    </row>
    <row r="141" spans="1:29" ht="15" hidden="1" x14ac:dyDescent="0.2">
      <c r="C141" s="52" t="s">
        <v>759</v>
      </c>
      <c r="H141" s="55">
        <f>SUMIF(AC135:AC136, 5, I135:I136)+SUMIF(AC135:AC136, 6, I135:I136)</f>
        <v>0</v>
      </c>
      <c r="I141" s="55"/>
      <c r="J141" s="55">
        <f>SUMIF(AC135:AC136, 5, K135:K136)+SUMIF(AC135:AC136, 6, K135:K136)</f>
        <v>0</v>
      </c>
      <c r="K141" s="55"/>
    </row>
    <row r="142" spans="1:29" ht="15" x14ac:dyDescent="0.2">
      <c r="C142" s="52" t="s">
        <v>760</v>
      </c>
      <c r="H142" s="55">
        <f>I132+I133+I134+I137+I138+SUM(I135:I136)</f>
        <v>1164.5500000000002</v>
      </c>
      <c r="I142" s="55"/>
      <c r="J142" s="55">
        <f>K132+K133+K134+K137+K138+SUM(K135:K136)</f>
        <v>33051.93</v>
      </c>
      <c r="K142" s="55"/>
      <c r="O142" s="56">
        <f>I132+I133+I134+I137+I138+SUM(I135:I136)</f>
        <v>1164.5500000000002</v>
      </c>
      <c r="P142" s="56">
        <f>K132+K133+K134+K137+K138+SUM(K135:K136)</f>
        <v>33051.93</v>
      </c>
    </row>
    <row r="144" spans="1:29" ht="85.5" x14ac:dyDescent="0.2">
      <c r="A144" s="40">
        <v>13</v>
      </c>
      <c r="B144" s="40" t="str">
        <f>Source!F100</f>
        <v>4.12-32-4</v>
      </c>
      <c r="C144" s="40" t="s">
        <v>185</v>
      </c>
      <c r="D144" s="42" t="str">
        <f>Source!H100</f>
        <v>100 м</v>
      </c>
      <c r="E144" s="41">
        <f>Source!I100</f>
        <v>0.2</v>
      </c>
      <c r="F144" s="44"/>
      <c r="G144" s="43"/>
      <c r="H144" s="41"/>
      <c r="I144" s="44"/>
      <c r="J144" s="41"/>
      <c r="K144" s="44"/>
      <c r="Q144">
        <f>Source!X100</f>
        <v>629.27</v>
      </c>
      <c r="R144">
        <f>Source!X101</f>
        <v>35459.42</v>
      </c>
      <c r="S144">
        <f>Source!Y100</f>
        <v>321.63</v>
      </c>
      <c r="T144">
        <f>Source!Y101</f>
        <v>18123.7</v>
      </c>
      <c r="U144">
        <f>ROUND((175/100)*ROUND(Source!R100, 2), 2)</f>
        <v>81.17</v>
      </c>
      <c r="V144">
        <f>ROUND((0/100)*ROUND(Source!R101, 2), 2)</f>
        <v>0</v>
      </c>
      <c r="AC144">
        <v>0</v>
      </c>
    </row>
    <row r="145" spans="1:29" x14ac:dyDescent="0.2">
      <c r="C145" s="70" t="str">
        <f>"Объем: "&amp;Source!I100&amp;"=(20)/"&amp;"100"</f>
        <v>Объем: 0,2=(20)/100</v>
      </c>
    </row>
    <row r="146" spans="1:29" ht="14.25" x14ac:dyDescent="0.2">
      <c r="A146" s="40"/>
      <c r="B146" s="40"/>
      <c r="C146" s="40" t="s">
        <v>747</v>
      </c>
      <c r="D146" s="42"/>
      <c r="E146" s="41"/>
      <c r="F146" s="44">
        <f>Source!AO100</f>
        <v>2549.2399999999998</v>
      </c>
      <c r="G146" s="45" t="s">
        <v>110</v>
      </c>
      <c r="H146" s="41">
        <f>Source!AV101</f>
        <v>1.0669999999999999</v>
      </c>
      <c r="I146" s="44">
        <f>Source!S100</f>
        <v>652.80999999999995</v>
      </c>
      <c r="J146" s="41">
        <f>IF(Source!BA101&lt;&gt; 0, Source!BA101, 1)</f>
        <v>56.35</v>
      </c>
      <c r="K146" s="44">
        <f>Source!S101</f>
        <v>36785.839999999997</v>
      </c>
    </row>
    <row r="147" spans="1:29" ht="14.25" x14ac:dyDescent="0.2">
      <c r="A147" s="40"/>
      <c r="B147" s="40"/>
      <c r="C147" s="40" t="s">
        <v>749</v>
      </c>
      <c r="D147" s="42"/>
      <c r="E147" s="41"/>
      <c r="F147" s="44">
        <f>Source!AM100</f>
        <v>1045.75</v>
      </c>
      <c r="G147" s="45" t="s">
        <v>110</v>
      </c>
      <c r="H147" s="41">
        <f>Source!AV101</f>
        <v>1.0669999999999999</v>
      </c>
      <c r="I147" s="44">
        <f>Source!Q100</f>
        <v>267.8</v>
      </c>
      <c r="J147" s="41">
        <f>IF(Source!BB101&lt;&gt; 0, Source!BB101, 1)</f>
        <v>19.5</v>
      </c>
      <c r="K147" s="44">
        <f>Source!Q101</f>
        <v>5222.1000000000004</v>
      </c>
    </row>
    <row r="148" spans="1:29" ht="14.25" x14ac:dyDescent="0.2">
      <c r="A148" s="40"/>
      <c r="B148" s="40"/>
      <c r="C148" s="40" t="s">
        <v>751</v>
      </c>
      <c r="D148" s="42"/>
      <c r="E148" s="41"/>
      <c r="F148" s="44">
        <f>Source!AN100</f>
        <v>181.1</v>
      </c>
      <c r="G148" s="45" t="s">
        <v>110</v>
      </c>
      <c r="H148" s="41">
        <f>Source!AV101</f>
        <v>1.0669999999999999</v>
      </c>
      <c r="I148" s="46">
        <f>Source!R100</f>
        <v>46.38</v>
      </c>
      <c r="J148" s="41">
        <f>IF(Source!BS101&lt;&gt; 0, Source!BS101, 1)</f>
        <v>56.35</v>
      </c>
      <c r="K148" s="46">
        <f>Source!R101</f>
        <v>2613.5100000000002</v>
      </c>
    </row>
    <row r="149" spans="1:29" ht="14.25" x14ac:dyDescent="0.2">
      <c r="A149" s="40"/>
      <c r="B149" s="40"/>
      <c r="C149" s="40" t="s">
        <v>752</v>
      </c>
      <c r="D149" s="42"/>
      <c r="E149" s="41"/>
      <c r="F149" s="44">
        <f>Source!AL100</f>
        <v>204.64</v>
      </c>
      <c r="G149" s="45" t="s">
        <v>3</v>
      </c>
      <c r="H149" s="41">
        <f>Source!AW101</f>
        <v>1.028</v>
      </c>
      <c r="I149" s="44">
        <f>Source!P100</f>
        <v>42.07</v>
      </c>
      <c r="J149" s="41">
        <f>IF(Source!BC101&lt;&gt; 0, Source!BC101, 1)</f>
        <v>9.52</v>
      </c>
      <c r="K149" s="44">
        <f>Source!P101</f>
        <v>400.51</v>
      </c>
    </row>
    <row r="150" spans="1:29" ht="57" x14ac:dyDescent="0.2">
      <c r="A150" s="40" t="s">
        <v>188</v>
      </c>
      <c r="B150" s="40" t="str">
        <f>Source!F102</f>
        <v>1.12-6-41</v>
      </c>
      <c r="C150" s="40" t="s">
        <v>190</v>
      </c>
      <c r="D150" s="42" t="str">
        <f>Source!H102</f>
        <v>м</v>
      </c>
      <c r="E150" s="41">
        <f>Source!I102</f>
        <v>20.100000000000001</v>
      </c>
      <c r="F150" s="44">
        <f>Source!AK102</f>
        <v>155</v>
      </c>
      <c r="G150" s="45" t="s">
        <v>3</v>
      </c>
      <c r="H150" s="41">
        <f>Source!AW103</f>
        <v>1</v>
      </c>
      <c r="I150" s="44">
        <f>Source!O102</f>
        <v>3115.5</v>
      </c>
      <c r="J150" s="41">
        <f>IF(Source!BC103&lt;&gt; 0, Source!BC103, 1)</f>
        <v>4.87</v>
      </c>
      <c r="K150" s="44">
        <f>Source!O103</f>
        <v>15172.49</v>
      </c>
      <c r="Q150">
        <f>Source!X102</f>
        <v>0</v>
      </c>
      <c r="R150">
        <f>Source!X103</f>
        <v>0</v>
      </c>
      <c r="S150">
        <f>Source!Y102</f>
        <v>0</v>
      </c>
      <c r="T150">
        <f>Source!Y103</f>
        <v>0</v>
      </c>
      <c r="U150">
        <f>ROUND((175/100)*ROUND(Source!R102, 2), 2)</f>
        <v>0</v>
      </c>
      <c r="V150">
        <f>ROUND((0/100)*ROUND(Source!R103, 2), 2)</f>
        <v>0</v>
      </c>
      <c r="AC150">
        <v>3</v>
      </c>
    </row>
    <row r="151" spans="1:29" ht="57" x14ac:dyDescent="0.2">
      <c r="A151" s="40" t="s">
        <v>193</v>
      </c>
      <c r="B151" s="40" t="str">
        <f>Source!F104</f>
        <v>1.12-11-52</v>
      </c>
      <c r="C151" s="40" t="s">
        <v>153</v>
      </c>
      <c r="D151" s="42" t="str">
        <f>Source!H104</f>
        <v>шт.</v>
      </c>
      <c r="E151" s="41">
        <f>Source!I104</f>
        <v>4</v>
      </c>
      <c r="F151" s="44">
        <f>Source!AK104</f>
        <v>340.41</v>
      </c>
      <c r="G151" s="45" t="s">
        <v>3</v>
      </c>
      <c r="H151" s="41">
        <f>Source!AW105</f>
        <v>1</v>
      </c>
      <c r="I151" s="44">
        <f>Source!O104</f>
        <v>1361.64</v>
      </c>
      <c r="J151" s="41">
        <f>IF(Source!BC105&lt;&gt; 0, Source!BC105, 1)</f>
        <v>4.5</v>
      </c>
      <c r="K151" s="44">
        <f>Source!O105</f>
        <v>6127.38</v>
      </c>
      <c r="Q151">
        <f>Source!X104</f>
        <v>0</v>
      </c>
      <c r="R151">
        <f>Source!X105</f>
        <v>0</v>
      </c>
      <c r="S151">
        <f>Source!Y104</f>
        <v>0</v>
      </c>
      <c r="T151">
        <f>Source!Y105</f>
        <v>0</v>
      </c>
      <c r="U151">
        <f>ROUND((175/100)*ROUND(Source!R104, 2), 2)</f>
        <v>0</v>
      </c>
      <c r="V151">
        <f>ROUND((0/100)*ROUND(Source!R105, 2), 2)</f>
        <v>0</v>
      </c>
      <c r="AC151">
        <v>3</v>
      </c>
    </row>
    <row r="152" spans="1:29" ht="14.25" x14ac:dyDescent="0.2">
      <c r="A152" s="40"/>
      <c r="B152" s="40"/>
      <c r="C152" s="40" t="s">
        <v>753</v>
      </c>
      <c r="D152" s="42" t="s">
        <v>754</v>
      </c>
      <c r="E152" s="41">
        <f>Source!BZ101</f>
        <v>90</v>
      </c>
      <c r="F152" s="44"/>
      <c r="G152" s="43"/>
      <c r="H152" s="41"/>
      <c r="I152" s="44">
        <f>SUM(Q144:Q151)</f>
        <v>629.27</v>
      </c>
      <c r="J152" s="41">
        <f>Source!AT101</f>
        <v>90</v>
      </c>
      <c r="K152" s="44">
        <f>SUM(R144:R151)</f>
        <v>35459.42</v>
      </c>
    </row>
    <row r="153" spans="1:29" ht="14.25" x14ac:dyDescent="0.2">
      <c r="A153" s="40"/>
      <c r="B153" s="40"/>
      <c r="C153" s="40" t="s">
        <v>755</v>
      </c>
      <c r="D153" s="42" t="s">
        <v>754</v>
      </c>
      <c r="E153" s="41">
        <f>Source!CA101</f>
        <v>46</v>
      </c>
      <c r="F153" s="44"/>
      <c r="G153" s="43"/>
      <c r="H153" s="41"/>
      <c r="I153" s="44">
        <f>SUM(S144:S152)</f>
        <v>321.63</v>
      </c>
      <c r="J153" s="41">
        <f>Source!AU101</f>
        <v>46</v>
      </c>
      <c r="K153" s="44">
        <f>SUM(T144:T152)</f>
        <v>18123.7</v>
      </c>
    </row>
    <row r="154" spans="1:29" ht="14.25" x14ac:dyDescent="0.2">
      <c r="A154" s="47"/>
      <c r="B154" s="47"/>
      <c r="C154" s="47" t="s">
        <v>756</v>
      </c>
      <c r="D154" s="48" t="s">
        <v>757</v>
      </c>
      <c r="E154" s="49">
        <f>Source!AQ100</f>
        <v>202</v>
      </c>
      <c r="F154" s="50"/>
      <c r="G154" s="51" t="s">
        <v>110</v>
      </c>
      <c r="H154" s="49">
        <f>Source!AV101</f>
        <v>1.0669999999999999</v>
      </c>
      <c r="I154" s="50">
        <f>Source!U100</f>
        <v>51.728159999999995</v>
      </c>
      <c r="J154" s="49"/>
      <c r="K154" s="50"/>
    </row>
    <row r="155" spans="1:29" ht="15" x14ac:dyDescent="0.2">
      <c r="C155" s="52" t="s">
        <v>758</v>
      </c>
      <c r="H155" s="53">
        <f>I146+I147+I149+I152+I153+SUM(I150:I151)-SUMIF(AC150:AC151, 5, I150:I151)-SUMIF(AC150:AC151, 6, I150:I151)</f>
        <v>6390.72</v>
      </c>
      <c r="I155" s="53"/>
      <c r="J155" s="53">
        <f>K146+K147+K149+K152+K153+SUM(K150:K151)-SUMIF(AC150:AC151, 5, K150:K151)-SUMIF(AC150:AC151, 6, K150:K151)</f>
        <v>117291.43999999999</v>
      </c>
      <c r="K155" s="53"/>
    </row>
    <row r="156" spans="1:29" ht="15" hidden="1" x14ac:dyDescent="0.2">
      <c r="C156" s="52" t="s">
        <v>759</v>
      </c>
      <c r="H156" s="55">
        <f>SUMIF(AC150:AC151, 5, I150:I151)+SUMIF(AC150:AC151, 6, I150:I151)</f>
        <v>0</v>
      </c>
      <c r="I156" s="55"/>
      <c r="J156" s="55">
        <f>SUMIF(AC150:AC151, 5, K150:K151)+SUMIF(AC150:AC151, 6, K150:K151)</f>
        <v>0</v>
      </c>
      <c r="K156" s="55"/>
    </row>
    <row r="157" spans="1:29" ht="15" x14ac:dyDescent="0.2">
      <c r="C157" s="52" t="s">
        <v>760</v>
      </c>
      <c r="H157" s="55">
        <f>I146+I147+I149+I152+I153+SUM(I150:I151)</f>
        <v>6390.72</v>
      </c>
      <c r="I157" s="55"/>
      <c r="J157" s="55">
        <f>K146+K147+K149+K152+K153+SUM(K150:K151)</f>
        <v>117291.43999999999</v>
      </c>
      <c r="K157" s="55"/>
      <c r="O157" s="56">
        <f>I146+I147+I149+I152+I153+SUM(I150:I151)</f>
        <v>6390.72</v>
      </c>
      <c r="P157" s="56">
        <f>K146+K147+K149+K152+K153+SUM(K150:K151)</f>
        <v>117291.43999999999</v>
      </c>
    </row>
    <row r="159" spans="1:29" ht="85.5" x14ac:dyDescent="0.2">
      <c r="A159" s="40">
        <v>14</v>
      </c>
      <c r="B159" s="40" t="str">
        <f>Source!F106</f>
        <v>4.12-32-3</v>
      </c>
      <c r="C159" s="40" t="s">
        <v>196</v>
      </c>
      <c r="D159" s="42" t="str">
        <f>Source!H106</f>
        <v>100 м</v>
      </c>
      <c r="E159" s="41">
        <f>Source!I106</f>
        <v>1</v>
      </c>
      <c r="F159" s="44"/>
      <c r="G159" s="43"/>
      <c r="H159" s="41"/>
      <c r="I159" s="44"/>
      <c r="J159" s="41"/>
      <c r="K159" s="44"/>
      <c r="Q159">
        <f>Source!X106</f>
        <v>2473.16</v>
      </c>
      <c r="R159">
        <f>Source!X107</f>
        <v>139362.28</v>
      </c>
      <c r="S159">
        <f>Source!Y106</f>
        <v>1264.06</v>
      </c>
      <c r="T159">
        <f>Source!Y107</f>
        <v>71229.61</v>
      </c>
      <c r="U159">
        <f>ROUND((175/100)*ROUND(Source!R106, 2), 2)</f>
        <v>312.76</v>
      </c>
      <c r="V159">
        <f>ROUND((0/100)*ROUND(Source!R107, 2), 2)</f>
        <v>0</v>
      </c>
      <c r="AC159">
        <v>0</v>
      </c>
    </row>
    <row r="160" spans="1:29" x14ac:dyDescent="0.2">
      <c r="C160" s="70" t="str">
        <f>"Объем: "&amp;Source!I106&amp;"=(40+"&amp;"60)/"&amp;"100"</f>
        <v>Объем: 1=(40+60)/100</v>
      </c>
    </row>
    <row r="161" spans="1:29" ht="14.25" x14ac:dyDescent="0.2">
      <c r="A161" s="40"/>
      <c r="B161" s="40"/>
      <c r="C161" s="40" t="s">
        <v>747</v>
      </c>
      <c r="D161" s="42"/>
      <c r="E161" s="41"/>
      <c r="F161" s="44">
        <f>Source!AO106</f>
        <v>2006.58</v>
      </c>
      <c r="G161" s="45" t="s">
        <v>110</v>
      </c>
      <c r="H161" s="41">
        <f>Source!AV107</f>
        <v>1.0669999999999999</v>
      </c>
      <c r="I161" s="44">
        <f>Source!S106</f>
        <v>2569.23</v>
      </c>
      <c r="J161" s="41">
        <f>IF(Source!BA107&lt;&gt; 0, Source!BA107, 1)</f>
        <v>56.35</v>
      </c>
      <c r="K161" s="44">
        <f>Source!S107</f>
        <v>144776.10999999999</v>
      </c>
    </row>
    <row r="162" spans="1:29" ht="14.25" x14ac:dyDescent="0.2">
      <c r="A162" s="40"/>
      <c r="B162" s="40"/>
      <c r="C162" s="40" t="s">
        <v>749</v>
      </c>
      <c r="D162" s="42"/>
      <c r="E162" s="41"/>
      <c r="F162" s="44">
        <f>Source!AM106</f>
        <v>820.65</v>
      </c>
      <c r="G162" s="45" t="s">
        <v>110</v>
      </c>
      <c r="H162" s="41">
        <f>Source!AV107</f>
        <v>1.0669999999999999</v>
      </c>
      <c r="I162" s="44">
        <f>Source!Q106</f>
        <v>1050.76</v>
      </c>
      <c r="J162" s="41">
        <f>IF(Source!BB107&lt;&gt; 0, Source!BB107, 1)</f>
        <v>19.46</v>
      </c>
      <c r="K162" s="44">
        <f>Source!Q107</f>
        <v>20447.79</v>
      </c>
    </row>
    <row r="163" spans="1:29" ht="14.25" x14ac:dyDescent="0.2">
      <c r="A163" s="40"/>
      <c r="B163" s="40"/>
      <c r="C163" s="40" t="s">
        <v>751</v>
      </c>
      <c r="D163" s="42"/>
      <c r="E163" s="41"/>
      <c r="F163" s="44">
        <f>Source!AN106</f>
        <v>139.58000000000001</v>
      </c>
      <c r="G163" s="45" t="s">
        <v>110</v>
      </c>
      <c r="H163" s="41">
        <f>Source!AV107</f>
        <v>1.0669999999999999</v>
      </c>
      <c r="I163" s="46">
        <f>Source!R106</f>
        <v>178.72</v>
      </c>
      <c r="J163" s="41">
        <f>IF(Source!BS107&lt;&gt; 0, Source!BS107, 1)</f>
        <v>56.35</v>
      </c>
      <c r="K163" s="46">
        <f>Source!R107</f>
        <v>10070.870000000001</v>
      </c>
    </row>
    <row r="164" spans="1:29" ht="14.25" x14ac:dyDescent="0.2">
      <c r="A164" s="40"/>
      <c r="B164" s="40"/>
      <c r="C164" s="40" t="s">
        <v>752</v>
      </c>
      <c r="D164" s="42"/>
      <c r="E164" s="41"/>
      <c r="F164" s="44">
        <f>Source!AL106</f>
        <v>126.03</v>
      </c>
      <c r="G164" s="45" t="s">
        <v>3</v>
      </c>
      <c r="H164" s="41">
        <f>Source!AW107</f>
        <v>1.028</v>
      </c>
      <c r="I164" s="44">
        <f>Source!P106</f>
        <v>129.56</v>
      </c>
      <c r="J164" s="41">
        <f>IF(Source!BC107&lt;&gt; 0, Source!BC107, 1)</f>
        <v>10.26</v>
      </c>
      <c r="K164" s="44">
        <f>Source!P107</f>
        <v>1329.29</v>
      </c>
    </row>
    <row r="165" spans="1:29" ht="57" x14ac:dyDescent="0.2">
      <c r="A165" s="40" t="s">
        <v>198</v>
      </c>
      <c r="B165" s="40" t="str">
        <f>Source!F108</f>
        <v>1.12-6-31</v>
      </c>
      <c r="C165" s="40" t="s">
        <v>200</v>
      </c>
      <c r="D165" s="42" t="str">
        <f>Source!H108</f>
        <v>м</v>
      </c>
      <c r="E165" s="41">
        <f>Source!I108</f>
        <v>40.200000000000003</v>
      </c>
      <c r="F165" s="44">
        <f>Source!AK108</f>
        <v>80.59</v>
      </c>
      <c r="G165" s="45" t="s">
        <v>3</v>
      </c>
      <c r="H165" s="41">
        <f>Source!AW109</f>
        <v>1</v>
      </c>
      <c r="I165" s="44">
        <f>Source!O108</f>
        <v>3239.72</v>
      </c>
      <c r="J165" s="41">
        <f>IF(Source!BC109&lt;&gt; 0, Source!BC109, 1)</f>
        <v>4.59</v>
      </c>
      <c r="K165" s="44">
        <f>Source!O109</f>
        <v>14870.31</v>
      </c>
      <c r="Q165">
        <f>Source!X108</f>
        <v>0</v>
      </c>
      <c r="R165">
        <f>Source!X109</f>
        <v>0</v>
      </c>
      <c r="S165">
        <f>Source!Y108</f>
        <v>0</v>
      </c>
      <c r="T165">
        <f>Source!Y109</f>
        <v>0</v>
      </c>
      <c r="U165">
        <f>ROUND((175/100)*ROUND(Source!R108, 2), 2)</f>
        <v>0</v>
      </c>
      <c r="V165">
        <f>ROUND((0/100)*ROUND(Source!R109, 2), 2)</f>
        <v>0</v>
      </c>
      <c r="AC165">
        <v>3</v>
      </c>
    </row>
    <row r="166" spans="1:29" ht="57" x14ac:dyDescent="0.2">
      <c r="A166" s="40" t="s">
        <v>202</v>
      </c>
      <c r="B166" s="40" t="str">
        <f>Source!F110</f>
        <v>1.12-6-24</v>
      </c>
      <c r="C166" s="40" t="s">
        <v>204</v>
      </c>
      <c r="D166" s="42" t="str">
        <f>Source!H110</f>
        <v>м</v>
      </c>
      <c r="E166" s="41">
        <f>Source!I110</f>
        <v>60.3</v>
      </c>
      <c r="F166" s="44">
        <f>Source!AK110</f>
        <v>66.16</v>
      </c>
      <c r="G166" s="45" t="s">
        <v>3</v>
      </c>
      <c r="H166" s="41">
        <f>Source!AW111</f>
        <v>1</v>
      </c>
      <c r="I166" s="44">
        <f>Source!O110</f>
        <v>3989.45</v>
      </c>
      <c r="J166" s="41">
        <f>IF(Source!BC111&lt;&gt; 0, Source!BC111, 1)</f>
        <v>4.6900000000000004</v>
      </c>
      <c r="K166" s="44">
        <f>Source!O111</f>
        <v>18710.52</v>
      </c>
      <c r="Q166">
        <f>Source!X110</f>
        <v>0</v>
      </c>
      <c r="R166">
        <f>Source!X111</f>
        <v>0</v>
      </c>
      <c r="S166">
        <f>Source!Y110</f>
        <v>0</v>
      </c>
      <c r="T166">
        <f>Source!Y111</f>
        <v>0</v>
      </c>
      <c r="U166">
        <f>ROUND((175/100)*ROUND(Source!R110, 2), 2)</f>
        <v>0</v>
      </c>
      <c r="V166">
        <f>ROUND((0/100)*ROUND(Source!R111, 2), 2)</f>
        <v>0</v>
      </c>
      <c r="AC166">
        <v>3</v>
      </c>
    </row>
    <row r="167" spans="1:29" ht="14.25" x14ac:dyDescent="0.2">
      <c r="A167" s="40"/>
      <c r="B167" s="40"/>
      <c r="C167" s="40" t="s">
        <v>753</v>
      </c>
      <c r="D167" s="42" t="s">
        <v>754</v>
      </c>
      <c r="E167" s="41">
        <f>Source!BZ107</f>
        <v>90</v>
      </c>
      <c r="F167" s="44"/>
      <c r="G167" s="43"/>
      <c r="H167" s="41"/>
      <c r="I167" s="44">
        <f>SUM(Q159:Q166)</f>
        <v>2473.16</v>
      </c>
      <c r="J167" s="41">
        <f>Source!AT107</f>
        <v>90</v>
      </c>
      <c r="K167" s="44">
        <f>SUM(R159:R166)</f>
        <v>139362.28</v>
      </c>
    </row>
    <row r="168" spans="1:29" ht="14.25" x14ac:dyDescent="0.2">
      <c r="A168" s="40"/>
      <c r="B168" s="40"/>
      <c r="C168" s="40" t="s">
        <v>755</v>
      </c>
      <c r="D168" s="42" t="s">
        <v>754</v>
      </c>
      <c r="E168" s="41">
        <f>Source!CA107</f>
        <v>46</v>
      </c>
      <c r="F168" s="44"/>
      <c r="G168" s="43"/>
      <c r="H168" s="41"/>
      <c r="I168" s="44">
        <f>SUM(S159:S167)</f>
        <v>1264.06</v>
      </c>
      <c r="J168" s="41">
        <f>Source!AU107</f>
        <v>46</v>
      </c>
      <c r="K168" s="44">
        <f>SUM(T159:T167)</f>
        <v>71229.61</v>
      </c>
    </row>
    <row r="169" spans="1:29" ht="14.25" x14ac:dyDescent="0.2">
      <c r="A169" s="47"/>
      <c r="B169" s="47"/>
      <c r="C169" s="47" t="s">
        <v>756</v>
      </c>
      <c r="D169" s="48" t="s">
        <v>757</v>
      </c>
      <c r="E169" s="49">
        <f>Source!AQ106</f>
        <v>159</v>
      </c>
      <c r="F169" s="50"/>
      <c r="G169" s="51" t="s">
        <v>110</v>
      </c>
      <c r="H169" s="49">
        <f>Source!AV107</f>
        <v>1.0669999999999999</v>
      </c>
      <c r="I169" s="50">
        <f>Source!U106</f>
        <v>203.58359999999996</v>
      </c>
      <c r="J169" s="49"/>
      <c r="K169" s="50"/>
    </row>
    <row r="170" spans="1:29" ht="15" x14ac:dyDescent="0.2">
      <c r="C170" s="52" t="s">
        <v>758</v>
      </c>
      <c r="H170" s="53">
        <f>I161+I162+I164+I167+I168+SUM(I165:I166)-SUMIF(AC165:AC166, 5, I165:I166)-SUMIF(AC165:AC166, 6, I165:I166)</f>
        <v>14715.939999999999</v>
      </c>
      <c r="I170" s="53"/>
      <c r="J170" s="53">
        <f>K161+K162+K164+K167+K168+SUM(K165:K166)-SUMIF(AC165:AC166, 5, K165:K166)-SUMIF(AC165:AC166, 6, K165:K166)</f>
        <v>410725.91</v>
      </c>
      <c r="K170" s="53"/>
    </row>
    <row r="171" spans="1:29" ht="15" hidden="1" x14ac:dyDescent="0.2">
      <c r="C171" s="52" t="s">
        <v>759</v>
      </c>
      <c r="H171" s="55">
        <f>SUMIF(AC165:AC166, 5, I165:I166)+SUMIF(AC165:AC166, 6, I165:I166)</f>
        <v>0</v>
      </c>
      <c r="I171" s="55"/>
      <c r="J171" s="55">
        <f>SUMIF(AC165:AC166, 5, K165:K166)+SUMIF(AC165:AC166, 6, K165:K166)</f>
        <v>0</v>
      </c>
      <c r="K171" s="55"/>
    </row>
    <row r="172" spans="1:29" ht="15" x14ac:dyDescent="0.2">
      <c r="C172" s="52" t="s">
        <v>760</v>
      </c>
      <c r="H172" s="55">
        <f>I161+I162+I164+I167+I168+SUM(I165:I166)</f>
        <v>14715.939999999999</v>
      </c>
      <c r="I172" s="55"/>
      <c r="J172" s="55">
        <f>K161+K162+K164+K167+K168+SUM(K165:K166)</f>
        <v>410725.91</v>
      </c>
      <c r="K172" s="55"/>
      <c r="O172" s="56">
        <f>I161+I162+I164+I167+I168+SUM(I165:I166)</f>
        <v>14715.939999999999</v>
      </c>
      <c r="P172" s="56">
        <f>K161+K162+K164+K167+K168+SUM(K165:K166)</f>
        <v>410725.91</v>
      </c>
    </row>
    <row r="174" spans="1:29" ht="57" x14ac:dyDescent="0.2">
      <c r="A174" s="47">
        <v>15</v>
      </c>
      <c r="B174" s="47" t="str">
        <f>Source!F112</f>
        <v>1.12-11-48</v>
      </c>
      <c r="C174" s="47" t="s">
        <v>159</v>
      </c>
      <c r="D174" s="48" t="str">
        <f>Source!H112</f>
        <v>шт.</v>
      </c>
      <c r="E174" s="49">
        <f>Source!I112</f>
        <v>6</v>
      </c>
      <c r="F174" s="50">
        <f>Source!AL112</f>
        <v>130.07</v>
      </c>
      <c r="G174" s="51" t="s">
        <v>3</v>
      </c>
      <c r="H174" s="49">
        <f>Source!AW113</f>
        <v>1</v>
      </c>
      <c r="I174" s="50">
        <f>Source!P112</f>
        <v>780.42</v>
      </c>
      <c r="J174" s="49">
        <f>IF(Source!BC113&lt;&gt; 0, Source!BC113, 1)</f>
        <v>4.82</v>
      </c>
      <c r="K174" s="50">
        <f>Source!P113</f>
        <v>3761.62</v>
      </c>
      <c r="Q174">
        <f>Source!X112</f>
        <v>0</v>
      </c>
      <c r="R174">
        <f>Source!X113</f>
        <v>0</v>
      </c>
      <c r="S174">
        <f>Source!Y112</f>
        <v>0</v>
      </c>
      <c r="T174">
        <f>Source!Y113</f>
        <v>0</v>
      </c>
      <c r="U174">
        <f>ROUND((175/100)*ROUND(Source!R112, 2), 2)</f>
        <v>0</v>
      </c>
      <c r="V174">
        <f>ROUND((0/100)*ROUND(Source!R113, 2), 2)</f>
        <v>0</v>
      </c>
      <c r="AC174">
        <v>3</v>
      </c>
    </row>
    <row r="175" spans="1:29" ht="15" x14ac:dyDescent="0.2">
      <c r="C175" s="52" t="s">
        <v>760</v>
      </c>
      <c r="H175" s="53">
        <f>I174+0</f>
        <v>780.42</v>
      </c>
      <c r="I175" s="53"/>
      <c r="J175" s="53">
        <f>K174+0</f>
        <v>3761.62</v>
      </c>
      <c r="K175" s="53"/>
      <c r="O175" s="56">
        <f>I174+0</f>
        <v>780.42</v>
      </c>
      <c r="P175" s="56">
        <f>K174+0</f>
        <v>3761.62</v>
      </c>
    </row>
    <row r="177" spans="1:29" ht="57" x14ac:dyDescent="0.2">
      <c r="A177" s="47">
        <v>16</v>
      </c>
      <c r="B177" s="47" t="str">
        <f>Source!F114</f>
        <v>1.12-11-47</v>
      </c>
      <c r="C177" s="47" t="s">
        <v>209</v>
      </c>
      <c r="D177" s="48" t="str">
        <f>Source!H114</f>
        <v>шт.</v>
      </c>
      <c r="E177" s="49">
        <f>Source!I114</f>
        <v>8</v>
      </c>
      <c r="F177" s="50">
        <f>Source!AL114</f>
        <v>87.96</v>
      </c>
      <c r="G177" s="51" t="s">
        <v>3</v>
      </c>
      <c r="H177" s="49">
        <f>Source!AW115</f>
        <v>1</v>
      </c>
      <c r="I177" s="50">
        <f>Source!P114</f>
        <v>703.68</v>
      </c>
      <c r="J177" s="49">
        <f>IF(Source!BC115&lt;&gt; 0, Source!BC115, 1)</f>
        <v>3.68</v>
      </c>
      <c r="K177" s="50">
        <f>Source!P115</f>
        <v>2589.54</v>
      </c>
      <c r="Q177">
        <f>Source!X114</f>
        <v>0</v>
      </c>
      <c r="R177">
        <f>Source!X115</f>
        <v>0</v>
      </c>
      <c r="S177">
        <f>Source!Y114</f>
        <v>0</v>
      </c>
      <c r="T177">
        <f>Source!Y115</f>
        <v>0</v>
      </c>
      <c r="U177">
        <f>ROUND((175/100)*ROUND(Source!R114, 2), 2)</f>
        <v>0</v>
      </c>
      <c r="V177">
        <f>ROUND((0/100)*ROUND(Source!R115, 2), 2)</f>
        <v>0</v>
      </c>
      <c r="AC177">
        <v>3</v>
      </c>
    </row>
    <row r="178" spans="1:29" ht="15" x14ac:dyDescent="0.2">
      <c r="C178" s="52" t="s">
        <v>760</v>
      </c>
      <c r="H178" s="53">
        <f>I177+0</f>
        <v>703.68</v>
      </c>
      <c r="I178" s="53"/>
      <c r="J178" s="53">
        <f>K177+0</f>
        <v>2589.54</v>
      </c>
      <c r="K178" s="53"/>
      <c r="O178" s="56">
        <f>I177+0</f>
        <v>703.68</v>
      </c>
      <c r="P178" s="56">
        <f>K177+0</f>
        <v>2589.54</v>
      </c>
    </row>
    <row r="180" spans="1:29" ht="85.5" x14ac:dyDescent="0.2">
      <c r="A180" s="40">
        <v>17</v>
      </c>
      <c r="B180" s="40" t="str">
        <f>Source!F116</f>
        <v>4.12-32-2</v>
      </c>
      <c r="C180" s="40" t="s">
        <v>213</v>
      </c>
      <c r="D180" s="42" t="str">
        <f>Source!H116</f>
        <v>100 м</v>
      </c>
      <c r="E180" s="41">
        <f>Source!I116</f>
        <v>0.15</v>
      </c>
      <c r="F180" s="44"/>
      <c r="G180" s="43"/>
      <c r="H180" s="41"/>
      <c r="I180" s="44"/>
      <c r="J180" s="41"/>
      <c r="K180" s="44"/>
      <c r="Q180">
        <f>Source!X116</f>
        <v>323.33</v>
      </c>
      <c r="R180">
        <f>Source!X117</f>
        <v>18219.37</v>
      </c>
      <c r="S180">
        <f>Source!Y116</f>
        <v>165.26</v>
      </c>
      <c r="T180">
        <f>Source!Y117</f>
        <v>9312.1200000000008</v>
      </c>
      <c r="U180">
        <f>ROUND((175/100)*ROUND(Source!R116, 2), 2)</f>
        <v>34.86</v>
      </c>
      <c r="V180">
        <f>ROUND((0/100)*ROUND(Source!R117, 2), 2)</f>
        <v>0</v>
      </c>
      <c r="AC180">
        <v>0</v>
      </c>
    </row>
    <row r="181" spans="1:29" x14ac:dyDescent="0.2">
      <c r="C181" s="70" t="str">
        <f>"Объем: "&amp;Source!I116&amp;"=15/"&amp;"100"</f>
        <v>Объем: 0,15=15/100</v>
      </c>
    </row>
    <row r="182" spans="1:29" ht="14.25" x14ac:dyDescent="0.2">
      <c r="A182" s="40"/>
      <c r="B182" s="40"/>
      <c r="C182" s="40" t="s">
        <v>747</v>
      </c>
      <c r="D182" s="42"/>
      <c r="E182" s="41"/>
      <c r="F182" s="44">
        <f>Source!AO116</f>
        <v>1766.8</v>
      </c>
      <c r="G182" s="45" t="s">
        <v>110</v>
      </c>
      <c r="H182" s="41">
        <f>Source!AV117</f>
        <v>1.0669999999999999</v>
      </c>
      <c r="I182" s="44">
        <f>Source!S116</f>
        <v>339.33</v>
      </c>
      <c r="J182" s="41">
        <f>IF(Source!BA117&lt;&gt; 0, Source!BA117, 1)</f>
        <v>56.35</v>
      </c>
      <c r="K182" s="44">
        <f>Source!S117</f>
        <v>19121.25</v>
      </c>
    </row>
    <row r="183" spans="1:29" ht="14.25" x14ac:dyDescent="0.2">
      <c r="A183" s="40"/>
      <c r="B183" s="40"/>
      <c r="C183" s="40" t="s">
        <v>749</v>
      </c>
      <c r="D183" s="42"/>
      <c r="E183" s="41"/>
      <c r="F183" s="44">
        <f>Source!AM116</f>
        <v>528.70000000000005</v>
      </c>
      <c r="G183" s="45" t="s">
        <v>110</v>
      </c>
      <c r="H183" s="41">
        <f>Source!AV117</f>
        <v>1.0669999999999999</v>
      </c>
      <c r="I183" s="44">
        <f>Source!Q116</f>
        <v>101.54</v>
      </c>
      <c r="J183" s="41">
        <f>IF(Source!BB117&lt;&gt; 0, Source!BB117, 1)</f>
        <v>20.55</v>
      </c>
      <c r="K183" s="44">
        <f>Source!Q117</f>
        <v>2086.65</v>
      </c>
    </row>
    <row r="184" spans="1:29" ht="14.25" x14ac:dyDescent="0.2">
      <c r="A184" s="40"/>
      <c r="B184" s="40"/>
      <c r="C184" s="40" t="s">
        <v>751</v>
      </c>
      <c r="D184" s="42"/>
      <c r="E184" s="41"/>
      <c r="F184" s="44">
        <f>Source!AN116</f>
        <v>103.74</v>
      </c>
      <c r="G184" s="45" t="s">
        <v>110</v>
      </c>
      <c r="H184" s="41">
        <f>Source!AV117</f>
        <v>1.0669999999999999</v>
      </c>
      <c r="I184" s="46">
        <f>Source!R116</f>
        <v>19.920000000000002</v>
      </c>
      <c r="J184" s="41">
        <f>IF(Source!BS117&lt;&gt; 0, Source!BS117, 1)</f>
        <v>56.35</v>
      </c>
      <c r="K184" s="46">
        <f>Source!R117</f>
        <v>1122.49</v>
      </c>
    </row>
    <row r="185" spans="1:29" ht="14.25" x14ac:dyDescent="0.2">
      <c r="A185" s="40"/>
      <c r="B185" s="40"/>
      <c r="C185" s="40" t="s">
        <v>752</v>
      </c>
      <c r="D185" s="42"/>
      <c r="E185" s="41"/>
      <c r="F185" s="44">
        <f>Source!AL116</f>
        <v>1645.2</v>
      </c>
      <c r="G185" s="45" t="s">
        <v>3</v>
      </c>
      <c r="H185" s="41">
        <f>Source!AW117</f>
        <v>1.028</v>
      </c>
      <c r="I185" s="44">
        <f>Source!P116</f>
        <v>253.69</v>
      </c>
      <c r="J185" s="41">
        <f>IF(Source!BC117&lt;&gt; 0, Source!BC117, 1)</f>
        <v>1.74</v>
      </c>
      <c r="K185" s="44">
        <f>Source!P117</f>
        <v>441.42</v>
      </c>
    </row>
    <row r="186" spans="1:29" ht="57" x14ac:dyDescent="0.2">
      <c r="A186" s="40" t="s">
        <v>215</v>
      </c>
      <c r="B186" s="40" t="str">
        <f>Source!F118</f>
        <v>1.12-1-57</v>
      </c>
      <c r="C186" s="40" t="s">
        <v>217</v>
      </c>
      <c r="D186" s="42" t="str">
        <f>Source!H118</f>
        <v>м</v>
      </c>
      <c r="E186" s="41">
        <f>Source!I118</f>
        <v>15.074999999999999</v>
      </c>
      <c r="F186" s="44">
        <f>Source!AK118</f>
        <v>76.08</v>
      </c>
      <c r="G186" s="45" t="s">
        <v>3</v>
      </c>
      <c r="H186" s="41">
        <f>Source!AW119</f>
        <v>1</v>
      </c>
      <c r="I186" s="44">
        <f>Source!O118</f>
        <v>1146.9100000000001</v>
      </c>
      <c r="J186" s="41">
        <f>IF(Source!BC119&lt;&gt; 0, Source!BC119, 1)</f>
        <v>13.16</v>
      </c>
      <c r="K186" s="44">
        <f>Source!O119</f>
        <v>15093.34</v>
      </c>
      <c r="Q186">
        <f>Source!X118</f>
        <v>0</v>
      </c>
      <c r="R186">
        <f>Source!X119</f>
        <v>0</v>
      </c>
      <c r="S186">
        <f>Source!Y118</f>
        <v>0</v>
      </c>
      <c r="T186">
        <f>Source!Y119</f>
        <v>0</v>
      </c>
      <c r="U186">
        <f>ROUND((175/100)*ROUND(Source!R118, 2), 2)</f>
        <v>0</v>
      </c>
      <c r="V186">
        <f>ROUND((0/100)*ROUND(Source!R119, 2), 2)</f>
        <v>0</v>
      </c>
      <c r="AC186">
        <v>3</v>
      </c>
    </row>
    <row r="187" spans="1:29" ht="14.25" x14ac:dyDescent="0.2">
      <c r="A187" s="40"/>
      <c r="B187" s="40"/>
      <c r="C187" s="40" t="s">
        <v>753</v>
      </c>
      <c r="D187" s="42" t="s">
        <v>754</v>
      </c>
      <c r="E187" s="41">
        <f>Source!BZ117</f>
        <v>90</v>
      </c>
      <c r="F187" s="44"/>
      <c r="G187" s="43"/>
      <c r="H187" s="41"/>
      <c r="I187" s="44">
        <f>SUM(Q180:Q186)</f>
        <v>323.33</v>
      </c>
      <c r="J187" s="41">
        <f>Source!AT117</f>
        <v>90</v>
      </c>
      <c r="K187" s="44">
        <f>SUM(R180:R186)</f>
        <v>18219.37</v>
      </c>
    </row>
    <row r="188" spans="1:29" ht="14.25" x14ac:dyDescent="0.2">
      <c r="A188" s="40"/>
      <c r="B188" s="40"/>
      <c r="C188" s="40" t="s">
        <v>755</v>
      </c>
      <c r="D188" s="42" t="s">
        <v>754</v>
      </c>
      <c r="E188" s="41">
        <f>Source!CA117</f>
        <v>46</v>
      </c>
      <c r="F188" s="44"/>
      <c r="G188" s="43"/>
      <c r="H188" s="41"/>
      <c r="I188" s="44">
        <f>SUM(S180:S187)</f>
        <v>165.26</v>
      </c>
      <c r="J188" s="41">
        <f>Source!AU117</f>
        <v>46</v>
      </c>
      <c r="K188" s="44">
        <f>SUM(T180:T187)</f>
        <v>9312.1200000000008</v>
      </c>
    </row>
    <row r="189" spans="1:29" ht="14.25" x14ac:dyDescent="0.2">
      <c r="A189" s="47"/>
      <c r="B189" s="47"/>
      <c r="C189" s="47" t="s">
        <v>756</v>
      </c>
      <c r="D189" s="48" t="s">
        <v>757</v>
      </c>
      <c r="E189" s="49">
        <f>Source!AQ116</f>
        <v>140</v>
      </c>
      <c r="F189" s="50"/>
      <c r="G189" s="51" t="s">
        <v>110</v>
      </c>
      <c r="H189" s="49">
        <f>Source!AV117</f>
        <v>1.0669999999999999</v>
      </c>
      <c r="I189" s="50">
        <f>Source!U116</f>
        <v>26.888400000000001</v>
      </c>
      <c r="J189" s="49"/>
      <c r="K189" s="50"/>
    </row>
    <row r="190" spans="1:29" ht="15" x14ac:dyDescent="0.2">
      <c r="C190" s="52" t="s">
        <v>758</v>
      </c>
      <c r="H190" s="53">
        <f>I182+I183+I185+I187+I188+SUM(I186:I186)-SUMIF(AC186:AC186, 5, I186:I186)-SUMIF(AC186:AC186, 6, I186:I186)</f>
        <v>2330.06</v>
      </c>
      <c r="I190" s="53"/>
      <c r="J190" s="53">
        <f>K182+K183+K185+K187+K188+SUM(K186:K186)-SUMIF(AC186:AC186, 5, K186:K186)-SUMIF(AC186:AC186, 6, K186:K186)</f>
        <v>64274.150000000009</v>
      </c>
      <c r="K190" s="53"/>
    </row>
    <row r="191" spans="1:29" ht="15" hidden="1" x14ac:dyDescent="0.2">
      <c r="C191" s="52" t="s">
        <v>759</v>
      </c>
      <c r="H191" s="55">
        <f>SUMIF(AC186:AC186, 5, I186:I186)+SUMIF(AC186:AC186, 6, I186:I186)</f>
        <v>0</v>
      </c>
      <c r="I191" s="55"/>
      <c r="J191" s="55">
        <f>SUMIF(AC186:AC186, 5, K186:K186)+SUMIF(AC186:AC186, 6, K186:K186)</f>
        <v>0</v>
      </c>
      <c r="K191" s="55"/>
    </row>
    <row r="192" spans="1:29" ht="15" x14ac:dyDescent="0.2">
      <c r="C192" s="52" t="s">
        <v>760</v>
      </c>
      <c r="H192" s="55">
        <f>I182+I183+I185+I187+I188+SUM(I186:I186)</f>
        <v>2330.06</v>
      </c>
      <c r="I192" s="55"/>
      <c r="J192" s="55">
        <f>K182+K183+K185+K187+K188+SUM(K186:K186)</f>
        <v>64274.150000000009</v>
      </c>
      <c r="K192" s="55"/>
      <c r="O192" s="56">
        <f>I182+I183+I185+I187+I188+SUM(I186:I186)</f>
        <v>2330.06</v>
      </c>
      <c r="P192" s="56">
        <f>K182+K183+K185+K187+K188+SUM(K186:K186)</f>
        <v>64274.150000000009</v>
      </c>
    </row>
    <row r="194" spans="1:29" ht="85.5" x14ac:dyDescent="0.2">
      <c r="A194" s="40">
        <v>18</v>
      </c>
      <c r="B194" s="40" t="str">
        <f>Source!F126</f>
        <v>4.12-32-1</v>
      </c>
      <c r="C194" s="40" t="s">
        <v>232</v>
      </c>
      <c r="D194" s="42" t="str">
        <f>Source!H126</f>
        <v>100 м</v>
      </c>
      <c r="E194" s="41">
        <f>Source!I126</f>
        <v>0.3</v>
      </c>
      <c r="F194" s="44"/>
      <c r="G194" s="43"/>
      <c r="H194" s="41"/>
      <c r="I194" s="44"/>
      <c r="J194" s="41"/>
      <c r="K194" s="44"/>
      <c r="Q194">
        <f>Source!X126</f>
        <v>641.51</v>
      </c>
      <c r="R194">
        <f>Source!X127</f>
        <v>36149.15</v>
      </c>
      <c r="S194">
        <f>Source!Y126</f>
        <v>327.88</v>
      </c>
      <c r="T194">
        <f>Source!Y127</f>
        <v>18476.23</v>
      </c>
      <c r="U194">
        <f>ROUND((175/100)*ROUND(Source!R126, 2), 2)</f>
        <v>68.2</v>
      </c>
      <c r="V194">
        <f>ROUND((0/100)*ROUND(Source!R127, 2), 2)</f>
        <v>0</v>
      </c>
      <c r="AC194">
        <v>0</v>
      </c>
    </row>
    <row r="195" spans="1:29" x14ac:dyDescent="0.2">
      <c r="C195" s="70" t="str">
        <f>"Объем: "&amp;Source!I126&amp;"=(15+"&amp;"15)/"&amp;"100"</f>
        <v>Объем: 0,3=(15+15)/100</v>
      </c>
    </row>
    <row r="196" spans="1:29" ht="14.25" x14ac:dyDescent="0.2">
      <c r="A196" s="40"/>
      <c r="B196" s="40"/>
      <c r="C196" s="40" t="s">
        <v>747</v>
      </c>
      <c r="D196" s="42"/>
      <c r="E196" s="41"/>
      <c r="F196" s="44">
        <f>Source!AO126</f>
        <v>1754.18</v>
      </c>
      <c r="G196" s="45" t="s">
        <v>110</v>
      </c>
      <c r="H196" s="41">
        <f>Source!AV127</f>
        <v>1.0669999999999999</v>
      </c>
      <c r="I196" s="44">
        <f>Source!S126</f>
        <v>673.82</v>
      </c>
      <c r="J196" s="41">
        <f>IF(Source!BA127&lt;&gt; 0, Source!BA127, 1)</f>
        <v>56.35</v>
      </c>
      <c r="K196" s="44">
        <f>Source!S127</f>
        <v>37969.760000000002</v>
      </c>
    </row>
    <row r="197" spans="1:29" ht="14.25" x14ac:dyDescent="0.2">
      <c r="A197" s="40"/>
      <c r="B197" s="40"/>
      <c r="C197" s="40" t="s">
        <v>749</v>
      </c>
      <c r="D197" s="42"/>
      <c r="E197" s="41"/>
      <c r="F197" s="44">
        <f>Source!AM126</f>
        <v>513.47</v>
      </c>
      <c r="G197" s="45" t="s">
        <v>110</v>
      </c>
      <c r="H197" s="41">
        <f>Source!AV127</f>
        <v>1.0669999999999999</v>
      </c>
      <c r="I197" s="44">
        <f>Source!Q126</f>
        <v>197.23</v>
      </c>
      <c r="J197" s="41">
        <f>IF(Source!BB127&lt;&gt; 0, Source!BB127, 1)</f>
        <v>20.66</v>
      </c>
      <c r="K197" s="44">
        <f>Source!Q127</f>
        <v>4074.77</v>
      </c>
    </row>
    <row r="198" spans="1:29" ht="14.25" x14ac:dyDescent="0.2">
      <c r="A198" s="40"/>
      <c r="B198" s="40"/>
      <c r="C198" s="40" t="s">
        <v>751</v>
      </c>
      <c r="D198" s="42"/>
      <c r="E198" s="41"/>
      <c r="F198" s="44">
        <f>Source!AN126</f>
        <v>101.46</v>
      </c>
      <c r="G198" s="45" t="s">
        <v>110</v>
      </c>
      <c r="H198" s="41">
        <f>Source!AV127</f>
        <v>1.0669999999999999</v>
      </c>
      <c r="I198" s="46">
        <f>Source!R126</f>
        <v>38.97</v>
      </c>
      <c r="J198" s="41">
        <f>IF(Source!BS127&lt;&gt; 0, Source!BS127, 1)</f>
        <v>56.35</v>
      </c>
      <c r="K198" s="46">
        <f>Source!R127</f>
        <v>2195.96</v>
      </c>
    </row>
    <row r="199" spans="1:29" ht="14.25" x14ac:dyDescent="0.2">
      <c r="A199" s="40"/>
      <c r="B199" s="40"/>
      <c r="C199" s="40" t="s">
        <v>752</v>
      </c>
      <c r="D199" s="42"/>
      <c r="E199" s="41"/>
      <c r="F199" s="44">
        <f>Source!AL126</f>
        <v>865</v>
      </c>
      <c r="G199" s="45" t="s">
        <v>3</v>
      </c>
      <c r="H199" s="41">
        <f>Source!AW127</f>
        <v>1.028</v>
      </c>
      <c r="I199" s="44">
        <f>Source!P126</f>
        <v>266.77</v>
      </c>
      <c r="J199" s="41">
        <f>IF(Source!BC127&lt;&gt; 0, Source!BC127, 1)</f>
        <v>2.19</v>
      </c>
      <c r="K199" s="44">
        <f>Source!P127</f>
        <v>584.23</v>
      </c>
    </row>
    <row r="200" spans="1:29" ht="57" x14ac:dyDescent="0.2">
      <c r="A200" s="40" t="s">
        <v>234</v>
      </c>
      <c r="B200" s="40" t="str">
        <f>Source!F128</f>
        <v>1.12-1-55</v>
      </c>
      <c r="C200" s="40" t="s">
        <v>225</v>
      </c>
      <c r="D200" s="42" t="str">
        <f>Source!H128</f>
        <v>м</v>
      </c>
      <c r="E200" s="41">
        <f>Source!I128</f>
        <v>15.074999999999999</v>
      </c>
      <c r="F200" s="44">
        <f>Source!AK128</f>
        <v>51.28</v>
      </c>
      <c r="G200" s="45" t="s">
        <v>3</v>
      </c>
      <c r="H200" s="41">
        <f>Source!AW129</f>
        <v>1</v>
      </c>
      <c r="I200" s="44">
        <f>Source!O128</f>
        <v>773.05</v>
      </c>
      <c r="J200" s="41">
        <f>IF(Source!BC129&lt;&gt; 0, Source!BC129, 1)</f>
        <v>20.72</v>
      </c>
      <c r="K200" s="44">
        <f>Source!O129</f>
        <v>16017.6</v>
      </c>
      <c r="Q200">
        <f>Source!X128</f>
        <v>0</v>
      </c>
      <c r="R200">
        <f>Source!X129</f>
        <v>0</v>
      </c>
      <c r="S200">
        <f>Source!Y128</f>
        <v>0</v>
      </c>
      <c r="T200">
        <f>Source!Y129</f>
        <v>0</v>
      </c>
      <c r="U200">
        <f>ROUND((175/100)*ROUND(Source!R128, 2), 2)</f>
        <v>0</v>
      </c>
      <c r="V200">
        <f>ROUND((0/100)*ROUND(Source!R129, 2), 2)</f>
        <v>0</v>
      </c>
      <c r="AC200">
        <v>3</v>
      </c>
    </row>
    <row r="201" spans="1:29" ht="57" x14ac:dyDescent="0.2">
      <c r="A201" s="40" t="s">
        <v>235</v>
      </c>
      <c r="B201" s="40" t="str">
        <f>Source!F130</f>
        <v>1.12-1-54</v>
      </c>
      <c r="C201" s="40" t="s">
        <v>228</v>
      </c>
      <c r="D201" s="42" t="str">
        <f>Source!H130</f>
        <v>м</v>
      </c>
      <c r="E201" s="41">
        <f>Source!I130</f>
        <v>15.074999999999999</v>
      </c>
      <c r="F201" s="44">
        <f>Source!AK130</f>
        <v>41.57</v>
      </c>
      <c r="G201" s="45" t="s">
        <v>3</v>
      </c>
      <c r="H201" s="41">
        <f>Source!AW131</f>
        <v>1</v>
      </c>
      <c r="I201" s="44">
        <f>Source!O130</f>
        <v>626.66999999999996</v>
      </c>
      <c r="J201" s="41">
        <f>IF(Source!BC131&lt;&gt; 0, Source!BC131, 1)</f>
        <v>16.55</v>
      </c>
      <c r="K201" s="44">
        <f>Source!O131</f>
        <v>10371.39</v>
      </c>
      <c r="Q201">
        <f>Source!X130</f>
        <v>0</v>
      </c>
      <c r="R201">
        <f>Source!X131</f>
        <v>0</v>
      </c>
      <c r="S201">
        <f>Source!Y130</f>
        <v>0</v>
      </c>
      <c r="T201">
        <f>Source!Y131</f>
        <v>0</v>
      </c>
      <c r="U201">
        <f>ROUND((175/100)*ROUND(Source!R130, 2), 2)</f>
        <v>0</v>
      </c>
      <c r="V201">
        <f>ROUND((0/100)*ROUND(Source!R131, 2), 2)</f>
        <v>0</v>
      </c>
      <c r="AC201">
        <v>3</v>
      </c>
    </row>
    <row r="202" spans="1:29" ht="14.25" x14ac:dyDescent="0.2">
      <c r="A202" s="40"/>
      <c r="B202" s="40"/>
      <c r="C202" s="40" t="s">
        <v>753</v>
      </c>
      <c r="D202" s="42" t="s">
        <v>754</v>
      </c>
      <c r="E202" s="41">
        <f>Source!BZ127</f>
        <v>90</v>
      </c>
      <c r="F202" s="44"/>
      <c r="G202" s="43"/>
      <c r="H202" s="41"/>
      <c r="I202" s="44">
        <f>SUM(Q194:Q201)</f>
        <v>641.51</v>
      </c>
      <c r="J202" s="41">
        <f>Source!AT127</f>
        <v>90</v>
      </c>
      <c r="K202" s="44">
        <f>SUM(R194:R201)</f>
        <v>36149.15</v>
      </c>
    </row>
    <row r="203" spans="1:29" ht="14.25" x14ac:dyDescent="0.2">
      <c r="A203" s="40"/>
      <c r="B203" s="40"/>
      <c r="C203" s="40" t="s">
        <v>755</v>
      </c>
      <c r="D203" s="42" t="s">
        <v>754</v>
      </c>
      <c r="E203" s="41">
        <f>Source!CA127</f>
        <v>46</v>
      </c>
      <c r="F203" s="44"/>
      <c r="G203" s="43"/>
      <c r="H203" s="41"/>
      <c r="I203" s="44">
        <f>SUM(S194:S202)</f>
        <v>327.88</v>
      </c>
      <c r="J203" s="41">
        <f>Source!AU127</f>
        <v>46</v>
      </c>
      <c r="K203" s="44">
        <f>SUM(T194:T202)</f>
        <v>18476.23</v>
      </c>
    </row>
    <row r="204" spans="1:29" ht="14.25" x14ac:dyDescent="0.2">
      <c r="A204" s="47"/>
      <c r="B204" s="47"/>
      <c r="C204" s="47" t="s">
        <v>756</v>
      </c>
      <c r="D204" s="48" t="s">
        <v>757</v>
      </c>
      <c r="E204" s="49">
        <f>Source!AQ126</f>
        <v>139</v>
      </c>
      <c r="F204" s="50"/>
      <c r="G204" s="51" t="s">
        <v>110</v>
      </c>
      <c r="H204" s="49">
        <f>Source!AV127</f>
        <v>1.0669999999999999</v>
      </c>
      <c r="I204" s="50">
        <f>Source!U126</f>
        <v>53.392679999999991</v>
      </c>
      <c r="J204" s="49"/>
      <c r="K204" s="50"/>
    </row>
    <row r="205" spans="1:29" ht="15" x14ac:dyDescent="0.2">
      <c r="C205" s="52" t="s">
        <v>758</v>
      </c>
      <c r="H205" s="53">
        <f>I196+I197+I199+I202+I203+SUM(I200:I201)-SUMIF(AC200:AC201, 5, I200:I201)-SUMIF(AC200:AC201, 6, I200:I201)</f>
        <v>3506.93</v>
      </c>
      <c r="I205" s="53"/>
      <c r="J205" s="53">
        <f>K196+K197+K199+K202+K203+SUM(K200:K201)-SUMIF(AC200:AC201, 5, K200:K201)-SUMIF(AC200:AC201, 6, K200:K201)</f>
        <v>123643.13</v>
      </c>
      <c r="K205" s="53"/>
    </row>
    <row r="206" spans="1:29" ht="15" hidden="1" x14ac:dyDescent="0.2">
      <c r="C206" s="52" t="s">
        <v>759</v>
      </c>
      <c r="H206" s="55">
        <f>SUMIF(AC200:AC201, 5, I200:I201)+SUMIF(AC200:AC201, 6, I200:I201)</f>
        <v>0</v>
      </c>
      <c r="I206" s="55"/>
      <c r="J206" s="55">
        <f>SUMIF(AC200:AC201, 5, K200:K201)+SUMIF(AC200:AC201, 6, K200:K201)</f>
        <v>0</v>
      </c>
      <c r="K206" s="55"/>
    </row>
    <row r="207" spans="1:29" ht="15" x14ac:dyDescent="0.2">
      <c r="C207" s="52" t="s">
        <v>760</v>
      </c>
      <c r="H207" s="55">
        <f>I196+I197+I199+I202+I203+SUM(I200:I201)</f>
        <v>3506.93</v>
      </c>
      <c r="I207" s="55"/>
      <c r="J207" s="55">
        <f>K196+K197+K199+K202+K203+SUM(K200:K201)</f>
        <v>123643.13</v>
      </c>
      <c r="K207" s="55"/>
      <c r="O207" s="56">
        <f>I196+I197+I199+I202+I203+SUM(I200:I201)</f>
        <v>3506.93</v>
      </c>
      <c r="P207" s="56">
        <f>K196+K197+K199+K202+K203+SUM(K200:K201)</f>
        <v>123643.13</v>
      </c>
    </row>
    <row r="209" spans="1:29" ht="42.75" x14ac:dyDescent="0.2">
      <c r="A209" s="47">
        <v>19</v>
      </c>
      <c r="B209" s="47" t="str">
        <f>Source!F132</f>
        <v>1.6-1-312</v>
      </c>
      <c r="C209" s="47" t="s">
        <v>238</v>
      </c>
      <c r="D209" s="48" t="str">
        <f>Source!H132</f>
        <v>шт.</v>
      </c>
      <c r="E209" s="49">
        <f>Source!I132</f>
        <v>6</v>
      </c>
      <c r="F209" s="50">
        <f>Source!AL132</f>
        <v>38.18</v>
      </c>
      <c r="G209" s="51" t="s">
        <v>3</v>
      </c>
      <c r="H209" s="49">
        <f>Source!AW133</f>
        <v>1</v>
      </c>
      <c r="I209" s="50">
        <f>Source!P132</f>
        <v>229.08</v>
      </c>
      <c r="J209" s="49">
        <f>IF(Source!BC133&lt;&gt; 0, Source!BC133, 1)</f>
        <v>37.01</v>
      </c>
      <c r="K209" s="50">
        <f>Source!P133</f>
        <v>8478.25</v>
      </c>
      <c r="Q209">
        <f>Source!X132</f>
        <v>0</v>
      </c>
      <c r="R209">
        <f>Source!X133</f>
        <v>0</v>
      </c>
      <c r="S209">
        <f>Source!Y132</f>
        <v>0</v>
      </c>
      <c r="T209">
        <f>Source!Y133</f>
        <v>0</v>
      </c>
      <c r="U209">
        <f>ROUND((175/100)*ROUND(Source!R132, 2), 2)</f>
        <v>0</v>
      </c>
      <c r="V209">
        <f>ROUND((0/100)*ROUND(Source!R133, 2), 2)</f>
        <v>0</v>
      </c>
      <c r="AC209">
        <v>3</v>
      </c>
    </row>
    <row r="210" spans="1:29" ht="15" x14ac:dyDescent="0.2">
      <c r="C210" s="52" t="s">
        <v>760</v>
      </c>
      <c r="H210" s="53">
        <f>I209+0</f>
        <v>229.08</v>
      </c>
      <c r="I210" s="53"/>
      <c r="J210" s="53">
        <f>K209+0</f>
        <v>8478.25</v>
      </c>
      <c r="K210" s="53"/>
      <c r="O210" s="56">
        <f>I209+0</f>
        <v>229.08</v>
      </c>
      <c r="P210" s="56">
        <f>K209+0</f>
        <v>8478.25</v>
      </c>
    </row>
    <row r="212" spans="1:29" ht="42.75" x14ac:dyDescent="0.2">
      <c r="A212" s="47">
        <v>20</v>
      </c>
      <c r="B212" s="47" t="str">
        <f>Source!F134</f>
        <v>1.7-5-376</v>
      </c>
      <c r="C212" s="47" t="s">
        <v>242</v>
      </c>
      <c r="D212" s="48" t="str">
        <f>Source!H134</f>
        <v>шт.</v>
      </c>
      <c r="E212" s="49">
        <f>Source!I134</f>
        <v>6</v>
      </c>
      <c r="F212" s="50">
        <f>Source!AL134</f>
        <v>6.47</v>
      </c>
      <c r="G212" s="51" t="s">
        <v>3</v>
      </c>
      <c r="H212" s="49">
        <f>Source!AW135</f>
        <v>1</v>
      </c>
      <c r="I212" s="50">
        <f>Source!P134</f>
        <v>38.82</v>
      </c>
      <c r="J212" s="49">
        <f>IF(Source!BC135&lt;&gt; 0, Source!BC135, 1)</f>
        <v>11.29</v>
      </c>
      <c r="K212" s="50">
        <f>Source!P135</f>
        <v>438.28</v>
      </c>
      <c r="Q212">
        <f>Source!X134</f>
        <v>0</v>
      </c>
      <c r="R212">
        <f>Source!X135</f>
        <v>0</v>
      </c>
      <c r="S212">
        <f>Source!Y134</f>
        <v>0</v>
      </c>
      <c r="T212">
        <f>Source!Y135</f>
        <v>0</v>
      </c>
      <c r="U212">
        <f>ROUND((175/100)*ROUND(Source!R134, 2), 2)</f>
        <v>0</v>
      </c>
      <c r="V212">
        <f>ROUND((0/100)*ROUND(Source!R135, 2), 2)</f>
        <v>0</v>
      </c>
      <c r="AC212">
        <v>3</v>
      </c>
    </row>
    <row r="213" spans="1:29" ht="15" x14ac:dyDescent="0.2">
      <c r="C213" s="52" t="s">
        <v>760</v>
      </c>
      <c r="H213" s="53">
        <f>I212+0</f>
        <v>38.82</v>
      </c>
      <c r="I213" s="53"/>
      <c r="J213" s="53">
        <f>K212+0</f>
        <v>438.28</v>
      </c>
      <c r="K213" s="53"/>
      <c r="O213" s="56">
        <f>I212+0</f>
        <v>38.82</v>
      </c>
      <c r="P213" s="56">
        <f>K212+0</f>
        <v>438.28</v>
      </c>
    </row>
    <row r="215" spans="1:29" ht="42.75" x14ac:dyDescent="0.2">
      <c r="A215" s="47">
        <v>21</v>
      </c>
      <c r="B215" s="47" t="str">
        <f>Source!F136</f>
        <v>1.7-5-375</v>
      </c>
      <c r="C215" s="47" t="s">
        <v>246</v>
      </c>
      <c r="D215" s="48" t="str">
        <f>Source!H136</f>
        <v>шт.</v>
      </c>
      <c r="E215" s="49">
        <f>Source!I136</f>
        <v>15</v>
      </c>
      <c r="F215" s="50">
        <f>Source!AL136</f>
        <v>4.38</v>
      </c>
      <c r="G215" s="51" t="s">
        <v>3</v>
      </c>
      <c r="H215" s="49">
        <f>Source!AW137</f>
        <v>1</v>
      </c>
      <c r="I215" s="50">
        <f>Source!P136</f>
        <v>65.7</v>
      </c>
      <c r="J215" s="49">
        <f>IF(Source!BC137&lt;&gt; 0, Source!BC137, 1)</f>
        <v>11.29</v>
      </c>
      <c r="K215" s="50">
        <f>Source!P137</f>
        <v>741.75</v>
      </c>
      <c r="Q215">
        <f>Source!X136</f>
        <v>0</v>
      </c>
      <c r="R215">
        <f>Source!X137</f>
        <v>0</v>
      </c>
      <c r="S215">
        <f>Source!Y136</f>
        <v>0</v>
      </c>
      <c r="T215">
        <f>Source!Y137</f>
        <v>0</v>
      </c>
      <c r="U215">
        <f>ROUND((175/100)*ROUND(Source!R136, 2), 2)</f>
        <v>0</v>
      </c>
      <c r="V215">
        <f>ROUND((0/100)*ROUND(Source!R137, 2), 2)</f>
        <v>0</v>
      </c>
      <c r="AC215">
        <v>3</v>
      </c>
    </row>
    <row r="216" spans="1:29" ht="15" x14ac:dyDescent="0.2">
      <c r="C216" s="52" t="s">
        <v>760</v>
      </c>
      <c r="H216" s="53">
        <f>I215+0</f>
        <v>65.7</v>
      </c>
      <c r="I216" s="53"/>
      <c r="J216" s="53">
        <f>K215+0</f>
        <v>741.75</v>
      </c>
      <c r="K216" s="53"/>
      <c r="O216" s="56">
        <f>I215+0</f>
        <v>65.7</v>
      </c>
      <c r="P216" s="56">
        <f>K215+0</f>
        <v>741.75</v>
      </c>
    </row>
    <row r="218" spans="1:29" ht="71.25" x14ac:dyDescent="0.2">
      <c r="A218" s="47">
        <v>22</v>
      </c>
      <c r="B218" s="47" t="str">
        <f>Source!F138</f>
        <v>1.12-10-156</v>
      </c>
      <c r="C218" s="47" t="s">
        <v>250</v>
      </c>
      <c r="D218" s="48" t="str">
        <f>Source!H138</f>
        <v>шт.</v>
      </c>
      <c r="E218" s="49">
        <f>Source!I138</f>
        <v>10</v>
      </c>
      <c r="F218" s="50">
        <f>Source!AL138</f>
        <v>15.42</v>
      </c>
      <c r="G218" s="51" t="s">
        <v>3</v>
      </c>
      <c r="H218" s="49">
        <f>Source!AW139</f>
        <v>1</v>
      </c>
      <c r="I218" s="50">
        <f>Source!P138</f>
        <v>154.19999999999999</v>
      </c>
      <c r="J218" s="49">
        <f>IF(Source!BC139&lt;&gt; 0, Source!BC139, 1)</f>
        <v>5.29</v>
      </c>
      <c r="K218" s="50">
        <f>Source!P139</f>
        <v>815.72</v>
      </c>
      <c r="Q218">
        <f>Source!X138</f>
        <v>0</v>
      </c>
      <c r="R218">
        <f>Source!X139</f>
        <v>0</v>
      </c>
      <c r="S218">
        <f>Source!Y138</f>
        <v>0</v>
      </c>
      <c r="T218">
        <f>Source!Y139</f>
        <v>0</v>
      </c>
      <c r="U218">
        <f>ROUND((175/100)*ROUND(Source!R138, 2), 2)</f>
        <v>0</v>
      </c>
      <c r="V218">
        <f>ROUND((0/100)*ROUND(Source!R139, 2), 2)</f>
        <v>0</v>
      </c>
      <c r="AC218">
        <v>3</v>
      </c>
    </row>
    <row r="219" spans="1:29" ht="15" x14ac:dyDescent="0.2">
      <c r="C219" s="52" t="s">
        <v>760</v>
      </c>
      <c r="H219" s="53">
        <f>I218+0</f>
        <v>154.19999999999999</v>
      </c>
      <c r="I219" s="53"/>
      <c r="J219" s="53">
        <f>K218+0</f>
        <v>815.72</v>
      </c>
      <c r="K219" s="53"/>
      <c r="O219" s="56">
        <f>I218+0</f>
        <v>154.19999999999999</v>
      </c>
      <c r="P219" s="56">
        <f>K218+0</f>
        <v>815.72</v>
      </c>
    </row>
    <row r="221" spans="1:29" ht="28.5" x14ac:dyDescent="0.2">
      <c r="A221" s="40">
        <v>23</v>
      </c>
      <c r="B221" s="40" t="str">
        <f>Source!F146</f>
        <v>3.9-72-2</v>
      </c>
      <c r="C221" s="40" t="s">
        <v>253</v>
      </c>
      <c r="D221" s="42" t="str">
        <f>Source!H146</f>
        <v>100 шт.</v>
      </c>
      <c r="E221" s="41">
        <f>Source!I146</f>
        <v>0.9</v>
      </c>
      <c r="F221" s="44"/>
      <c r="G221" s="43"/>
      <c r="H221" s="41"/>
      <c r="I221" s="44"/>
      <c r="J221" s="41"/>
      <c r="K221" s="44"/>
      <c r="Q221">
        <f>Source!X146</f>
        <v>245.09</v>
      </c>
      <c r="R221">
        <f>Source!X147</f>
        <v>13810.95</v>
      </c>
      <c r="S221">
        <f>Source!Y146</f>
        <v>163.38999999999999</v>
      </c>
      <c r="T221">
        <f>Source!Y147</f>
        <v>9207.2999999999993</v>
      </c>
      <c r="U221">
        <f>ROUND((175/100)*ROUND(Source!R146, 2), 2)</f>
        <v>0.98</v>
      </c>
      <c r="V221">
        <f>ROUND((0/100)*ROUND(Source!R147, 2), 2)</f>
        <v>0</v>
      </c>
      <c r="AC221">
        <v>0</v>
      </c>
    </row>
    <row r="222" spans="1:29" x14ac:dyDescent="0.2">
      <c r="C222" s="70" t="str">
        <f>"Объем: "&amp;Source!I146&amp;"=(45+"&amp;"45)/"&amp;"100"</f>
        <v>Объем: 0,9=(45+45)/100</v>
      </c>
    </row>
    <row r="223" spans="1:29" ht="14.25" x14ac:dyDescent="0.2">
      <c r="A223" s="40"/>
      <c r="B223" s="40"/>
      <c r="C223" s="40" t="s">
        <v>747</v>
      </c>
      <c r="D223" s="42"/>
      <c r="E223" s="41"/>
      <c r="F223" s="44">
        <f>Source!AO146</f>
        <v>194.79</v>
      </c>
      <c r="G223" s="45" t="s">
        <v>748</v>
      </c>
      <c r="H223" s="41">
        <f>Source!AV147</f>
        <v>1.087</v>
      </c>
      <c r="I223" s="44">
        <f>Source!S146</f>
        <v>262.98</v>
      </c>
      <c r="J223" s="41">
        <f>IF(Source!BA147&lt;&gt; 0, Source!BA147, 1)</f>
        <v>56.35</v>
      </c>
      <c r="K223" s="44">
        <f>Source!S147</f>
        <v>14818.92</v>
      </c>
    </row>
    <row r="224" spans="1:29" ht="14.25" x14ac:dyDescent="0.2">
      <c r="A224" s="40"/>
      <c r="B224" s="40"/>
      <c r="C224" s="40" t="s">
        <v>749</v>
      </c>
      <c r="D224" s="42"/>
      <c r="E224" s="41"/>
      <c r="F224" s="44">
        <f>Source!AM146</f>
        <v>2.4900000000000002</v>
      </c>
      <c r="G224" s="45" t="s">
        <v>750</v>
      </c>
      <c r="H224" s="41">
        <f>Source!AV147</f>
        <v>1.087</v>
      </c>
      <c r="I224" s="44">
        <f>Source!Q146</f>
        <v>3.65</v>
      </c>
      <c r="J224" s="41">
        <f>IF(Source!BB147&lt;&gt; 0, Source!BB147, 1)</f>
        <v>17.09</v>
      </c>
      <c r="K224" s="44">
        <f>Source!Q147</f>
        <v>62.38</v>
      </c>
    </row>
    <row r="225" spans="1:29" ht="14.25" x14ac:dyDescent="0.2">
      <c r="A225" s="40"/>
      <c r="B225" s="40"/>
      <c r="C225" s="40" t="s">
        <v>751</v>
      </c>
      <c r="D225" s="42"/>
      <c r="E225" s="41"/>
      <c r="F225" s="44">
        <f>Source!AN146</f>
        <v>0.38</v>
      </c>
      <c r="G225" s="45" t="s">
        <v>750</v>
      </c>
      <c r="H225" s="41">
        <f>Source!AV147</f>
        <v>1.087</v>
      </c>
      <c r="I225" s="46">
        <f>Source!R146</f>
        <v>0.56000000000000005</v>
      </c>
      <c r="J225" s="41">
        <f>IF(Source!BS147&lt;&gt; 0, Source!BS147, 1)</f>
        <v>56.35</v>
      </c>
      <c r="K225" s="46">
        <f>Source!R147</f>
        <v>31.56</v>
      </c>
    </row>
    <row r="226" spans="1:29" ht="42.75" x14ac:dyDescent="0.2">
      <c r="A226" s="40" t="s">
        <v>269</v>
      </c>
      <c r="B226" s="40" t="str">
        <f>Source!F148</f>
        <v>1.3-4-176</v>
      </c>
      <c r="C226" s="40" t="s">
        <v>259</v>
      </c>
      <c r="D226" s="42" t="str">
        <f>Source!H148</f>
        <v>шт.</v>
      </c>
      <c r="E226" s="41">
        <f>Source!I148</f>
        <v>45</v>
      </c>
      <c r="F226" s="44">
        <f>Source!AK148</f>
        <v>13.23</v>
      </c>
      <c r="G226" s="45" t="s">
        <v>3</v>
      </c>
      <c r="H226" s="41">
        <f>Source!AW149</f>
        <v>1</v>
      </c>
      <c r="I226" s="44">
        <f>Source!O148</f>
        <v>595.35</v>
      </c>
      <c r="J226" s="41">
        <f>IF(Source!BC149&lt;&gt; 0, Source!BC149, 1)</f>
        <v>14.46</v>
      </c>
      <c r="K226" s="44">
        <f>Source!O149</f>
        <v>8608.76</v>
      </c>
      <c r="Q226">
        <f>Source!X148</f>
        <v>0</v>
      </c>
      <c r="R226">
        <f>Source!X149</f>
        <v>0</v>
      </c>
      <c r="S226">
        <f>Source!Y148</f>
        <v>0</v>
      </c>
      <c r="T226">
        <f>Source!Y149</f>
        <v>0</v>
      </c>
      <c r="U226">
        <f>ROUND((175/100)*ROUND(Source!R148, 2), 2)</f>
        <v>0</v>
      </c>
      <c r="V226">
        <f>ROUND((0/100)*ROUND(Source!R149, 2), 2)</f>
        <v>0</v>
      </c>
      <c r="AC226">
        <v>3</v>
      </c>
    </row>
    <row r="227" spans="1:29" ht="42.75" x14ac:dyDescent="0.2">
      <c r="A227" s="40" t="s">
        <v>271</v>
      </c>
      <c r="B227" s="40" t="str">
        <f>Source!F150</f>
        <v>1.7-5-262</v>
      </c>
      <c r="C227" s="40" t="s">
        <v>262</v>
      </c>
      <c r="D227" s="42" t="str">
        <f>Source!H150</f>
        <v>100 шт.</v>
      </c>
      <c r="E227" s="41">
        <f>Source!I150</f>
        <v>0.45</v>
      </c>
      <c r="F227" s="44">
        <f>Source!AK150</f>
        <v>328.5</v>
      </c>
      <c r="G227" s="45" t="s">
        <v>3</v>
      </c>
      <c r="H227" s="41">
        <f>Source!AW151</f>
        <v>1</v>
      </c>
      <c r="I227" s="44">
        <f>Source!O150</f>
        <v>147.83000000000001</v>
      </c>
      <c r="J227" s="41">
        <f>IF(Source!BC151&lt;&gt; 0, Source!BC151, 1)</f>
        <v>16.09</v>
      </c>
      <c r="K227" s="44">
        <f>Source!O151</f>
        <v>2378.58</v>
      </c>
      <c r="Q227">
        <f>Source!X150</f>
        <v>0</v>
      </c>
      <c r="R227">
        <f>Source!X151</f>
        <v>0</v>
      </c>
      <c r="S227">
        <f>Source!Y150</f>
        <v>0</v>
      </c>
      <c r="T227">
        <f>Source!Y151</f>
        <v>0</v>
      </c>
      <c r="U227">
        <f>ROUND((175/100)*ROUND(Source!R150, 2), 2)</f>
        <v>0</v>
      </c>
      <c r="V227">
        <f>ROUND((0/100)*ROUND(Source!R151, 2), 2)</f>
        <v>0</v>
      </c>
      <c r="AC227">
        <v>3</v>
      </c>
    </row>
    <row r="228" spans="1:29" ht="14.25" x14ac:dyDescent="0.2">
      <c r="A228" s="40"/>
      <c r="B228" s="40"/>
      <c r="C228" s="40" t="s">
        <v>753</v>
      </c>
      <c r="D228" s="42" t="s">
        <v>754</v>
      </c>
      <c r="E228" s="41">
        <f>Source!BZ147</f>
        <v>93</v>
      </c>
      <c r="F228" s="44"/>
      <c r="G228" s="43"/>
      <c r="H228" s="41"/>
      <c r="I228" s="44">
        <f>SUM(Q221:Q227)</f>
        <v>245.09</v>
      </c>
      <c r="J228" s="41">
        <f>Source!AT147</f>
        <v>93</v>
      </c>
      <c r="K228" s="44">
        <f>SUM(R221:R227)</f>
        <v>13810.95</v>
      </c>
    </row>
    <row r="229" spans="1:29" ht="14.25" x14ac:dyDescent="0.2">
      <c r="A229" s="40"/>
      <c r="B229" s="40"/>
      <c r="C229" s="40" t="s">
        <v>755</v>
      </c>
      <c r="D229" s="42" t="s">
        <v>754</v>
      </c>
      <c r="E229" s="41">
        <f>Source!CA147</f>
        <v>62</v>
      </c>
      <c r="F229" s="44"/>
      <c r="G229" s="43"/>
      <c r="H229" s="41"/>
      <c r="I229" s="44">
        <f>SUM(S221:S228)</f>
        <v>163.38999999999999</v>
      </c>
      <c r="J229" s="41">
        <f>Source!AU147</f>
        <v>62</v>
      </c>
      <c r="K229" s="44">
        <f>SUM(T221:T228)</f>
        <v>9207.2999999999993</v>
      </c>
    </row>
    <row r="230" spans="1:29" ht="14.25" x14ac:dyDescent="0.2">
      <c r="A230" s="47"/>
      <c r="B230" s="47"/>
      <c r="C230" s="47" t="s">
        <v>756</v>
      </c>
      <c r="D230" s="48" t="s">
        <v>757</v>
      </c>
      <c r="E230" s="49">
        <f>Source!AQ146</f>
        <v>13.4</v>
      </c>
      <c r="F230" s="50"/>
      <c r="G230" s="51" t="s">
        <v>748</v>
      </c>
      <c r="H230" s="49">
        <f>Source!AV147</f>
        <v>1.087</v>
      </c>
      <c r="I230" s="50">
        <f>Source!U146</f>
        <v>18.090723599999997</v>
      </c>
      <c r="J230" s="49"/>
      <c r="K230" s="50"/>
    </row>
    <row r="231" spans="1:29" ht="15" x14ac:dyDescent="0.2">
      <c r="C231" s="52" t="s">
        <v>758</v>
      </c>
      <c r="H231" s="53">
        <f>I223+I224+I228+I229+SUM(I226:I227)-SUMIF(AC226:AC227, 5, I226:I227)-SUMIF(AC226:AC227, 6, I226:I227)</f>
        <v>1418.29</v>
      </c>
      <c r="I231" s="53"/>
      <c r="J231" s="53">
        <f>K223+K224+K228+K229+SUM(K226:K227)-SUMIF(AC226:AC227, 5, K226:K227)-SUMIF(AC226:AC227, 6, K226:K227)</f>
        <v>48886.89</v>
      </c>
      <c r="K231" s="53"/>
    </row>
    <row r="232" spans="1:29" ht="15" hidden="1" x14ac:dyDescent="0.2">
      <c r="C232" s="52" t="s">
        <v>759</v>
      </c>
      <c r="H232" s="55">
        <f>SUMIF(AC226:AC227, 5, I226:I227)+SUMIF(AC226:AC227, 6, I226:I227)</f>
        <v>0</v>
      </c>
      <c r="I232" s="55"/>
      <c r="J232" s="55">
        <f>SUMIF(AC226:AC227, 5, K226:K227)+SUMIF(AC226:AC227, 6, K226:K227)</f>
        <v>0</v>
      </c>
      <c r="K232" s="55"/>
    </row>
    <row r="233" spans="1:29" ht="15" x14ac:dyDescent="0.2">
      <c r="C233" s="52" t="s">
        <v>760</v>
      </c>
      <c r="H233" s="55">
        <f>I223+I224+I228+I229+SUM(I226:I227)</f>
        <v>1418.29</v>
      </c>
      <c r="I233" s="55"/>
      <c r="J233" s="55">
        <f>K223+K224+K228+K229+SUM(K226:K227)</f>
        <v>48886.89</v>
      </c>
      <c r="K233" s="55"/>
      <c r="O233" s="56">
        <f>I223+I224+I228+I229+SUM(I226:I227)</f>
        <v>1418.29</v>
      </c>
      <c r="P233" s="56">
        <f>K223+K224+K228+K229+SUM(K226:K227)</f>
        <v>48886.89</v>
      </c>
    </row>
    <row r="235" spans="1:29" ht="42.75" x14ac:dyDescent="0.2">
      <c r="A235" s="40">
        <v>24</v>
      </c>
      <c r="B235" s="40" t="str">
        <f>Source!F152</f>
        <v>3.13-9-2</v>
      </c>
      <c r="C235" s="40" t="s">
        <v>274</v>
      </c>
      <c r="D235" s="42" t="str">
        <f>Source!H152</f>
        <v>100 м2</v>
      </c>
      <c r="E235" s="41">
        <f>Source!I152</f>
        <v>0.64800000000000002</v>
      </c>
      <c r="F235" s="44"/>
      <c r="G235" s="43"/>
      <c r="H235" s="41"/>
      <c r="I235" s="44"/>
      <c r="J235" s="41"/>
      <c r="K235" s="44"/>
      <c r="Q235">
        <f>Source!X152</f>
        <v>65.48</v>
      </c>
      <c r="R235">
        <f>Source!X153</f>
        <v>3689.82</v>
      </c>
      <c r="S235">
        <f>Source!Y152</f>
        <v>35.53</v>
      </c>
      <c r="T235">
        <f>Source!Y153</f>
        <v>2001.92</v>
      </c>
      <c r="U235">
        <f>ROUND((175/100)*ROUND(Source!R152, 2), 2)</f>
        <v>0.44</v>
      </c>
      <c r="V235">
        <f>ROUND((0/100)*ROUND(Source!R153, 2), 2)</f>
        <v>0</v>
      </c>
      <c r="AC235">
        <v>0</v>
      </c>
    </row>
    <row r="236" spans="1:29" ht="38.25" x14ac:dyDescent="0.2">
      <c r="C236" s="70" t="str">
        <f>"Объем: "&amp;Source!I152&amp;"=(20*"&amp;"0,72+"&amp;"40*"&amp;"0,48+"&amp;"60*"&amp;"0,37+"&amp;"15*"&amp;"0,26+"&amp;"15*"&amp;"0,18+"&amp;"15*"&amp;"0,16)/"&amp;"100"</f>
        <v>Объем: 0,648=(20*0,72+40*0,48+60*0,37+15*0,26+15*0,18+15*0,16)/100</v>
      </c>
    </row>
    <row r="237" spans="1:29" ht="14.25" x14ac:dyDescent="0.2">
      <c r="A237" s="40"/>
      <c r="B237" s="40"/>
      <c r="C237" s="40" t="s">
        <v>747</v>
      </c>
      <c r="D237" s="42"/>
      <c r="E237" s="41"/>
      <c r="F237" s="44">
        <f>Source!AO152</f>
        <v>74.13</v>
      </c>
      <c r="G237" s="45" t="s">
        <v>748</v>
      </c>
      <c r="H237" s="41">
        <f>Source!AV153</f>
        <v>1.0469999999999999</v>
      </c>
      <c r="I237" s="44">
        <f>Source!S152</f>
        <v>69.41</v>
      </c>
      <c r="J237" s="41">
        <f>IF(Source!BA153&lt;&gt; 0, Source!BA153, 1)</f>
        <v>56.35</v>
      </c>
      <c r="K237" s="44">
        <f>Source!S153</f>
        <v>3911.25</v>
      </c>
    </row>
    <row r="238" spans="1:29" ht="14.25" x14ac:dyDescent="0.2">
      <c r="A238" s="40"/>
      <c r="B238" s="40"/>
      <c r="C238" s="40" t="s">
        <v>749</v>
      </c>
      <c r="D238" s="42"/>
      <c r="E238" s="41"/>
      <c r="F238" s="44">
        <f>Source!AM152</f>
        <v>13.64</v>
      </c>
      <c r="G238" s="45" t="s">
        <v>750</v>
      </c>
      <c r="H238" s="41">
        <f>Source!AV153</f>
        <v>1.0469999999999999</v>
      </c>
      <c r="I238" s="44">
        <f>Source!Q152</f>
        <v>13.88</v>
      </c>
      <c r="J238" s="41">
        <f>IF(Source!BB153&lt;&gt; 0, Source!BB153, 1)</f>
        <v>11.86</v>
      </c>
      <c r="K238" s="44">
        <f>Source!Q153</f>
        <v>164.62</v>
      </c>
    </row>
    <row r="239" spans="1:29" ht="14.25" x14ac:dyDescent="0.2">
      <c r="A239" s="40"/>
      <c r="B239" s="40"/>
      <c r="C239" s="40" t="s">
        <v>751</v>
      </c>
      <c r="D239" s="42"/>
      <c r="E239" s="41"/>
      <c r="F239" s="44">
        <f>Source!AN152</f>
        <v>0.25</v>
      </c>
      <c r="G239" s="45" t="s">
        <v>750</v>
      </c>
      <c r="H239" s="41">
        <f>Source!AV153</f>
        <v>1.0469999999999999</v>
      </c>
      <c r="I239" s="46">
        <f>Source!R152</f>
        <v>0.25</v>
      </c>
      <c r="J239" s="41">
        <f>IF(Source!BS153&lt;&gt; 0, Source!BS153, 1)</f>
        <v>56.35</v>
      </c>
      <c r="K239" s="46">
        <f>Source!R153</f>
        <v>14.09</v>
      </c>
    </row>
    <row r="240" spans="1:29" ht="14.25" x14ac:dyDescent="0.2">
      <c r="A240" s="40"/>
      <c r="B240" s="40"/>
      <c r="C240" s="40" t="s">
        <v>752</v>
      </c>
      <c r="D240" s="42"/>
      <c r="E240" s="41"/>
      <c r="F240" s="44">
        <f>Source!AL152</f>
        <v>9.44</v>
      </c>
      <c r="G240" s="45" t="s">
        <v>3</v>
      </c>
      <c r="H240" s="41">
        <f>Source!AW153</f>
        <v>1</v>
      </c>
      <c r="I240" s="44">
        <f>Source!P152</f>
        <v>6.12</v>
      </c>
      <c r="J240" s="41">
        <f>IF(Source!BC153&lt;&gt; 0, Source!BC153, 1)</f>
        <v>34.81</v>
      </c>
      <c r="K240" s="44">
        <f>Source!P153</f>
        <v>213.04</v>
      </c>
    </row>
    <row r="241" spans="1:29" ht="14.25" x14ac:dyDescent="0.2">
      <c r="A241" s="40" t="s">
        <v>279</v>
      </c>
      <c r="B241" s="40" t="str">
        <f>Source!F154</f>
        <v>1.1-1-165</v>
      </c>
      <c r="C241" s="40" t="s">
        <v>281</v>
      </c>
      <c r="D241" s="42" t="str">
        <f>Source!H154</f>
        <v>т</v>
      </c>
      <c r="E241" s="41">
        <f>Source!I154</f>
        <v>5.8320000000000012E-3</v>
      </c>
      <c r="F241" s="44">
        <f>Source!AK154</f>
        <v>18653.07</v>
      </c>
      <c r="G241" s="45" t="s">
        <v>3</v>
      </c>
      <c r="H241" s="41">
        <f>Source!AW155</f>
        <v>1</v>
      </c>
      <c r="I241" s="44">
        <f>Source!O154</f>
        <v>108.78</v>
      </c>
      <c r="J241" s="41">
        <f>IF(Source!BC155&lt;&gt; 0, Source!BC155, 1)</f>
        <v>3.59</v>
      </c>
      <c r="K241" s="44">
        <f>Source!O155</f>
        <v>390.52</v>
      </c>
      <c r="Q241">
        <f>Source!X154</f>
        <v>0</v>
      </c>
      <c r="R241">
        <f>Source!X155</f>
        <v>0</v>
      </c>
      <c r="S241">
        <f>Source!Y154</f>
        <v>0</v>
      </c>
      <c r="T241">
        <f>Source!Y155</f>
        <v>0</v>
      </c>
      <c r="U241">
        <f>ROUND((175/100)*ROUND(Source!R154, 2), 2)</f>
        <v>0</v>
      </c>
      <c r="V241">
        <f>ROUND((0/100)*ROUND(Source!R155, 2), 2)</f>
        <v>0</v>
      </c>
      <c r="AC241">
        <v>3</v>
      </c>
    </row>
    <row r="242" spans="1:29" ht="14.25" x14ac:dyDescent="0.2">
      <c r="A242" s="40"/>
      <c r="B242" s="40"/>
      <c r="C242" s="40" t="s">
        <v>753</v>
      </c>
      <c r="D242" s="42" t="s">
        <v>754</v>
      </c>
      <c r="E242" s="41">
        <f>Source!BZ153</f>
        <v>94</v>
      </c>
      <c r="F242" s="44"/>
      <c r="G242" s="43"/>
      <c r="H242" s="41"/>
      <c r="I242" s="44">
        <f>SUM(Q235:Q241)</f>
        <v>65.48</v>
      </c>
      <c r="J242" s="41">
        <f>Source!AT153</f>
        <v>94</v>
      </c>
      <c r="K242" s="44">
        <f>SUM(R235:R241)</f>
        <v>3689.82</v>
      </c>
    </row>
    <row r="243" spans="1:29" ht="14.25" x14ac:dyDescent="0.2">
      <c r="A243" s="40"/>
      <c r="B243" s="40"/>
      <c r="C243" s="40" t="s">
        <v>755</v>
      </c>
      <c r="D243" s="42" t="s">
        <v>754</v>
      </c>
      <c r="E243" s="41">
        <f>Source!CA153</f>
        <v>51</v>
      </c>
      <c r="F243" s="44"/>
      <c r="G243" s="43"/>
      <c r="H243" s="41"/>
      <c r="I243" s="44">
        <f>SUM(S235:S242)</f>
        <v>35.53</v>
      </c>
      <c r="J243" s="41">
        <f>Source!AU153</f>
        <v>51</v>
      </c>
      <c r="K243" s="44">
        <f>SUM(T235:T242)</f>
        <v>2001.92</v>
      </c>
    </row>
    <row r="244" spans="1:29" ht="14.25" x14ac:dyDescent="0.2">
      <c r="A244" s="47"/>
      <c r="B244" s="47"/>
      <c r="C244" s="47" t="s">
        <v>756</v>
      </c>
      <c r="D244" s="48" t="s">
        <v>757</v>
      </c>
      <c r="E244" s="49">
        <f>Source!AQ152</f>
        <v>5.31</v>
      </c>
      <c r="F244" s="50"/>
      <c r="G244" s="51" t="s">
        <v>748</v>
      </c>
      <c r="H244" s="49">
        <f>Source!AV153</f>
        <v>1.0469999999999999</v>
      </c>
      <c r="I244" s="50">
        <f>Source!U152</f>
        <v>4.9715898767999986</v>
      </c>
      <c r="J244" s="49"/>
      <c r="K244" s="50"/>
    </row>
    <row r="245" spans="1:29" ht="15" x14ac:dyDescent="0.2">
      <c r="C245" s="52" t="s">
        <v>758</v>
      </c>
      <c r="H245" s="53">
        <f>I237+I238+I240+I242+I243+SUM(I241:I241)-SUMIF(AC241:AC241, 5, I241:I241)-SUMIF(AC241:AC241, 6, I241:I241)</f>
        <v>299.2</v>
      </c>
      <c r="I245" s="53"/>
      <c r="J245" s="53">
        <f>K237+K238+K240+K242+K243+SUM(K241:K241)-SUMIF(AC241:AC241, 5, K241:K241)-SUMIF(AC241:AC241, 6, K241:K241)</f>
        <v>10371.17</v>
      </c>
      <c r="K245" s="53"/>
    </row>
    <row r="246" spans="1:29" ht="15" hidden="1" x14ac:dyDescent="0.2">
      <c r="C246" s="52" t="s">
        <v>759</v>
      </c>
      <c r="H246" s="55">
        <f>SUMIF(AC241:AC241, 5, I241:I241)+SUMIF(AC241:AC241, 6, I241:I241)</f>
        <v>0</v>
      </c>
      <c r="I246" s="55"/>
      <c r="J246" s="55">
        <f>SUMIF(AC241:AC241, 5, K241:K241)+SUMIF(AC241:AC241, 6, K241:K241)</f>
        <v>0</v>
      </c>
      <c r="K246" s="55"/>
    </row>
    <row r="247" spans="1:29" ht="15" x14ac:dyDescent="0.2">
      <c r="C247" s="52" t="s">
        <v>760</v>
      </c>
      <c r="H247" s="55">
        <f>I237+I238+I240+I242+I243+SUM(I241:I241)</f>
        <v>299.2</v>
      </c>
      <c r="I247" s="55"/>
      <c r="J247" s="55">
        <f>K237+K238+K240+K242+K243+SUM(K241:K241)</f>
        <v>10371.17</v>
      </c>
      <c r="K247" s="55"/>
      <c r="O247" s="56">
        <f>I237+I238+I240+I242+I243+SUM(I241:I241)</f>
        <v>299.2</v>
      </c>
      <c r="P247" s="56">
        <f>K237+K238+K240+K242+K243+SUM(K241:K241)</f>
        <v>10371.17</v>
      </c>
    </row>
    <row r="249" spans="1:29" ht="28.5" x14ac:dyDescent="0.2">
      <c r="A249" s="40">
        <v>25</v>
      </c>
      <c r="B249" s="40" t="str">
        <f>Source!F156</f>
        <v>3.13-11-8</v>
      </c>
      <c r="C249" s="40" t="s">
        <v>286</v>
      </c>
      <c r="D249" s="42" t="str">
        <f>Source!H156</f>
        <v>100 м2</v>
      </c>
      <c r="E249" s="41">
        <f>Source!I156</f>
        <v>0.64800000000000002</v>
      </c>
      <c r="F249" s="44"/>
      <c r="G249" s="43"/>
      <c r="H249" s="41"/>
      <c r="I249" s="44"/>
      <c r="J249" s="41"/>
      <c r="K249" s="44"/>
      <c r="Q249">
        <f>Source!X156</f>
        <v>22.54</v>
      </c>
      <c r="R249">
        <f>Source!X157</f>
        <v>1270.2</v>
      </c>
      <c r="S249">
        <f>Source!Y156</f>
        <v>12.23</v>
      </c>
      <c r="T249">
        <f>Source!Y157</f>
        <v>689.15</v>
      </c>
      <c r="U249">
        <f>ROUND((175/100)*ROUND(Source!R156, 2), 2)</f>
        <v>0.44</v>
      </c>
      <c r="V249">
        <f>ROUND((0/100)*ROUND(Source!R157, 2), 2)</f>
        <v>0</v>
      </c>
      <c r="AC249">
        <v>0</v>
      </c>
    </row>
    <row r="250" spans="1:29" x14ac:dyDescent="0.2">
      <c r="C250" s="70" t="str">
        <f>"Объем: "&amp;Source!I156&amp;"=(64,8)/"&amp;"100"</f>
        <v>Объем: 0,648=(64,8)/100</v>
      </c>
    </row>
    <row r="251" spans="1:29" ht="14.25" x14ac:dyDescent="0.2">
      <c r="A251" s="40"/>
      <c r="B251" s="40"/>
      <c r="C251" s="40" t="s">
        <v>747</v>
      </c>
      <c r="D251" s="42"/>
      <c r="E251" s="41"/>
      <c r="F251" s="44">
        <f>Source!AO156</f>
        <v>25.35</v>
      </c>
      <c r="G251" s="45" t="s">
        <v>748</v>
      </c>
      <c r="H251" s="41">
        <f>Source!AV157</f>
        <v>1.0469999999999999</v>
      </c>
      <c r="I251" s="44">
        <f>Source!S156</f>
        <v>23.73</v>
      </c>
      <c r="J251" s="41">
        <f>IF(Source!BA157&lt;&gt; 0, Source!BA157, 1)</f>
        <v>56.35</v>
      </c>
      <c r="K251" s="44">
        <f>Source!S157</f>
        <v>1337.19</v>
      </c>
    </row>
    <row r="252" spans="1:29" ht="14.25" x14ac:dyDescent="0.2">
      <c r="A252" s="40"/>
      <c r="B252" s="40"/>
      <c r="C252" s="40" t="s">
        <v>749</v>
      </c>
      <c r="D252" s="42"/>
      <c r="E252" s="41"/>
      <c r="F252" s="44">
        <f>Source!AM156</f>
        <v>1.98</v>
      </c>
      <c r="G252" s="45" t="s">
        <v>750</v>
      </c>
      <c r="H252" s="41">
        <f>Source!AV157</f>
        <v>1.0469999999999999</v>
      </c>
      <c r="I252" s="44">
        <f>Source!Q156</f>
        <v>2.02</v>
      </c>
      <c r="J252" s="41">
        <f>IF(Source!BB157&lt;&gt; 0, Source!BB157, 1)</f>
        <v>16.54</v>
      </c>
      <c r="K252" s="44">
        <f>Source!Q157</f>
        <v>33.409999999999997</v>
      </c>
    </row>
    <row r="253" spans="1:29" ht="14.25" x14ac:dyDescent="0.2">
      <c r="A253" s="40"/>
      <c r="B253" s="40"/>
      <c r="C253" s="40" t="s">
        <v>751</v>
      </c>
      <c r="D253" s="42"/>
      <c r="E253" s="41"/>
      <c r="F253" s="44">
        <f>Source!AN156</f>
        <v>0.25</v>
      </c>
      <c r="G253" s="45" t="s">
        <v>750</v>
      </c>
      <c r="H253" s="41">
        <f>Source!AV157</f>
        <v>1.0469999999999999</v>
      </c>
      <c r="I253" s="46">
        <f>Source!R156</f>
        <v>0.25</v>
      </c>
      <c r="J253" s="41">
        <f>IF(Source!BS157&lt;&gt; 0, Source!BS157, 1)</f>
        <v>56.35</v>
      </c>
      <c r="K253" s="46">
        <f>Source!R157</f>
        <v>14.09</v>
      </c>
    </row>
    <row r="254" spans="1:29" ht="14.25" x14ac:dyDescent="0.2">
      <c r="A254" s="40"/>
      <c r="B254" s="40"/>
      <c r="C254" s="40" t="s">
        <v>752</v>
      </c>
      <c r="D254" s="42"/>
      <c r="E254" s="41"/>
      <c r="F254" s="44">
        <f>Source!AL156</f>
        <v>287.54000000000002</v>
      </c>
      <c r="G254" s="45" t="s">
        <v>3</v>
      </c>
      <c r="H254" s="41">
        <f>Source!AW157</f>
        <v>1</v>
      </c>
      <c r="I254" s="44">
        <f>Source!P156</f>
        <v>186.33</v>
      </c>
      <c r="J254" s="41">
        <f>IF(Source!BC157&lt;&gt; 0, Source!BC157, 1)</f>
        <v>3.45</v>
      </c>
      <c r="K254" s="44">
        <f>Source!P157</f>
        <v>642.84</v>
      </c>
    </row>
    <row r="255" spans="1:29" ht="14.25" x14ac:dyDescent="0.2">
      <c r="A255" s="40"/>
      <c r="B255" s="40"/>
      <c r="C255" s="40" t="s">
        <v>753</v>
      </c>
      <c r="D255" s="42" t="s">
        <v>754</v>
      </c>
      <c r="E255" s="41">
        <f>Source!BZ157</f>
        <v>94</v>
      </c>
      <c r="F255" s="44"/>
      <c r="G255" s="43"/>
      <c r="H255" s="41"/>
      <c r="I255" s="44">
        <f>SUM(Q249:Q254)</f>
        <v>22.54</v>
      </c>
      <c r="J255" s="41">
        <f>Source!AT157</f>
        <v>94</v>
      </c>
      <c r="K255" s="44">
        <f>SUM(R249:R254)</f>
        <v>1270.2</v>
      </c>
    </row>
    <row r="256" spans="1:29" ht="14.25" x14ac:dyDescent="0.2">
      <c r="A256" s="40"/>
      <c r="B256" s="40"/>
      <c r="C256" s="40" t="s">
        <v>755</v>
      </c>
      <c r="D256" s="42" t="s">
        <v>754</v>
      </c>
      <c r="E256" s="41">
        <f>Source!CA157</f>
        <v>51</v>
      </c>
      <c r="F256" s="44"/>
      <c r="G256" s="43"/>
      <c r="H256" s="41"/>
      <c r="I256" s="44">
        <f>SUM(S249:S255)</f>
        <v>12.23</v>
      </c>
      <c r="J256" s="41">
        <f>Source!AU157</f>
        <v>51</v>
      </c>
      <c r="K256" s="44">
        <f>SUM(T249:T255)</f>
        <v>689.15</v>
      </c>
    </row>
    <row r="257" spans="1:29" ht="14.25" x14ac:dyDescent="0.2">
      <c r="A257" s="47"/>
      <c r="B257" s="47"/>
      <c r="C257" s="47" t="s">
        <v>756</v>
      </c>
      <c r="D257" s="48" t="s">
        <v>757</v>
      </c>
      <c r="E257" s="49">
        <f>Source!AQ156</f>
        <v>2.13</v>
      </c>
      <c r="F257" s="50"/>
      <c r="G257" s="51" t="s">
        <v>748</v>
      </c>
      <c r="H257" s="49">
        <f>Source!AV157</f>
        <v>1.0469999999999999</v>
      </c>
      <c r="I257" s="50">
        <f>Source!U156</f>
        <v>1.9942535663999994</v>
      </c>
      <c r="J257" s="49"/>
      <c r="K257" s="50"/>
    </row>
    <row r="258" spans="1:29" ht="15" x14ac:dyDescent="0.2">
      <c r="C258" s="52" t="s">
        <v>758</v>
      </c>
      <c r="H258" s="53">
        <f>I251+I252+I254+I255+I256+0-0-0</f>
        <v>246.85</v>
      </c>
      <c r="I258" s="53"/>
      <c r="J258" s="53">
        <f>K251+K252+K254+K255+K256+0-0-0</f>
        <v>3972.7900000000004</v>
      </c>
      <c r="K258" s="53"/>
    </row>
    <row r="259" spans="1:29" ht="15" hidden="1" x14ac:dyDescent="0.2">
      <c r="C259" s="52" t="s">
        <v>759</v>
      </c>
      <c r="H259" s="55">
        <f>0+0</f>
        <v>0</v>
      </c>
      <c r="I259" s="55"/>
      <c r="J259" s="55">
        <f>0+0</f>
        <v>0</v>
      </c>
      <c r="K259" s="55"/>
    </row>
    <row r="260" spans="1:29" ht="15" x14ac:dyDescent="0.2">
      <c r="C260" s="52" t="s">
        <v>760</v>
      </c>
      <c r="H260" s="55">
        <f>I251+I252+I254+I255+I256+0</f>
        <v>246.85</v>
      </c>
      <c r="I260" s="55"/>
      <c r="J260" s="55">
        <f>K251+K252+K254+K255+K256+0</f>
        <v>3972.7900000000004</v>
      </c>
      <c r="K260" s="55"/>
      <c r="O260" s="56">
        <f>I251+I252+I254+I255+I256+0</f>
        <v>246.85</v>
      </c>
      <c r="P260" s="56">
        <f>K251+K252+K254+K255+K256+0</f>
        <v>3972.7900000000004</v>
      </c>
    </row>
    <row r="262" spans="1:29" ht="57" x14ac:dyDescent="0.2">
      <c r="A262" s="40">
        <v>26</v>
      </c>
      <c r="B262" s="40" t="str">
        <f>Source!F162</f>
        <v>4.12-52-10</v>
      </c>
      <c r="C262" s="40" t="s">
        <v>156</v>
      </c>
      <c r="D262" s="42" t="str">
        <f>Source!H162</f>
        <v>1  ШТ.</v>
      </c>
      <c r="E262" s="41">
        <f>Source!I162</f>
        <v>1</v>
      </c>
      <c r="F262" s="44"/>
      <c r="G262" s="43"/>
      <c r="H262" s="41"/>
      <c r="I262" s="44"/>
      <c r="J262" s="41"/>
      <c r="K262" s="44"/>
      <c r="Q262">
        <f>Source!X162</f>
        <v>78.819999999999993</v>
      </c>
      <c r="R262">
        <f>Source!X163</f>
        <v>4441.62</v>
      </c>
      <c r="S262">
        <f>Source!Y162</f>
        <v>40.29</v>
      </c>
      <c r="T262">
        <f>Source!Y163</f>
        <v>2270.16</v>
      </c>
      <c r="U262">
        <f>ROUND((175/100)*ROUND(Source!R162, 2), 2)</f>
        <v>0.56000000000000005</v>
      </c>
      <c r="V262">
        <f>ROUND((0/100)*ROUND(Source!R163, 2), 2)</f>
        <v>0</v>
      </c>
      <c r="AC262">
        <v>0</v>
      </c>
    </row>
    <row r="263" spans="1:29" ht="14.25" x14ac:dyDescent="0.2">
      <c r="A263" s="40"/>
      <c r="B263" s="40"/>
      <c r="C263" s="40" t="s">
        <v>747</v>
      </c>
      <c r="D263" s="42"/>
      <c r="E263" s="41"/>
      <c r="F263" s="44">
        <f>Source!AO162</f>
        <v>68.150000000000006</v>
      </c>
      <c r="G263" s="45" t="s">
        <v>110</v>
      </c>
      <c r="H263" s="41">
        <f>Source!AV163</f>
        <v>1.0669999999999999</v>
      </c>
      <c r="I263" s="44">
        <f>Source!S162</f>
        <v>87.26</v>
      </c>
      <c r="J263" s="41">
        <f>IF(Source!BA163&lt;&gt; 0, Source!BA163, 1)</f>
        <v>56.35</v>
      </c>
      <c r="K263" s="44">
        <f>Source!S163</f>
        <v>4917.1000000000004</v>
      </c>
    </row>
    <row r="264" spans="1:29" ht="14.25" x14ac:dyDescent="0.2">
      <c r="A264" s="40"/>
      <c r="B264" s="40"/>
      <c r="C264" s="40" t="s">
        <v>749</v>
      </c>
      <c r="D264" s="42"/>
      <c r="E264" s="41"/>
      <c r="F264" s="44">
        <f>Source!AM162</f>
        <v>8.06</v>
      </c>
      <c r="G264" s="45" t="s">
        <v>110</v>
      </c>
      <c r="H264" s="41">
        <f>Source!AV163</f>
        <v>1.0669999999999999</v>
      </c>
      <c r="I264" s="44">
        <f>Source!Q162</f>
        <v>10.32</v>
      </c>
      <c r="J264" s="41">
        <f>IF(Source!BB163&lt;&gt; 0, Source!BB163, 1)</f>
        <v>14.21</v>
      </c>
      <c r="K264" s="44">
        <f>Source!Q163</f>
        <v>146.65</v>
      </c>
    </row>
    <row r="265" spans="1:29" ht="14.25" x14ac:dyDescent="0.2">
      <c r="A265" s="40"/>
      <c r="B265" s="40"/>
      <c r="C265" s="40" t="s">
        <v>751</v>
      </c>
      <c r="D265" s="42"/>
      <c r="E265" s="41"/>
      <c r="F265" s="44">
        <f>Source!AN162</f>
        <v>0.25</v>
      </c>
      <c r="G265" s="45" t="s">
        <v>110</v>
      </c>
      <c r="H265" s="41">
        <f>Source!AV163</f>
        <v>1.0669999999999999</v>
      </c>
      <c r="I265" s="46">
        <f>Source!R162</f>
        <v>0.32</v>
      </c>
      <c r="J265" s="41">
        <f>IF(Source!BS163&lt;&gt; 0, Source!BS163, 1)</f>
        <v>56.35</v>
      </c>
      <c r="K265" s="46">
        <f>Source!R163</f>
        <v>18.03</v>
      </c>
    </row>
    <row r="266" spans="1:29" ht="14.25" x14ac:dyDescent="0.2">
      <c r="A266" s="40"/>
      <c r="B266" s="40"/>
      <c r="C266" s="40" t="s">
        <v>752</v>
      </c>
      <c r="D266" s="42"/>
      <c r="E266" s="41"/>
      <c r="F266" s="44">
        <f>Source!AL162</f>
        <v>4.33</v>
      </c>
      <c r="G266" s="45" t="s">
        <v>3</v>
      </c>
      <c r="H266" s="41">
        <f>Source!AW163</f>
        <v>1.028</v>
      </c>
      <c r="I266" s="44">
        <f>Source!P162</f>
        <v>4.45</v>
      </c>
      <c r="J266" s="41">
        <f>IF(Source!BC163&lt;&gt; 0, Source!BC163, 1)</f>
        <v>10.59</v>
      </c>
      <c r="K266" s="44">
        <f>Source!P163</f>
        <v>47.13</v>
      </c>
    </row>
    <row r="267" spans="1:29" ht="14.25" x14ac:dyDescent="0.2">
      <c r="A267" s="40"/>
      <c r="B267" s="40"/>
      <c r="C267" s="40" t="s">
        <v>753</v>
      </c>
      <c r="D267" s="42" t="s">
        <v>754</v>
      </c>
      <c r="E267" s="41">
        <f>Source!BZ163</f>
        <v>90</v>
      </c>
      <c r="F267" s="44"/>
      <c r="G267" s="43"/>
      <c r="H267" s="41"/>
      <c r="I267" s="44">
        <f>SUM(Q262:Q266)</f>
        <v>78.819999999999993</v>
      </c>
      <c r="J267" s="41">
        <f>Source!AT163</f>
        <v>90</v>
      </c>
      <c r="K267" s="44">
        <f>SUM(R262:R266)</f>
        <v>4441.62</v>
      </c>
    </row>
    <row r="268" spans="1:29" ht="14.25" x14ac:dyDescent="0.2">
      <c r="A268" s="40"/>
      <c r="B268" s="40"/>
      <c r="C268" s="40" t="s">
        <v>755</v>
      </c>
      <c r="D268" s="42" t="s">
        <v>754</v>
      </c>
      <c r="E268" s="41">
        <f>Source!CA163</f>
        <v>46</v>
      </c>
      <c r="F268" s="44"/>
      <c r="G268" s="43"/>
      <c r="H268" s="41"/>
      <c r="I268" s="44">
        <f>SUM(S262:S267)</f>
        <v>40.29</v>
      </c>
      <c r="J268" s="41">
        <f>Source!AU163</f>
        <v>46</v>
      </c>
      <c r="K268" s="44">
        <f>SUM(T262:T267)</f>
        <v>2270.16</v>
      </c>
    </row>
    <row r="269" spans="1:29" ht="14.25" x14ac:dyDescent="0.2">
      <c r="A269" s="47"/>
      <c r="B269" s="47"/>
      <c r="C269" s="47" t="s">
        <v>756</v>
      </c>
      <c r="D269" s="48" t="s">
        <v>757</v>
      </c>
      <c r="E269" s="49">
        <f>Source!AQ162</f>
        <v>5.4</v>
      </c>
      <c r="F269" s="50"/>
      <c r="G269" s="51" t="s">
        <v>110</v>
      </c>
      <c r="H269" s="49">
        <f>Source!AV163</f>
        <v>1.0669999999999999</v>
      </c>
      <c r="I269" s="50">
        <f>Source!U162</f>
        <v>6.9141599999999999</v>
      </c>
      <c r="J269" s="49"/>
      <c r="K269" s="50"/>
    </row>
    <row r="270" spans="1:29" ht="15" x14ac:dyDescent="0.2">
      <c r="C270" s="52" t="s">
        <v>758</v>
      </c>
      <c r="H270" s="53">
        <f>I263+I264+I266+I267+I268+0-0-0</f>
        <v>221.14000000000001</v>
      </c>
      <c r="I270" s="53"/>
      <c r="J270" s="53">
        <f>K263+K264+K266+K267+K268+0-0-0</f>
        <v>11822.66</v>
      </c>
      <c r="K270" s="53"/>
    </row>
    <row r="271" spans="1:29" ht="15" hidden="1" x14ac:dyDescent="0.2">
      <c r="C271" s="52" t="s">
        <v>759</v>
      </c>
      <c r="H271" s="55">
        <f>0+0</f>
        <v>0</v>
      </c>
      <c r="I271" s="55"/>
      <c r="J271" s="55">
        <f>0+0</f>
        <v>0</v>
      </c>
      <c r="K271" s="55"/>
    </row>
    <row r="272" spans="1:29" ht="15" x14ac:dyDescent="0.2">
      <c r="C272" s="52" t="s">
        <v>760</v>
      </c>
      <c r="H272" s="55">
        <f>I263+I264+I266+I267+I268+0</f>
        <v>221.14000000000001</v>
      </c>
      <c r="I272" s="55"/>
      <c r="J272" s="55">
        <f>K263+K264+K266+K267+K268+0</f>
        <v>11822.66</v>
      </c>
      <c r="K272" s="55"/>
      <c r="O272" s="56">
        <f>I263+I264+I266+I267+I268+0</f>
        <v>221.14000000000001</v>
      </c>
      <c r="P272" s="56">
        <f>K263+K264+K266+K267+K268+0</f>
        <v>11822.66</v>
      </c>
    </row>
    <row r="274" spans="1:29" ht="39.75" x14ac:dyDescent="0.2">
      <c r="A274" s="47">
        <v>27</v>
      </c>
      <c r="B274" s="47" t="str">
        <f>Source!F164</f>
        <v>КА. п. 3</v>
      </c>
      <c r="C274" s="47" t="s">
        <v>763</v>
      </c>
      <c r="D274" s="48" t="str">
        <f>Source!H164</f>
        <v>шт.</v>
      </c>
      <c r="E274" s="49">
        <f>Source!I164</f>
        <v>1</v>
      </c>
      <c r="F274" s="50">
        <f>Source!AL164</f>
        <v>2638.17</v>
      </c>
      <c r="G274" s="51" t="s">
        <v>3</v>
      </c>
      <c r="H274" s="49">
        <f>Source!AW165</f>
        <v>1</v>
      </c>
      <c r="I274" s="50">
        <f>Source!P164</f>
        <v>2638.17</v>
      </c>
      <c r="J274" s="49">
        <f>IF(Source!BC165&lt;&gt; 0, Source!BC165, 1)</f>
        <v>9.84</v>
      </c>
      <c r="K274" s="50">
        <f>Source!P165</f>
        <v>25959.59</v>
      </c>
      <c r="Q274">
        <f>Source!X164</f>
        <v>0</v>
      </c>
      <c r="R274">
        <f>Source!X165</f>
        <v>0</v>
      </c>
      <c r="S274">
        <f>Source!Y164</f>
        <v>0</v>
      </c>
      <c r="T274">
        <f>Source!Y165</f>
        <v>0</v>
      </c>
      <c r="U274">
        <f>ROUND((175/100)*ROUND(Source!R164, 2), 2)</f>
        <v>0</v>
      </c>
      <c r="V274">
        <f>ROUND((0/100)*ROUND(Source!R165, 2), 2)</f>
        <v>0</v>
      </c>
      <c r="AC274">
        <v>3</v>
      </c>
    </row>
    <row r="275" spans="1:29" ht="15" x14ac:dyDescent="0.2">
      <c r="C275" s="52" t="s">
        <v>760</v>
      </c>
      <c r="H275" s="53">
        <f>I274+0</f>
        <v>2638.17</v>
      </c>
      <c r="I275" s="53"/>
      <c r="J275" s="53">
        <f>K274+0</f>
        <v>25959.59</v>
      </c>
      <c r="K275" s="53"/>
      <c r="O275" s="56">
        <f>I274+0</f>
        <v>2638.17</v>
      </c>
      <c r="P275" s="56">
        <f>K274+0</f>
        <v>25959.59</v>
      </c>
    </row>
    <row r="278" spans="1:29" ht="15" x14ac:dyDescent="0.25">
      <c r="A278" s="71" t="str">
        <f>CONCATENATE("Итого по разделу: ",IF(Source!G167&lt;&gt;"Новый раздел", Source!G167, ""))</f>
        <v>Итого по разделу: Насосная установка.</v>
      </c>
      <c r="B278" s="71"/>
      <c r="C278" s="71"/>
      <c r="D278" s="71"/>
      <c r="E278" s="71"/>
      <c r="F278" s="71"/>
      <c r="G278" s="71"/>
      <c r="H278" s="55">
        <f>SUM(O31:O277)</f>
        <v>288446.08999999997</v>
      </c>
      <c r="I278" s="54"/>
      <c r="J278" s="55">
        <f>SUM(P31:P277)</f>
        <v>2861194.39</v>
      </c>
      <c r="K278" s="54"/>
    </row>
    <row r="279" spans="1:29" hidden="1" x14ac:dyDescent="0.2">
      <c r="A279" t="s">
        <v>764</v>
      </c>
      <c r="I279">
        <f>SUM(W31:W278)</f>
        <v>0</v>
      </c>
      <c r="J279">
        <f>SUM(X31:X278)</f>
        <v>0</v>
      </c>
    </row>
    <row r="280" spans="1:29" hidden="1" x14ac:dyDescent="0.2">
      <c r="A280" t="s">
        <v>765</v>
      </c>
      <c r="I280">
        <f>SUM(Y31:Y279)</f>
        <v>0</v>
      </c>
      <c r="J280">
        <f>SUM(Z31:Z279)</f>
        <v>0</v>
      </c>
    </row>
    <row r="282" spans="1:29" ht="16.5" x14ac:dyDescent="0.2">
      <c r="A282" s="39" t="str">
        <f>CONCATENATE("Раздел: ",IF(Source!G197&lt;&gt;"Новый раздел", Source!G197, ""))</f>
        <v>Раздел: Автоматическая установка водяного пожаротушения.</v>
      </c>
      <c r="B282" s="39"/>
      <c r="C282" s="39"/>
      <c r="D282" s="39"/>
      <c r="E282" s="39"/>
      <c r="F282" s="39"/>
      <c r="G282" s="39"/>
      <c r="H282" s="39"/>
      <c r="I282" s="39"/>
      <c r="J282" s="39"/>
      <c r="K282" s="39"/>
    </row>
    <row r="283" spans="1:29" ht="57" x14ac:dyDescent="0.2">
      <c r="A283" s="40">
        <v>28</v>
      </c>
      <c r="B283" s="40" t="str">
        <f>Source!F201</f>
        <v>4.12-35-14</v>
      </c>
      <c r="C283" s="40" t="s">
        <v>354</v>
      </c>
      <c r="D283" s="42" t="str">
        <f>Source!H201</f>
        <v>100 шт.</v>
      </c>
      <c r="E283" s="41">
        <f>Source!I201</f>
        <v>7.78</v>
      </c>
      <c r="F283" s="44"/>
      <c r="G283" s="43"/>
      <c r="H283" s="41"/>
      <c r="I283" s="44"/>
      <c r="J283" s="41"/>
      <c r="K283" s="44"/>
      <c r="Q283">
        <f>Source!X201</f>
        <v>5671.85</v>
      </c>
      <c r="R283">
        <f>Source!X202</f>
        <v>319608.46000000002</v>
      </c>
      <c r="S283">
        <f>Source!Y201</f>
        <v>2898.94</v>
      </c>
      <c r="T283">
        <f>Source!Y202</f>
        <v>163355.43</v>
      </c>
      <c r="U283">
        <f>ROUND((175/100)*ROUND(Source!R201, 2), 2)</f>
        <v>26.32</v>
      </c>
      <c r="V283">
        <f>ROUND((0/100)*ROUND(Source!R202, 2), 2)</f>
        <v>0</v>
      </c>
      <c r="AC283">
        <v>0</v>
      </c>
    </row>
    <row r="284" spans="1:29" x14ac:dyDescent="0.2">
      <c r="C284" s="70" t="str">
        <f>"Объем: "&amp;Source!I201&amp;"=(778)/"&amp;"100"</f>
        <v>Объем: 7,78=(778)/100</v>
      </c>
    </row>
    <row r="285" spans="1:29" ht="14.25" x14ac:dyDescent="0.2">
      <c r="A285" s="40"/>
      <c r="B285" s="40"/>
      <c r="C285" s="40" t="s">
        <v>747</v>
      </c>
      <c r="D285" s="42"/>
      <c r="E285" s="41"/>
      <c r="F285" s="44">
        <f>Source!AO201</f>
        <v>631.13</v>
      </c>
      <c r="G285" s="45" t="s">
        <v>110</v>
      </c>
      <c r="H285" s="41">
        <f>Source!AV202</f>
        <v>1.0669999999999999</v>
      </c>
      <c r="I285" s="44">
        <f>Source!S201</f>
        <v>6287.01</v>
      </c>
      <c r="J285" s="41">
        <f>IF(Source!BA202&lt;&gt; 0, Source!BA202, 1)</f>
        <v>56.35</v>
      </c>
      <c r="K285" s="44">
        <f>Source!S202</f>
        <v>354273.01</v>
      </c>
    </row>
    <row r="286" spans="1:29" ht="14.25" x14ac:dyDescent="0.2">
      <c r="A286" s="40"/>
      <c r="B286" s="40"/>
      <c r="C286" s="40" t="s">
        <v>749</v>
      </c>
      <c r="D286" s="42"/>
      <c r="E286" s="41"/>
      <c r="F286" s="44">
        <f>Source!AM201</f>
        <v>10.130000000000001</v>
      </c>
      <c r="G286" s="45" t="s">
        <v>110</v>
      </c>
      <c r="H286" s="41">
        <f>Source!AV202</f>
        <v>1.0669999999999999</v>
      </c>
      <c r="I286" s="44">
        <f>Source!Q201</f>
        <v>100.91</v>
      </c>
      <c r="J286" s="41">
        <f>IF(Source!BB202&lt;&gt; 0, Source!BB202, 1)</f>
        <v>16.95</v>
      </c>
      <c r="K286" s="44">
        <f>Source!Q202</f>
        <v>1710.42</v>
      </c>
    </row>
    <row r="287" spans="1:29" ht="14.25" x14ac:dyDescent="0.2">
      <c r="A287" s="40"/>
      <c r="B287" s="40"/>
      <c r="C287" s="40" t="s">
        <v>751</v>
      </c>
      <c r="D287" s="42"/>
      <c r="E287" s="41"/>
      <c r="F287" s="44">
        <f>Source!AN201</f>
        <v>1.51</v>
      </c>
      <c r="G287" s="45" t="s">
        <v>110</v>
      </c>
      <c r="H287" s="41">
        <f>Source!AV202</f>
        <v>1.0669999999999999</v>
      </c>
      <c r="I287" s="46">
        <f>Source!R201</f>
        <v>15.04</v>
      </c>
      <c r="J287" s="41">
        <f>IF(Source!BS202&lt;&gt; 0, Source!BS202, 1)</f>
        <v>56.35</v>
      </c>
      <c r="K287" s="46">
        <f>Source!R202</f>
        <v>847.5</v>
      </c>
    </row>
    <row r="288" spans="1:29" ht="14.25" x14ac:dyDescent="0.2">
      <c r="A288" s="40"/>
      <c r="B288" s="40"/>
      <c r="C288" s="40" t="s">
        <v>752</v>
      </c>
      <c r="D288" s="42"/>
      <c r="E288" s="41"/>
      <c r="F288" s="44">
        <f>Source!AL201</f>
        <v>2794.24</v>
      </c>
      <c r="G288" s="45" t="s">
        <v>3</v>
      </c>
      <c r="H288" s="41">
        <f>Source!AW202</f>
        <v>1.028</v>
      </c>
      <c r="I288" s="44">
        <f>Source!P201</f>
        <v>22347.88</v>
      </c>
      <c r="J288" s="41">
        <f>IF(Source!BC202&lt;&gt; 0, Source!BC202, 1)</f>
        <v>9.69</v>
      </c>
      <c r="K288" s="44">
        <f>Source!P202</f>
        <v>216550.96</v>
      </c>
    </row>
    <row r="289" spans="1:29" ht="85.5" x14ac:dyDescent="0.2">
      <c r="A289" s="40" t="s">
        <v>356</v>
      </c>
      <c r="B289" s="40" t="str">
        <f>Source!F203</f>
        <v>1.17-7-51</v>
      </c>
      <c r="C289" s="40" t="s">
        <v>358</v>
      </c>
      <c r="D289" s="42" t="str">
        <f>Source!H203</f>
        <v>шт.</v>
      </c>
      <c r="E289" s="41">
        <f>Source!I203</f>
        <v>778</v>
      </c>
      <c r="F289" s="44">
        <f>Source!AK203</f>
        <v>38.21</v>
      </c>
      <c r="G289" s="45" t="s">
        <v>3</v>
      </c>
      <c r="H289" s="41">
        <f>Source!AW204</f>
        <v>1</v>
      </c>
      <c r="I289" s="44">
        <f>Source!O203</f>
        <v>29727.38</v>
      </c>
      <c r="J289" s="41">
        <f>IF(Source!BC204&lt;&gt; 0, Source!BC204, 1)</f>
        <v>24.6</v>
      </c>
      <c r="K289" s="44">
        <f>Source!O204</f>
        <v>731293.55</v>
      </c>
      <c r="Q289">
        <f>Source!X203</f>
        <v>0</v>
      </c>
      <c r="R289">
        <f>Source!X204</f>
        <v>0</v>
      </c>
      <c r="S289">
        <f>Source!Y203</f>
        <v>0</v>
      </c>
      <c r="T289">
        <f>Source!Y204</f>
        <v>0</v>
      </c>
      <c r="U289">
        <f>ROUND((175/100)*ROUND(Source!R203, 2), 2)</f>
        <v>0</v>
      </c>
      <c r="V289">
        <f>ROUND((0/100)*ROUND(Source!R204, 2), 2)</f>
        <v>0</v>
      </c>
      <c r="AC289">
        <v>3</v>
      </c>
    </row>
    <row r="290" spans="1:29" ht="14.25" x14ac:dyDescent="0.2">
      <c r="A290" s="40"/>
      <c r="B290" s="40"/>
      <c r="C290" s="40" t="s">
        <v>753</v>
      </c>
      <c r="D290" s="42" t="s">
        <v>754</v>
      </c>
      <c r="E290" s="41">
        <f>Source!BZ202</f>
        <v>90</v>
      </c>
      <c r="F290" s="44"/>
      <c r="G290" s="43"/>
      <c r="H290" s="41"/>
      <c r="I290" s="44">
        <f>SUM(Q283:Q289)</f>
        <v>5671.85</v>
      </c>
      <c r="J290" s="41">
        <f>Source!AT202</f>
        <v>90</v>
      </c>
      <c r="K290" s="44">
        <f>SUM(R283:R289)</f>
        <v>319608.46000000002</v>
      </c>
    </row>
    <row r="291" spans="1:29" ht="14.25" x14ac:dyDescent="0.2">
      <c r="A291" s="40"/>
      <c r="B291" s="40"/>
      <c r="C291" s="40" t="s">
        <v>755</v>
      </c>
      <c r="D291" s="42" t="s">
        <v>754</v>
      </c>
      <c r="E291" s="41">
        <f>Source!CA202</f>
        <v>46</v>
      </c>
      <c r="F291" s="44"/>
      <c r="G291" s="43"/>
      <c r="H291" s="41"/>
      <c r="I291" s="44">
        <f>SUM(S283:S290)</f>
        <v>2898.94</v>
      </c>
      <c r="J291" s="41">
        <f>Source!AU202</f>
        <v>46</v>
      </c>
      <c r="K291" s="44">
        <f>SUM(T283:T290)</f>
        <v>163355.43</v>
      </c>
    </row>
    <row r="292" spans="1:29" ht="14.25" x14ac:dyDescent="0.2">
      <c r="A292" s="47"/>
      <c r="B292" s="47"/>
      <c r="C292" s="47" t="s">
        <v>756</v>
      </c>
      <c r="D292" s="48" t="s">
        <v>757</v>
      </c>
      <c r="E292" s="49">
        <f>Source!AQ201</f>
        <v>55.11</v>
      </c>
      <c r="F292" s="50"/>
      <c r="G292" s="51" t="s">
        <v>110</v>
      </c>
      <c r="H292" s="49">
        <f>Source!AV202</f>
        <v>1.0669999999999999</v>
      </c>
      <c r="I292" s="50">
        <f>Source!U201</f>
        <v>548.97892631999991</v>
      </c>
      <c r="J292" s="49"/>
      <c r="K292" s="50"/>
    </row>
    <row r="293" spans="1:29" ht="15" x14ac:dyDescent="0.2">
      <c r="C293" s="52" t="s">
        <v>758</v>
      </c>
      <c r="H293" s="53">
        <f>I285+I286+I288+I290+I291+SUM(I289:I289)-SUMIF(AC289:AC289, 5, I289:I289)-SUMIF(AC289:AC289, 6, I289:I289)</f>
        <v>67033.97</v>
      </c>
      <c r="I293" s="53"/>
      <c r="J293" s="53">
        <f>K285+K286+K288+K290+K291+SUM(K289:K289)-SUMIF(AC289:AC289, 5, K289:K289)-SUMIF(AC289:AC289, 6, K289:K289)</f>
        <v>1786791.83</v>
      </c>
      <c r="K293" s="53"/>
    </row>
    <row r="294" spans="1:29" ht="15" hidden="1" x14ac:dyDescent="0.2">
      <c r="C294" s="52" t="s">
        <v>759</v>
      </c>
      <c r="H294" s="55">
        <f>SUMIF(AC289:AC289, 5, I289:I289)+SUMIF(AC289:AC289, 6, I289:I289)</f>
        <v>0</v>
      </c>
      <c r="I294" s="55"/>
      <c r="J294" s="55">
        <f>SUMIF(AC289:AC289, 5, K289:K289)+SUMIF(AC289:AC289, 6, K289:K289)</f>
        <v>0</v>
      </c>
      <c r="K294" s="55"/>
    </row>
    <row r="295" spans="1:29" ht="15" x14ac:dyDescent="0.2">
      <c r="C295" s="52" t="s">
        <v>760</v>
      </c>
      <c r="H295" s="55">
        <f>I285+I286+I288+I290+I291+SUM(I289:I289)</f>
        <v>67033.97</v>
      </c>
      <c r="I295" s="55"/>
      <c r="J295" s="55">
        <f>K285+K286+K288+K290+K291+SUM(K289:K289)</f>
        <v>1786791.83</v>
      </c>
      <c r="K295" s="55"/>
      <c r="O295" s="56">
        <f>I285+I286+I288+I290+I291+SUM(I289:I289)</f>
        <v>67033.97</v>
      </c>
      <c r="P295" s="56">
        <f>K285+K286+K288+K290+K291+SUM(K289:K289)</f>
        <v>1786791.83</v>
      </c>
    </row>
    <row r="297" spans="1:29" ht="28.5" x14ac:dyDescent="0.2">
      <c r="A297" s="47">
        <v>29</v>
      </c>
      <c r="B297" s="47" t="str">
        <f>Source!F205</f>
        <v>1.12-10-126</v>
      </c>
      <c r="C297" s="47" t="s">
        <v>362</v>
      </c>
      <c r="D297" s="48" t="str">
        <f>Source!H205</f>
        <v>шт.</v>
      </c>
      <c r="E297" s="49">
        <f>Source!I205</f>
        <v>778</v>
      </c>
      <c r="F297" s="50">
        <f>Source!AL205</f>
        <v>31.64</v>
      </c>
      <c r="G297" s="51" t="s">
        <v>3</v>
      </c>
      <c r="H297" s="49">
        <f>Source!AW206</f>
        <v>1</v>
      </c>
      <c r="I297" s="50">
        <f>Source!P205</f>
        <v>24615.919999999998</v>
      </c>
      <c r="J297" s="49">
        <f>IF(Source!BC206&lt;&gt; 0, Source!BC206, 1)</f>
        <v>6.45</v>
      </c>
      <c r="K297" s="50">
        <f>Source!P206</f>
        <v>158772.68</v>
      </c>
      <c r="Q297">
        <f>Source!X205</f>
        <v>0</v>
      </c>
      <c r="R297">
        <f>Source!X206</f>
        <v>0</v>
      </c>
      <c r="S297">
        <f>Source!Y205</f>
        <v>0</v>
      </c>
      <c r="T297">
        <f>Source!Y206</f>
        <v>0</v>
      </c>
      <c r="U297">
        <f>ROUND((175/100)*ROUND(Source!R205, 2), 2)</f>
        <v>0</v>
      </c>
      <c r="V297">
        <f>ROUND((0/100)*ROUND(Source!R206, 2), 2)</f>
        <v>0</v>
      </c>
      <c r="AC297">
        <v>3</v>
      </c>
    </row>
    <row r="298" spans="1:29" ht="15" x14ac:dyDescent="0.2">
      <c r="C298" s="52" t="s">
        <v>760</v>
      </c>
      <c r="H298" s="53">
        <f>I297+0</f>
        <v>24615.919999999998</v>
      </c>
      <c r="I298" s="53"/>
      <c r="J298" s="53">
        <f>K297+0</f>
        <v>158772.68</v>
      </c>
      <c r="K298" s="53"/>
      <c r="O298" s="56">
        <f>I297+0</f>
        <v>24615.919999999998</v>
      </c>
      <c r="P298" s="56">
        <f>K297+0</f>
        <v>158772.68</v>
      </c>
    </row>
    <row r="300" spans="1:29" ht="57" x14ac:dyDescent="0.2">
      <c r="A300" s="40">
        <v>30</v>
      </c>
      <c r="B300" s="40" t="str">
        <f>Source!F207</f>
        <v>4.12-56-7</v>
      </c>
      <c r="C300" s="40" t="s">
        <v>366</v>
      </c>
      <c r="D300" s="42" t="str">
        <f>Source!H207</f>
        <v>1  ШТ.</v>
      </c>
      <c r="E300" s="41">
        <f>Source!I207</f>
        <v>12</v>
      </c>
      <c r="F300" s="44"/>
      <c r="G300" s="43"/>
      <c r="H300" s="41"/>
      <c r="I300" s="44"/>
      <c r="J300" s="41"/>
      <c r="K300" s="44"/>
      <c r="Q300">
        <f>Source!X207</f>
        <v>1204.17</v>
      </c>
      <c r="R300">
        <f>Source!X208</f>
        <v>67855.149999999994</v>
      </c>
      <c r="S300">
        <f>Source!Y207</f>
        <v>615.47</v>
      </c>
      <c r="T300">
        <f>Source!Y208</f>
        <v>34681.519999999997</v>
      </c>
      <c r="U300">
        <f>ROUND((175/100)*ROUND(Source!R207, 2), 2)</f>
        <v>0</v>
      </c>
      <c r="V300">
        <f>ROUND((0/100)*ROUND(Source!R208, 2), 2)</f>
        <v>0</v>
      </c>
      <c r="AC300">
        <v>0</v>
      </c>
    </row>
    <row r="301" spans="1:29" ht="14.25" x14ac:dyDescent="0.2">
      <c r="A301" s="40"/>
      <c r="B301" s="40"/>
      <c r="C301" s="40" t="s">
        <v>747</v>
      </c>
      <c r="D301" s="42"/>
      <c r="E301" s="41"/>
      <c r="F301" s="44">
        <f>Source!AO207</f>
        <v>87.08</v>
      </c>
      <c r="G301" s="45" t="s">
        <v>110</v>
      </c>
      <c r="H301" s="41">
        <f>Source!AV208</f>
        <v>1.0669999999999999</v>
      </c>
      <c r="I301" s="44">
        <f>Source!S207</f>
        <v>1337.97</v>
      </c>
      <c r="J301" s="41">
        <f>IF(Source!BA208&lt;&gt; 0, Source!BA208, 1)</f>
        <v>56.35</v>
      </c>
      <c r="K301" s="44">
        <f>Source!S208</f>
        <v>75394.61</v>
      </c>
    </row>
    <row r="302" spans="1:29" ht="14.25" x14ac:dyDescent="0.2">
      <c r="A302" s="40"/>
      <c r="B302" s="40"/>
      <c r="C302" s="40" t="s">
        <v>749</v>
      </c>
      <c r="D302" s="42"/>
      <c r="E302" s="41"/>
      <c r="F302" s="44">
        <f>Source!AM207</f>
        <v>4.2699999999999996</v>
      </c>
      <c r="G302" s="45" t="s">
        <v>110</v>
      </c>
      <c r="H302" s="41">
        <f>Source!AV208</f>
        <v>1.0669999999999999</v>
      </c>
      <c r="I302" s="44">
        <f>Source!Q207</f>
        <v>65.61</v>
      </c>
      <c r="J302" s="41">
        <f>IF(Source!BB208&lt;&gt; 0, Source!BB208, 1)</f>
        <v>13.45</v>
      </c>
      <c r="K302" s="44">
        <f>Source!Q208</f>
        <v>882.45</v>
      </c>
    </row>
    <row r="303" spans="1:29" ht="14.25" x14ac:dyDescent="0.2">
      <c r="A303" s="40"/>
      <c r="B303" s="40"/>
      <c r="C303" s="40" t="s">
        <v>752</v>
      </c>
      <c r="D303" s="42"/>
      <c r="E303" s="41"/>
      <c r="F303" s="44">
        <f>Source!AL207</f>
        <v>3.59</v>
      </c>
      <c r="G303" s="45" t="s">
        <v>3</v>
      </c>
      <c r="H303" s="41">
        <f>Source!AW208</f>
        <v>1.028</v>
      </c>
      <c r="I303" s="44">
        <f>Source!P207</f>
        <v>44.29</v>
      </c>
      <c r="J303" s="41">
        <f>IF(Source!BC208&lt;&gt; 0, Source!BC208, 1)</f>
        <v>10.32</v>
      </c>
      <c r="K303" s="44">
        <f>Source!P208</f>
        <v>457.07</v>
      </c>
    </row>
    <row r="304" spans="1:29" ht="85.5" x14ac:dyDescent="0.2">
      <c r="A304" s="40" t="s">
        <v>368</v>
      </c>
      <c r="B304" s="40" t="str">
        <f>Source!F209</f>
        <v>1.13-4-66</v>
      </c>
      <c r="C304" s="40" t="s">
        <v>370</v>
      </c>
      <c r="D304" s="42" t="str">
        <f>Source!H209</f>
        <v>шт.</v>
      </c>
      <c r="E304" s="41">
        <f>Source!I209</f>
        <v>12</v>
      </c>
      <c r="F304" s="44">
        <f>Source!AK209</f>
        <v>254.98</v>
      </c>
      <c r="G304" s="45" t="s">
        <v>3</v>
      </c>
      <c r="H304" s="41">
        <f>Source!AW210</f>
        <v>1</v>
      </c>
      <c r="I304" s="44">
        <f>Source!O209</f>
        <v>3059.76</v>
      </c>
      <c r="J304" s="41">
        <f>IF(Source!BC210&lt;&gt; 0, Source!BC210, 1)</f>
        <v>20.18</v>
      </c>
      <c r="K304" s="44">
        <f>Source!O210</f>
        <v>61745.96</v>
      </c>
      <c r="Q304">
        <f>Source!X209</f>
        <v>0</v>
      </c>
      <c r="R304">
        <f>Source!X210</f>
        <v>0</v>
      </c>
      <c r="S304">
        <f>Source!Y209</f>
        <v>0</v>
      </c>
      <c r="T304">
        <f>Source!Y210</f>
        <v>0</v>
      </c>
      <c r="U304">
        <f>ROUND((175/100)*ROUND(Source!R209, 2), 2)</f>
        <v>0</v>
      </c>
      <c r="V304">
        <f>ROUND((0/100)*ROUND(Source!R210, 2), 2)</f>
        <v>0</v>
      </c>
      <c r="AC304">
        <v>3</v>
      </c>
    </row>
    <row r="305" spans="1:29" ht="57" x14ac:dyDescent="0.2">
      <c r="A305" s="40" t="s">
        <v>372</v>
      </c>
      <c r="B305" s="40" t="str">
        <f>Source!F211</f>
        <v>1.17-7-44</v>
      </c>
      <c r="C305" s="40" t="s">
        <v>374</v>
      </c>
      <c r="D305" s="42" t="str">
        <f>Source!H211</f>
        <v>шт.</v>
      </c>
      <c r="E305" s="41">
        <f>Source!I211</f>
        <v>12</v>
      </c>
      <c r="F305" s="44">
        <f>Source!AK211</f>
        <v>24.84</v>
      </c>
      <c r="G305" s="45" t="s">
        <v>3</v>
      </c>
      <c r="H305" s="41">
        <f>Source!AW212</f>
        <v>1</v>
      </c>
      <c r="I305" s="44">
        <f>Source!O211</f>
        <v>298.08</v>
      </c>
      <c r="J305" s="41">
        <f>IF(Source!BC212&lt;&gt; 0, Source!BC212, 1)</f>
        <v>3.14</v>
      </c>
      <c r="K305" s="44">
        <f>Source!O212</f>
        <v>935.97</v>
      </c>
      <c r="Q305">
        <f>Source!X211</f>
        <v>0</v>
      </c>
      <c r="R305">
        <f>Source!X212</f>
        <v>0</v>
      </c>
      <c r="S305">
        <f>Source!Y211</f>
        <v>0</v>
      </c>
      <c r="T305">
        <f>Source!Y212</f>
        <v>0</v>
      </c>
      <c r="U305">
        <f>ROUND((175/100)*ROUND(Source!R211, 2), 2)</f>
        <v>0</v>
      </c>
      <c r="V305">
        <f>ROUND((0/100)*ROUND(Source!R212, 2), 2)</f>
        <v>0</v>
      </c>
      <c r="AC305">
        <v>3</v>
      </c>
    </row>
    <row r="306" spans="1:29" ht="14.25" x14ac:dyDescent="0.2">
      <c r="A306" s="40"/>
      <c r="B306" s="40"/>
      <c r="C306" s="40" t="s">
        <v>753</v>
      </c>
      <c r="D306" s="42" t="s">
        <v>754</v>
      </c>
      <c r="E306" s="41">
        <f>Source!BZ208</f>
        <v>90</v>
      </c>
      <c r="F306" s="44"/>
      <c r="G306" s="43"/>
      <c r="H306" s="41"/>
      <c r="I306" s="44">
        <f>SUM(Q300:Q305)</f>
        <v>1204.17</v>
      </c>
      <c r="J306" s="41">
        <f>Source!AT208</f>
        <v>90</v>
      </c>
      <c r="K306" s="44">
        <f>SUM(R300:R305)</f>
        <v>67855.149999999994</v>
      </c>
    </row>
    <row r="307" spans="1:29" ht="14.25" x14ac:dyDescent="0.2">
      <c r="A307" s="40"/>
      <c r="B307" s="40"/>
      <c r="C307" s="40" t="s">
        <v>755</v>
      </c>
      <c r="D307" s="42" t="s">
        <v>754</v>
      </c>
      <c r="E307" s="41">
        <f>Source!CA208</f>
        <v>46</v>
      </c>
      <c r="F307" s="44"/>
      <c r="G307" s="43"/>
      <c r="H307" s="41"/>
      <c r="I307" s="44">
        <f>SUM(S300:S306)</f>
        <v>615.47</v>
      </c>
      <c r="J307" s="41">
        <f>Source!AU208</f>
        <v>46</v>
      </c>
      <c r="K307" s="44">
        <f>SUM(T300:T306)</f>
        <v>34681.519999999997</v>
      </c>
    </row>
    <row r="308" spans="1:29" ht="14.25" x14ac:dyDescent="0.2">
      <c r="A308" s="47"/>
      <c r="B308" s="47"/>
      <c r="C308" s="47" t="s">
        <v>756</v>
      </c>
      <c r="D308" s="48" t="s">
        <v>757</v>
      </c>
      <c r="E308" s="49">
        <f>Source!AQ207</f>
        <v>6.9</v>
      </c>
      <c r="F308" s="50"/>
      <c r="G308" s="51" t="s">
        <v>110</v>
      </c>
      <c r="H308" s="49">
        <f>Source!AV208</f>
        <v>1.0669999999999999</v>
      </c>
      <c r="I308" s="50">
        <f>Source!U207</f>
        <v>106.01711999999999</v>
      </c>
      <c r="J308" s="49"/>
      <c r="K308" s="50"/>
    </row>
    <row r="309" spans="1:29" ht="15" x14ac:dyDescent="0.2">
      <c r="C309" s="52" t="s">
        <v>758</v>
      </c>
      <c r="H309" s="53">
        <f>I301+I302+I303+I306+I307+SUM(I304:I305)-SUMIF(AC304:AC305, 5, I304:I305)-SUMIF(AC304:AC305, 6, I304:I305)</f>
        <v>6625.35</v>
      </c>
      <c r="I309" s="53"/>
      <c r="J309" s="53">
        <f>K301+K302+K303+K306+K307+SUM(K304:K305)-SUMIF(AC304:AC305, 5, K304:K305)-SUMIF(AC304:AC305, 6, K304:K305)</f>
        <v>241952.72999999998</v>
      </c>
      <c r="K309" s="53"/>
    </row>
    <row r="310" spans="1:29" ht="15" hidden="1" x14ac:dyDescent="0.2">
      <c r="C310" s="52" t="s">
        <v>759</v>
      </c>
      <c r="H310" s="55">
        <f>SUMIF(AC304:AC305, 5, I304:I305)+SUMIF(AC304:AC305, 6, I304:I305)</f>
        <v>0</v>
      </c>
      <c r="I310" s="55"/>
      <c r="J310" s="55">
        <f>SUMIF(AC304:AC305, 5, K304:K305)+SUMIF(AC304:AC305, 6, K304:K305)</f>
        <v>0</v>
      </c>
      <c r="K310" s="55"/>
    </row>
    <row r="311" spans="1:29" ht="15" x14ac:dyDescent="0.2">
      <c r="C311" s="52" t="s">
        <v>760</v>
      </c>
      <c r="H311" s="55">
        <f>I301+I302+I303+I306+I307+SUM(I304:I305)</f>
        <v>6625.35</v>
      </c>
      <c r="I311" s="55"/>
      <c r="J311" s="55">
        <f>K301+K302+K303+K306+K307+SUM(K304:K305)</f>
        <v>241952.72999999998</v>
      </c>
      <c r="K311" s="55"/>
      <c r="O311" s="56">
        <f>I301+I302+I303+I306+I307+SUM(I304:I305)</f>
        <v>6625.35</v>
      </c>
      <c r="P311" s="56">
        <f>K301+K302+K303+K306+K307+SUM(K304:K305)</f>
        <v>241952.72999999998</v>
      </c>
    </row>
    <row r="313" spans="1:29" ht="14.25" x14ac:dyDescent="0.2">
      <c r="A313" s="40">
        <v>31</v>
      </c>
      <c r="B313" s="40" t="str">
        <f>Source!F217</f>
        <v>3.18-21-1</v>
      </c>
      <c r="C313" s="40" t="s">
        <v>385</v>
      </c>
      <c r="D313" s="42" t="str">
        <f>Source!H217</f>
        <v>1  ШТ.</v>
      </c>
      <c r="E313" s="41">
        <f>Source!I217</f>
        <v>12</v>
      </c>
      <c r="F313" s="44"/>
      <c r="G313" s="43"/>
      <c r="H313" s="41"/>
      <c r="I313" s="44"/>
      <c r="J313" s="41"/>
      <c r="K313" s="44"/>
      <c r="Q313">
        <f>Source!X217</f>
        <v>444.61</v>
      </c>
      <c r="R313">
        <f>Source!X218</f>
        <v>25054.03</v>
      </c>
      <c r="S313">
        <f>Source!Y217</f>
        <v>264.56</v>
      </c>
      <c r="T313">
        <f>Source!Y218</f>
        <v>14908.18</v>
      </c>
      <c r="U313">
        <f>ROUND((175/100)*ROUND(Source!R217, 2), 2)</f>
        <v>36.979999999999997</v>
      </c>
      <c r="V313">
        <f>ROUND((0/100)*ROUND(Source!R218, 2), 2)</f>
        <v>0</v>
      </c>
      <c r="AC313">
        <v>0</v>
      </c>
    </row>
    <row r="314" spans="1:29" ht="14.25" x14ac:dyDescent="0.2">
      <c r="A314" s="40"/>
      <c r="B314" s="40"/>
      <c r="C314" s="40" t="s">
        <v>747</v>
      </c>
      <c r="D314" s="42"/>
      <c r="E314" s="41"/>
      <c r="F314" s="44">
        <f>Source!AO217</f>
        <v>19.600000000000001</v>
      </c>
      <c r="G314" s="45" t="s">
        <v>766</v>
      </c>
      <c r="H314" s="41">
        <f>Source!AV218</f>
        <v>1.0669999999999999</v>
      </c>
      <c r="I314" s="44">
        <f>Source!S217</f>
        <v>346.32</v>
      </c>
      <c r="J314" s="41">
        <f>IF(Source!BA218&lt;&gt; 0, Source!BA218, 1)</f>
        <v>56.35</v>
      </c>
      <c r="K314" s="44">
        <f>Source!S218</f>
        <v>19515.13</v>
      </c>
    </row>
    <row r="315" spans="1:29" ht="14.25" x14ac:dyDescent="0.2">
      <c r="A315" s="40"/>
      <c r="B315" s="40"/>
      <c r="C315" s="40" t="s">
        <v>749</v>
      </c>
      <c r="D315" s="42"/>
      <c r="E315" s="41"/>
      <c r="F315" s="44">
        <f>Source!AM217</f>
        <v>8.57</v>
      </c>
      <c r="G315" s="45" t="s">
        <v>767</v>
      </c>
      <c r="H315" s="41">
        <f>Source!AV218</f>
        <v>1.0669999999999999</v>
      </c>
      <c r="I315" s="44">
        <f>Source!Q217</f>
        <v>164.6</v>
      </c>
      <c r="J315" s="41">
        <f>IF(Source!BB218&lt;&gt; 0, Source!BB218, 1)</f>
        <v>15.96</v>
      </c>
      <c r="K315" s="44">
        <f>Source!Q218</f>
        <v>2627.02</v>
      </c>
    </row>
    <row r="316" spans="1:29" ht="14.25" x14ac:dyDescent="0.2">
      <c r="A316" s="40"/>
      <c r="B316" s="40"/>
      <c r="C316" s="40" t="s">
        <v>751</v>
      </c>
      <c r="D316" s="42"/>
      <c r="E316" s="41"/>
      <c r="F316" s="44">
        <f>Source!AN217</f>
        <v>1.1000000000000001</v>
      </c>
      <c r="G316" s="45" t="s">
        <v>767</v>
      </c>
      <c r="H316" s="41">
        <f>Source!AV218</f>
        <v>1.0669999999999999</v>
      </c>
      <c r="I316" s="46">
        <f>Source!R217</f>
        <v>21.13</v>
      </c>
      <c r="J316" s="41">
        <f>IF(Source!BS218&lt;&gt; 0, Source!BS218, 1)</f>
        <v>56.35</v>
      </c>
      <c r="K316" s="46">
        <f>Source!R218</f>
        <v>1190.68</v>
      </c>
    </row>
    <row r="317" spans="1:29" ht="14.25" x14ac:dyDescent="0.2">
      <c r="A317" s="40"/>
      <c r="B317" s="40"/>
      <c r="C317" s="40" t="s">
        <v>752</v>
      </c>
      <c r="D317" s="42"/>
      <c r="E317" s="41"/>
      <c r="F317" s="44">
        <f>Source!AL217</f>
        <v>3.61</v>
      </c>
      <c r="G317" s="45" t="s">
        <v>3</v>
      </c>
      <c r="H317" s="41">
        <f>Source!AW218</f>
        <v>1</v>
      </c>
      <c r="I317" s="44">
        <f>Source!P217</f>
        <v>43.32</v>
      </c>
      <c r="J317" s="41">
        <f>IF(Source!BC218&lt;&gt; 0, Source!BC218, 1)</f>
        <v>6.55</v>
      </c>
      <c r="K317" s="44">
        <f>Source!P218</f>
        <v>283.75</v>
      </c>
    </row>
    <row r="318" spans="1:29" ht="85.5" x14ac:dyDescent="0.2">
      <c r="A318" s="40" t="s">
        <v>387</v>
      </c>
      <c r="B318" s="40" t="str">
        <f>Source!F219</f>
        <v>1.18-6-143</v>
      </c>
      <c r="C318" s="40" t="s">
        <v>389</v>
      </c>
      <c r="D318" s="42" t="str">
        <f>Source!H219</f>
        <v>шт.</v>
      </c>
      <c r="E318" s="41">
        <f>Source!I219</f>
        <v>12</v>
      </c>
      <c r="F318" s="44">
        <f>Source!AK219</f>
        <v>132.38</v>
      </c>
      <c r="G318" s="45" t="s">
        <v>3</v>
      </c>
      <c r="H318" s="41">
        <f>Source!AW220</f>
        <v>1</v>
      </c>
      <c r="I318" s="44">
        <f>Source!O219</f>
        <v>1588.56</v>
      </c>
      <c r="J318" s="41">
        <f>IF(Source!BC220&lt;&gt; 0, Source!BC220, 1)</f>
        <v>6.32</v>
      </c>
      <c r="K318" s="44">
        <f>Source!O220</f>
        <v>10039.700000000001</v>
      </c>
      <c r="Q318">
        <f>Source!X219</f>
        <v>0</v>
      </c>
      <c r="R318">
        <f>Source!X220</f>
        <v>0</v>
      </c>
      <c r="S318">
        <f>Source!Y219</f>
        <v>0</v>
      </c>
      <c r="T318">
        <f>Source!Y220</f>
        <v>0</v>
      </c>
      <c r="U318">
        <f>ROUND((175/100)*ROUND(Source!R219, 2), 2)</f>
        <v>0</v>
      </c>
      <c r="V318">
        <f>ROUND((0/100)*ROUND(Source!R220, 2), 2)</f>
        <v>0</v>
      </c>
      <c r="AC318">
        <v>3</v>
      </c>
    </row>
    <row r="319" spans="1:29" ht="14.25" x14ac:dyDescent="0.2">
      <c r="A319" s="40"/>
      <c r="B319" s="40"/>
      <c r="C319" s="40" t="s">
        <v>753</v>
      </c>
      <c r="D319" s="42" t="s">
        <v>754</v>
      </c>
      <c r="E319" s="41">
        <f>Source!BZ218</f>
        <v>121</v>
      </c>
      <c r="F319" s="44"/>
      <c r="G319" s="43"/>
      <c r="H319" s="41"/>
      <c r="I319" s="44">
        <f>SUM(Q313:Q318)</f>
        <v>444.61</v>
      </c>
      <c r="J319" s="41">
        <f>Source!AT218</f>
        <v>121</v>
      </c>
      <c r="K319" s="44">
        <f>SUM(R313:R318)</f>
        <v>25054.03</v>
      </c>
    </row>
    <row r="320" spans="1:29" ht="14.25" x14ac:dyDescent="0.2">
      <c r="A320" s="40"/>
      <c r="B320" s="40"/>
      <c r="C320" s="40" t="s">
        <v>755</v>
      </c>
      <c r="D320" s="42" t="s">
        <v>754</v>
      </c>
      <c r="E320" s="41">
        <f>Source!CA218</f>
        <v>72</v>
      </c>
      <c r="F320" s="44"/>
      <c r="G320" s="43"/>
      <c r="H320" s="41"/>
      <c r="I320" s="44">
        <f>SUM(S313:S319)</f>
        <v>264.56</v>
      </c>
      <c r="J320" s="41">
        <f>Source!AU218</f>
        <v>72</v>
      </c>
      <c r="K320" s="44">
        <f>SUM(T313:T319)</f>
        <v>14908.18</v>
      </c>
    </row>
    <row r="321" spans="1:29" ht="14.25" x14ac:dyDescent="0.2">
      <c r="A321" s="47"/>
      <c r="B321" s="47"/>
      <c r="C321" s="47" t="s">
        <v>756</v>
      </c>
      <c r="D321" s="48" t="s">
        <v>757</v>
      </c>
      <c r="E321" s="49">
        <f>Source!AQ217</f>
        <v>1.59</v>
      </c>
      <c r="F321" s="50"/>
      <c r="G321" s="51" t="s">
        <v>766</v>
      </c>
      <c r="H321" s="49">
        <f>Source!AV218</f>
        <v>1.0669999999999999</v>
      </c>
      <c r="I321" s="50">
        <f>Source!U217</f>
        <v>28.094536799999997</v>
      </c>
      <c r="J321" s="49"/>
      <c r="K321" s="50"/>
    </row>
    <row r="322" spans="1:29" ht="15" x14ac:dyDescent="0.2">
      <c r="C322" s="52" t="s">
        <v>758</v>
      </c>
      <c r="H322" s="53">
        <f>I314+I315+I317+I319+I320+SUM(I318:I318)-SUMIF(AC318:AC318, 5, I318:I318)-SUMIF(AC318:AC318, 6, I318:I318)</f>
        <v>2851.9700000000003</v>
      </c>
      <c r="I322" s="53"/>
      <c r="J322" s="53">
        <f>K314+K315+K317+K319+K320+SUM(K318:K318)-SUMIF(AC318:AC318, 5, K318:K318)-SUMIF(AC318:AC318, 6, K318:K318)</f>
        <v>72427.81</v>
      </c>
      <c r="K322" s="53"/>
    </row>
    <row r="323" spans="1:29" ht="15" hidden="1" x14ac:dyDescent="0.2">
      <c r="C323" s="52" t="s">
        <v>759</v>
      </c>
      <c r="H323" s="55">
        <f>SUMIF(AC318:AC318, 5, I318:I318)+SUMIF(AC318:AC318, 6, I318:I318)</f>
        <v>0</v>
      </c>
      <c r="I323" s="55"/>
      <c r="J323" s="55">
        <f>SUMIF(AC318:AC318, 5, K318:K318)+SUMIF(AC318:AC318, 6, K318:K318)</f>
        <v>0</v>
      </c>
      <c r="K323" s="55"/>
    </row>
    <row r="324" spans="1:29" ht="15" x14ac:dyDescent="0.2">
      <c r="C324" s="52" t="s">
        <v>760</v>
      </c>
      <c r="H324" s="55">
        <f>I314+I315+I317+I319+I320+SUM(I318:I318)</f>
        <v>2851.9700000000003</v>
      </c>
      <c r="I324" s="55"/>
      <c r="J324" s="55">
        <f>K314+K315+K317+K319+K320+SUM(K318:K318)</f>
        <v>72427.81</v>
      </c>
      <c r="K324" s="55"/>
      <c r="O324" s="56">
        <f>I314+I315+I317+I319+I320+SUM(I318:I318)</f>
        <v>2851.9700000000003</v>
      </c>
      <c r="P324" s="56">
        <f>K314+K315+K317+K319+K320+SUM(K318:K318)</f>
        <v>72427.81</v>
      </c>
    </row>
    <row r="326" spans="1:29" ht="57" x14ac:dyDescent="0.2">
      <c r="A326" s="40">
        <v>32</v>
      </c>
      <c r="B326" s="40" t="str">
        <f>Source!F225</f>
        <v>4.12-56-2</v>
      </c>
      <c r="C326" s="40" t="s">
        <v>402</v>
      </c>
      <c r="D326" s="42" t="str">
        <f>Source!H225</f>
        <v>1  ШТ.</v>
      </c>
      <c r="E326" s="41">
        <f>Source!I225</f>
        <v>12</v>
      </c>
      <c r="F326" s="44"/>
      <c r="G326" s="43"/>
      <c r="H326" s="41"/>
      <c r="I326" s="44"/>
      <c r="J326" s="41"/>
      <c r="K326" s="44"/>
      <c r="Q326">
        <f>Source!X225</f>
        <v>837.72</v>
      </c>
      <c r="R326">
        <f>Source!X226</f>
        <v>47205.52</v>
      </c>
      <c r="S326">
        <f>Source!Y225</f>
        <v>428.17</v>
      </c>
      <c r="T326">
        <f>Source!Y226</f>
        <v>24127.27</v>
      </c>
      <c r="U326">
        <f>ROUND((175/100)*ROUND(Source!R225, 2), 2)</f>
        <v>0</v>
      </c>
      <c r="V326">
        <f>ROUND((0/100)*ROUND(Source!R226, 2), 2)</f>
        <v>0</v>
      </c>
      <c r="AC326">
        <v>0</v>
      </c>
    </row>
    <row r="327" spans="1:29" ht="14.25" x14ac:dyDescent="0.2">
      <c r="A327" s="40"/>
      <c r="B327" s="40"/>
      <c r="C327" s="40" t="s">
        <v>747</v>
      </c>
      <c r="D327" s="42"/>
      <c r="E327" s="41"/>
      <c r="F327" s="44">
        <f>Source!AO225</f>
        <v>60.58</v>
      </c>
      <c r="G327" s="45" t="s">
        <v>110</v>
      </c>
      <c r="H327" s="41">
        <f>Source!AV226</f>
        <v>1.0669999999999999</v>
      </c>
      <c r="I327" s="44">
        <f>Source!S225</f>
        <v>930.8</v>
      </c>
      <c r="J327" s="41">
        <f>IF(Source!BA226&lt;&gt; 0, Source!BA226, 1)</f>
        <v>56.35</v>
      </c>
      <c r="K327" s="44">
        <f>Source!S226</f>
        <v>52450.58</v>
      </c>
    </row>
    <row r="328" spans="1:29" ht="14.25" x14ac:dyDescent="0.2">
      <c r="A328" s="40"/>
      <c r="B328" s="40"/>
      <c r="C328" s="40" t="s">
        <v>749</v>
      </c>
      <c r="D328" s="42"/>
      <c r="E328" s="41"/>
      <c r="F328" s="44">
        <f>Source!AM225</f>
        <v>3.41</v>
      </c>
      <c r="G328" s="45" t="s">
        <v>110</v>
      </c>
      <c r="H328" s="41">
        <f>Source!AV226</f>
        <v>1.0669999999999999</v>
      </c>
      <c r="I328" s="44">
        <f>Source!Q225</f>
        <v>52.39</v>
      </c>
      <c r="J328" s="41">
        <f>IF(Source!BB226&lt;&gt; 0, Source!BB226, 1)</f>
        <v>13.47</v>
      </c>
      <c r="K328" s="44">
        <f>Source!Q226</f>
        <v>705.69</v>
      </c>
    </row>
    <row r="329" spans="1:29" ht="14.25" x14ac:dyDescent="0.2">
      <c r="A329" s="40"/>
      <c r="B329" s="40"/>
      <c r="C329" s="40" t="s">
        <v>752</v>
      </c>
      <c r="D329" s="42"/>
      <c r="E329" s="41"/>
      <c r="F329" s="44">
        <f>Source!AL225</f>
        <v>4.8</v>
      </c>
      <c r="G329" s="45" t="s">
        <v>3</v>
      </c>
      <c r="H329" s="41">
        <f>Source!AW226</f>
        <v>1.028</v>
      </c>
      <c r="I329" s="44">
        <f>Source!P225</f>
        <v>59.21</v>
      </c>
      <c r="J329" s="41">
        <f>IF(Source!BC226&lt;&gt; 0, Source!BC226, 1)</f>
        <v>5.67</v>
      </c>
      <c r="K329" s="44">
        <f>Source!P226</f>
        <v>335.72</v>
      </c>
    </row>
    <row r="330" spans="1:29" ht="14.25" x14ac:dyDescent="0.2">
      <c r="A330" s="40"/>
      <c r="B330" s="40"/>
      <c r="C330" s="40" t="s">
        <v>753</v>
      </c>
      <c r="D330" s="42" t="s">
        <v>754</v>
      </c>
      <c r="E330" s="41">
        <f>Source!BZ226</f>
        <v>90</v>
      </c>
      <c r="F330" s="44"/>
      <c r="G330" s="43"/>
      <c r="H330" s="41"/>
      <c r="I330" s="44">
        <f>SUM(Q326:Q329)</f>
        <v>837.72</v>
      </c>
      <c r="J330" s="41">
        <f>Source!AT226</f>
        <v>90</v>
      </c>
      <c r="K330" s="44">
        <f>SUM(R326:R329)</f>
        <v>47205.52</v>
      </c>
    </row>
    <row r="331" spans="1:29" ht="14.25" x14ac:dyDescent="0.2">
      <c r="A331" s="40"/>
      <c r="B331" s="40"/>
      <c r="C331" s="40" t="s">
        <v>755</v>
      </c>
      <c r="D331" s="42" t="s">
        <v>754</v>
      </c>
      <c r="E331" s="41">
        <f>Source!CA226</f>
        <v>46</v>
      </c>
      <c r="F331" s="44"/>
      <c r="G331" s="43"/>
      <c r="H331" s="41"/>
      <c r="I331" s="44">
        <f>SUM(S326:S330)</f>
        <v>428.17</v>
      </c>
      <c r="J331" s="41">
        <f>Source!AU226</f>
        <v>46</v>
      </c>
      <c r="K331" s="44">
        <f>SUM(T326:T330)</f>
        <v>24127.27</v>
      </c>
    </row>
    <row r="332" spans="1:29" ht="14.25" x14ac:dyDescent="0.2">
      <c r="A332" s="47"/>
      <c r="B332" s="47"/>
      <c r="C332" s="47" t="s">
        <v>756</v>
      </c>
      <c r="D332" s="48" t="s">
        <v>757</v>
      </c>
      <c r="E332" s="49">
        <f>Source!AQ225</f>
        <v>4.8</v>
      </c>
      <c r="F332" s="50"/>
      <c r="G332" s="51" t="s">
        <v>110</v>
      </c>
      <c r="H332" s="49">
        <f>Source!AV226</f>
        <v>1.0669999999999999</v>
      </c>
      <c r="I332" s="50">
        <f>Source!U225</f>
        <v>73.751039999999989</v>
      </c>
      <c r="J332" s="49"/>
      <c r="K332" s="50"/>
    </row>
    <row r="333" spans="1:29" ht="15" x14ac:dyDescent="0.2">
      <c r="C333" s="52" t="s">
        <v>758</v>
      </c>
      <c r="H333" s="53">
        <f>I327+I328+I329+I330+I331+0-0-0</f>
        <v>2308.29</v>
      </c>
      <c r="I333" s="53"/>
      <c r="J333" s="53">
        <f>K327+K328+K329+K330+K331+0-0-0</f>
        <v>124824.78000000001</v>
      </c>
      <c r="K333" s="53"/>
    </row>
    <row r="334" spans="1:29" ht="15" hidden="1" x14ac:dyDescent="0.2">
      <c r="C334" s="52" t="s">
        <v>759</v>
      </c>
      <c r="H334" s="55">
        <f>0+0</f>
        <v>0</v>
      </c>
      <c r="I334" s="55"/>
      <c r="J334" s="55">
        <f>0+0</f>
        <v>0</v>
      </c>
      <c r="K334" s="55"/>
    </row>
    <row r="335" spans="1:29" ht="15" x14ac:dyDescent="0.2">
      <c r="C335" s="52" t="s">
        <v>760</v>
      </c>
      <c r="H335" s="55">
        <f>I327+I328+I329+I330+I331+0</f>
        <v>2308.29</v>
      </c>
      <c r="I335" s="55"/>
      <c r="J335" s="55">
        <f>K327+K328+K329+K330+K331+0</f>
        <v>124824.78000000001</v>
      </c>
      <c r="K335" s="55"/>
      <c r="O335" s="56">
        <f>I327+I328+I329+I330+I331+0</f>
        <v>2308.29</v>
      </c>
      <c r="P335" s="56">
        <f>K327+K328+K329+K330+K331+0</f>
        <v>124824.78000000001</v>
      </c>
    </row>
    <row r="337" spans="1:29" ht="57" x14ac:dyDescent="0.2">
      <c r="A337" s="47">
        <v>33</v>
      </c>
      <c r="B337" s="47" t="str">
        <f>Source!F227</f>
        <v>1.13-3-33</v>
      </c>
      <c r="C337" s="47" t="s">
        <v>397</v>
      </c>
      <c r="D337" s="48" t="str">
        <f>Source!H227</f>
        <v>шт.</v>
      </c>
      <c r="E337" s="49">
        <f>Source!I227</f>
        <v>12</v>
      </c>
      <c r="F337" s="50">
        <f>Source!AL227</f>
        <v>54.24</v>
      </c>
      <c r="G337" s="51" t="s">
        <v>3</v>
      </c>
      <c r="H337" s="49">
        <f>Source!AW228</f>
        <v>1</v>
      </c>
      <c r="I337" s="50">
        <f>Source!P227</f>
        <v>650.88</v>
      </c>
      <c r="J337" s="49">
        <f>IF(Source!BC228&lt;&gt; 0, Source!BC228, 1)</f>
        <v>3.14</v>
      </c>
      <c r="K337" s="50">
        <f>Source!P228</f>
        <v>2043.76</v>
      </c>
      <c r="Q337">
        <f>Source!X227</f>
        <v>0</v>
      </c>
      <c r="R337">
        <f>Source!X228</f>
        <v>0</v>
      </c>
      <c r="S337">
        <f>Source!Y227</f>
        <v>0</v>
      </c>
      <c r="T337">
        <f>Source!Y228</f>
        <v>0</v>
      </c>
      <c r="U337">
        <f>ROUND((175/100)*ROUND(Source!R227, 2), 2)</f>
        <v>0</v>
      </c>
      <c r="V337">
        <f>ROUND((0/100)*ROUND(Source!R228, 2), 2)</f>
        <v>0</v>
      </c>
      <c r="AC337">
        <v>3</v>
      </c>
    </row>
    <row r="338" spans="1:29" ht="15" x14ac:dyDescent="0.2">
      <c r="C338" s="52" t="s">
        <v>760</v>
      </c>
      <c r="H338" s="53">
        <f>I337+0</f>
        <v>650.88</v>
      </c>
      <c r="I338" s="53"/>
      <c r="J338" s="53">
        <f>K337+0</f>
        <v>2043.76</v>
      </c>
      <c r="K338" s="53"/>
      <c r="O338" s="56">
        <f>I337+0</f>
        <v>650.88</v>
      </c>
      <c r="P338" s="56">
        <f>K337+0</f>
        <v>2043.76</v>
      </c>
    </row>
    <row r="340" spans="1:29" ht="85.5" x14ac:dyDescent="0.2">
      <c r="A340" s="40">
        <v>34</v>
      </c>
      <c r="B340" s="40" t="str">
        <f>Source!F233</f>
        <v>4.12-32-3</v>
      </c>
      <c r="C340" s="40" t="s">
        <v>196</v>
      </c>
      <c r="D340" s="42" t="str">
        <f>Source!H233</f>
        <v>100 м</v>
      </c>
      <c r="E340" s="41">
        <f>Source!I233</f>
        <v>5.9</v>
      </c>
      <c r="F340" s="44"/>
      <c r="G340" s="43"/>
      <c r="H340" s="41"/>
      <c r="I340" s="44"/>
      <c r="J340" s="41"/>
      <c r="K340" s="44"/>
      <c r="Q340">
        <f>Source!X233</f>
        <v>14591.58</v>
      </c>
      <c r="R340">
        <f>Source!X234</f>
        <v>822235.7</v>
      </c>
      <c r="S340">
        <f>Source!Y233</f>
        <v>7457.92</v>
      </c>
      <c r="T340">
        <f>Source!Y234</f>
        <v>420253.8</v>
      </c>
      <c r="U340">
        <f>ROUND((175/100)*ROUND(Source!R233, 2), 2)</f>
        <v>1845.27</v>
      </c>
      <c r="V340">
        <f>ROUND((0/100)*ROUND(Source!R234, 2), 2)</f>
        <v>0</v>
      </c>
      <c r="AC340">
        <v>0</v>
      </c>
    </row>
    <row r="341" spans="1:29" x14ac:dyDescent="0.2">
      <c r="C341" s="70" t="str">
        <f>"Объем: "&amp;Source!I233&amp;"=(590)/"&amp;"100"</f>
        <v>Объем: 5,9=(590)/100</v>
      </c>
    </row>
    <row r="342" spans="1:29" ht="14.25" x14ac:dyDescent="0.2">
      <c r="A342" s="40"/>
      <c r="B342" s="40"/>
      <c r="C342" s="40" t="s">
        <v>747</v>
      </c>
      <c r="D342" s="42"/>
      <c r="E342" s="41"/>
      <c r="F342" s="44">
        <f>Source!AO233</f>
        <v>2006.58</v>
      </c>
      <c r="G342" s="45" t="s">
        <v>110</v>
      </c>
      <c r="H342" s="41">
        <f>Source!AV234</f>
        <v>1.0669999999999999</v>
      </c>
      <c r="I342" s="44">
        <f>Source!S233</f>
        <v>15158.43</v>
      </c>
      <c r="J342" s="41">
        <f>IF(Source!BA234&lt;&gt; 0, Source!BA234, 1)</f>
        <v>56.35</v>
      </c>
      <c r="K342" s="44">
        <f>Source!S234</f>
        <v>854177.53</v>
      </c>
    </row>
    <row r="343" spans="1:29" ht="14.25" x14ac:dyDescent="0.2">
      <c r="A343" s="40"/>
      <c r="B343" s="40"/>
      <c r="C343" s="40" t="s">
        <v>749</v>
      </c>
      <c r="D343" s="42"/>
      <c r="E343" s="41"/>
      <c r="F343" s="44">
        <f>Source!AM233</f>
        <v>820.65</v>
      </c>
      <c r="G343" s="45" t="s">
        <v>110</v>
      </c>
      <c r="H343" s="41">
        <f>Source!AV234</f>
        <v>1.0669999999999999</v>
      </c>
      <c r="I343" s="44">
        <f>Source!Q233</f>
        <v>6199.49</v>
      </c>
      <c r="J343" s="41">
        <f>IF(Source!BB234&lt;&gt; 0, Source!BB234, 1)</f>
        <v>19.46</v>
      </c>
      <c r="K343" s="44">
        <f>Source!Q234</f>
        <v>120642.08</v>
      </c>
    </row>
    <row r="344" spans="1:29" ht="14.25" x14ac:dyDescent="0.2">
      <c r="A344" s="40"/>
      <c r="B344" s="40"/>
      <c r="C344" s="40" t="s">
        <v>751</v>
      </c>
      <c r="D344" s="42"/>
      <c r="E344" s="41"/>
      <c r="F344" s="44">
        <f>Source!AN233</f>
        <v>139.58000000000001</v>
      </c>
      <c r="G344" s="45" t="s">
        <v>110</v>
      </c>
      <c r="H344" s="41">
        <f>Source!AV234</f>
        <v>1.0669999999999999</v>
      </c>
      <c r="I344" s="46">
        <f>Source!R233</f>
        <v>1054.44</v>
      </c>
      <c r="J344" s="41">
        <f>IF(Source!BS234&lt;&gt; 0, Source!BS234, 1)</f>
        <v>56.35</v>
      </c>
      <c r="K344" s="46">
        <f>Source!R234</f>
        <v>59417.69</v>
      </c>
    </row>
    <row r="345" spans="1:29" ht="14.25" x14ac:dyDescent="0.2">
      <c r="A345" s="40"/>
      <c r="B345" s="40"/>
      <c r="C345" s="40" t="s">
        <v>752</v>
      </c>
      <c r="D345" s="42"/>
      <c r="E345" s="41"/>
      <c r="F345" s="44">
        <f>Source!AL233</f>
        <v>126.03</v>
      </c>
      <c r="G345" s="45" t="s">
        <v>3</v>
      </c>
      <c r="H345" s="41">
        <f>Source!AW234</f>
        <v>1.028</v>
      </c>
      <c r="I345" s="44">
        <f>Source!P233</f>
        <v>764.4</v>
      </c>
      <c r="J345" s="41">
        <f>IF(Source!BC234&lt;&gt; 0, Source!BC234, 1)</f>
        <v>10.26</v>
      </c>
      <c r="K345" s="44">
        <f>Source!P234</f>
        <v>7842.74</v>
      </c>
    </row>
    <row r="346" spans="1:29" ht="57" x14ac:dyDescent="0.2">
      <c r="A346" s="40" t="s">
        <v>406</v>
      </c>
      <c r="B346" s="40" t="str">
        <f>Source!F235</f>
        <v>1.12-6-31</v>
      </c>
      <c r="C346" s="40" t="s">
        <v>200</v>
      </c>
      <c r="D346" s="42" t="str">
        <f>Source!H235</f>
        <v>м</v>
      </c>
      <c r="E346" s="41">
        <f>Source!I235</f>
        <v>592.95000000000005</v>
      </c>
      <c r="F346" s="44">
        <f>Source!AK235</f>
        <v>80.59</v>
      </c>
      <c r="G346" s="45" t="s">
        <v>3</v>
      </c>
      <c r="H346" s="41">
        <f>Source!AW236</f>
        <v>1</v>
      </c>
      <c r="I346" s="44">
        <f>Source!O235</f>
        <v>47785.84</v>
      </c>
      <c r="J346" s="41">
        <f>IF(Source!BC236&lt;&gt; 0, Source!BC236, 1)</f>
        <v>4.59</v>
      </c>
      <c r="K346" s="44">
        <f>Source!O236</f>
        <v>219337.01</v>
      </c>
      <c r="Q346">
        <f>Source!X235</f>
        <v>0</v>
      </c>
      <c r="R346">
        <f>Source!X236</f>
        <v>0</v>
      </c>
      <c r="S346">
        <f>Source!Y235</f>
        <v>0</v>
      </c>
      <c r="T346">
        <f>Source!Y236</f>
        <v>0</v>
      </c>
      <c r="U346">
        <f>ROUND((175/100)*ROUND(Source!R235, 2), 2)</f>
        <v>0</v>
      </c>
      <c r="V346">
        <f>ROUND((0/100)*ROUND(Source!R236, 2), 2)</f>
        <v>0</v>
      </c>
      <c r="AC346">
        <v>3</v>
      </c>
    </row>
    <row r="347" spans="1:29" ht="14.25" x14ac:dyDescent="0.2">
      <c r="A347" s="40"/>
      <c r="B347" s="40"/>
      <c r="C347" s="40" t="s">
        <v>753</v>
      </c>
      <c r="D347" s="42" t="s">
        <v>754</v>
      </c>
      <c r="E347" s="41">
        <f>Source!BZ234</f>
        <v>90</v>
      </c>
      <c r="F347" s="44"/>
      <c r="G347" s="43"/>
      <c r="H347" s="41"/>
      <c r="I347" s="44">
        <f>SUM(Q340:Q346)</f>
        <v>14591.58</v>
      </c>
      <c r="J347" s="41">
        <f>Source!AT234</f>
        <v>90</v>
      </c>
      <c r="K347" s="44">
        <f>SUM(R340:R346)</f>
        <v>822235.7</v>
      </c>
    </row>
    <row r="348" spans="1:29" ht="14.25" x14ac:dyDescent="0.2">
      <c r="A348" s="40"/>
      <c r="B348" s="40"/>
      <c r="C348" s="40" t="s">
        <v>755</v>
      </c>
      <c r="D348" s="42" t="s">
        <v>754</v>
      </c>
      <c r="E348" s="41">
        <f>Source!CA234</f>
        <v>46</v>
      </c>
      <c r="F348" s="44"/>
      <c r="G348" s="43"/>
      <c r="H348" s="41"/>
      <c r="I348" s="44">
        <f>SUM(S340:S347)</f>
        <v>7457.92</v>
      </c>
      <c r="J348" s="41">
        <f>Source!AU234</f>
        <v>46</v>
      </c>
      <c r="K348" s="44">
        <f>SUM(T340:T347)</f>
        <v>420253.8</v>
      </c>
    </row>
    <row r="349" spans="1:29" ht="14.25" x14ac:dyDescent="0.2">
      <c r="A349" s="47"/>
      <c r="B349" s="47"/>
      <c r="C349" s="47" t="s">
        <v>756</v>
      </c>
      <c r="D349" s="48" t="s">
        <v>757</v>
      </c>
      <c r="E349" s="49">
        <f>Source!AQ233</f>
        <v>159</v>
      </c>
      <c r="F349" s="50"/>
      <c r="G349" s="51" t="s">
        <v>110</v>
      </c>
      <c r="H349" s="49">
        <f>Source!AV234</f>
        <v>1.0669999999999999</v>
      </c>
      <c r="I349" s="50">
        <f>Source!U233</f>
        <v>1201.1432399999999</v>
      </c>
      <c r="J349" s="49"/>
      <c r="K349" s="50"/>
    </row>
    <row r="350" spans="1:29" ht="15" x14ac:dyDescent="0.2">
      <c r="C350" s="52" t="s">
        <v>758</v>
      </c>
      <c r="H350" s="53">
        <f>I342+I343+I345+I347+I348+SUM(I346:I346)-SUMIF(AC346:AC346, 5, I346:I346)-SUMIF(AC346:AC346, 6, I346:I346)</f>
        <v>91957.66</v>
      </c>
      <c r="I350" s="53"/>
      <c r="J350" s="53">
        <f>K342+K343+K345+K347+K348+SUM(K346:K346)-SUMIF(AC346:AC346, 5, K346:K346)-SUMIF(AC346:AC346, 6, K346:K346)</f>
        <v>2444488.8599999994</v>
      </c>
      <c r="K350" s="53"/>
    </row>
    <row r="351" spans="1:29" ht="15" hidden="1" x14ac:dyDescent="0.2">
      <c r="C351" s="52" t="s">
        <v>759</v>
      </c>
      <c r="H351" s="55">
        <f>SUMIF(AC346:AC346, 5, I346:I346)+SUMIF(AC346:AC346, 6, I346:I346)</f>
        <v>0</v>
      </c>
      <c r="I351" s="55"/>
      <c r="J351" s="55">
        <f>SUMIF(AC346:AC346, 5, K346:K346)+SUMIF(AC346:AC346, 6, K346:K346)</f>
        <v>0</v>
      </c>
      <c r="K351" s="55"/>
    </row>
    <row r="352" spans="1:29" ht="15" x14ac:dyDescent="0.2">
      <c r="C352" s="52" t="s">
        <v>760</v>
      </c>
      <c r="H352" s="55">
        <f>I342+I343+I345+I347+I348+SUM(I346:I346)</f>
        <v>91957.66</v>
      </c>
      <c r="I352" s="55"/>
      <c r="J352" s="55">
        <f>K342+K343+K345+K347+K348+SUM(K346:K346)</f>
        <v>2444488.8599999994</v>
      </c>
      <c r="K352" s="55"/>
      <c r="O352" s="56">
        <f>I342+I343+I345+I347+I348+SUM(I346:I346)</f>
        <v>91957.66</v>
      </c>
      <c r="P352" s="56">
        <f>K342+K343+K345+K347+K348+SUM(K346:K346)</f>
        <v>2444488.8599999994</v>
      </c>
    </row>
    <row r="354" spans="1:29" ht="57" x14ac:dyDescent="0.2">
      <c r="A354" s="47">
        <v>35</v>
      </c>
      <c r="B354" s="47" t="str">
        <f>Source!F237</f>
        <v>1.12-11-48</v>
      </c>
      <c r="C354" s="47" t="s">
        <v>159</v>
      </c>
      <c r="D354" s="48" t="str">
        <f>Source!H237</f>
        <v>шт.</v>
      </c>
      <c r="E354" s="49">
        <f>Source!I237</f>
        <v>20</v>
      </c>
      <c r="F354" s="50">
        <f>Source!AL237</f>
        <v>130.07</v>
      </c>
      <c r="G354" s="51" t="s">
        <v>3</v>
      </c>
      <c r="H354" s="49">
        <f>Source!AW238</f>
        <v>1</v>
      </c>
      <c r="I354" s="50">
        <f>Source!P237</f>
        <v>2601.4</v>
      </c>
      <c r="J354" s="49">
        <f>IF(Source!BC238&lt;&gt; 0, Source!BC238, 1)</f>
        <v>4.82</v>
      </c>
      <c r="K354" s="50">
        <f>Source!P238</f>
        <v>12538.75</v>
      </c>
      <c r="Q354">
        <f>Source!X237</f>
        <v>0</v>
      </c>
      <c r="R354">
        <f>Source!X238</f>
        <v>0</v>
      </c>
      <c r="S354">
        <f>Source!Y237</f>
        <v>0</v>
      </c>
      <c r="T354">
        <f>Source!Y238</f>
        <v>0</v>
      </c>
      <c r="U354">
        <f>ROUND((175/100)*ROUND(Source!R237, 2), 2)</f>
        <v>0</v>
      </c>
      <c r="V354">
        <f>ROUND((0/100)*ROUND(Source!R238, 2), 2)</f>
        <v>0</v>
      </c>
      <c r="AC354">
        <v>3</v>
      </c>
    </row>
    <row r="355" spans="1:29" ht="15" x14ac:dyDescent="0.2">
      <c r="C355" s="52" t="s">
        <v>760</v>
      </c>
      <c r="H355" s="53">
        <f>I354+0</f>
        <v>2601.4</v>
      </c>
      <c r="I355" s="53"/>
      <c r="J355" s="53">
        <f>K354+0</f>
        <v>12538.75</v>
      </c>
      <c r="K355" s="53"/>
      <c r="O355" s="56">
        <f>I354+0</f>
        <v>2601.4</v>
      </c>
      <c r="P355" s="56">
        <f>K354+0</f>
        <v>12538.75</v>
      </c>
    </row>
    <row r="357" spans="1:29" ht="28.5" x14ac:dyDescent="0.2">
      <c r="A357" s="47">
        <v>36</v>
      </c>
      <c r="B357" s="47" t="str">
        <f>Source!F239</f>
        <v>1.12-11-104</v>
      </c>
      <c r="C357" s="47" t="s">
        <v>410</v>
      </c>
      <c r="D357" s="48" t="str">
        <f>Source!H239</f>
        <v>шт.</v>
      </c>
      <c r="E357" s="49">
        <f>Source!I239</f>
        <v>4</v>
      </c>
      <c r="F357" s="50">
        <f>Source!AL239</f>
        <v>296.99</v>
      </c>
      <c r="G357" s="51" t="s">
        <v>3</v>
      </c>
      <c r="H357" s="49">
        <f>Source!AW240</f>
        <v>1</v>
      </c>
      <c r="I357" s="50">
        <f>Source!P239</f>
        <v>1187.96</v>
      </c>
      <c r="J357" s="49">
        <f>IF(Source!BC240&lt;&gt; 0, Source!BC240, 1)</f>
        <v>3.04</v>
      </c>
      <c r="K357" s="50">
        <f>Source!P240</f>
        <v>3611.4</v>
      </c>
      <c r="Q357">
        <f>Source!X239</f>
        <v>0</v>
      </c>
      <c r="R357">
        <f>Source!X240</f>
        <v>0</v>
      </c>
      <c r="S357">
        <f>Source!Y239</f>
        <v>0</v>
      </c>
      <c r="T357">
        <f>Source!Y240</f>
        <v>0</v>
      </c>
      <c r="U357">
        <f>ROUND((175/100)*ROUND(Source!R239, 2), 2)</f>
        <v>0</v>
      </c>
      <c r="V357">
        <f>ROUND((0/100)*ROUND(Source!R240, 2), 2)</f>
        <v>0</v>
      </c>
      <c r="AC357">
        <v>3</v>
      </c>
    </row>
    <row r="358" spans="1:29" ht="15" x14ac:dyDescent="0.2">
      <c r="C358" s="52" t="s">
        <v>760</v>
      </c>
      <c r="H358" s="53">
        <f>I357+0</f>
        <v>1187.96</v>
      </c>
      <c r="I358" s="53"/>
      <c r="J358" s="53">
        <f>K357+0</f>
        <v>3611.4</v>
      </c>
      <c r="K358" s="53"/>
      <c r="O358" s="56">
        <f>I357+0</f>
        <v>1187.96</v>
      </c>
      <c r="P358" s="56">
        <f>K357+0</f>
        <v>3611.4</v>
      </c>
    </row>
    <row r="360" spans="1:29" ht="85.5" x14ac:dyDescent="0.2">
      <c r="A360" s="40">
        <v>37</v>
      </c>
      <c r="B360" s="40" t="str">
        <f>Source!F255</f>
        <v>4.12-32-1</v>
      </c>
      <c r="C360" s="40" t="s">
        <v>232</v>
      </c>
      <c r="D360" s="42" t="str">
        <f>Source!H255</f>
        <v>100 м</v>
      </c>
      <c r="E360" s="41">
        <f>Source!I255</f>
        <v>19</v>
      </c>
      <c r="F360" s="44"/>
      <c r="G360" s="43"/>
      <c r="H360" s="41"/>
      <c r="I360" s="44"/>
      <c r="J360" s="41"/>
      <c r="K360" s="44"/>
      <c r="Q360">
        <f>Source!X255</f>
        <v>40628.94</v>
      </c>
      <c r="R360">
        <f>Source!X256</f>
        <v>2289440.94</v>
      </c>
      <c r="S360">
        <f>Source!Y255</f>
        <v>20765.900000000001</v>
      </c>
      <c r="T360">
        <f>Source!Y256</f>
        <v>1170158.7</v>
      </c>
      <c r="U360">
        <f>ROUND((175/100)*ROUND(Source!R255, 2), 2)</f>
        <v>4319.49</v>
      </c>
      <c r="V360">
        <f>ROUND((0/100)*ROUND(Source!R256, 2), 2)</f>
        <v>0</v>
      </c>
      <c r="AC360">
        <v>0</v>
      </c>
    </row>
    <row r="361" spans="1:29" x14ac:dyDescent="0.2">
      <c r="C361" s="70" t="str">
        <f>"Объем: "&amp;Source!I255&amp;"=(800+"&amp;"900+"&amp;"200)/"&amp;"100"</f>
        <v>Объем: 19=(800+900+200)/100</v>
      </c>
    </row>
    <row r="362" spans="1:29" ht="14.25" x14ac:dyDescent="0.2">
      <c r="A362" s="40"/>
      <c r="B362" s="40"/>
      <c r="C362" s="40" t="s">
        <v>747</v>
      </c>
      <c r="D362" s="42"/>
      <c r="E362" s="41"/>
      <c r="F362" s="44">
        <f>Source!AO255</f>
        <v>1754.18</v>
      </c>
      <c r="G362" s="45" t="s">
        <v>110</v>
      </c>
      <c r="H362" s="41">
        <f>Source!AV256</f>
        <v>1.0669999999999999</v>
      </c>
      <c r="I362" s="44">
        <f>Source!S255</f>
        <v>42674.99</v>
      </c>
      <c r="J362" s="41">
        <f>IF(Source!BA256&lt;&gt; 0, Source!BA256, 1)</f>
        <v>56.35</v>
      </c>
      <c r="K362" s="44">
        <f>Source!S256</f>
        <v>2404735.69</v>
      </c>
    </row>
    <row r="363" spans="1:29" ht="14.25" x14ac:dyDescent="0.2">
      <c r="A363" s="40"/>
      <c r="B363" s="40"/>
      <c r="C363" s="40" t="s">
        <v>749</v>
      </c>
      <c r="D363" s="42"/>
      <c r="E363" s="41"/>
      <c r="F363" s="44">
        <f>Source!AM255</f>
        <v>513.47</v>
      </c>
      <c r="G363" s="45" t="s">
        <v>110</v>
      </c>
      <c r="H363" s="41">
        <f>Source!AV256</f>
        <v>1.0669999999999999</v>
      </c>
      <c r="I363" s="44">
        <f>Source!Q255</f>
        <v>12491.49</v>
      </c>
      <c r="J363" s="41">
        <f>IF(Source!BB256&lt;&gt; 0, Source!BB256, 1)</f>
        <v>20.66</v>
      </c>
      <c r="K363" s="44">
        <f>Source!Q256</f>
        <v>258074.18</v>
      </c>
    </row>
    <row r="364" spans="1:29" ht="14.25" x14ac:dyDescent="0.2">
      <c r="A364" s="40"/>
      <c r="B364" s="40"/>
      <c r="C364" s="40" t="s">
        <v>751</v>
      </c>
      <c r="D364" s="42"/>
      <c r="E364" s="41"/>
      <c r="F364" s="44">
        <f>Source!AN255</f>
        <v>101.46</v>
      </c>
      <c r="G364" s="45" t="s">
        <v>110</v>
      </c>
      <c r="H364" s="41">
        <f>Source!AV256</f>
        <v>1.0669999999999999</v>
      </c>
      <c r="I364" s="46">
        <f>Source!R255</f>
        <v>2468.2800000000002</v>
      </c>
      <c r="J364" s="41">
        <f>IF(Source!BS256&lt;&gt; 0, Source!BS256, 1)</f>
        <v>56.35</v>
      </c>
      <c r="K364" s="46">
        <f>Source!R256</f>
        <v>139087.57999999999</v>
      </c>
    </row>
    <row r="365" spans="1:29" ht="14.25" x14ac:dyDescent="0.2">
      <c r="A365" s="40"/>
      <c r="B365" s="40"/>
      <c r="C365" s="40" t="s">
        <v>752</v>
      </c>
      <c r="D365" s="42"/>
      <c r="E365" s="41"/>
      <c r="F365" s="44">
        <f>Source!AL255</f>
        <v>865</v>
      </c>
      <c r="G365" s="45" t="s">
        <v>3</v>
      </c>
      <c r="H365" s="41">
        <f>Source!AW256</f>
        <v>1.028</v>
      </c>
      <c r="I365" s="44">
        <f>Source!P255</f>
        <v>16895.18</v>
      </c>
      <c r="J365" s="41">
        <f>IF(Source!BC256&lt;&gt; 0, Source!BC256, 1)</f>
        <v>2.19</v>
      </c>
      <c r="K365" s="44">
        <f>Source!P256</f>
        <v>37000.44</v>
      </c>
    </row>
    <row r="366" spans="1:29" ht="57" x14ac:dyDescent="0.2">
      <c r="A366" s="40" t="s">
        <v>416</v>
      </c>
      <c r="B366" s="40" t="str">
        <f>Source!F257</f>
        <v>1.12-1-56</v>
      </c>
      <c r="C366" s="40" t="s">
        <v>413</v>
      </c>
      <c r="D366" s="42" t="str">
        <f>Source!H257</f>
        <v>м</v>
      </c>
      <c r="E366" s="41">
        <f>Source!I257</f>
        <v>804</v>
      </c>
      <c r="F366" s="44">
        <f>Source!AK257</f>
        <v>61.58</v>
      </c>
      <c r="G366" s="45" t="s">
        <v>3</v>
      </c>
      <c r="H366" s="41">
        <f>Source!AW258</f>
        <v>1</v>
      </c>
      <c r="I366" s="44">
        <f>Source!O257</f>
        <v>49510.32</v>
      </c>
      <c r="J366" s="41">
        <f>IF(Source!BC258&lt;&gt; 0, Source!BC258, 1)</f>
        <v>11.89</v>
      </c>
      <c r="K366" s="44">
        <f>Source!O258</f>
        <v>588677.69999999995</v>
      </c>
      <c r="Q366">
        <f>Source!X257</f>
        <v>0</v>
      </c>
      <c r="R366">
        <f>Source!X258</f>
        <v>0</v>
      </c>
      <c r="S366">
        <f>Source!Y257</f>
        <v>0</v>
      </c>
      <c r="T366">
        <f>Source!Y258</f>
        <v>0</v>
      </c>
      <c r="U366">
        <f>ROUND((175/100)*ROUND(Source!R257, 2), 2)</f>
        <v>0</v>
      </c>
      <c r="V366">
        <f>ROUND((0/100)*ROUND(Source!R258, 2), 2)</f>
        <v>0</v>
      </c>
      <c r="AC366">
        <v>3</v>
      </c>
    </row>
    <row r="367" spans="1:29" ht="57" x14ac:dyDescent="0.2">
      <c r="A367" s="40" t="s">
        <v>417</v>
      </c>
      <c r="B367" s="40" t="str">
        <f>Source!F259</f>
        <v>1.12-1-55</v>
      </c>
      <c r="C367" s="40" t="s">
        <v>225</v>
      </c>
      <c r="D367" s="42" t="str">
        <f>Source!H259</f>
        <v>м</v>
      </c>
      <c r="E367" s="41">
        <f>Source!I259</f>
        <v>904.5</v>
      </c>
      <c r="F367" s="44">
        <f>Source!AK259</f>
        <v>51.28</v>
      </c>
      <c r="G367" s="45" t="s">
        <v>3</v>
      </c>
      <c r="H367" s="41">
        <f>Source!AW260</f>
        <v>1</v>
      </c>
      <c r="I367" s="44">
        <f>Source!O259</f>
        <v>46382.76</v>
      </c>
      <c r="J367" s="41">
        <f>IF(Source!BC260&lt;&gt; 0, Source!BC260, 1)</f>
        <v>20.72</v>
      </c>
      <c r="K367" s="44">
        <f>Source!O260</f>
        <v>961050.79</v>
      </c>
      <c r="Q367">
        <f>Source!X259</f>
        <v>0</v>
      </c>
      <c r="R367">
        <f>Source!X260</f>
        <v>0</v>
      </c>
      <c r="S367">
        <f>Source!Y259</f>
        <v>0</v>
      </c>
      <c r="T367">
        <f>Source!Y260</f>
        <v>0</v>
      </c>
      <c r="U367">
        <f>ROUND((175/100)*ROUND(Source!R259, 2), 2)</f>
        <v>0</v>
      </c>
      <c r="V367">
        <f>ROUND((0/100)*ROUND(Source!R260, 2), 2)</f>
        <v>0</v>
      </c>
      <c r="AC367">
        <v>3</v>
      </c>
    </row>
    <row r="368" spans="1:29" ht="57" x14ac:dyDescent="0.2">
      <c r="A368" s="40" t="s">
        <v>418</v>
      </c>
      <c r="B368" s="40" t="str">
        <f>Source!F261</f>
        <v>1.12-1-53</v>
      </c>
      <c r="C368" s="40" t="s">
        <v>420</v>
      </c>
      <c r="D368" s="42" t="str">
        <f>Source!H261</f>
        <v>м</v>
      </c>
      <c r="E368" s="41">
        <f>Source!I261</f>
        <v>201</v>
      </c>
      <c r="F368" s="44">
        <f>Source!AK261</f>
        <v>31.41</v>
      </c>
      <c r="G368" s="45" t="s">
        <v>3</v>
      </c>
      <c r="H368" s="41">
        <f>Source!AW262</f>
        <v>1</v>
      </c>
      <c r="I368" s="44">
        <f>Source!O261</f>
        <v>6313.41</v>
      </c>
      <c r="J368" s="41">
        <f>IF(Source!BC262&lt;&gt; 0, Source!BC262, 1)</f>
        <v>18.510000000000002</v>
      </c>
      <c r="K368" s="44">
        <f>Source!O262</f>
        <v>116861.22</v>
      </c>
      <c r="Q368">
        <f>Source!X261</f>
        <v>0</v>
      </c>
      <c r="R368">
        <f>Source!X262</f>
        <v>0</v>
      </c>
      <c r="S368">
        <f>Source!Y261</f>
        <v>0</v>
      </c>
      <c r="T368">
        <f>Source!Y262</f>
        <v>0</v>
      </c>
      <c r="U368">
        <f>ROUND((175/100)*ROUND(Source!R261, 2), 2)</f>
        <v>0</v>
      </c>
      <c r="V368">
        <f>ROUND((0/100)*ROUND(Source!R262, 2), 2)</f>
        <v>0</v>
      </c>
      <c r="AC368">
        <v>3</v>
      </c>
    </row>
    <row r="369" spans="1:29" ht="14.25" x14ac:dyDescent="0.2">
      <c r="A369" s="40"/>
      <c r="B369" s="40"/>
      <c r="C369" s="40" t="s">
        <v>753</v>
      </c>
      <c r="D369" s="42" t="s">
        <v>754</v>
      </c>
      <c r="E369" s="41">
        <f>Source!BZ256</f>
        <v>90</v>
      </c>
      <c r="F369" s="44"/>
      <c r="G369" s="43"/>
      <c r="H369" s="41"/>
      <c r="I369" s="44">
        <f>SUM(Q360:Q368)</f>
        <v>40628.94</v>
      </c>
      <c r="J369" s="41">
        <f>Source!AT256</f>
        <v>90</v>
      </c>
      <c r="K369" s="44">
        <f>SUM(R360:R368)</f>
        <v>2289440.94</v>
      </c>
    </row>
    <row r="370" spans="1:29" ht="14.25" x14ac:dyDescent="0.2">
      <c r="A370" s="40"/>
      <c r="B370" s="40"/>
      <c r="C370" s="40" t="s">
        <v>755</v>
      </c>
      <c r="D370" s="42" t="s">
        <v>754</v>
      </c>
      <c r="E370" s="41">
        <f>Source!CA256</f>
        <v>46</v>
      </c>
      <c r="F370" s="44"/>
      <c r="G370" s="43"/>
      <c r="H370" s="41"/>
      <c r="I370" s="44">
        <f>SUM(S360:S369)</f>
        <v>20765.900000000001</v>
      </c>
      <c r="J370" s="41">
        <f>Source!AU256</f>
        <v>46</v>
      </c>
      <c r="K370" s="44">
        <f>SUM(T360:T369)</f>
        <v>1170158.7</v>
      </c>
    </row>
    <row r="371" spans="1:29" ht="14.25" x14ac:dyDescent="0.2">
      <c r="A371" s="47"/>
      <c r="B371" s="47"/>
      <c r="C371" s="47" t="s">
        <v>756</v>
      </c>
      <c r="D371" s="48" t="s">
        <v>757</v>
      </c>
      <c r="E371" s="49">
        <f>Source!AQ255</f>
        <v>139</v>
      </c>
      <c r="F371" s="50"/>
      <c r="G371" s="51" t="s">
        <v>110</v>
      </c>
      <c r="H371" s="49">
        <f>Source!AV256</f>
        <v>1.0669999999999999</v>
      </c>
      <c r="I371" s="50">
        <f>Source!U255</f>
        <v>3381.5364</v>
      </c>
      <c r="J371" s="49"/>
      <c r="K371" s="50"/>
    </row>
    <row r="372" spans="1:29" ht="15" x14ac:dyDescent="0.2">
      <c r="C372" s="52" t="s">
        <v>758</v>
      </c>
      <c r="H372" s="53">
        <f>I362+I363+I365+I369+I370+SUM(I366:I368)-SUMIF(AC366:AC368, 5, I366:I368)-SUMIF(AC366:AC368, 6, I366:I368)</f>
        <v>235662.99</v>
      </c>
      <c r="I372" s="53"/>
      <c r="J372" s="53">
        <f>K362+K363+K365+K369+K370+SUM(K366:K368)-SUMIF(AC366:AC368, 5, K366:K368)-SUMIF(AC366:AC368, 6, K366:K368)</f>
        <v>7825999.6600000001</v>
      </c>
      <c r="K372" s="53"/>
    </row>
    <row r="373" spans="1:29" ht="15" hidden="1" x14ac:dyDescent="0.2">
      <c r="C373" s="52" t="s">
        <v>759</v>
      </c>
      <c r="H373" s="55">
        <f>SUMIF(AC366:AC368, 5, I366:I368)+SUMIF(AC366:AC368, 6, I366:I368)</f>
        <v>0</v>
      </c>
      <c r="I373" s="55"/>
      <c r="J373" s="55">
        <f>SUMIF(AC366:AC368, 5, K366:K368)+SUMIF(AC366:AC368, 6, K366:K368)</f>
        <v>0</v>
      </c>
      <c r="K373" s="55"/>
    </row>
    <row r="374" spans="1:29" ht="15" x14ac:dyDescent="0.2">
      <c r="C374" s="52" t="s">
        <v>760</v>
      </c>
      <c r="H374" s="55">
        <f>I362+I363+I365+I369+I370+SUM(I366:I368)</f>
        <v>235662.99</v>
      </c>
      <c r="I374" s="55"/>
      <c r="J374" s="55">
        <f>K362+K363+K365+K369+K370+SUM(K366:K368)</f>
        <v>7825999.6600000001</v>
      </c>
      <c r="K374" s="55"/>
      <c r="O374" s="56">
        <f>I362+I363+I365+I369+I370+SUM(I366:I368)</f>
        <v>235662.99</v>
      </c>
      <c r="P374" s="56">
        <f>K362+K363+K365+K369+K370+SUM(K366:K368)</f>
        <v>7825999.6600000001</v>
      </c>
    </row>
    <row r="376" spans="1:29" ht="57" x14ac:dyDescent="0.2">
      <c r="A376" s="40">
        <v>38</v>
      </c>
      <c r="B376" s="40" t="str">
        <f>Source!F265</f>
        <v>4.12-48-10</v>
      </c>
      <c r="C376" s="40" t="s">
        <v>122</v>
      </c>
      <c r="D376" s="42" t="str">
        <f>Source!H265</f>
        <v>1  ШТ.</v>
      </c>
      <c r="E376" s="41">
        <f>Source!I265</f>
        <v>8</v>
      </c>
      <c r="F376" s="44"/>
      <c r="G376" s="43"/>
      <c r="H376" s="41"/>
      <c r="I376" s="44"/>
      <c r="J376" s="41"/>
      <c r="K376" s="44"/>
      <c r="Q376">
        <f>Source!X265</f>
        <v>480.48</v>
      </c>
      <c r="R376">
        <f>Source!X266</f>
        <v>27075.21</v>
      </c>
      <c r="S376">
        <f>Source!Y265</f>
        <v>245.58</v>
      </c>
      <c r="T376">
        <f>Source!Y266</f>
        <v>13838.44</v>
      </c>
      <c r="U376">
        <f>ROUND((175/100)*ROUND(Source!R265, 2), 2)</f>
        <v>6.81</v>
      </c>
      <c r="V376">
        <f>ROUND((0/100)*ROUND(Source!R266, 2), 2)</f>
        <v>0</v>
      </c>
      <c r="AC376">
        <v>0</v>
      </c>
    </row>
    <row r="377" spans="1:29" ht="14.25" x14ac:dyDescent="0.2">
      <c r="A377" s="40"/>
      <c r="B377" s="40"/>
      <c r="C377" s="40" t="s">
        <v>747</v>
      </c>
      <c r="D377" s="42"/>
      <c r="E377" s="41"/>
      <c r="F377" s="44">
        <f>Source!AO265</f>
        <v>51.74</v>
      </c>
      <c r="G377" s="45" t="s">
        <v>110</v>
      </c>
      <c r="H377" s="41">
        <f>Source!AV266</f>
        <v>1.0669999999999999</v>
      </c>
      <c r="I377" s="44">
        <f>Source!S265</f>
        <v>529.98</v>
      </c>
      <c r="J377" s="41">
        <f>IF(Source!BA266&lt;&gt; 0, Source!BA266, 1)</f>
        <v>56.35</v>
      </c>
      <c r="K377" s="44">
        <f>Source!S266</f>
        <v>29864.37</v>
      </c>
    </row>
    <row r="378" spans="1:29" ht="14.25" x14ac:dyDescent="0.2">
      <c r="A378" s="40"/>
      <c r="B378" s="40"/>
      <c r="C378" s="40" t="s">
        <v>749</v>
      </c>
      <c r="D378" s="42"/>
      <c r="E378" s="41"/>
      <c r="F378" s="44">
        <f>Source!AM265</f>
        <v>2.4900000000000002</v>
      </c>
      <c r="G378" s="45" t="s">
        <v>110</v>
      </c>
      <c r="H378" s="41">
        <f>Source!AV266</f>
        <v>1.0669999999999999</v>
      </c>
      <c r="I378" s="44">
        <f>Source!Q265</f>
        <v>25.51</v>
      </c>
      <c r="J378" s="41">
        <f>IF(Source!BB266&lt;&gt; 0, Source!BB266, 1)</f>
        <v>17.09</v>
      </c>
      <c r="K378" s="44">
        <f>Source!Q266</f>
        <v>435.97</v>
      </c>
    </row>
    <row r="379" spans="1:29" ht="14.25" x14ac:dyDescent="0.2">
      <c r="A379" s="40"/>
      <c r="B379" s="40"/>
      <c r="C379" s="40" t="s">
        <v>751</v>
      </c>
      <c r="D379" s="42"/>
      <c r="E379" s="41"/>
      <c r="F379" s="44">
        <f>Source!AN265</f>
        <v>0.38</v>
      </c>
      <c r="G379" s="45" t="s">
        <v>110</v>
      </c>
      <c r="H379" s="41">
        <f>Source!AV266</f>
        <v>1.0669999999999999</v>
      </c>
      <c r="I379" s="46">
        <f>Source!R265</f>
        <v>3.89</v>
      </c>
      <c r="J379" s="41">
        <f>IF(Source!BS266&lt;&gt; 0, Source!BS266, 1)</f>
        <v>56.35</v>
      </c>
      <c r="K379" s="46">
        <f>Source!R266</f>
        <v>219.2</v>
      </c>
    </row>
    <row r="380" spans="1:29" ht="14.25" x14ac:dyDescent="0.2">
      <c r="A380" s="40"/>
      <c r="B380" s="40"/>
      <c r="C380" s="40" t="s">
        <v>752</v>
      </c>
      <c r="D380" s="42"/>
      <c r="E380" s="41"/>
      <c r="F380" s="44">
        <f>Source!AL265</f>
        <v>3.93</v>
      </c>
      <c r="G380" s="45" t="s">
        <v>3</v>
      </c>
      <c r="H380" s="41">
        <f>Source!AW266</f>
        <v>1.028</v>
      </c>
      <c r="I380" s="44">
        <f>Source!P265</f>
        <v>32.32</v>
      </c>
      <c r="J380" s="41">
        <f>IF(Source!BC266&lt;&gt; 0, Source!BC266, 1)</f>
        <v>4.49</v>
      </c>
      <c r="K380" s="44">
        <f>Source!P266</f>
        <v>145.12</v>
      </c>
    </row>
    <row r="381" spans="1:29" ht="71.25" x14ac:dyDescent="0.2">
      <c r="A381" s="40" t="s">
        <v>430</v>
      </c>
      <c r="B381" s="40" t="str">
        <f>Source!F267</f>
        <v>1.13-5-40</v>
      </c>
      <c r="C381" s="40" t="s">
        <v>126</v>
      </c>
      <c r="D381" s="42" t="str">
        <f>Source!H267</f>
        <v>шт.</v>
      </c>
      <c r="E381" s="41">
        <f>Source!I267</f>
        <v>8</v>
      </c>
      <c r="F381" s="44">
        <f>Source!AK267</f>
        <v>2177.9299999999998</v>
      </c>
      <c r="G381" s="45" t="s">
        <v>3</v>
      </c>
      <c r="H381" s="41">
        <f>Source!AW268</f>
        <v>1</v>
      </c>
      <c r="I381" s="44">
        <f>Source!O267</f>
        <v>17423.439999999999</v>
      </c>
      <c r="J381" s="41">
        <f>IF(Source!BC268&lt;&gt; 0, Source!BC268, 1)</f>
        <v>3.11</v>
      </c>
      <c r="K381" s="44">
        <f>Source!O268</f>
        <v>54186.9</v>
      </c>
      <c r="Q381">
        <f>Source!X267</f>
        <v>0</v>
      </c>
      <c r="R381">
        <f>Source!X268</f>
        <v>0</v>
      </c>
      <c r="S381">
        <f>Source!Y267</f>
        <v>0</v>
      </c>
      <c r="T381">
        <f>Source!Y268</f>
        <v>0</v>
      </c>
      <c r="U381">
        <f>ROUND((175/100)*ROUND(Source!R267, 2), 2)</f>
        <v>0</v>
      </c>
      <c r="V381">
        <f>ROUND((0/100)*ROUND(Source!R268, 2), 2)</f>
        <v>0</v>
      </c>
      <c r="AC381">
        <v>3</v>
      </c>
    </row>
    <row r="382" spans="1:29" ht="14.25" x14ac:dyDescent="0.2">
      <c r="A382" s="40"/>
      <c r="B382" s="40"/>
      <c r="C382" s="40" t="s">
        <v>753</v>
      </c>
      <c r="D382" s="42" t="s">
        <v>754</v>
      </c>
      <c r="E382" s="41">
        <f>Source!BZ266</f>
        <v>90</v>
      </c>
      <c r="F382" s="44"/>
      <c r="G382" s="43"/>
      <c r="H382" s="41"/>
      <c r="I382" s="44">
        <f>SUM(Q376:Q381)</f>
        <v>480.48</v>
      </c>
      <c r="J382" s="41">
        <f>Source!AT266</f>
        <v>90</v>
      </c>
      <c r="K382" s="44">
        <f>SUM(R376:R381)</f>
        <v>27075.21</v>
      </c>
    </row>
    <row r="383" spans="1:29" ht="14.25" x14ac:dyDescent="0.2">
      <c r="A383" s="40"/>
      <c r="B383" s="40"/>
      <c r="C383" s="40" t="s">
        <v>755</v>
      </c>
      <c r="D383" s="42" t="s">
        <v>754</v>
      </c>
      <c r="E383" s="41">
        <f>Source!CA266</f>
        <v>46</v>
      </c>
      <c r="F383" s="44"/>
      <c r="G383" s="43"/>
      <c r="H383" s="41"/>
      <c r="I383" s="44">
        <f>SUM(S376:S382)</f>
        <v>245.58</v>
      </c>
      <c r="J383" s="41">
        <f>Source!AU266</f>
        <v>46</v>
      </c>
      <c r="K383" s="44">
        <f>SUM(T376:T382)</f>
        <v>13838.44</v>
      </c>
    </row>
    <row r="384" spans="1:29" ht="14.25" x14ac:dyDescent="0.2">
      <c r="A384" s="47"/>
      <c r="B384" s="47"/>
      <c r="C384" s="47" t="s">
        <v>756</v>
      </c>
      <c r="D384" s="48" t="s">
        <v>757</v>
      </c>
      <c r="E384" s="49">
        <f>Source!AQ265</f>
        <v>4.0999999999999996</v>
      </c>
      <c r="F384" s="50"/>
      <c r="G384" s="51" t="s">
        <v>110</v>
      </c>
      <c r="H384" s="49">
        <f>Source!AV266</f>
        <v>1.0669999999999999</v>
      </c>
      <c r="I384" s="50">
        <f>Source!U265</f>
        <v>41.997119999999988</v>
      </c>
      <c r="J384" s="49"/>
      <c r="K384" s="50"/>
    </row>
    <row r="385" spans="1:29" ht="15" x14ac:dyDescent="0.2">
      <c r="C385" s="52" t="s">
        <v>758</v>
      </c>
      <c r="H385" s="53">
        <f>I377+I378+I380+I382+I383+SUM(I381:I381)-SUMIF(AC381:AC381, 5, I381:I381)-SUMIF(AC381:AC381, 6, I381:I381)</f>
        <v>18737.309999999998</v>
      </c>
      <c r="I385" s="53"/>
      <c r="J385" s="53">
        <f>K377+K378+K380+K382+K383+SUM(K381:K381)-SUMIF(AC381:AC381, 5, K381:K381)-SUMIF(AC381:AC381, 6, K381:K381)</f>
        <v>125546.01000000001</v>
      </c>
      <c r="K385" s="53"/>
    </row>
    <row r="386" spans="1:29" ht="15" hidden="1" x14ac:dyDescent="0.2">
      <c r="C386" s="52" t="s">
        <v>759</v>
      </c>
      <c r="H386" s="55">
        <f>SUMIF(AC381:AC381, 5, I381:I381)+SUMIF(AC381:AC381, 6, I381:I381)</f>
        <v>0</v>
      </c>
      <c r="I386" s="55"/>
      <c r="J386" s="55">
        <f>SUMIF(AC381:AC381, 5, K381:K381)+SUMIF(AC381:AC381, 6, K381:K381)</f>
        <v>0</v>
      </c>
      <c r="K386" s="55"/>
    </row>
    <row r="387" spans="1:29" ht="15" x14ac:dyDescent="0.2">
      <c r="C387" s="52" t="s">
        <v>760</v>
      </c>
      <c r="H387" s="55">
        <f>I377+I378+I380+I382+I383+SUM(I381:I381)</f>
        <v>18737.309999999998</v>
      </c>
      <c r="I387" s="55"/>
      <c r="J387" s="55">
        <f>K377+K378+K380+K382+K383+SUM(K381:K381)</f>
        <v>125546.01000000001</v>
      </c>
      <c r="K387" s="55"/>
      <c r="O387" s="56">
        <f>I377+I378+I380+I382+I383+SUM(I381:I381)</f>
        <v>18737.309999999998</v>
      </c>
      <c r="P387" s="56">
        <f>K377+K378+K380+K382+K383+SUM(K381:K381)</f>
        <v>125546.01000000001</v>
      </c>
    </row>
    <row r="389" spans="1:29" ht="71.25" x14ac:dyDescent="0.2">
      <c r="A389" s="47">
        <v>39</v>
      </c>
      <c r="B389" s="47" t="str">
        <f>Source!F269</f>
        <v>1.12-9-21</v>
      </c>
      <c r="C389" s="47" t="s">
        <v>130</v>
      </c>
      <c r="D389" s="48" t="str">
        <f>Source!H269</f>
        <v>шт.</v>
      </c>
      <c r="E389" s="49">
        <f>Source!I269</f>
        <v>16</v>
      </c>
      <c r="F389" s="50">
        <f>Source!AL269</f>
        <v>107.23</v>
      </c>
      <c r="G389" s="51" t="s">
        <v>3</v>
      </c>
      <c r="H389" s="49">
        <f>Source!AW270</f>
        <v>1</v>
      </c>
      <c r="I389" s="50">
        <f>Source!P269</f>
        <v>1715.68</v>
      </c>
      <c r="J389" s="49">
        <f>IF(Source!BC270&lt;&gt; 0, Source!BC270, 1)</f>
        <v>6.94</v>
      </c>
      <c r="K389" s="50">
        <f>Source!P270</f>
        <v>11906.82</v>
      </c>
      <c r="Q389">
        <f>Source!X269</f>
        <v>0</v>
      </c>
      <c r="R389">
        <f>Source!X270</f>
        <v>0</v>
      </c>
      <c r="S389">
        <f>Source!Y269</f>
        <v>0</v>
      </c>
      <c r="T389">
        <f>Source!Y270</f>
        <v>0</v>
      </c>
      <c r="U389">
        <f>ROUND((175/100)*ROUND(Source!R269, 2), 2)</f>
        <v>0</v>
      </c>
      <c r="V389">
        <f>ROUND((0/100)*ROUND(Source!R270, 2), 2)</f>
        <v>0</v>
      </c>
      <c r="AC389">
        <v>3</v>
      </c>
    </row>
    <row r="390" spans="1:29" ht="15" x14ac:dyDescent="0.2">
      <c r="C390" s="52" t="s">
        <v>760</v>
      </c>
      <c r="H390" s="53">
        <f>I389+0</f>
        <v>1715.68</v>
      </c>
      <c r="I390" s="53"/>
      <c r="J390" s="53">
        <f>K389+0</f>
        <v>11906.82</v>
      </c>
      <c r="K390" s="53"/>
      <c r="O390" s="56">
        <f>I389+0</f>
        <v>1715.68</v>
      </c>
      <c r="P390" s="56">
        <f>K389+0</f>
        <v>11906.82</v>
      </c>
    </row>
    <row r="392" spans="1:29" ht="57" x14ac:dyDescent="0.2">
      <c r="A392" s="40">
        <v>40</v>
      </c>
      <c r="B392" s="40" t="str">
        <f>Source!F271</f>
        <v>4.12-52-10</v>
      </c>
      <c r="C392" s="40" t="s">
        <v>156</v>
      </c>
      <c r="D392" s="42" t="str">
        <f>Source!H271</f>
        <v>1  ШТ.</v>
      </c>
      <c r="E392" s="41">
        <f>Source!I271</f>
        <v>8</v>
      </c>
      <c r="F392" s="44"/>
      <c r="G392" s="43"/>
      <c r="H392" s="41"/>
      <c r="I392" s="44"/>
      <c r="J392" s="41"/>
      <c r="K392" s="44"/>
      <c r="Q392">
        <f>Source!X271</f>
        <v>630.57000000000005</v>
      </c>
      <c r="R392">
        <f>Source!X272</f>
        <v>35532.449999999997</v>
      </c>
      <c r="S392">
        <f>Source!Y271</f>
        <v>322.29000000000002</v>
      </c>
      <c r="T392">
        <f>Source!Y272</f>
        <v>18161.03</v>
      </c>
      <c r="U392">
        <f>ROUND((175/100)*ROUND(Source!R271, 2), 2)</f>
        <v>4.4800000000000004</v>
      </c>
      <c r="V392">
        <f>ROUND((0/100)*ROUND(Source!R272, 2), 2)</f>
        <v>0</v>
      </c>
      <c r="AC392">
        <v>0</v>
      </c>
    </row>
    <row r="393" spans="1:29" ht="14.25" x14ac:dyDescent="0.2">
      <c r="A393" s="40"/>
      <c r="B393" s="40"/>
      <c r="C393" s="40" t="s">
        <v>747</v>
      </c>
      <c r="D393" s="42"/>
      <c r="E393" s="41"/>
      <c r="F393" s="44">
        <f>Source!AO271</f>
        <v>68.150000000000006</v>
      </c>
      <c r="G393" s="45" t="s">
        <v>110</v>
      </c>
      <c r="H393" s="41">
        <f>Source!AV272</f>
        <v>1.0669999999999999</v>
      </c>
      <c r="I393" s="44">
        <f>Source!S271</f>
        <v>698.07</v>
      </c>
      <c r="J393" s="41">
        <f>IF(Source!BA272&lt;&gt; 0, Source!BA272, 1)</f>
        <v>56.35</v>
      </c>
      <c r="K393" s="44">
        <f>Source!S272</f>
        <v>39336.239999999998</v>
      </c>
    </row>
    <row r="394" spans="1:29" ht="14.25" x14ac:dyDescent="0.2">
      <c r="A394" s="40"/>
      <c r="B394" s="40"/>
      <c r="C394" s="40" t="s">
        <v>749</v>
      </c>
      <c r="D394" s="42"/>
      <c r="E394" s="41"/>
      <c r="F394" s="44">
        <f>Source!AM271</f>
        <v>8.06</v>
      </c>
      <c r="G394" s="45" t="s">
        <v>110</v>
      </c>
      <c r="H394" s="41">
        <f>Source!AV272</f>
        <v>1.0669999999999999</v>
      </c>
      <c r="I394" s="44">
        <f>Source!Q271</f>
        <v>82.56</v>
      </c>
      <c r="J394" s="41">
        <f>IF(Source!BB272&lt;&gt; 0, Source!BB272, 1)</f>
        <v>14.21</v>
      </c>
      <c r="K394" s="44">
        <f>Source!Q272</f>
        <v>1173.18</v>
      </c>
    </row>
    <row r="395" spans="1:29" ht="14.25" x14ac:dyDescent="0.2">
      <c r="A395" s="40"/>
      <c r="B395" s="40"/>
      <c r="C395" s="40" t="s">
        <v>751</v>
      </c>
      <c r="D395" s="42"/>
      <c r="E395" s="41"/>
      <c r="F395" s="44">
        <f>Source!AN271</f>
        <v>0.25</v>
      </c>
      <c r="G395" s="45" t="s">
        <v>110</v>
      </c>
      <c r="H395" s="41">
        <f>Source!AV272</f>
        <v>1.0669999999999999</v>
      </c>
      <c r="I395" s="46">
        <f>Source!R271</f>
        <v>2.56</v>
      </c>
      <c r="J395" s="41">
        <f>IF(Source!BS272&lt;&gt; 0, Source!BS272, 1)</f>
        <v>56.35</v>
      </c>
      <c r="K395" s="46">
        <f>Source!R272</f>
        <v>144.26</v>
      </c>
    </row>
    <row r="396" spans="1:29" ht="14.25" x14ac:dyDescent="0.2">
      <c r="A396" s="40"/>
      <c r="B396" s="40"/>
      <c r="C396" s="40" t="s">
        <v>752</v>
      </c>
      <c r="D396" s="42"/>
      <c r="E396" s="41"/>
      <c r="F396" s="44">
        <f>Source!AL271</f>
        <v>4.33</v>
      </c>
      <c r="G396" s="45" t="s">
        <v>3</v>
      </c>
      <c r="H396" s="41">
        <f>Source!AW272</f>
        <v>1.028</v>
      </c>
      <c r="I396" s="44">
        <f>Source!P271</f>
        <v>35.61</v>
      </c>
      <c r="J396" s="41">
        <f>IF(Source!BC272&lt;&gt; 0, Source!BC272, 1)</f>
        <v>10.59</v>
      </c>
      <c r="K396" s="44">
        <f>Source!P272</f>
        <v>377.11</v>
      </c>
    </row>
    <row r="397" spans="1:29" ht="14.25" x14ac:dyDescent="0.2">
      <c r="A397" s="40"/>
      <c r="B397" s="40"/>
      <c r="C397" s="40" t="s">
        <v>753</v>
      </c>
      <c r="D397" s="42" t="s">
        <v>754</v>
      </c>
      <c r="E397" s="41">
        <f>Source!BZ272</f>
        <v>90</v>
      </c>
      <c r="F397" s="44"/>
      <c r="G397" s="43"/>
      <c r="H397" s="41"/>
      <c r="I397" s="44">
        <f>SUM(Q392:Q396)</f>
        <v>630.57000000000005</v>
      </c>
      <c r="J397" s="41">
        <f>Source!AT272</f>
        <v>90</v>
      </c>
      <c r="K397" s="44">
        <f>SUM(R392:R396)</f>
        <v>35532.449999999997</v>
      </c>
    </row>
    <row r="398" spans="1:29" ht="14.25" x14ac:dyDescent="0.2">
      <c r="A398" s="40"/>
      <c r="B398" s="40"/>
      <c r="C398" s="40" t="s">
        <v>755</v>
      </c>
      <c r="D398" s="42" t="s">
        <v>754</v>
      </c>
      <c r="E398" s="41">
        <f>Source!CA272</f>
        <v>46</v>
      </c>
      <c r="F398" s="44"/>
      <c r="G398" s="43"/>
      <c r="H398" s="41"/>
      <c r="I398" s="44">
        <f>SUM(S392:S397)</f>
        <v>322.29000000000002</v>
      </c>
      <c r="J398" s="41">
        <f>Source!AU272</f>
        <v>46</v>
      </c>
      <c r="K398" s="44">
        <f>SUM(T392:T397)</f>
        <v>18161.03</v>
      </c>
    </row>
    <row r="399" spans="1:29" ht="14.25" x14ac:dyDescent="0.2">
      <c r="A399" s="47"/>
      <c r="B399" s="47"/>
      <c r="C399" s="47" t="s">
        <v>756</v>
      </c>
      <c r="D399" s="48" t="s">
        <v>757</v>
      </c>
      <c r="E399" s="49">
        <f>Source!AQ271</f>
        <v>5.4</v>
      </c>
      <c r="F399" s="50"/>
      <c r="G399" s="51" t="s">
        <v>110</v>
      </c>
      <c r="H399" s="49">
        <f>Source!AV272</f>
        <v>1.0669999999999999</v>
      </c>
      <c r="I399" s="50">
        <f>Source!U271</f>
        <v>55.313279999999999</v>
      </c>
      <c r="J399" s="49"/>
      <c r="K399" s="50"/>
    </row>
    <row r="400" spans="1:29" ht="15" x14ac:dyDescent="0.2">
      <c r="C400" s="52" t="s">
        <v>758</v>
      </c>
      <c r="H400" s="53">
        <f>I393+I394+I396+I397+I398+0-0-0</f>
        <v>1769.1000000000001</v>
      </c>
      <c r="I400" s="53"/>
      <c r="J400" s="53">
        <f>K393+K394+K396+K397+K398+0-0-0</f>
        <v>94580.01</v>
      </c>
      <c r="K400" s="53"/>
    </row>
    <row r="401" spans="1:29" ht="15" hidden="1" x14ac:dyDescent="0.2">
      <c r="C401" s="52" t="s">
        <v>759</v>
      </c>
      <c r="H401" s="55">
        <f>0+0</f>
        <v>0</v>
      </c>
      <c r="I401" s="55"/>
      <c r="J401" s="55">
        <f>0+0</f>
        <v>0</v>
      </c>
      <c r="K401" s="55"/>
    </row>
    <row r="402" spans="1:29" ht="15" x14ac:dyDescent="0.2">
      <c r="C402" s="52" t="s">
        <v>760</v>
      </c>
      <c r="H402" s="55">
        <f>I393+I394+I396+I397+I398+0</f>
        <v>1769.1000000000001</v>
      </c>
      <c r="I402" s="55"/>
      <c r="J402" s="55">
        <f>K393+K394+K396+K397+K398+0</f>
        <v>94580.01</v>
      </c>
      <c r="K402" s="55"/>
      <c r="O402" s="56">
        <f>I393+I394+I396+I397+I398+0</f>
        <v>1769.1000000000001</v>
      </c>
      <c r="P402" s="56">
        <f>K393+K394+K396+K397+K398+0</f>
        <v>94580.01</v>
      </c>
    </row>
    <row r="404" spans="1:29" ht="28.5" x14ac:dyDescent="0.2">
      <c r="A404" s="40">
        <v>41</v>
      </c>
      <c r="B404" s="40" t="str">
        <f>Source!F273</f>
        <v>4.11-2-1</v>
      </c>
      <c r="C404" s="40" t="s">
        <v>435</v>
      </c>
      <c r="D404" s="42" t="str">
        <f>Source!H273</f>
        <v>1  ШТ.</v>
      </c>
      <c r="E404" s="41">
        <f>Source!I273</f>
        <v>1</v>
      </c>
      <c r="F404" s="44"/>
      <c r="G404" s="43"/>
      <c r="H404" s="41"/>
      <c r="I404" s="44"/>
      <c r="J404" s="41"/>
      <c r="K404" s="44"/>
      <c r="Q404">
        <f>Source!X273</f>
        <v>4.41</v>
      </c>
      <c r="R404">
        <f>Source!X274</f>
        <v>248.51</v>
      </c>
      <c r="S404">
        <f>Source!Y273</f>
        <v>2.25</v>
      </c>
      <c r="T404">
        <f>Source!Y274</f>
        <v>127.02</v>
      </c>
      <c r="U404">
        <f>ROUND((175/100)*ROUND(Source!R273, 2), 2)</f>
        <v>0</v>
      </c>
      <c r="V404">
        <f>ROUND((0/100)*ROUND(Source!R274, 2), 2)</f>
        <v>0</v>
      </c>
      <c r="AC404">
        <v>0</v>
      </c>
    </row>
    <row r="405" spans="1:29" ht="14.25" x14ac:dyDescent="0.2">
      <c r="A405" s="40"/>
      <c r="B405" s="40"/>
      <c r="C405" s="40" t="s">
        <v>747</v>
      </c>
      <c r="D405" s="42"/>
      <c r="E405" s="41"/>
      <c r="F405" s="44">
        <f>Source!AO273</f>
        <v>3.9</v>
      </c>
      <c r="G405" s="45" t="s">
        <v>110</v>
      </c>
      <c r="H405" s="41">
        <f>Source!AV274</f>
        <v>1.0469999999999999</v>
      </c>
      <c r="I405" s="44">
        <f>Source!S273</f>
        <v>4.9000000000000004</v>
      </c>
      <c r="J405" s="41">
        <f>IF(Source!BA274&lt;&gt; 0, Source!BA274, 1)</f>
        <v>56.35</v>
      </c>
      <c r="K405" s="44">
        <f>Source!S274</f>
        <v>276.12</v>
      </c>
    </row>
    <row r="406" spans="1:29" ht="14.25" x14ac:dyDescent="0.2">
      <c r="A406" s="40"/>
      <c r="B406" s="40"/>
      <c r="C406" s="40" t="s">
        <v>752</v>
      </c>
      <c r="D406" s="42"/>
      <c r="E406" s="41"/>
      <c r="F406" s="44">
        <f>Source!AL273</f>
        <v>0.81</v>
      </c>
      <c r="G406" s="45" t="s">
        <v>3</v>
      </c>
      <c r="H406" s="41">
        <f>Source!AW274</f>
        <v>1</v>
      </c>
      <c r="I406" s="44">
        <f>Source!P273</f>
        <v>0.81</v>
      </c>
      <c r="J406" s="41">
        <f>IF(Source!BC274&lt;&gt; 0, Source!BC274, 1)</f>
        <v>17.27</v>
      </c>
      <c r="K406" s="44">
        <f>Source!P274</f>
        <v>13.99</v>
      </c>
    </row>
    <row r="407" spans="1:29" ht="82.5" x14ac:dyDescent="0.2">
      <c r="A407" s="57" t="s">
        <v>437</v>
      </c>
      <c r="B407" s="57" t="str">
        <f>Source!F275</f>
        <v>КА. п. 4</v>
      </c>
      <c r="C407" s="57" t="s">
        <v>768</v>
      </c>
      <c r="D407" s="58" t="str">
        <f>Source!H275</f>
        <v>шт.</v>
      </c>
      <c r="E407" s="59">
        <f>Source!I275</f>
        <v>1</v>
      </c>
      <c r="F407" s="60">
        <f>Source!AK275</f>
        <v>1798.9699999999998</v>
      </c>
      <c r="G407" s="61" t="s">
        <v>3</v>
      </c>
      <c r="H407" s="59">
        <f>Source!AW276</f>
        <v>1</v>
      </c>
      <c r="I407" s="60">
        <f>Source!O275</f>
        <v>1798.97</v>
      </c>
      <c r="J407" s="59">
        <f>IF(Source!BC276&lt;&gt; 0, Source!BC276, 1)</f>
        <v>7.57</v>
      </c>
      <c r="K407" s="60">
        <f>Source!O276</f>
        <v>13618.2</v>
      </c>
      <c r="Q407">
        <f>Source!X275</f>
        <v>0</v>
      </c>
      <c r="R407">
        <f>Source!X276</f>
        <v>0</v>
      </c>
      <c r="S407">
        <f>Source!Y275</f>
        <v>0</v>
      </c>
      <c r="T407">
        <f>Source!Y276</f>
        <v>0</v>
      </c>
      <c r="U407">
        <f>ROUND((175/100)*ROUND(Source!R275, 2), 2)</f>
        <v>0</v>
      </c>
      <c r="V407">
        <f>ROUND((0/100)*ROUND(Source!R276, 2), 2)</f>
        <v>0</v>
      </c>
      <c r="AC407">
        <v>5</v>
      </c>
    </row>
    <row r="408" spans="1:29" ht="14.25" x14ac:dyDescent="0.2">
      <c r="A408" s="40"/>
      <c r="B408" s="40"/>
      <c r="C408" s="40" t="s">
        <v>753</v>
      </c>
      <c r="D408" s="42" t="s">
        <v>754</v>
      </c>
      <c r="E408" s="41">
        <f>Source!BZ274</f>
        <v>90</v>
      </c>
      <c r="F408" s="44"/>
      <c r="G408" s="43"/>
      <c r="H408" s="41"/>
      <c r="I408" s="44">
        <f>SUM(Q404:Q407)</f>
        <v>4.41</v>
      </c>
      <c r="J408" s="41">
        <f>Source!AT274</f>
        <v>90</v>
      </c>
      <c r="K408" s="44">
        <f>SUM(R404:R407)</f>
        <v>248.51</v>
      </c>
    </row>
    <row r="409" spans="1:29" ht="14.25" x14ac:dyDescent="0.2">
      <c r="A409" s="40"/>
      <c r="B409" s="40"/>
      <c r="C409" s="40" t="s">
        <v>755</v>
      </c>
      <c r="D409" s="42" t="s">
        <v>754</v>
      </c>
      <c r="E409" s="41">
        <f>Source!CA274</f>
        <v>46</v>
      </c>
      <c r="F409" s="44"/>
      <c r="G409" s="43"/>
      <c r="H409" s="41"/>
      <c r="I409" s="44">
        <f>SUM(S404:S408)</f>
        <v>2.25</v>
      </c>
      <c r="J409" s="41">
        <f>Source!AU274</f>
        <v>46</v>
      </c>
      <c r="K409" s="44">
        <f>SUM(T404:T408)</f>
        <v>127.02</v>
      </c>
    </row>
    <row r="410" spans="1:29" ht="14.25" x14ac:dyDescent="0.2">
      <c r="A410" s="47"/>
      <c r="B410" s="47"/>
      <c r="C410" s="47" t="s">
        <v>756</v>
      </c>
      <c r="D410" s="48" t="s">
        <v>757</v>
      </c>
      <c r="E410" s="49">
        <f>Source!AQ273</f>
        <v>0.3</v>
      </c>
      <c r="F410" s="50"/>
      <c r="G410" s="51" t="s">
        <v>110</v>
      </c>
      <c r="H410" s="49">
        <f>Source!AV274</f>
        <v>1.0469999999999999</v>
      </c>
      <c r="I410" s="50">
        <f>Source!U273</f>
        <v>0.37691999999999998</v>
      </c>
      <c r="J410" s="49"/>
      <c r="K410" s="50"/>
    </row>
    <row r="411" spans="1:29" ht="15" x14ac:dyDescent="0.2">
      <c r="C411" s="52" t="s">
        <v>758</v>
      </c>
      <c r="H411" s="53">
        <f>I405+I406+I408+I409+SUM(I407:I407)-SUMIF(AC407:AC407, 5, I407:I407)-SUMIF(AC407:AC407, 6, I407:I407)</f>
        <v>12.369999999999891</v>
      </c>
      <c r="I411" s="53"/>
      <c r="J411" s="53">
        <f>K405+K406+K408+K409+SUM(K407:K407)-SUMIF(AC407:AC407, 5, K407:K407)-SUMIF(AC407:AC407, 6, K407:K407)</f>
        <v>665.63999999999942</v>
      </c>
      <c r="K411" s="53"/>
    </row>
    <row r="412" spans="1:29" ht="15" x14ac:dyDescent="0.2">
      <c r="C412" s="52" t="s">
        <v>759</v>
      </c>
      <c r="H412" s="55">
        <f>SUMIF(AC407:AC407, 5, I407:I407)+SUMIF(AC407:AC407, 6, I407:I407)</f>
        <v>1798.97</v>
      </c>
      <c r="I412" s="55"/>
      <c r="J412" s="55">
        <f>SUMIF(AC407:AC407, 5, K407:K407)+SUMIF(AC407:AC407, 6, K407:K407)</f>
        <v>13618.2</v>
      </c>
      <c r="K412" s="55"/>
    </row>
    <row r="413" spans="1:29" ht="15" x14ac:dyDescent="0.2">
      <c r="C413" s="52" t="s">
        <v>760</v>
      </c>
      <c r="H413" s="55">
        <f>I405+I406+I408+I409+SUM(I407:I407)</f>
        <v>1811.34</v>
      </c>
      <c r="I413" s="55"/>
      <c r="J413" s="55">
        <f>K405+K406+K408+K409+SUM(K407:K407)</f>
        <v>14283.84</v>
      </c>
      <c r="K413" s="55"/>
      <c r="O413" s="56">
        <f>I405+I406+I408+I409+SUM(I407:I407)</f>
        <v>1811.34</v>
      </c>
      <c r="P413" s="56">
        <f>K405+K406+K408+K409+SUM(K407:K407)</f>
        <v>14283.84</v>
      </c>
    </row>
    <row r="415" spans="1:29" ht="42.75" x14ac:dyDescent="0.2">
      <c r="A415" s="47">
        <v>42</v>
      </c>
      <c r="B415" s="47" t="str">
        <f>Source!F277</f>
        <v>1.7-5-376</v>
      </c>
      <c r="C415" s="47" t="s">
        <v>242</v>
      </c>
      <c r="D415" s="48" t="str">
        <f>Source!H277</f>
        <v>шт.</v>
      </c>
      <c r="E415" s="49">
        <f>Source!I277</f>
        <v>90</v>
      </c>
      <c r="F415" s="50">
        <f>Source!AL277</f>
        <v>6.47</v>
      </c>
      <c r="G415" s="51" t="s">
        <v>3</v>
      </c>
      <c r="H415" s="49">
        <f>Source!AW278</f>
        <v>1</v>
      </c>
      <c r="I415" s="50">
        <f>Source!P277</f>
        <v>582.29999999999995</v>
      </c>
      <c r="J415" s="49">
        <f>IF(Source!BC278&lt;&gt; 0, Source!BC278, 1)</f>
        <v>11.29</v>
      </c>
      <c r="K415" s="50">
        <f>Source!P278</f>
        <v>6574.17</v>
      </c>
      <c r="Q415">
        <f>Source!X277</f>
        <v>0</v>
      </c>
      <c r="R415">
        <f>Source!X278</f>
        <v>0</v>
      </c>
      <c r="S415">
        <f>Source!Y277</f>
        <v>0</v>
      </c>
      <c r="T415">
        <f>Source!Y278</f>
        <v>0</v>
      </c>
      <c r="U415">
        <f>ROUND((175/100)*ROUND(Source!R277, 2), 2)</f>
        <v>0</v>
      </c>
      <c r="V415">
        <f>ROUND((0/100)*ROUND(Source!R278, 2), 2)</f>
        <v>0</v>
      </c>
      <c r="AC415">
        <v>3</v>
      </c>
    </row>
    <row r="416" spans="1:29" ht="15" x14ac:dyDescent="0.2">
      <c r="C416" s="52" t="s">
        <v>760</v>
      </c>
      <c r="H416" s="53">
        <f>I415+0</f>
        <v>582.29999999999995</v>
      </c>
      <c r="I416" s="53"/>
      <c r="J416" s="53">
        <f>K415+0</f>
        <v>6574.17</v>
      </c>
      <c r="K416" s="53"/>
      <c r="O416" s="56">
        <f>I415+0</f>
        <v>582.29999999999995</v>
      </c>
      <c r="P416" s="56">
        <f>K415+0</f>
        <v>6574.17</v>
      </c>
    </row>
    <row r="418" spans="1:29" ht="42.75" x14ac:dyDescent="0.2">
      <c r="A418" s="47">
        <v>43</v>
      </c>
      <c r="B418" s="47" t="str">
        <f>Source!F279</f>
        <v>1.7-5-371</v>
      </c>
      <c r="C418" s="47" t="s">
        <v>444</v>
      </c>
      <c r="D418" s="48" t="str">
        <f>Source!H279</f>
        <v>шт.</v>
      </c>
      <c r="E418" s="49">
        <f>Source!I279</f>
        <v>430</v>
      </c>
      <c r="F418" s="50">
        <f>Source!AL279</f>
        <v>1.65</v>
      </c>
      <c r="G418" s="51" t="s">
        <v>3</v>
      </c>
      <c r="H418" s="49">
        <f>Source!AW280</f>
        <v>1</v>
      </c>
      <c r="I418" s="50">
        <f>Source!P279</f>
        <v>709.5</v>
      </c>
      <c r="J418" s="49">
        <f>IF(Source!BC280&lt;&gt; 0, Source!BC280, 1)</f>
        <v>11.27</v>
      </c>
      <c r="K418" s="50">
        <f>Source!P280</f>
        <v>7996.07</v>
      </c>
      <c r="Q418">
        <f>Source!X279</f>
        <v>0</v>
      </c>
      <c r="R418">
        <f>Source!X280</f>
        <v>0</v>
      </c>
      <c r="S418">
        <f>Source!Y279</f>
        <v>0</v>
      </c>
      <c r="T418">
        <f>Source!Y280</f>
        <v>0</v>
      </c>
      <c r="U418">
        <f>ROUND((175/100)*ROUND(Source!R279, 2), 2)</f>
        <v>0</v>
      </c>
      <c r="V418">
        <f>ROUND((0/100)*ROUND(Source!R280, 2), 2)</f>
        <v>0</v>
      </c>
      <c r="AC418">
        <v>3</v>
      </c>
    </row>
    <row r="419" spans="1:29" ht="15" x14ac:dyDescent="0.2">
      <c r="C419" s="52" t="s">
        <v>760</v>
      </c>
      <c r="H419" s="53">
        <f>I418+0</f>
        <v>709.5</v>
      </c>
      <c r="I419" s="53"/>
      <c r="J419" s="53">
        <f>K418+0</f>
        <v>7996.07</v>
      </c>
      <c r="K419" s="53"/>
      <c r="O419" s="56">
        <f>I418+0</f>
        <v>709.5</v>
      </c>
      <c r="P419" s="56">
        <f>K418+0</f>
        <v>7996.07</v>
      </c>
    </row>
    <row r="421" spans="1:29" ht="42.75" x14ac:dyDescent="0.2">
      <c r="A421" s="40">
        <v>44</v>
      </c>
      <c r="B421" s="40" t="str">
        <f>Source!F281</f>
        <v>3.13-9-2</v>
      </c>
      <c r="C421" s="40" t="s">
        <v>274</v>
      </c>
      <c r="D421" s="42" t="str">
        <f>Source!H281</f>
        <v>100 м2</v>
      </c>
      <c r="E421" s="41">
        <f>Source!I281</f>
        <v>6.3920000000000003</v>
      </c>
      <c r="F421" s="44"/>
      <c r="G421" s="43"/>
      <c r="H421" s="41"/>
      <c r="I421" s="44"/>
      <c r="J421" s="41"/>
      <c r="K421" s="44"/>
      <c r="Q421">
        <f>Source!X281</f>
        <v>645.91</v>
      </c>
      <c r="R421">
        <f>Source!X282</f>
        <v>36397.120000000003</v>
      </c>
      <c r="S421">
        <f>Source!Y281</f>
        <v>350.44</v>
      </c>
      <c r="T421">
        <f>Source!Y282</f>
        <v>19747.37</v>
      </c>
      <c r="U421">
        <f>ROUND((175/100)*ROUND(Source!R281, 2), 2)</f>
        <v>4.3899999999999997</v>
      </c>
      <c r="V421">
        <f>ROUND((0/100)*ROUND(Source!R282, 2), 2)</f>
        <v>0</v>
      </c>
      <c r="AC421">
        <v>0</v>
      </c>
    </row>
    <row r="422" spans="1:29" ht="38.25" x14ac:dyDescent="0.2">
      <c r="C422" s="70" t="str">
        <f>"Объем: "&amp;Source!I281&amp;"=(590*"&amp;"0,48+"&amp;"800*"&amp;"0,21+"&amp;"900*"&amp;"0,18+"&amp;"200*"&amp;"0,13)/"&amp;"100"</f>
        <v>Объем: 6,392=(590*0,48+800*0,21+900*0,18+200*0,13)/100</v>
      </c>
    </row>
    <row r="423" spans="1:29" ht="14.25" x14ac:dyDescent="0.2">
      <c r="A423" s="40"/>
      <c r="B423" s="40"/>
      <c r="C423" s="40" t="s">
        <v>747</v>
      </c>
      <c r="D423" s="42"/>
      <c r="E423" s="41"/>
      <c r="F423" s="44">
        <f>Source!AO281</f>
        <v>74.13</v>
      </c>
      <c r="G423" s="45" t="s">
        <v>748</v>
      </c>
      <c r="H423" s="41">
        <f>Source!AV282</f>
        <v>1.0469999999999999</v>
      </c>
      <c r="I423" s="44">
        <f>Source!S281</f>
        <v>684.63</v>
      </c>
      <c r="J423" s="41">
        <f>IF(Source!BA282&lt;&gt; 0, Source!BA282, 1)</f>
        <v>56.35</v>
      </c>
      <c r="K423" s="44">
        <f>Source!S282</f>
        <v>38578.9</v>
      </c>
    </row>
    <row r="424" spans="1:29" ht="14.25" x14ac:dyDescent="0.2">
      <c r="A424" s="40"/>
      <c r="B424" s="40"/>
      <c r="C424" s="40" t="s">
        <v>749</v>
      </c>
      <c r="D424" s="42"/>
      <c r="E424" s="41"/>
      <c r="F424" s="44">
        <f>Source!AM281</f>
        <v>13.64</v>
      </c>
      <c r="G424" s="45" t="s">
        <v>750</v>
      </c>
      <c r="H424" s="41">
        <f>Source!AV282</f>
        <v>1.0469999999999999</v>
      </c>
      <c r="I424" s="44">
        <f>Source!Q281</f>
        <v>136.93</v>
      </c>
      <c r="J424" s="41">
        <f>IF(Source!BB282&lt;&gt; 0, Source!BB282, 1)</f>
        <v>11.86</v>
      </c>
      <c r="K424" s="44">
        <f>Source!Q282</f>
        <v>1623.99</v>
      </c>
    </row>
    <row r="425" spans="1:29" ht="14.25" x14ac:dyDescent="0.2">
      <c r="A425" s="40"/>
      <c r="B425" s="40"/>
      <c r="C425" s="40" t="s">
        <v>751</v>
      </c>
      <c r="D425" s="42"/>
      <c r="E425" s="41"/>
      <c r="F425" s="44">
        <f>Source!AN281</f>
        <v>0.25</v>
      </c>
      <c r="G425" s="45" t="s">
        <v>750</v>
      </c>
      <c r="H425" s="41">
        <f>Source!AV282</f>
        <v>1.0469999999999999</v>
      </c>
      <c r="I425" s="46">
        <f>Source!R281</f>
        <v>2.5099999999999998</v>
      </c>
      <c r="J425" s="41">
        <f>IF(Source!BS282&lt;&gt; 0, Source!BS282, 1)</f>
        <v>56.35</v>
      </c>
      <c r="K425" s="46">
        <f>Source!R282</f>
        <v>141.44</v>
      </c>
    </row>
    <row r="426" spans="1:29" ht="14.25" x14ac:dyDescent="0.2">
      <c r="A426" s="40"/>
      <c r="B426" s="40"/>
      <c r="C426" s="40" t="s">
        <v>752</v>
      </c>
      <c r="D426" s="42"/>
      <c r="E426" s="41"/>
      <c r="F426" s="44">
        <f>Source!AL281</f>
        <v>9.44</v>
      </c>
      <c r="G426" s="45" t="s">
        <v>3</v>
      </c>
      <c r="H426" s="41">
        <f>Source!AW282</f>
        <v>1</v>
      </c>
      <c r="I426" s="44">
        <f>Source!P281</f>
        <v>60.34</v>
      </c>
      <c r="J426" s="41">
        <f>IF(Source!BC282&lt;&gt; 0, Source!BC282, 1)</f>
        <v>34.81</v>
      </c>
      <c r="K426" s="44">
        <f>Source!P282</f>
        <v>2100.44</v>
      </c>
    </row>
    <row r="427" spans="1:29" ht="14.25" x14ac:dyDescent="0.2">
      <c r="A427" s="40" t="s">
        <v>447</v>
      </c>
      <c r="B427" s="40" t="str">
        <f>Source!F283</f>
        <v>1.1-1-165</v>
      </c>
      <c r="C427" s="40" t="s">
        <v>281</v>
      </c>
      <c r="D427" s="42" t="str">
        <f>Source!H283</f>
        <v>т</v>
      </c>
      <c r="E427" s="41">
        <f>Source!I283</f>
        <v>5.7527999999999996E-2</v>
      </c>
      <c r="F427" s="44">
        <f>Source!AK283</f>
        <v>18653.07</v>
      </c>
      <c r="G427" s="45" t="s">
        <v>3</v>
      </c>
      <c r="H427" s="41">
        <f>Source!AW284</f>
        <v>1</v>
      </c>
      <c r="I427" s="44">
        <f>Source!O283</f>
        <v>1073.07</v>
      </c>
      <c r="J427" s="41">
        <f>IF(Source!BC284&lt;&gt; 0, Source!BC284, 1)</f>
        <v>3.59</v>
      </c>
      <c r="K427" s="44">
        <f>Source!O284</f>
        <v>3852.32</v>
      </c>
      <c r="Q427">
        <f>Source!X283</f>
        <v>0</v>
      </c>
      <c r="R427">
        <f>Source!X284</f>
        <v>0</v>
      </c>
      <c r="S427">
        <f>Source!Y283</f>
        <v>0</v>
      </c>
      <c r="T427">
        <f>Source!Y284</f>
        <v>0</v>
      </c>
      <c r="U427">
        <f>ROUND((175/100)*ROUND(Source!R283, 2), 2)</f>
        <v>0</v>
      </c>
      <c r="V427">
        <f>ROUND((0/100)*ROUND(Source!R284, 2), 2)</f>
        <v>0</v>
      </c>
      <c r="AC427">
        <v>3</v>
      </c>
    </row>
    <row r="428" spans="1:29" ht="14.25" x14ac:dyDescent="0.2">
      <c r="A428" s="40"/>
      <c r="B428" s="40"/>
      <c r="C428" s="40" t="s">
        <v>753</v>
      </c>
      <c r="D428" s="42" t="s">
        <v>754</v>
      </c>
      <c r="E428" s="41">
        <f>Source!BZ282</f>
        <v>94</v>
      </c>
      <c r="F428" s="44"/>
      <c r="G428" s="43"/>
      <c r="H428" s="41"/>
      <c r="I428" s="44">
        <f>SUM(Q421:Q427)</f>
        <v>645.91</v>
      </c>
      <c r="J428" s="41">
        <f>Source!AT282</f>
        <v>94</v>
      </c>
      <c r="K428" s="44">
        <f>SUM(R421:R427)</f>
        <v>36397.120000000003</v>
      </c>
    </row>
    <row r="429" spans="1:29" ht="14.25" x14ac:dyDescent="0.2">
      <c r="A429" s="40"/>
      <c r="B429" s="40"/>
      <c r="C429" s="40" t="s">
        <v>755</v>
      </c>
      <c r="D429" s="42" t="s">
        <v>754</v>
      </c>
      <c r="E429" s="41">
        <f>Source!CA282</f>
        <v>51</v>
      </c>
      <c r="F429" s="44"/>
      <c r="G429" s="43"/>
      <c r="H429" s="41"/>
      <c r="I429" s="44">
        <f>SUM(S421:S428)</f>
        <v>350.44</v>
      </c>
      <c r="J429" s="41">
        <f>Source!AU282</f>
        <v>51</v>
      </c>
      <c r="K429" s="44">
        <f>SUM(T421:T428)</f>
        <v>19747.37</v>
      </c>
    </row>
    <row r="430" spans="1:29" ht="14.25" x14ac:dyDescent="0.2">
      <c r="A430" s="47"/>
      <c r="B430" s="47"/>
      <c r="C430" s="47" t="s">
        <v>756</v>
      </c>
      <c r="D430" s="48" t="s">
        <v>757</v>
      </c>
      <c r="E430" s="49">
        <f>Source!AQ281</f>
        <v>5.31</v>
      </c>
      <c r="F430" s="50"/>
      <c r="G430" s="51" t="s">
        <v>748</v>
      </c>
      <c r="H430" s="49">
        <f>Source!AV282</f>
        <v>1.0469999999999999</v>
      </c>
      <c r="I430" s="50">
        <f>Source!U281</f>
        <v>49.040744587199988</v>
      </c>
      <c r="J430" s="49"/>
      <c r="K430" s="50"/>
    </row>
    <row r="431" spans="1:29" ht="15" x14ac:dyDescent="0.2">
      <c r="C431" s="52" t="s">
        <v>758</v>
      </c>
      <c r="H431" s="53">
        <f>I423+I424+I426+I428+I429+SUM(I427:I427)-SUMIF(AC427:AC427, 5, I427:I427)-SUMIF(AC427:AC427, 6, I427:I427)</f>
        <v>2951.3199999999997</v>
      </c>
      <c r="I431" s="53"/>
      <c r="J431" s="53">
        <f>K423+K424+K426+K428+K429+SUM(K427:K427)-SUMIF(AC427:AC427, 5, K427:K427)-SUMIF(AC427:AC427, 6, K427:K427)</f>
        <v>102300.14000000001</v>
      </c>
      <c r="K431" s="53"/>
    </row>
    <row r="432" spans="1:29" ht="15" hidden="1" x14ac:dyDescent="0.2">
      <c r="C432" s="52" t="s">
        <v>759</v>
      </c>
      <c r="H432" s="55">
        <f>SUMIF(AC427:AC427, 5, I427:I427)+SUMIF(AC427:AC427, 6, I427:I427)</f>
        <v>0</v>
      </c>
      <c r="I432" s="55"/>
      <c r="J432" s="55">
        <f>SUMIF(AC427:AC427, 5, K427:K427)+SUMIF(AC427:AC427, 6, K427:K427)</f>
        <v>0</v>
      </c>
      <c r="K432" s="55"/>
    </row>
    <row r="433" spans="1:29" ht="15" x14ac:dyDescent="0.2">
      <c r="C433" s="52" t="s">
        <v>760</v>
      </c>
      <c r="H433" s="55">
        <f>I423+I424+I426+I428+I429+SUM(I427:I427)</f>
        <v>2951.3199999999997</v>
      </c>
      <c r="I433" s="55"/>
      <c r="J433" s="55">
        <f>K423+K424+K426+K428+K429+SUM(K427:K427)</f>
        <v>102300.14000000001</v>
      </c>
      <c r="K433" s="55"/>
      <c r="O433" s="56">
        <f>I423+I424+I426+I428+I429+SUM(I427:I427)</f>
        <v>2951.3199999999997</v>
      </c>
      <c r="P433" s="56">
        <f>K423+K424+K426+K428+K429+SUM(K427:K427)</f>
        <v>102300.14000000001</v>
      </c>
    </row>
    <row r="435" spans="1:29" ht="28.5" x14ac:dyDescent="0.2">
      <c r="A435" s="40">
        <v>45</v>
      </c>
      <c r="B435" s="40" t="str">
        <f>Source!F285</f>
        <v>3.13-11-8</v>
      </c>
      <c r="C435" s="40" t="s">
        <v>286</v>
      </c>
      <c r="D435" s="42" t="str">
        <f>Source!H285</f>
        <v>100 м2</v>
      </c>
      <c r="E435" s="41">
        <f>Source!I285</f>
        <v>6.3920000000000003</v>
      </c>
      <c r="F435" s="44"/>
      <c r="G435" s="43"/>
      <c r="H435" s="41"/>
      <c r="I435" s="44"/>
      <c r="J435" s="41"/>
      <c r="K435" s="44"/>
      <c r="Q435">
        <f>Source!X285</f>
        <v>222.43</v>
      </c>
      <c r="R435">
        <f>Source!X286</f>
        <v>12534.05</v>
      </c>
      <c r="S435">
        <f>Source!Y285</f>
        <v>120.68</v>
      </c>
      <c r="T435">
        <f>Source!Y286</f>
        <v>6800.39</v>
      </c>
      <c r="U435">
        <f>ROUND((175/100)*ROUND(Source!R285, 2), 2)</f>
        <v>4.3899999999999997</v>
      </c>
      <c r="V435">
        <f>ROUND((0/100)*ROUND(Source!R286, 2), 2)</f>
        <v>0</v>
      </c>
      <c r="AC435">
        <v>0</v>
      </c>
    </row>
    <row r="436" spans="1:29" x14ac:dyDescent="0.2">
      <c r="C436" s="70" t="str">
        <f>"Объем: "&amp;Source!I285&amp;"=(639,2)/"&amp;"100"</f>
        <v>Объем: 6,392=(639,2)/100</v>
      </c>
    </row>
    <row r="437" spans="1:29" ht="14.25" x14ac:dyDescent="0.2">
      <c r="A437" s="40"/>
      <c r="B437" s="40"/>
      <c r="C437" s="40" t="s">
        <v>747</v>
      </c>
      <c r="D437" s="42"/>
      <c r="E437" s="41"/>
      <c r="F437" s="44">
        <f>Source!AO285</f>
        <v>25.35</v>
      </c>
      <c r="G437" s="45" t="s">
        <v>748</v>
      </c>
      <c r="H437" s="41">
        <f>Source!AV286</f>
        <v>1.0469999999999999</v>
      </c>
      <c r="I437" s="44">
        <f>Source!S285</f>
        <v>234.12</v>
      </c>
      <c r="J437" s="41">
        <f>IF(Source!BA286&lt;&gt; 0, Source!BA286, 1)</f>
        <v>56.35</v>
      </c>
      <c r="K437" s="44">
        <f>Source!S286</f>
        <v>13192.66</v>
      </c>
    </row>
    <row r="438" spans="1:29" ht="14.25" x14ac:dyDescent="0.2">
      <c r="A438" s="40"/>
      <c r="B438" s="40"/>
      <c r="C438" s="40" t="s">
        <v>749</v>
      </c>
      <c r="D438" s="42"/>
      <c r="E438" s="41"/>
      <c r="F438" s="44">
        <f>Source!AM285</f>
        <v>1.98</v>
      </c>
      <c r="G438" s="45" t="s">
        <v>750</v>
      </c>
      <c r="H438" s="41">
        <f>Source!AV286</f>
        <v>1.0469999999999999</v>
      </c>
      <c r="I438" s="44">
        <f>Source!Q285</f>
        <v>19.88</v>
      </c>
      <c r="J438" s="41">
        <f>IF(Source!BB286&lt;&gt; 0, Source!BB286, 1)</f>
        <v>16.54</v>
      </c>
      <c r="K438" s="44">
        <f>Source!Q286</f>
        <v>328.82</v>
      </c>
    </row>
    <row r="439" spans="1:29" ht="14.25" x14ac:dyDescent="0.2">
      <c r="A439" s="40"/>
      <c r="B439" s="40"/>
      <c r="C439" s="40" t="s">
        <v>751</v>
      </c>
      <c r="D439" s="42"/>
      <c r="E439" s="41"/>
      <c r="F439" s="44">
        <f>Source!AN285</f>
        <v>0.25</v>
      </c>
      <c r="G439" s="45" t="s">
        <v>750</v>
      </c>
      <c r="H439" s="41">
        <f>Source!AV286</f>
        <v>1.0469999999999999</v>
      </c>
      <c r="I439" s="46">
        <f>Source!R285</f>
        <v>2.5099999999999998</v>
      </c>
      <c r="J439" s="41">
        <f>IF(Source!BS286&lt;&gt; 0, Source!BS286, 1)</f>
        <v>56.35</v>
      </c>
      <c r="K439" s="46">
        <f>Source!R286</f>
        <v>141.44</v>
      </c>
    </row>
    <row r="440" spans="1:29" ht="14.25" x14ac:dyDescent="0.2">
      <c r="A440" s="40"/>
      <c r="B440" s="40"/>
      <c r="C440" s="40" t="s">
        <v>752</v>
      </c>
      <c r="D440" s="42"/>
      <c r="E440" s="41"/>
      <c r="F440" s="44">
        <f>Source!AL285</f>
        <v>287.54000000000002</v>
      </c>
      <c r="G440" s="45" t="s">
        <v>3</v>
      </c>
      <c r="H440" s="41">
        <f>Source!AW286</f>
        <v>1</v>
      </c>
      <c r="I440" s="44">
        <f>Source!P285</f>
        <v>1837.96</v>
      </c>
      <c r="J440" s="41">
        <f>IF(Source!BC286&lt;&gt; 0, Source!BC286, 1)</f>
        <v>3.45</v>
      </c>
      <c r="K440" s="44">
        <f>Source!P286</f>
        <v>6340.96</v>
      </c>
    </row>
    <row r="441" spans="1:29" ht="14.25" x14ac:dyDescent="0.2">
      <c r="A441" s="40"/>
      <c r="B441" s="40"/>
      <c r="C441" s="40" t="s">
        <v>753</v>
      </c>
      <c r="D441" s="42" t="s">
        <v>754</v>
      </c>
      <c r="E441" s="41">
        <f>Source!BZ286</f>
        <v>94</v>
      </c>
      <c r="F441" s="44"/>
      <c r="G441" s="43"/>
      <c r="H441" s="41"/>
      <c r="I441" s="44">
        <f>SUM(Q435:Q440)</f>
        <v>222.43</v>
      </c>
      <c r="J441" s="41">
        <f>Source!AT286</f>
        <v>94</v>
      </c>
      <c r="K441" s="44">
        <f>SUM(R435:R440)</f>
        <v>12534.05</v>
      </c>
    </row>
    <row r="442" spans="1:29" ht="14.25" x14ac:dyDescent="0.2">
      <c r="A442" s="40"/>
      <c r="B442" s="40"/>
      <c r="C442" s="40" t="s">
        <v>755</v>
      </c>
      <c r="D442" s="42" t="s">
        <v>754</v>
      </c>
      <c r="E442" s="41">
        <f>Source!CA286</f>
        <v>51</v>
      </c>
      <c r="F442" s="44"/>
      <c r="G442" s="43"/>
      <c r="H442" s="41"/>
      <c r="I442" s="44">
        <f>SUM(S435:S441)</f>
        <v>120.68</v>
      </c>
      <c r="J442" s="41">
        <f>Source!AU286</f>
        <v>51</v>
      </c>
      <c r="K442" s="44">
        <f>SUM(T435:T441)</f>
        <v>6800.39</v>
      </c>
    </row>
    <row r="443" spans="1:29" ht="14.25" x14ac:dyDescent="0.2">
      <c r="A443" s="47"/>
      <c r="B443" s="47"/>
      <c r="C443" s="47" t="s">
        <v>756</v>
      </c>
      <c r="D443" s="48" t="s">
        <v>757</v>
      </c>
      <c r="E443" s="49">
        <f>Source!AQ285</f>
        <v>2.13</v>
      </c>
      <c r="F443" s="50"/>
      <c r="G443" s="51" t="s">
        <v>748</v>
      </c>
      <c r="H443" s="49">
        <f>Source!AV286</f>
        <v>1.0469999999999999</v>
      </c>
      <c r="I443" s="50">
        <f>Source!U285</f>
        <v>19.671711105599993</v>
      </c>
      <c r="J443" s="49"/>
      <c r="K443" s="50"/>
    </row>
    <row r="444" spans="1:29" ht="15" x14ac:dyDescent="0.2">
      <c r="C444" s="52" t="s">
        <v>758</v>
      </c>
      <c r="H444" s="53">
        <f>I437+I438+I440+I441+I442+0-0-0</f>
        <v>2435.0699999999997</v>
      </c>
      <c r="I444" s="53"/>
      <c r="J444" s="53">
        <f>K437+K438+K440+K441+K442+0-0-0</f>
        <v>39196.879999999997</v>
      </c>
      <c r="K444" s="53"/>
    </row>
    <row r="445" spans="1:29" ht="15" hidden="1" x14ac:dyDescent="0.2">
      <c r="C445" s="52" t="s">
        <v>759</v>
      </c>
      <c r="H445" s="55">
        <f>0+0</f>
        <v>0</v>
      </c>
      <c r="I445" s="55"/>
      <c r="J445" s="55">
        <f>0+0</f>
        <v>0</v>
      </c>
      <c r="K445" s="55"/>
    </row>
    <row r="446" spans="1:29" ht="15" x14ac:dyDescent="0.2">
      <c r="C446" s="52" t="s">
        <v>760</v>
      </c>
      <c r="H446" s="55">
        <f>I437+I438+I440+I441+I442+0</f>
        <v>2435.0699999999997</v>
      </c>
      <c r="I446" s="55"/>
      <c r="J446" s="55">
        <f>K437+K438+K440+K441+K442+0</f>
        <v>39196.879999999997</v>
      </c>
      <c r="K446" s="55"/>
      <c r="O446" s="56">
        <f>I437+I438+I440+I441+I442+0</f>
        <v>2435.0699999999997</v>
      </c>
      <c r="P446" s="56">
        <f>K437+K438+K440+K441+K442+0</f>
        <v>39196.879999999997</v>
      </c>
    </row>
    <row r="449" spans="1:43" ht="15" x14ac:dyDescent="0.25">
      <c r="A449" s="71" t="str">
        <f>CONCATENATE("Итого по разделу: ",IF(Source!G288&lt;&gt;"Новый раздел", Source!G288, ""))</f>
        <v>Итого по разделу: Автоматическая установка водяного пожаротушения.</v>
      </c>
      <c r="B449" s="71"/>
      <c r="C449" s="71"/>
      <c r="D449" s="71"/>
      <c r="E449" s="71"/>
      <c r="F449" s="71"/>
      <c r="G449" s="71"/>
      <c r="H449" s="55">
        <f>SUM(O282:O448)</f>
        <v>466208.01</v>
      </c>
      <c r="I449" s="54"/>
      <c r="J449" s="55">
        <f>SUM(P282:P448)</f>
        <v>13075836.200000001</v>
      </c>
      <c r="K449" s="54"/>
      <c r="AQ449" s="72" t="str">
        <f>CONCATENATE("Итого по разделу: ",IF(Source!G288&lt;&gt;"Новый раздел", Source!G288, ""))</f>
        <v>Итого по разделу: Автоматическая установка водяного пожаротушения.</v>
      </c>
    </row>
    <row r="450" spans="1:43" hidden="1" x14ac:dyDescent="0.2">
      <c r="A450" t="s">
        <v>764</v>
      </c>
      <c r="I450">
        <f>SUM(W282:W449)</f>
        <v>0</v>
      </c>
      <c r="J450">
        <f>SUM(X282:X449)</f>
        <v>0</v>
      </c>
    </row>
    <row r="451" spans="1:43" hidden="1" x14ac:dyDescent="0.2">
      <c r="A451" t="s">
        <v>765</v>
      </c>
      <c r="I451">
        <f>SUM(Y282:Y450)</f>
        <v>0</v>
      </c>
      <c r="J451">
        <f>SUM(Z282:Z450)</f>
        <v>0</v>
      </c>
    </row>
    <row r="453" spans="1:43" ht="15" x14ac:dyDescent="0.25">
      <c r="A453" s="71" t="str">
        <f>CONCATENATE("Итого по локальной смете: ",IF(Source!G318&lt;&gt;"Новая локальная смета", Source!G318, ""))</f>
        <v>Итого по локальной смете: Спринклерное пожаротушение.</v>
      </c>
      <c r="B453" s="71"/>
      <c r="C453" s="71"/>
      <c r="D453" s="71"/>
      <c r="E453" s="71"/>
      <c r="F453" s="71"/>
      <c r="G453" s="71"/>
      <c r="H453" s="55">
        <f>SUM(O29:O452)</f>
        <v>754654.1</v>
      </c>
      <c r="I453" s="54"/>
      <c r="J453" s="55">
        <f>SUM(P29:P452)</f>
        <v>15937030.590000002</v>
      </c>
      <c r="K453" s="54"/>
    </row>
    <row r="454" spans="1:43" hidden="1" x14ac:dyDescent="0.2">
      <c r="A454" t="s">
        <v>764</v>
      </c>
      <c r="I454">
        <f>SUM(W29:W453)</f>
        <v>0</v>
      </c>
      <c r="J454">
        <f>SUM(X29:X453)</f>
        <v>0</v>
      </c>
    </row>
    <row r="455" spans="1:43" hidden="1" x14ac:dyDescent="0.2">
      <c r="A455" t="s">
        <v>765</v>
      </c>
      <c r="I455">
        <f>SUM(Y29:Y454)</f>
        <v>0</v>
      </c>
      <c r="J455">
        <f>SUM(Z29:Z454)</f>
        <v>0</v>
      </c>
    </row>
    <row r="456" spans="1:43" ht="14.25" x14ac:dyDescent="0.2">
      <c r="C456" s="73" t="str">
        <f>Source!H347</f>
        <v>Итого</v>
      </c>
      <c r="D456" s="73"/>
      <c r="E456" s="73"/>
      <c r="F456" s="73"/>
      <c r="G456" s="73"/>
      <c r="H456" s="74">
        <f>Source!F347</f>
        <v>754654.1</v>
      </c>
      <c r="I456" s="74"/>
      <c r="J456" s="74">
        <f>Source!P347</f>
        <v>15937030.59</v>
      </c>
      <c r="K456" s="74"/>
    </row>
    <row r="457" spans="1:43" ht="14.25" x14ac:dyDescent="0.2">
      <c r="C457" s="73" t="str">
        <f>Source!H348</f>
        <v>НДС 20%</v>
      </c>
      <c r="D457" s="73"/>
      <c r="E457" s="73"/>
      <c r="F457" s="73"/>
      <c r="G457" s="73"/>
      <c r="H457" s="74">
        <f>Source!F348</f>
        <v>150930.82</v>
      </c>
      <c r="I457" s="74"/>
      <c r="J457" s="74">
        <f>Source!P348</f>
        <v>3187406.12</v>
      </c>
      <c r="K457" s="74"/>
    </row>
    <row r="458" spans="1:43" ht="14.25" x14ac:dyDescent="0.2">
      <c r="C458" s="73" t="str">
        <f>Source!H349</f>
        <v>Всего</v>
      </c>
      <c r="D458" s="73"/>
      <c r="E458" s="73"/>
      <c r="F458" s="73"/>
      <c r="G458" s="73"/>
      <c r="H458" s="74">
        <f>Source!F349</f>
        <v>905584.92</v>
      </c>
      <c r="I458" s="74"/>
      <c r="J458" s="74">
        <f>Source!P349</f>
        <v>19124436.710000001</v>
      </c>
      <c r="K458" s="74"/>
    </row>
    <row r="460" spans="1:43" ht="15" x14ac:dyDescent="0.25">
      <c r="A460" s="71" t="str">
        <f>CONCATENATE("Итого по смете: ",IF(Source!G351&lt;&gt;"Новый объект", Source!G351, ""))</f>
        <v>Итого по смете: 02-01-21 Спринклерное пожаротушение</v>
      </c>
      <c r="B460" s="71"/>
      <c r="C460" s="71"/>
      <c r="D460" s="71"/>
      <c r="E460" s="71"/>
      <c r="F460" s="71"/>
      <c r="G460" s="71"/>
      <c r="H460" s="55">
        <f>SUM(O1:O459)</f>
        <v>754654.1</v>
      </c>
      <c r="I460" s="54"/>
      <c r="J460" s="55">
        <f>SUM(P1:P459)</f>
        <v>15937030.590000002</v>
      </c>
      <c r="K460" s="54"/>
    </row>
    <row r="461" spans="1:43" hidden="1" x14ac:dyDescent="0.2">
      <c r="A461" t="s">
        <v>764</v>
      </c>
      <c r="I461">
        <f>SUM(W1:W460)</f>
        <v>0</v>
      </c>
      <c r="J461">
        <f>SUM(X1:X460)</f>
        <v>0</v>
      </c>
    </row>
    <row r="462" spans="1:43" hidden="1" x14ac:dyDescent="0.2">
      <c r="A462" t="s">
        <v>765</v>
      </c>
      <c r="I462">
        <f>SUM(Y1:Y461)</f>
        <v>0</v>
      </c>
      <c r="J462">
        <f>SUM(Z1:Z461)</f>
        <v>0</v>
      </c>
    </row>
    <row r="463" spans="1:43" ht="14.25" x14ac:dyDescent="0.2">
      <c r="C463" s="73" t="str">
        <f>Source!H380</f>
        <v>Итого</v>
      </c>
      <c r="D463" s="73"/>
      <c r="E463" s="73"/>
      <c r="F463" s="73"/>
      <c r="G463" s="73"/>
      <c r="H463" s="74">
        <f>Source!F380</f>
        <v>754654.1</v>
      </c>
      <c r="I463" s="74"/>
      <c r="J463" s="74">
        <f>Source!P380</f>
        <v>15937030.59</v>
      </c>
      <c r="K463" s="74"/>
    </row>
    <row r="466" spans="1:11" ht="14.25" x14ac:dyDescent="0.2">
      <c r="A466" s="75" t="s">
        <v>770</v>
      </c>
      <c r="B466" s="75"/>
      <c r="C466" s="76" t="str">
        <f>IF(Source!AC12&lt;&gt;"", Source!AC12," ")</f>
        <v>Ведущий инженер-сметчик</v>
      </c>
      <c r="D466" s="76"/>
      <c r="E466" s="76"/>
      <c r="F466" s="76"/>
      <c r="G466" s="76"/>
      <c r="H466" s="29" t="str">
        <f>IF(Source!AB12&lt;&gt;"", Source!AB12," ")</f>
        <v>Гришечкина О.А.</v>
      </c>
      <c r="I466" s="29"/>
      <c r="J466" s="29"/>
      <c r="K466" s="29"/>
    </row>
    <row r="467" spans="1:11" ht="14.25" x14ac:dyDescent="0.2">
      <c r="A467" s="16"/>
      <c r="B467" s="16"/>
      <c r="C467" s="18" t="s">
        <v>771</v>
      </c>
      <c r="D467" s="18"/>
      <c r="E467" s="18"/>
      <c r="F467" s="18"/>
      <c r="G467" s="18"/>
      <c r="H467" s="16"/>
      <c r="I467" s="16"/>
      <c r="J467" s="16"/>
      <c r="K467" s="16"/>
    </row>
    <row r="468" spans="1:11" ht="14.25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 spans="1:11" ht="14.25" x14ac:dyDescent="0.2">
      <c r="A469" s="75" t="s">
        <v>772</v>
      </c>
      <c r="B469" s="75"/>
      <c r="C469" s="76" t="str">
        <f>IF(Source!AE12&lt;&gt;"", Source!AE12," ")</f>
        <v>Руководитель сметного отдела</v>
      </c>
      <c r="D469" s="76"/>
      <c r="E469" s="76"/>
      <c r="F469" s="76"/>
      <c r="G469" s="76"/>
      <c r="H469" s="29" t="str">
        <f>IF(Source!AD12&lt;&gt;"", Source!AD12," ")</f>
        <v>Феденко И.В.</v>
      </c>
      <c r="I469" s="29"/>
      <c r="J469" s="29"/>
      <c r="K469" s="29"/>
    </row>
    <row r="470" spans="1:11" ht="14.25" x14ac:dyDescent="0.2">
      <c r="A470" s="16"/>
      <c r="B470" s="16"/>
      <c r="C470" s="18" t="s">
        <v>771</v>
      </c>
      <c r="D470" s="18"/>
      <c r="E470" s="18"/>
      <c r="F470" s="18"/>
      <c r="G470" s="18"/>
      <c r="H470" s="16"/>
      <c r="I470" s="16"/>
      <c r="J470" s="16"/>
      <c r="K470" s="16"/>
    </row>
  </sheetData>
  <mergeCells count="248">
    <mergeCell ref="A466:B466"/>
    <mergeCell ref="H466:K466"/>
    <mergeCell ref="C467:G467"/>
    <mergeCell ref="A469:B469"/>
    <mergeCell ref="H469:K469"/>
    <mergeCell ref="C470:G470"/>
    <mergeCell ref="J460:K460"/>
    <mergeCell ref="H460:I460"/>
    <mergeCell ref="A460:G460"/>
    <mergeCell ref="C463:G463"/>
    <mergeCell ref="H463:I463"/>
    <mergeCell ref="J463:K463"/>
    <mergeCell ref="C457:G457"/>
    <mergeCell ref="H457:I457"/>
    <mergeCell ref="J457:K457"/>
    <mergeCell ref="C458:G458"/>
    <mergeCell ref="H458:I458"/>
    <mergeCell ref="J458:K458"/>
    <mergeCell ref="A449:G449"/>
    <mergeCell ref="J453:K453"/>
    <mergeCell ref="H453:I453"/>
    <mergeCell ref="A453:G453"/>
    <mergeCell ref="C456:G456"/>
    <mergeCell ref="H456:I456"/>
    <mergeCell ref="J456:K456"/>
    <mergeCell ref="H445:I445"/>
    <mergeCell ref="J445:K445"/>
    <mergeCell ref="H446:I446"/>
    <mergeCell ref="J446:K446"/>
    <mergeCell ref="J449:K449"/>
    <mergeCell ref="H449:I449"/>
    <mergeCell ref="H432:I432"/>
    <mergeCell ref="J432:K432"/>
    <mergeCell ref="H433:I433"/>
    <mergeCell ref="J433:K433"/>
    <mergeCell ref="H444:I444"/>
    <mergeCell ref="J444:K444"/>
    <mergeCell ref="H416:I416"/>
    <mergeCell ref="J416:K416"/>
    <mergeCell ref="H419:I419"/>
    <mergeCell ref="J419:K419"/>
    <mergeCell ref="H431:I431"/>
    <mergeCell ref="J431:K431"/>
    <mergeCell ref="H411:I411"/>
    <mergeCell ref="J411:K411"/>
    <mergeCell ref="H412:I412"/>
    <mergeCell ref="J412:K412"/>
    <mergeCell ref="H413:I413"/>
    <mergeCell ref="J413:K413"/>
    <mergeCell ref="H400:I400"/>
    <mergeCell ref="J400:K400"/>
    <mergeCell ref="H401:I401"/>
    <mergeCell ref="J401:K401"/>
    <mergeCell ref="H402:I402"/>
    <mergeCell ref="J402:K402"/>
    <mergeCell ref="H386:I386"/>
    <mergeCell ref="J386:K386"/>
    <mergeCell ref="H387:I387"/>
    <mergeCell ref="J387:K387"/>
    <mergeCell ref="H390:I390"/>
    <mergeCell ref="J390:K390"/>
    <mergeCell ref="H373:I373"/>
    <mergeCell ref="J373:K373"/>
    <mergeCell ref="H374:I374"/>
    <mergeCell ref="J374:K374"/>
    <mergeCell ref="H385:I385"/>
    <mergeCell ref="J385:K385"/>
    <mergeCell ref="H355:I355"/>
    <mergeCell ref="J355:K355"/>
    <mergeCell ref="H358:I358"/>
    <mergeCell ref="J358:K358"/>
    <mergeCell ref="H372:I372"/>
    <mergeCell ref="J372:K372"/>
    <mergeCell ref="H350:I350"/>
    <mergeCell ref="J350:K350"/>
    <mergeCell ref="H351:I351"/>
    <mergeCell ref="J351:K351"/>
    <mergeCell ref="H352:I352"/>
    <mergeCell ref="J352:K352"/>
    <mergeCell ref="H334:I334"/>
    <mergeCell ref="J334:K334"/>
    <mergeCell ref="H335:I335"/>
    <mergeCell ref="J335:K335"/>
    <mergeCell ref="H338:I338"/>
    <mergeCell ref="J338:K338"/>
    <mergeCell ref="H323:I323"/>
    <mergeCell ref="J323:K323"/>
    <mergeCell ref="H324:I324"/>
    <mergeCell ref="J324:K324"/>
    <mergeCell ref="H333:I333"/>
    <mergeCell ref="J333:K333"/>
    <mergeCell ref="H310:I310"/>
    <mergeCell ref="J310:K310"/>
    <mergeCell ref="H311:I311"/>
    <mergeCell ref="J311:K311"/>
    <mergeCell ref="H322:I322"/>
    <mergeCell ref="J322:K322"/>
    <mergeCell ref="H295:I295"/>
    <mergeCell ref="J295:K295"/>
    <mergeCell ref="H298:I298"/>
    <mergeCell ref="J298:K298"/>
    <mergeCell ref="H309:I309"/>
    <mergeCell ref="J309:K309"/>
    <mergeCell ref="A278:G278"/>
    <mergeCell ref="A282:K282"/>
    <mergeCell ref="H293:I293"/>
    <mergeCell ref="J293:K293"/>
    <mergeCell ref="H294:I294"/>
    <mergeCell ref="J294:K294"/>
    <mergeCell ref="H272:I272"/>
    <mergeCell ref="J272:K272"/>
    <mergeCell ref="H275:I275"/>
    <mergeCell ref="J275:K275"/>
    <mergeCell ref="J278:K278"/>
    <mergeCell ref="H278:I278"/>
    <mergeCell ref="H260:I260"/>
    <mergeCell ref="J260:K260"/>
    <mergeCell ref="H270:I270"/>
    <mergeCell ref="J270:K270"/>
    <mergeCell ref="H271:I271"/>
    <mergeCell ref="J271:K271"/>
    <mergeCell ref="H247:I247"/>
    <mergeCell ref="J247:K247"/>
    <mergeCell ref="H258:I258"/>
    <mergeCell ref="J258:K258"/>
    <mergeCell ref="H259:I259"/>
    <mergeCell ref="J259:K259"/>
    <mergeCell ref="H233:I233"/>
    <mergeCell ref="J233:K233"/>
    <mergeCell ref="H245:I245"/>
    <mergeCell ref="J245:K245"/>
    <mergeCell ref="H246:I246"/>
    <mergeCell ref="J246:K246"/>
    <mergeCell ref="H219:I219"/>
    <mergeCell ref="J219:K219"/>
    <mergeCell ref="H231:I231"/>
    <mergeCell ref="J231:K231"/>
    <mergeCell ref="H232:I232"/>
    <mergeCell ref="J232:K232"/>
    <mergeCell ref="H210:I210"/>
    <mergeCell ref="J210:K210"/>
    <mergeCell ref="H213:I213"/>
    <mergeCell ref="J213:K213"/>
    <mergeCell ref="H216:I216"/>
    <mergeCell ref="J216:K216"/>
    <mergeCell ref="H205:I205"/>
    <mergeCell ref="J205:K205"/>
    <mergeCell ref="H206:I206"/>
    <mergeCell ref="J206:K206"/>
    <mergeCell ref="H207:I207"/>
    <mergeCell ref="J207:K207"/>
    <mergeCell ref="H190:I190"/>
    <mergeCell ref="J190:K190"/>
    <mergeCell ref="H191:I191"/>
    <mergeCell ref="J191:K191"/>
    <mergeCell ref="H192:I192"/>
    <mergeCell ref="J192:K192"/>
    <mergeCell ref="H172:I172"/>
    <mergeCell ref="J172:K172"/>
    <mergeCell ref="H175:I175"/>
    <mergeCell ref="J175:K175"/>
    <mergeCell ref="H178:I178"/>
    <mergeCell ref="J178:K178"/>
    <mergeCell ref="H157:I157"/>
    <mergeCell ref="J157:K157"/>
    <mergeCell ref="H170:I170"/>
    <mergeCell ref="J170:K170"/>
    <mergeCell ref="H171:I171"/>
    <mergeCell ref="J171:K171"/>
    <mergeCell ref="H142:I142"/>
    <mergeCell ref="J142:K142"/>
    <mergeCell ref="H155:I155"/>
    <mergeCell ref="J155:K155"/>
    <mergeCell ref="H156:I156"/>
    <mergeCell ref="J156:K156"/>
    <mergeCell ref="H128:I128"/>
    <mergeCell ref="J128:K128"/>
    <mergeCell ref="H140:I140"/>
    <mergeCell ref="J140:K140"/>
    <mergeCell ref="H141:I141"/>
    <mergeCell ref="J141:K141"/>
    <mergeCell ref="H121:I121"/>
    <mergeCell ref="J121:K121"/>
    <mergeCell ref="H122:I122"/>
    <mergeCell ref="J122:K122"/>
    <mergeCell ref="H125:I125"/>
    <mergeCell ref="J125:K125"/>
    <mergeCell ref="H104:I104"/>
    <mergeCell ref="J104:K104"/>
    <mergeCell ref="H107:I107"/>
    <mergeCell ref="J107:K107"/>
    <mergeCell ref="H120:I120"/>
    <mergeCell ref="J120:K120"/>
    <mergeCell ref="H91:I91"/>
    <mergeCell ref="J91:K91"/>
    <mergeCell ref="H102:I102"/>
    <mergeCell ref="J102:K102"/>
    <mergeCell ref="H103:I103"/>
    <mergeCell ref="J103:K103"/>
    <mergeCell ref="H78:I78"/>
    <mergeCell ref="J78:K78"/>
    <mergeCell ref="H89:I89"/>
    <mergeCell ref="J89:K89"/>
    <mergeCell ref="H90:I90"/>
    <mergeCell ref="J90:K90"/>
    <mergeCell ref="H73:I73"/>
    <mergeCell ref="J73:K73"/>
    <mergeCell ref="H74:I74"/>
    <mergeCell ref="J74:K74"/>
    <mergeCell ref="H75:I75"/>
    <mergeCell ref="J75:K75"/>
    <mergeCell ref="H64:I64"/>
    <mergeCell ref="J64:K64"/>
    <mergeCell ref="H65:I65"/>
    <mergeCell ref="J65:K65"/>
    <mergeCell ref="H66:I66"/>
    <mergeCell ref="J66:K66"/>
    <mergeCell ref="H52:I52"/>
    <mergeCell ref="J52:K52"/>
    <mergeCell ref="H53:I53"/>
    <mergeCell ref="J53:K53"/>
    <mergeCell ref="H54:I54"/>
    <mergeCell ref="J54:K54"/>
    <mergeCell ref="A31:K31"/>
    <mergeCell ref="H40:I40"/>
    <mergeCell ref="J40:K40"/>
    <mergeCell ref="H41:I41"/>
    <mergeCell ref="J41:K41"/>
    <mergeCell ref="H42:I42"/>
    <mergeCell ref="J42:K42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01"/>
  <sheetViews>
    <sheetView workbookViewId="0">
      <selection activeCell="A397" sqref="A397:AX397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74598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393</v>
      </c>
      <c r="C12" s="10">
        <v>0</v>
      </c>
      <c r="D12" s="10">
        <f>ROW(A351)</f>
        <v>351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B351</f>
        <v>393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02-01-21</v>
      </c>
      <c r="G18" s="11" t="str">
        <f t="shared" si="0"/>
        <v>02-01-21 Спринклерное пожаротушение</v>
      </c>
      <c r="H18" s="11"/>
      <c r="I18" s="11"/>
      <c r="J18" s="11"/>
      <c r="K18" s="11"/>
      <c r="L18" s="11"/>
      <c r="M18" s="11"/>
      <c r="N18" s="11"/>
      <c r="O18" s="11">
        <f t="shared" ref="O18:AT18" si="1">O351</f>
        <v>645901.78</v>
      </c>
      <c r="P18" s="11">
        <f t="shared" si="1"/>
        <v>549189.04</v>
      </c>
      <c r="Q18" s="11">
        <f t="shared" si="1"/>
        <v>21097.16</v>
      </c>
      <c r="R18" s="11">
        <f t="shared" si="1"/>
        <v>3867.38</v>
      </c>
      <c r="S18" s="11">
        <f t="shared" si="1"/>
        <v>75615.58</v>
      </c>
      <c r="T18" s="11">
        <f t="shared" si="1"/>
        <v>0</v>
      </c>
      <c r="U18" s="11">
        <f t="shared" si="1"/>
        <v>6037.8927298559984</v>
      </c>
      <c r="V18" s="11">
        <f t="shared" si="1"/>
        <v>0</v>
      </c>
      <c r="W18" s="11">
        <f t="shared" si="1"/>
        <v>0</v>
      </c>
      <c r="X18" s="11">
        <f t="shared" si="1"/>
        <v>71862.73</v>
      </c>
      <c r="Y18" s="11">
        <f t="shared" si="1"/>
        <v>36889.589999999997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208792.43</v>
      </c>
      <c r="AQ18" s="11">
        <f t="shared" si="1"/>
        <v>0</v>
      </c>
      <c r="AR18" s="11">
        <f t="shared" si="1"/>
        <v>754654.1</v>
      </c>
      <c r="AS18" s="11">
        <f t="shared" si="1"/>
        <v>17004.48</v>
      </c>
      <c r="AT18" s="11">
        <f t="shared" si="1"/>
        <v>528857.18999999994</v>
      </c>
      <c r="AU18" s="11">
        <f t="shared" ref="AU18:BZ18" si="2">AU351</f>
        <v>0</v>
      </c>
      <c r="AV18" s="11">
        <f t="shared" si="2"/>
        <v>549189.04</v>
      </c>
      <c r="AW18" s="11">
        <f t="shared" si="2"/>
        <v>340396.61</v>
      </c>
      <c r="AX18" s="11">
        <f t="shared" si="2"/>
        <v>0</v>
      </c>
      <c r="AY18" s="11">
        <f t="shared" si="2"/>
        <v>340396.61</v>
      </c>
      <c r="AZ18" s="11">
        <f t="shared" si="2"/>
        <v>208792.43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CA351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DG351</f>
        <v>9808836.4000000004</v>
      </c>
      <c r="DH18" s="12">
        <f t="shared" si="4"/>
        <v>5125710.22</v>
      </c>
      <c r="DI18" s="12">
        <f t="shared" si="4"/>
        <v>422188.25</v>
      </c>
      <c r="DJ18" s="12">
        <f t="shared" si="4"/>
        <v>217926.87</v>
      </c>
      <c r="DK18" s="12">
        <f t="shared" si="4"/>
        <v>4260937.93</v>
      </c>
      <c r="DL18" s="12">
        <f t="shared" si="4"/>
        <v>0</v>
      </c>
      <c r="DM18" s="12">
        <f t="shared" si="4"/>
        <v>6037.8927298559984</v>
      </c>
      <c r="DN18" s="12">
        <f t="shared" si="4"/>
        <v>0</v>
      </c>
      <c r="DO18" s="12">
        <f t="shared" si="4"/>
        <v>0</v>
      </c>
      <c r="DP18" s="12">
        <f t="shared" si="4"/>
        <v>4049465.46</v>
      </c>
      <c r="DQ18" s="12">
        <f t="shared" si="4"/>
        <v>2078728.73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1580558.69</v>
      </c>
      <c r="EI18" s="12">
        <f t="shared" si="4"/>
        <v>0</v>
      </c>
      <c r="EJ18" s="12">
        <f t="shared" si="4"/>
        <v>15937030.59</v>
      </c>
      <c r="EK18" s="12">
        <f t="shared" si="4"/>
        <v>410915.08</v>
      </c>
      <c r="EL18" s="12">
        <f t="shared" si="4"/>
        <v>13945556.82</v>
      </c>
      <c r="EM18" s="12">
        <f t="shared" ref="EM18:FR18" si="5">EM351</f>
        <v>0</v>
      </c>
      <c r="EN18" s="12">
        <f t="shared" si="5"/>
        <v>5125710.22</v>
      </c>
      <c r="EO18" s="12">
        <f t="shared" si="5"/>
        <v>3545151.53</v>
      </c>
      <c r="EP18" s="12">
        <f t="shared" si="5"/>
        <v>0</v>
      </c>
      <c r="EQ18" s="12">
        <f t="shared" si="5"/>
        <v>3545151.53</v>
      </c>
      <c r="ER18" s="12">
        <f t="shared" si="5"/>
        <v>1580558.69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FS351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ROW(A318)</f>
        <v>318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8</v>
      </c>
      <c r="AC20" s="10" t="s">
        <v>9</v>
      </c>
      <c r="AD20" s="10" t="s">
        <v>10</v>
      </c>
      <c r="AE20" s="10" t="s">
        <v>11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B318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02-01-21</v>
      </c>
      <c r="G22" s="11" t="str">
        <f t="shared" si="7"/>
        <v>Спринклерное пожаротушение.</v>
      </c>
      <c r="H22" s="11"/>
      <c r="I22" s="11"/>
      <c r="J22" s="11"/>
      <c r="K22" s="11"/>
      <c r="L22" s="11"/>
      <c r="M22" s="11"/>
      <c r="N22" s="11"/>
      <c r="O22" s="11">
        <f t="shared" ref="O22:AT22" si="8">O318</f>
        <v>645901.78</v>
      </c>
      <c r="P22" s="11">
        <f t="shared" si="8"/>
        <v>549189.04</v>
      </c>
      <c r="Q22" s="11">
        <f t="shared" si="8"/>
        <v>21097.16</v>
      </c>
      <c r="R22" s="11">
        <f t="shared" si="8"/>
        <v>3867.38</v>
      </c>
      <c r="S22" s="11">
        <f t="shared" si="8"/>
        <v>75615.58</v>
      </c>
      <c r="T22" s="11">
        <f t="shared" si="8"/>
        <v>0</v>
      </c>
      <c r="U22" s="11">
        <f t="shared" si="8"/>
        <v>6037.8927298559984</v>
      </c>
      <c r="V22" s="11">
        <f t="shared" si="8"/>
        <v>0</v>
      </c>
      <c r="W22" s="11">
        <f t="shared" si="8"/>
        <v>0</v>
      </c>
      <c r="X22" s="11">
        <f t="shared" si="8"/>
        <v>71862.73</v>
      </c>
      <c r="Y22" s="11">
        <f t="shared" si="8"/>
        <v>36889.589999999997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208792.43</v>
      </c>
      <c r="AQ22" s="11">
        <f t="shared" si="8"/>
        <v>0</v>
      </c>
      <c r="AR22" s="11">
        <f t="shared" si="8"/>
        <v>754654.1</v>
      </c>
      <c r="AS22" s="11">
        <f t="shared" si="8"/>
        <v>17004.48</v>
      </c>
      <c r="AT22" s="11">
        <f t="shared" si="8"/>
        <v>528857.18999999994</v>
      </c>
      <c r="AU22" s="11">
        <f t="shared" ref="AU22:BZ22" si="9">AU318</f>
        <v>0</v>
      </c>
      <c r="AV22" s="11">
        <f t="shared" si="9"/>
        <v>549189.04</v>
      </c>
      <c r="AW22" s="11">
        <f t="shared" si="9"/>
        <v>340396.61</v>
      </c>
      <c r="AX22" s="11">
        <f t="shared" si="9"/>
        <v>0</v>
      </c>
      <c r="AY22" s="11">
        <f t="shared" si="9"/>
        <v>340396.61</v>
      </c>
      <c r="AZ22" s="11">
        <f t="shared" si="9"/>
        <v>208792.43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CA318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DG318</f>
        <v>9808836.4000000004</v>
      </c>
      <c r="DH22" s="12">
        <f t="shared" si="11"/>
        <v>5125710.22</v>
      </c>
      <c r="DI22" s="12">
        <f t="shared" si="11"/>
        <v>422188.25</v>
      </c>
      <c r="DJ22" s="12">
        <f t="shared" si="11"/>
        <v>217926.87</v>
      </c>
      <c r="DK22" s="12">
        <f t="shared" si="11"/>
        <v>4260937.93</v>
      </c>
      <c r="DL22" s="12">
        <f t="shared" si="11"/>
        <v>0</v>
      </c>
      <c r="DM22" s="12">
        <f t="shared" si="11"/>
        <v>6037.8927298559984</v>
      </c>
      <c r="DN22" s="12">
        <f t="shared" si="11"/>
        <v>0</v>
      </c>
      <c r="DO22" s="12">
        <f t="shared" si="11"/>
        <v>0</v>
      </c>
      <c r="DP22" s="12">
        <f t="shared" si="11"/>
        <v>4049465.46</v>
      </c>
      <c r="DQ22" s="12">
        <f t="shared" si="11"/>
        <v>2078728.73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1580558.69</v>
      </c>
      <c r="EI22" s="12">
        <f t="shared" si="11"/>
        <v>0</v>
      </c>
      <c r="EJ22" s="12">
        <f t="shared" si="11"/>
        <v>15937030.59</v>
      </c>
      <c r="EK22" s="12">
        <f t="shared" si="11"/>
        <v>410915.08</v>
      </c>
      <c r="EL22" s="12">
        <f t="shared" si="11"/>
        <v>13945556.82</v>
      </c>
      <c r="EM22" s="12">
        <f t="shared" ref="EM22:FR22" si="12">EM318</f>
        <v>0</v>
      </c>
      <c r="EN22" s="12">
        <f t="shared" si="12"/>
        <v>5125710.22</v>
      </c>
      <c r="EO22" s="12">
        <f t="shared" si="12"/>
        <v>3545151.53</v>
      </c>
      <c r="EP22" s="12">
        <f t="shared" si="12"/>
        <v>0</v>
      </c>
      <c r="EQ22" s="12">
        <f t="shared" si="12"/>
        <v>3545151.53</v>
      </c>
      <c r="ER22" s="12">
        <f t="shared" si="12"/>
        <v>1580558.69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FS318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ROW(A167)</f>
        <v>167</v>
      </c>
      <c r="E24" s="10"/>
      <c r="F24" s="10" t="s">
        <v>21</v>
      </c>
      <c r="G24" s="10" t="s">
        <v>22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B167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Насосная установка.</v>
      </c>
      <c r="H26" s="11"/>
      <c r="I26" s="11"/>
      <c r="J26" s="11"/>
      <c r="K26" s="11"/>
      <c r="L26" s="11"/>
      <c r="M26" s="11"/>
      <c r="N26" s="11"/>
      <c r="O26" s="11">
        <f t="shared" ref="O26:AT26" si="15">O167</f>
        <v>278528.64000000001</v>
      </c>
      <c r="P26" s="11">
        <f t="shared" si="15"/>
        <v>270042.49</v>
      </c>
      <c r="Q26" s="11">
        <f t="shared" si="15"/>
        <v>1757.79</v>
      </c>
      <c r="R26" s="11">
        <f t="shared" si="15"/>
        <v>297.02</v>
      </c>
      <c r="S26" s="11">
        <f t="shared" si="15"/>
        <v>6728.36</v>
      </c>
      <c r="T26" s="11">
        <f t="shared" si="15"/>
        <v>0</v>
      </c>
      <c r="U26" s="11">
        <f t="shared" si="15"/>
        <v>531.97169104319994</v>
      </c>
      <c r="V26" s="11">
        <f t="shared" si="15"/>
        <v>0</v>
      </c>
      <c r="W26" s="11">
        <f t="shared" si="15"/>
        <v>0</v>
      </c>
      <c r="X26" s="11">
        <f t="shared" si="15"/>
        <v>6500.06</v>
      </c>
      <c r="Y26" s="11">
        <f t="shared" si="15"/>
        <v>3417.39</v>
      </c>
      <c r="Z26" s="11">
        <f t="shared" si="15"/>
        <v>0</v>
      </c>
      <c r="AA26" s="11">
        <f t="shared" si="15"/>
        <v>0</v>
      </c>
      <c r="AB26" s="11">
        <f t="shared" si="15"/>
        <v>278528.64000000001</v>
      </c>
      <c r="AC26" s="11">
        <f t="shared" si="15"/>
        <v>270042.49</v>
      </c>
      <c r="AD26" s="11">
        <f t="shared" si="15"/>
        <v>1757.79</v>
      </c>
      <c r="AE26" s="11">
        <f t="shared" si="15"/>
        <v>297.02</v>
      </c>
      <c r="AF26" s="11">
        <f t="shared" si="15"/>
        <v>6728.36</v>
      </c>
      <c r="AG26" s="11">
        <f t="shared" si="15"/>
        <v>0</v>
      </c>
      <c r="AH26" s="11">
        <f t="shared" si="15"/>
        <v>531.97169104319994</v>
      </c>
      <c r="AI26" s="11">
        <f t="shared" si="15"/>
        <v>0</v>
      </c>
      <c r="AJ26" s="11">
        <f t="shared" si="15"/>
        <v>0</v>
      </c>
      <c r="AK26" s="11">
        <f t="shared" si="15"/>
        <v>6500.06</v>
      </c>
      <c r="AL26" s="11">
        <f t="shared" si="15"/>
        <v>3417.39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206993.46</v>
      </c>
      <c r="AQ26" s="11">
        <f t="shared" si="15"/>
        <v>0</v>
      </c>
      <c r="AR26" s="11">
        <f t="shared" si="15"/>
        <v>288446.09000000003</v>
      </c>
      <c r="AS26" s="11">
        <f t="shared" si="15"/>
        <v>6823.44</v>
      </c>
      <c r="AT26" s="11">
        <f t="shared" si="15"/>
        <v>74629.19</v>
      </c>
      <c r="AU26" s="11">
        <f t="shared" ref="AU26:BZ26" si="16">AU167</f>
        <v>0</v>
      </c>
      <c r="AV26" s="11">
        <f t="shared" si="16"/>
        <v>270042.49</v>
      </c>
      <c r="AW26" s="11">
        <f t="shared" si="16"/>
        <v>63049.03</v>
      </c>
      <c r="AX26" s="11">
        <f t="shared" si="16"/>
        <v>0</v>
      </c>
      <c r="AY26" s="11">
        <f t="shared" si="16"/>
        <v>63049.03</v>
      </c>
      <c r="AZ26" s="11">
        <f t="shared" si="16"/>
        <v>206993.46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206993.46</v>
      </c>
      <c r="BZ26" s="11">
        <f t="shared" si="16"/>
        <v>0</v>
      </c>
      <c r="CA26" s="11">
        <f t="shared" ref="CA26:DF26" si="17">CA167</f>
        <v>288446.09000000003</v>
      </c>
      <c r="CB26" s="11">
        <f t="shared" si="17"/>
        <v>6823.44</v>
      </c>
      <c r="CC26" s="11">
        <f t="shared" si="17"/>
        <v>74629.19</v>
      </c>
      <c r="CD26" s="11">
        <f t="shared" si="17"/>
        <v>0</v>
      </c>
      <c r="CE26" s="11">
        <f t="shared" si="17"/>
        <v>270042.49</v>
      </c>
      <c r="CF26" s="11">
        <f t="shared" si="17"/>
        <v>63049.03</v>
      </c>
      <c r="CG26" s="11">
        <f t="shared" si="17"/>
        <v>0</v>
      </c>
      <c r="CH26" s="11">
        <f t="shared" si="17"/>
        <v>63049.03</v>
      </c>
      <c r="CI26" s="11">
        <f t="shared" si="17"/>
        <v>206993.46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DG167</f>
        <v>2302346.4900000002</v>
      </c>
      <c r="DH26" s="12">
        <f t="shared" si="18"/>
        <v>1889218.95</v>
      </c>
      <c r="DI26" s="12">
        <f t="shared" si="18"/>
        <v>33984.449999999997</v>
      </c>
      <c r="DJ26" s="12">
        <f t="shared" si="18"/>
        <v>16737.080000000002</v>
      </c>
      <c r="DK26" s="12">
        <f t="shared" si="18"/>
        <v>379143.09</v>
      </c>
      <c r="DL26" s="12">
        <f t="shared" si="18"/>
        <v>0</v>
      </c>
      <c r="DM26" s="12">
        <f t="shared" si="18"/>
        <v>531.97169104319994</v>
      </c>
      <c r="DN26" s="12">
        <f t="shared" si="18"/>
        <v>0</v>
      </c>
      <c r="DO26" s="12">
        <f t="shared" si="18"/>
        <v>0</v>
      </c>
      <c r="DP26" s="12">
        <f t="shared" si="18"/>
        <v>366278.32</v>
      </c>
      <c r="DQ26" s="12">
        <f t="shared" si="18"/>
        <v>192569.58</v>
      </c>
      <c r="DR26" s="12">
        <f t="shared" si="18"/>
        <v>0</v>
      </c>
      <c r="DS26" s="12">
        <f t="shared" si="18"/>
        <v>0</v>
      </c>
      <c r="DT26" s="12">
        <f t="shared" si="18"/>
        <v>2302346.4900000002</v>
      </c>
      <c r="DU26" s="12">
        <f t="shared" si="18"/>
        <v>1889218.95</v>
      </c>
      <c r="DV26" s="12">
        <f t="shared" si="18"/>
        <v>33984.449999999997</v>
      </c>
      <c r="DW26" s="12">
        <f t="shared" si="18"/>
        <v>16737.080000000002</v>
      </c>
      <c r="DX26" s="12">
        <f t="shared" si="18"/>
        <v>379143.09</v>
      </c>
      <c r="DY26" s="12">
        <f t="shared" si="18"/>
        <v>0</v>
      </c>
      <c r="DZ26" s="12">
        <f t="shared" si="18"/>
        <v>531.97169104319994</v>
      </c>
      <c r="EA26" s="12">
        <f t="shared" si="18"/>
        <v>0</v>
      </c>
      <c r="EB26" s="12">
        <f t="shared" si="18"/>
        <v>0</v>
      </c>
      <c r="EC26" s="12">
        <f t="shared" si="18"/>
        <v>366278.32</v>
      </c>
      <c r="ED26" s="12">
        <f t="shared" si="18"/>
        <v>192569.58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1566940.49</v>
      </c>
      <c r="EI26" s="12">
        <f t="shared" si="18"/>
        <v>0</v>
      </c>
      <c r="EJ26" s="12">
        <f t="shared" si="18"/>
        <v>2861194.39</v>
      </c>
      <c r="EK26" s="12">
        <f t="shared" si="18"/>
        <v>180376.25</v>
      </c>
      <c r="EL26" s="12">
        <f t="shared" si="18"/>
        <v>1113877.6499999999</v>
      </c>
      <c r="EM26" s="12">
        <f t="shared" ref="EM26:FR26" si="19">EM167</f>
        <v>0</v>
      </c>
      <c r="EN26" s="12">
        <f t="shared" si="19"/>
        <v>1889218.95</v>
      </c>
      <c r="EO26" s="12">
        <f t="shared" si="19"/>
        <v>322278.46000000002</v>
      </c>
      <c r="EP26" s="12">
        <f t="shared" si="19"/>
        <v>0</v>
      </c>
      <c r="EQ26" s="12">
        <f t="shared" si="19"/>
        <v>322278.46000000002</v>
      </c>
      <c r="ER26" s="12">
        <f t="shared" si="19"/>
        <v>1566940.49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1566940.49</v>
      </c>
      <c r="FR26" s="12">
        <f t="shared" si="19"/>
        <v>0</v>
      </c>
      <c r="FS26" s="12">
        <f t="shared" ref="FS26:GX26" si="20">FS167</f>
        <v>2861194.39</v>
      </c>
      <c r="FT26" s="12">
        <f t="shared" si="20"/>
        <v>180376.25</v>
      </c>
      <c r="FU26" s="12">
        <f t="shared" si="20"/>
        <v>1113877.6499999999</v>
      </c>
      <c r="FV26" s="12">
        <f t="shared" si="20"/>
        <v>0</v>
      </c>
      <c r="FW26" s="12">
        <f t="shared" si="20"/>
        <v>1889218.95</v>
      </c>
      <c r="FX26" s="12">
        <f t="shared" si="20"/>
        <v>322278.45999999996</v>
      </c>
      <c r="FY26" s="12">
        <f t="shared" si="20"/>
        <v>0</v>
      </c>
      <c r="FZ26" s="12">
        <f t="shared" si="20"/>
        <v>322278.45999999996</v>
      </c>
      <c r="GA26" s="12">
        <f t="shared" si="20"/>
        <v>1566940.49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ROW(SmtRes!A10)</f>
        <v>10</v>
      </c>
      <c r="D28" s="2">
        <f>ROW(EtalonRes!A11)</f>
        <v>11</v>
      </c>
      <c r="E28" s="2" t="s">
        <v>3</v>
      </c>
      <c r="F28" s="2" t="s">
        <v>23</v>
      </c>
      <c r="G28" s="2" t="s">
        <v>24</v>
      </c>
      <c r="H28" s="2" t="s">
        <v>25</v>
      </c>
      <c r="I28" s="2">
        <v>2</v>
      </c>
      <c r="J28" s="2">
        <v>0</v>
      </c>
      <c r="K28" s="2">
        <v>2</v>
      </c>
      <c r="L28" s="2"/>
      <c r="M28" s="2"/>
      <c r="N28" s="2"/>
      <c r="O28" s="2">
        <f t="shared" ref="O28:O59" si="21">ROUND(CP28,2)</f>
        <v>908.21</v>
      </c>
      <c r="P28" s="2">
        <f t="shared" ref="P28:P53" si="22">ROUND((ROUND((AC28*AW28*I28),2)*BC28),2)</f>
        <v>70.209999999999994</v>
      </c>
      <c r="Q28" s="2">
        <f>(ROUND((ROUND(((((ET28*0.75)*1.2))*AV28*I28),2)*BB28),2)+ROUND((ROUND(((AE28-(((EU28*0.75)*1.2)))*AV28*I28),2)*BS28),2))</f>
        <v>80.819999999999993</v>
      </c>
      <c r="R28" s="2">
        <f>(ROUND((ROUND(((((EU28*0.75)*1.2))*AV28*I28),2)*BS28),2)+ROUND((ROUND(((AE28-(((EU28*0.75)*1.2)))*AV28*I28),2)*BS28),2))</f>
        <v>5.57</v>
      </c>
      <c r="S28" s="2">
        <f t="shared" ref="S28:S59" si="23">ROUND((ROUND((AF28*AV28*I28),2)*BA28),2)</f>
        <v>757.18</v>
      </c>
      <c r="T28" s="2">
        <f t="shared" ref="T28:T59" si="24">ROUND(CU28*I28,2)</f>
        <v>0</v>
      </c>
      <c r="U28" s="2">
        <f t="shared" ref="U28:U59" si="25">CV28*I28</f>
        <v>61.459199999999989</v>
      </c>
      <c r="V28" s="2">
        <f t="shared" ref="V28:V59" si="26">CW28*I28</f>
        <v>0</v>
      </c>
      <c r="W28" s="2">
        <f t="shared" ref="W28:W59" si="27">ROUND(CX28*I28,2)</f>
        <v>0</v>
      </c>
      <c r="X28" s="2">
        <f>(ROUND((((S28+ROUND((ROUND(((((EU28*0.75)*1.2))*AV28*I28),2)*BS28),2))*AT28)/100),2)+ROUND(((ROUND((ROUND(((AE28-(((EU28*0.75)*1.2)))*AV28*I28),2)*BS28),2)*AT28)/100),2))</f>
        <v>694.1</v>
      </c>
      <c r="Y28" s="2">
        <f>(ROUND((((S28+ROUND((ROUND(((((EU28*0.75)*1.2))*AV28*I28),2)*BS28),2))*AU28)/100),2)+ROUND(((ROUND((ROUND(((AE28-(((EU28*0.75)*1.2)))*AV28*I28),2)*BS28),2)*AU28)/100),2))</f>
        <v>358.49</v>
      </c>
      <c r="Z28" s="2"/>
      <c r="AA28" s="2">
        <v>-1</v>
      </c>
      <c r="AB28" s="2">
        <f t="shared" ref="AB28:AB59" si="28">ROUND((AC28+AD28+AF28),6)</f>
        <v>426.83550000000002</v>
      </c>
      <c r="AC28" s="2">
        <f>ROUND((((ES28*0.75)*1)),6)</f>
        <v>34.147500000000001</v>
      </c>
      <c r="AD28" s="2">
        <f>ROUND((((((ET28*0.75)*1.2))-(((EU28*0.75)*1.2)))+AE28),6)</f>
        <v>37.872</v>
      </c>
      <c r="AE28" s="2">
        <f>ROUND((((EU28*0.75)*1.2)),6)</f>
        <v>2.61</v>
      </c>
      <c r="AF28" s="2">
        <f>ROUND((((EV28*0.75)*1.2)),6)</f>
        <v>354.81599999999997</v>
      </c>
      <c r="AG28" s="2">
        <f t="shared" ref="AG28:AG59" si="29">ROUND((AP28),6)</f>
        <v>0</v>
      </c>
      <c r="AH28" s="2">
        <f>(((EW28*0.75)*1.2))</f>
        <v>28.799999999999997</v>
      </c>
      <c r="AI28" s="2">
        <f>(((EX28*0.75)*1.2))</f>
        <v>0</v>
      </c>
      <c r="AJ28" s="2">
        <f t="shared" ref="AJ28:AJ59" si="30">(AS28)</f>
        <v>0</v>
      </c>
      <c r="AK28" s="2">
        <v>481.85</v>
      </c>
      <c r="AL28" s="2">
        <v>45.53</v>
      </c>
      <c r="AM28" s="2">
        <v>42.08</v>
      </c>
      <c r="AN28" s="2">
        <v>2.9</v>
      </c>
      <c r="AO28" s="2">
        <v>394.24</v>
      </c>
      <c r="AP28" s="2">
        <v>0</v>
      </c>
      <c r="AQ28" s="2">
        <v>32</v>
      </c>
      <c r="AR28" s="2">
        <v>0</v>
      </c>
      <c r="AS28" s="2">
        <v>0</v>
      </c>
      <c r="AT28" s="2">
        <v>91</v>
      </c>
      <c r="AU28" s="2">
        <v>47</v>
      </c>
      <c r="AV28" s="2">
        <v>1.0669999999999999</v>
      </c>
      <c r="AW28" s="2">
        <v>1.028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26</v>
      </c>
      <c r="BK28" s="2"/>
      <c r="BL28" s="2"/>
      <c r="BM28" s="2">
        <v>66</v>
      </c>
      <c r="BN28" s="2">
        <v>0</v>
      </c>
      <c r="BO28" s="2" t="s">
        <v>23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91</v>
      </c>
      <c r="CA28" s="2">
        <v>47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714</v>
      </c>
      <c r="CO28" s="2">
        <v>0</v>
      </c>
      <c r="CP28" s="2">
        <f t="shared" ref="CP28:CP59" si="31">(P28+Q28+S28)</f>
        <v>908.20999999999992</v>
      </c>
      <c r="CQ28" s="2">
        <f t="shared" ref="CQ28:CQ53" si="32">ROUND((ROUND((AC28*AW28*1),2)*BC28),2)</f>
        <v>35.1</v>
      </c>
      <c r="CR28" s="2">
        <f>(ROUND((ROUND(((((ET28*0.75)*1.2))*AV28*1),2)*BB28),2)+ROUND((ROUND(((AE28-(((EU28*0.75)*1.2)))*AV28*1),2)*BS28),2))</f>
        <v>40.409999999999997</v>
      </c>
      <c r="CS28" s="2">
        <f>(ROUND((ROUND(((((EU28*0.75)*1.2))*AV28*1),2)*BS28),2)+ROUND((ROUND(((AE28-(((EU28*0.75)*1.2)))*AV28*1),2)*BS28),2))</f>
        <v>2.78</v>
      </c>
      <c r="CT28" s="2">
        <f t="shared" ref="CT28:CT59" si="33">ROUND((ROUND((AF28*AV28*1),2)*BA28),2)</f>
        <v>378.59</v>
      </c>
      <c r="CU28" s="2">
        <f t="shared" ref="CU28:CU59" si="34">AG28</f>
        <v>0</v>
      </c>
      <c r="CV28" s="2">
        <f t="shared" ref="CV28:CV59" si="35">(AH28*AV28)</f>
        <v>30.729599999999994</v>
      </c>
      <c r="CW28" s="2">
        <f t="shared" ref="CW28:CW59" si="36">AI28</f>
        <v>0</v>
      </c>
      <c r="CX28" s="2">
        <f t="shared" ref="CX28:CX59" si="37">AJ28</f>
        <v>0</v>
      </c>
      <c r="CY28" s="2">
        <f>(ROUND((((S28+ROUND((ROUND(((((EU28*0.75)*1.2))*AV28*1),2)*BS28),2))*AT28)/100),2)+ROUND(((ROUND((ROUND(((AE28-(((EU28*0.75)*1.2)))*AV28*1),2)*BS28),2)*AT28)/100),2))</f>
        <v>691.56</v>
      </c>
      <c r="CZ28" s="2">
        <f>(ROUND((((S28+ROUND((ROUND(((((EU28*0.75)*1.2))*AV28*1),2)*BS28),2))*AU28)/100),2)+ROUND(((ROUND((ROUND(((AE28-(((EU28*0.75)*1.2)))*AV28*1),2)*BS28),2)*AU28)/100),2))</f>
        <v>357.18</v>
      </c>
      <c r="DA28" s="2"/>
      <c r="DB28" s="2">
        <v>1</v>
      </c>
      <c r="DC28" s="2" t="s">
        <v>3</v>
      </c>
      <c r="DD28" s="2" t="s">
        <v>27</v>
      </c>
      <c r="DE28" s="2" t="s">
        <v>28</v>
      </c>
      <c r="DF28" s="2" t="s">
        <v>28</v>
      </c>
      <c r="DG28" s="2" t="s">
        <v>28</v>
      </c>
      <c r="DH28" s="2" t="s">
        <v>3</v>
      </c>
      <c r="DI28" s="2" t="s">
        <v>28</v>
      </c>
      <c r="DJ28" s="2" t="s">
        <v>28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25</v>
      </c>
      <c r="DW28" s="2" t="s">
        <v>25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56938733</v>
      </c>
      <c r="EF28" s="2">
        <v>40</v>
      </c>
      <c r="EG28" s="2" t="s">
        <v>29</v>
      </c>
      <c r="EH28" s="2">
        <v>0</v>
      </c>
      <c r="EI28" s="2" t="s">
        <v>3</v>
      </c>
      <c r="EJ28" s="2">
        <v>2</v>
      </c>
      <c r="EK28" s="2">
        <v>66</v>
      </c>
      <c r="EL28" s="2" t="s">
        <v>30</v>
      </c>
      <c r="EM28" s="2" t="s">
        <v>31</v>
      </c>
      <c r="EN28" s="2"/>
      <c r="EO28" s="2" t="s">
        <v>32</v>
      </c>
      <c r="EP28" s="2"/>
      <c r="EQ28" s="2">
        <v>132096</v>
      </c>
      <c r="ER28" s="2">
        <v>481.85</v>
      </c>
      <c r="ES28" s="2">
        <v>45.53</v>
      </c>
      <c r="ET28" s="2">
        <v>42.08</v>
      </c>
      <c r="EU28" s="2">
        <v>2.9</v>
      </c>
      <c r="EV28" s="2">
        <v>394.24</v>
      </c>
      <c r="EW28" s="2">
        <v>32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2</v>
      </c>
      <c r="FT28" s="2"/>
      <c r="FU28" s="2"/>
      <c r="FV28" s="2"/>
      <c r="FW28" s="2"/>
      <c r="FX28" s="2">
        <v>91</v>
      </c>
      <c r="FY28" s="2">
        <v>47</v>
      </c>
      <c r="FZ28" s="2"/>
      <c r="GA28" s="2" t="s">
        <v>3</v>
      </c>
      <c r="GB28" s="2"/>
      <c r="GC28" s="2"/>
      <c r="GD28" s="2">
        <v>1</v>
      </c>
      <c r="GE28" s="2"/>
      <c r="GF28" s="2">
        <v>2029985936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38">ROUND(IF(AND(BH28=3,BI28=3,FS28&lt;&gt;0),P28,0),2)</f>
        <v>0</v>
      </c>
      <c r="GM28" s="2">
        <f t="shared" ref="GM28:GM59" si="39">ROUND(O28+X28+Y28,2)+GX28</f>
        <v>1960.8</v>
      </c>
      <c r="GN28" s="2">
        <f t="shared" ref="GN28:GN59" si="40">IF(OR(BI28=0,BI28=1),GM28-GX28,0)</f>
        <v>0</v>
      </c>
      <c r="GO28" s="2">
        <f t="shared" ref="GO28:GO59" si="41">IF(BI28=2,GM28-GX28,0)</f>
        <v>1960.8</v>
      </c>
      <c r="GP28" s="2">
        <f t="shared" ref="GP28:GP59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3">ROUND((GT28),6)</f>
        <v>0</v>
      </c>
      <c r="GW28" s="2">
        <v>1</v>
      </c>
      <c r="GX28" s="2">
        <f t="shared" ref="GX28:GX59" si="44">ROUND(HC28*I28,2)</f>
        <v>0</v>
      </c>
      <c r="GY28" s="2"/>
      <c r="GZ28" s="2"/>
      <c r="HA28" s="2">
        <v>0</v>
      </c>
      <c r="HB28" s="2">
        <v>0</v>
      </c>
      <c r="HC28" s="2">
        <f t="shared" ref="HC28:HC59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ROW(SmtRes!A20)</f>
        <v>20</v>
      </c>
      <c r="D29" s="3">
        <f>ROW(EtalonRes!A22)</f>
        <v>22</v>
      </c>
      <c r="E29" s="3" t="s">
        <v>3</v>
      </c>
      <c r="F29" s="3" t="s">
        <v>23</v>
      </c>
      <c r="G29" s="3" t="s">
        <v>24</v>
      </c>
      <c r="H29" s="3" t="s">
        <v>25</v>
      </c>
      <c r="I29" s="3">
        <v>2</v>
      </c>
      <c r="J29" s="3">
        <v>0</v>
      </c>
      <c r="K29" s="3">
        <v>2</v>
      </c>
      <c r="O29" s="3">
        <f t="shared" si="21"/>
        <v>44699.5</v>
      </c>
      <c r="P29" s="3">
        <f t="shared" si="22"/>
        <v>841.12</v>
      </c>
      <c r="Q29" s="3">
        <f>(ROUND((ROUND(((((ET29*0.75)*1.2))*AV29*I29),2)*BB29),2)+ROUND((ROUND(((AE29-(((EU29*0.75)*1.2)))*AV29*I29),2)*BS29),2))</f>
        <v>1191.29</v>
      </c>
      <c r="R29" s="3">
        <f>(ROUND((ROUND(((((EU29*0.75)*1.2))*AV29*I29),2)*BS29),2)+ROUND((ROUND(((AE29-(((EU29*0.75)*1.2)))*AV29*I29),2)*BS29),2))</f>
        <v>313.87</v>
      </c>
      <c r="S29" s="3">
        <f t="shared" si="23"/>
        <v>42667.09</v>
      </c>
      <c r="T29" s="3">
        <f t="shared" si="24"/>
        <v>0</v>
      </c>
      <c r="U29" s="3">
        <f t="shared" si="25"/>
        <v>61.459199999999989</v>
      </c>
      <c r="V29" s="3">
        <f t="shared" si="26"/>
        <v>0</v>
      </c>
      <c r="W29" s="3">
        <f t="shared" si="27"/>
        <v>0</v>
      </c>
      <c r="X29" s="3">
        <f>(ROUND((((S29+ROUND((ROUND(((((EU29*0.75)*1.2))*AV29*I29),2)*BS29),2))*AT29)/100),2)+ROUND(((ROUND((ROUND(((AE29-(((EU29*0.75)*1.2)))*AV29*I29),2)*BS29),2)*AT29)/100),2))</f>
        <v>39112.67</v>
      </c>
      <c r="Y29" s="3">
        <f>(ROUND((((S29+ROUND((ROUND(((((EU29*0.75)*1.2))*AV29*I29),2)*BS29),2))*AU29)/100),2)+ROUND(((ROUND((ROUND(((AE29-(((EU29*0.75)*1.2)))*AV29*I29),2)*BS29),2)*AU29)/100),2))</f>
        <v>20201.05</v>
      </c>
      <c r="AA29" s="3">
        <v>-1</v>
      </c>
      <c r="AB29" s="3">
        <f t="shared" si="28"/>
        <v>426.83550000000002</v>
      </c>
      <c r="AC29" s="3">
        <f>ROUND((((ES29*0.75)*1)),6)</f>
        <v>34.147500000000001</v>
      </c>
      <c r="AD29" s="3">
        <f>ROUND((((((ET29*0.75)*1.2))-(((EU29*0.75)*1.2)))+AE29),6)</f>
        <v>37.872</v>
      </c>
      <c r="AE29" s="3">
        <f>ROUND((((EU29*0.75)*1.2)),6)</f>
        <v>2.61</v>
      </c>
      <c r="AF29" s="3">
        <f>ROUND((((EV29*0.75)*1.2)),6)</f>
        <v>354.81599999999997</v>
      </c>
      <c r="AG29" s="3">
        <f t="shared" si="29"/>
        <v>0</v>
      </c>
      <c r="AH29" s="3">
        <f>(((EW29*0.75)*1.2))</f>
        <v>28.799999999999997</v>
      </c>
      <c r="AI29" s="3">
        <f>(((EX29*0.75)*1.2))</f>
        <v>0</v>
      </c>
      <c r="AJ29" s="3">
        <f t="shared" si="30"/>
        <v>0</v>
      </c>
      <c r="AK29" s="3">
        <v>481.85</v>
      </c>
      <c r="AL29" s="3">
        <v>45.53</v>
      </c>
      <c r="AM29" s="3">
        <v>42.08</v>
      </c>
      <c r="AN29" s="3">
        <v>2.9</v>
      </c>
      <c r="AO29" s="3">
        <v>394.24</v>
      </c>
      <c r="AP29" s="3">
        <v>0</v>
      </c>
      <c r="AQ29" s="3">
        <v>32</v>
      </c>
      <c r="AR29" s="3">
        <v>0</v>
      </c>
      <c r="AS29" s="3">
        <v>0</v>
      </c>
      <c r="AT29" s="3">
        <v>91</v>
      </c>
      <c r="AU29" s="3">
        <v>47</v>
      </c>
      <c r="AV29" s="3">
        <v>1.0669999999999999</v>
      </c>
      <c r="AW29" s="3">
        <v>1.028</v>
      </c>
      <c r="AZ29" s="3">
        <v>1</v>
      </c>
      <c r="BA29" s="3">
        <v>56.35</v>
      </c>
      <c r="BB29" s="3">
        <v>14.74</v>
      </c>
      <c r="BC29" s="3">
        <v>11.98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26</v>
      </c>
      <c r="BM29" s="3">
        <v>66</v>
      </c>
      <c r="BN29" s="3">
        <v>0</v>
      </c>
      <c r="BO29" s="3" t="s">
        <v>23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91</v>
      </c>
      <c r="CA29" s="3">
        <v>47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714</v>
      </c>
      <c r="CO29" s="3">
        <v>0</v>
      </c>
      <c r="CP29" s="3">
        <f t="shared" si="31"/>
        <v>44699.5</v>
      </c>
      <c r="CQ29" s="3">
        <f t="shared" si="32"/>
        <v>420.5</v>
      </c>
      <c r="CR29" s="3">
        <f>(ROUND((ROUND(((((ET29*0.75)*1.2))*AV29*1),2)*BB29),2)+ROUND((ROUND(((AE29-(((EU29*0.75)*1.2)))*AV29*1),2)*BS29),2))</f>
        <v>595.64</v>
      </c>
      <c r="CS29" s="3">
        <f>(ROUND((ROUND(((((EU29*0.75)*1.2))*AV29*1),2)*BS29),2)+ROUND((ROUND(((AE29-(((EU29*0.75)*1.2)))*AV29*1),2)*BS29),2))</f>
        <v>156.65</v>
      </c>
      <c r="CT29" s="3">
        <f t="shared" si="33"/>
        <v>21333.55</v>
      </c>
      <c r="CU29" s="3">
        <f t="shared" si="34"/>
        <v>0</v>
      </c>
      <c r="CV29" s="3">
        <f t="shared" si="35"/>
        <v>30.729599999999994</v>
      </c>
      <c r="CW29" s="3">
        <f t="shared" si="36"/>
        <v>0</v>
      </c>
      <c r="CX29" s="3">
        <f t="shared" si="37"/>
        <v>0</v>
      </c>
      <c r="CY29" s="3">
        <f>(ROUND((((S29+ROUND((ROUND(((((EU29*0.75)*1.2))*AV29*1),2)*BS29),2))*AT29)/100),2)+ROUND(((ROUND((ROUND(((AE29-(((EU29*0.75)*1.2)))*AV29*1),2)*BS29),2)*AT29)/100),2))</f>
        <v>38969.599999999999</v>
      </c>
      <c r="CZ29" s="3">
        <f>(ROUND((((S29+ROUND((ROUND(((((EU29*0.75)*1.2))*AV29*1),2)*BS29),2))*AU29)/100),2)+ROUND(((ROUND((ROUND(((AE29-(((EU29*0.75)*1.2)))*AV29*1),2)*BS29),2)*AU29)/100),2))</f>
        <v>20127.16</v>
      </c>
      <c r="DB29" s="3">
        <v>3</v>
      </c>
      <c r="DC29" s="3" t="s">
        <v>3</v>
      </c>
      <c r="DD29" s="3" t="s">
        <v>27</v>
      </c>
      <c r="DE29" s="3" t="s">
        <v>28</v>
      </c>
      <c r="DF29" s="3" t="s">
        <v>28</v>
      </c>
      <c r="DG29" s="3" t="s">
        <v>28</v>
      </c>
      <c r="DH29" s="3" t="s">
        <v>3</v>
      </c>
      <c r="DI29" s="3" t="s">
        <v>28</v>
      </c>
      <c r="DJ29" s="3" t="s">
        <v>28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25</v>
      </c>
      <c r="DW29" s="3" t="s">
        <v>25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56938733</v>
      </c>
      <c r="EF29" s="3">
        <v>40</v>
      </c>
      <c r="EG29" s="3" t="s">
        <v>29</v>
      </c>
      <c r="EH29" s="3">
        <v>0</v>
      </c>
      <c r="EI29" s="3" t="s">
        <v>3</v>
      </c>
      <c r="EJ29" s="3">
        <v>2</v>
      </c>
      <c r="EK29" s="3">
        <v>66</v>
      </c>
      <c r="EL29" s="3" t="s">
        <v>30</v>
      </c>
      <c r="EM29" s="3" t="s">
        <v>31</v>
      </c>
      <c r="EO29" s="3" t="s">
        <v>32</v>
      </c>
      <c r="EQ29" s="3">
        <v>132096</v>
      </c>
      <c r="ER29" s="3">
        <v>481.85</v>
      </c>
      <c r="ES29" s="3">
        <v>45.53</v>
      </c>
      <c r="ET29" s="3">
        <v>42.08</v>
      </c>
      <c r="EU29" s="3">
        <v>2.9</v>
      </c>
      <c r="EV29" s="3">
        <v>394.24</v>
      </c>
      <c r="EW29" s="3">
        <v>32</v>
      </c>
      <c r="EX29" s="3">
        <v>0</v>
      </c>
      <c r="EY29" s="3">
        <v>0</v>
      </c>
      <c r="FQ29" s="3">
        <v>0</v>
      </c>
      <c r="FR29" s="3">
        <v>0</v>
      </c>
      <c r="FS29" s="3">
        <v>2</v>
      </c>
      <c r="FX29" s="3">
        <v>91</v>
      </c>
      <c r="FY29" s="3">
        <v>47</v>
      </c>
      <c r="GA29" s="3" t="s">
        <v>3</v>
      </c>
      <c r="GD29" s="3">
        <v>1</v>
      </c>
      <c r="GF29" s="3">
        <v>2029985936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104013.22</v>
      </c>
      <c r="GN29" s="3">
        <f t="shared" si="40"/>
        <v>0</v>
      </c>
      <c r="GO29" s="3">
        <f t="shared" si="41"/>
        <v>104013.22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ROW(SmtRes!A29)</f>
        <v>29</v>
      </c>
      <c r="D30" s="2">
        <f>ROW(EtalonRes!A34)</f>
        <v>34</v>
      </c>
      <c r="E30" s="2" t="s">
        <v>33</v>
      </c>
      <c r="F30" s="2" t="s">
        <v>34</v>
      </c>
      <c r="G30" s="2" t="s">
        <v>35</v>
      </c>
      <c r="H30" s="2" t="s">
        <v>36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490.07</v>
      </c>
      <c r="P30" s="2">
        <f t="shared" si="22"/>
        <v>172.01</v>
      </c>
      <c r="Q30" s="2">
        <f>(ROUND((ROUND(((((ET30*1.2)*1.25))*AV30*I30),2)*BB30),2)+ROUND((ROUND(((AE30-(((EU30*1.2)*1.25)))*AV30*I30),2)*BS30),2))</f>
        <v>25.48</v>
      </c>
      <c r="R30" s="2">
        <f>(ROUND((ROUND(((((EU30*1.2)*1.25))*AV30*I30),2)*BS30),2)+ROUND((ROUND(((AE30-(((EU30*1.2)*1.25)))*AV30*I30),2)*BS30),2))</f>
        <v>2.29</v>
      </c>
      <c r="S30" s="2">
        <f t="shared" si="23"/>
        <v>292.58</v>
      </c>
      <c r="T30" s="2">
        <f t="shared" si="24"/>
        <v>0</v>
      </c>
      <c r="U30" s="2">
        <f t="shared" si="25"/>
        <v>24.001097999999995</v>
      </c>
      <c r="V30" s="2">
        <f t="shared" si="26"/>
        <v>0</v>
      </c>
      <c r="W30" s="2">
        <f t="shared" si="27"/>
        <v>0</v>
      </c>
      <c r="X30" s="2">
        <f>(ROUND((((S30+ROUND((ROUND(((((EU30*1.2)*1.25))*AV30*I30),2)*BS30),2))*AT30)/100),2)+ROUND(((ROUND((ROUND(((AE30-(((EU30*1.2)*1.25)))*AV30*I30),2)*BS30),2)*AT30)/100),2))</f>
        <v>356.79</v>
      </c>
      <c r="Y30" s="2">
        <f>(ROUND((((S30+ROUND((ROUND(((((EU30*1.2)*1.25))*AV30*I30),2)*BS30),2))*AU30)/100),2)+ROUND(((ROUND((ROUND(((AE30-(((EU30*1.2)*1.25)))*AV30*I30),2)*BS30),2)*AU30)/100),2))</f>
        <v>212.31</v>
      </c>
      <c r="Z30" s="2"/>
      <c r="AA30" s="2">
        <v>55747649</v>
      </c>
      <c r="AB30" s="2">
        <f t="shared" si="28"/>
        <v>470.096</v>
      </c>
      <c r="AC30" s="2">
        <f>ROUND((((ES30*1)*1)),6)</f>
        <v>172.01</v>
      </c>
      <c r="AD30" s="2">
        <f>ROUND((((((ET30*1.2)*1.25))-(((EU30*1.2)*1.25)))+AE30),6)</f>
        <v>23.88</v>
      </c>
      <c r="AE30" s="2">
        <f>ROUND((((EU30*1.2)*1.25)),6)</f>
        <v>2.145</v>
      </c>
      <c r="AF30" s="2">
        <f>ROUND((((EV30*1.2)*1.15)),6)</f>
        <v>274.20600000000002</v>
      </c>
      <c r="AG30" s="2">
        <f t="shared" si="29"/>
        <v>0</v>
      </c>
      <c r="AH30" s="2">
        <f>(((EW30*1.2)*1.15))</f>
        <v>22.493999999999996</v>
      </c>
      <c r="AI30" s="2">
        <f>(((EX30*1.2)*1.25))</f>
        <v>0</v>
      </c>
      <c r="AJ30" s="2">
        <f t="shared" si="30"/>
        <v>0</v>
      </c>
      <c r="AK30" s="2">
        <v>386.63</v>
      </c>
      <c r="AL30" s="2">
        <v>172.01</v>
      </c>
      <c r="AM30" s="2">
        <v>15.92</v>
      </c>
      <c r="AN30" s="2">
        <v>1.43</v>
      </c>
      <c r="AO30" s="2">
        <v>198.7</v>
      </c>
      <c r="AP30" s="2">
        <v>0</v>
      </c>
      <c r="AQ30" s="2">
        <v>16.3</v>
      </c>
      <c r="AR30" s="2">
        <v>0</v>
      </c>
      <c r="AS30" s="2">
        <v>0</v>
      </c>
      <c r="AT30" s="2">
        <v>121</v>
      </c>
      <c r="AU30" s="2">
        <v>72</v>
      </c>
      <c r="AV30" s="2">
        <v>1.0669999999999999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37</v>
      </c>
      <c r="BK30" s="2"/>
      <c r="BL30" s="2"/>
      <c r="BM30" s="2">
        <v>23</v>
      </c>
      <c r="BN30" s="2">
        <v>0</v>
      </c>
      <c r="BO30" s="2" t="s">
        <v>34</v>
      </c>
      <c r="BP30" s="2">
        <v>1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121</v>
      </c>
      <c r="CA30" s="2">
        <v>72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715</v>
      </c>
      <c r="CO30" s="2">
        <v>0</v>
      </c>
      <c r="CP30" s="2">
        <f t="shared" si="31"/>
        <v>490.06999999999994</v>
      </c>
      <c r="CQ30" s="2">
        <f t="shared" si="32"/>
        <v>172.01</v>
      </c>
      <c r="CR30" s="2">
        <f>(ROUND((ROUND(((((ET30*1.2)*1.25))*AV30*1),2)*BB30),2)+ROUND((ROUND(((AE30-(((EU30*1.2)*1.25)))*AV30*1),2)*BS30),2))</f>
        <v>25.48</v>
      </c>
      <c r="CS30" s="2">
        <f>(ROUND((ROUND(((((EU30*1.2)*1.25))*AV30*1),2)*BS30),2)+ROUND((ROUND(((AE30-(((EU30*1.2)*1.25)))*AV30*1),2)*BS30),2))</f>
        <v>2.29</v>
      </c>
      <c r="CT30" s="2">
        <f t="shared" si="33"/>
        <v>292.58</v>
      </c>
      <c r="CU30" s="2">
        <f t="shared" si="34"/>
        <v>0</v>
      </c>
      <c r="CV30" s="2">
        <f t="shared" si="35"/>
        <v>24.001097999999995</v>
      </c>
      <c r="CW30" s="2">
        <f t="shared" si="36"/>
        <v>0</v>
      </c>
      <c r="CX30" s="2">
        <f t="shared" si="37"/>
        <v>0</v>
      </c>
      <c r="CY30" s="2">
        <f>(ROUND((((S30+ROUND((ROUND(((((EU30*1.2)*1.25))*AV30*1),2)*BS30),2))*AT30)/100),2)+ROUND(((ROUND((ROUND(((AE30-(((EU30*1.2)*1.25)))*AV30*1),2)*BS30),2)*AT30)/100),2))</f>
        <v>356.79</v>
      </c>
      <c r="CZ30" s="2">
        <f>(ROUND((((S30+ROUND((ROUND(((((EU30*1.2)*1.25))*AV30*1),2)*BS30),2))*AU30)/100),2)+ROUND(((ROUND((ROUND(((AE30-(((EU30*1.2)*1.25)))*AV30*1),2)*BS30),2)*AU30)/100),2))</f>
        <v>212.31</v>
      </c>
      <c r="DA30" s="2"/>
      <c r="DB30" s="2">
        <v>5</v>
      </c>
      <c r="DC30" s="2" t="s">
        <v>3</v>
      </c>
      <c r="DD30" s="2" t="s">
        <v>38</v>
      </c>
      <c r="DE30" s="2" t="s">
        <v>39</v>
      </c>
      <c r="DF30" s="2" t="s">
        <v>39</v>
      </c>
      <c r="DG30" s="2" t="s">
        <v>40</v>
      </c>
      <c r="DH30" s="2" t="s">
        <v>3</v>
      </c>
      <c r="DI30" s="2" t="s">
        <v>40</v>
      </c>
      <c r="DJ30" s="2" t="s">
        <v>39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36</v>
      </c>
      <c r="DW30" s="2" t="s">
        <v>36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56938689</v>
      </c>
      <c r="EF30" s="2">
        <v>30</v>
      </c>
      <c r="EG30" s="2" t="s">
        <v>41</v>
      </c>
      <c r="EH30" s="2">
        <v>0</v>
      </c>
      <c r="EI30" s="2" t="s">
        <v>3</v>
      </c>
      <c r="EJ30" s="2">
        <v>1</v>
      </c>
      <c r="EK30" s="2">
        <v>23</v>
      </c>
      <c r="EL30" s="2" t="s">
        <v>42</v>
      </c>
      <c r="EM30" s="2" t="s">
        <v>43</v>
      </c>
      <c r="EN30" s="2"/>
      <c r="EO30" s="2" t="s">
        <v>44</v>
      </c>
      <c r="EP30" s="2"/>
      <c r="EQ30" s="2">
        <v>0</v>
      </c>
      <c r="ER30" s="2">
        <v>386.63</v>
      </c>
      <c r="ES30" s="2">
        <v>172.01</v>
      </c>
      <c r="ET30" s="2">
        <v>15.92</v>
      </c>
      <c r="EU30" s="2">
        <v>1.43</v>
      </c>
      <c r="EV30" s="2">
        <v>198.7</v>
      </c>
      <c r="EW30" s="2">
        <v>16.3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121</v>
      </c>
      <c r="FY30" s="2">
        <v>72</v>
      </c>
      <c r="FZ30" s="2"/>
      <c r="GA30" s="2" t="s">
        <v>3</v>
      </c>
      <c r="GB30" s="2"/>
      <c r="GC30" s="2"/>
      <c r="GD30" s="2">
        <v>1</v>
      </c>
      <c r="GE30" s="2"/>
      <c r="GF30" s="2">
        <v>1996820590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8"/>
        <v>0</v>
      </c>
      <c r="GM30" s="2">
        <f t="shared" si="39"/>
        <v>1059.17</v>
      </c>
      <c r="GN30" s="2">
        <f t="shared" si="40"/>
        <v>1059.17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ROW(SmtRes!A38)</f>
        <v>38</v>
      </c>
      <c r="D31" s="3">
        <f>ROW(EtalonRes!A46)</f>
        <v>46</v>
      </c>
      <c r="E31" s="3" t="s">
        <v>33</v>
      </c>
      <c r="F31" s="3" t="s">
        <v>34</v>
      </c>
      <c r="G31" s="3" t="s">
        <v>35</v>
      </c>
      <c r="H31" s="3" t="s">
        <v>36</v>
      </c>
      <c r="I31" s="3">
        <v>1</v>
      </c>
      <c r="J31" s="3">
        <v>0</v>
      </c>
      <c r="K31" s="3">
        <v>1</v>
      </c>
      <c r="O31" s="3">
        <f t="shared" si="21"/>
        <v>18120.349999999999</v>
      </c>
      <c r="P31" s="3">
        <f t="shared" si="22"/>
        <v>1250.51</v>
      </c>
      <c r="Q31" s="3">
        <f>(ROUND((ROUND(((((ET31*1.2)*1.25))*AV31*I31),2)*BB31),2)+ROUND((ROUND(((AE31-(((EU31*1.2)*1.25)))*AV31*I31),2)*BS31),2))</f>
        <v>382.96</v>
      </c>
      <c r="R31" s="3">
        <f>(ROUND((ROUND(((((EU31*1.2)*1.25))*AV31*I31),2)*BS31),2)+ROUND((ROUND(((AE31-(((EU31*1.2)*1.25)))*AV31*I31),2)*BS31),2))</f>
        <v>129.04</v>
      </c>
      <c r="S31" s="3">
        <f t="shared" si="23"/>
        <v>16486.88</v>
      </c>
      <c r="T31" s="3">
        <f t="shared" si="24"/>
        <v>0</v>
      </c>
      <c r="U31" s="3">
        <f t="shared" si="25"/>
        <v>24.001097999999995</v>
      </c>
      <c r="V31" s="3">
        <f t="shared" si="26"/>
        <v>0</v>
      </c>
      <c r="W31" s="3">
        <f t="shared" si="27"/>
        <v>0</v>
      </c>
      <c r="X31" s="3">
        <f>(ROUND((((S31+ROUND((ROUND(((((EU31*1.2)*1.25))*AV31*I31),2)*BS31),2))*AT31)/100),2)+ROUND(((ROUND((ROUND(((AE31-(((EU31*1.2)*1.25)))*AV31*I31),2)*BS31),2)*AT31)/100),2))</f>
        <v>20105.259999999998</v>
      </c>
      <c r="Y31" s="3">
        <f>(ROUND((((S31+ROUND((ROUND(((((EU31*1.2)*1.25))*AV31*I31),2)*BS31),2))*AU31)/100),2)+ROUND(((ROUND((ROUND(((AE31-(((EU31*1.2)*1.25)))*AV31*I31),2)*BS31),2)*AU31)/100),2))</f>
        <v>11963.46</v>
      </c>
      <c r="AA31" s="3">
        <v>55747651</v>
      </c>
      <c r="AB31" s="3">
        <f t="shared" si="28"/>
        <v>470.096</v>
      </c>
      <c r="AC31" s="3">
        <f>ROUND((((ES31*1)*1)),6)</f>
        <v>172.01</v>
      </c>
      <c r="AD31" s="3">
        <f>ROUND((((((ET31*1.2)*1.25))-(((EU31*1.2)*1.25)))+AE31),6)</f>
        <v>23.88</v>
      </c>
      <c r="AE31" s="3">
        <f>ROUND((((EU31*1.2)*1.25)),6)</f>
        <v>2.145</v>
      </c>
      <c r="AF31" s="3">
        <f>ROUND((((EV31*1.2)*1.15)),6)</f>
        <v>274.20600000000002</v>
      </c>
      <c r="AG31" s="3">
        <f t="shared" si="29"/>
        <v>0</v>
      </c>
      <c r="AH31" s="3">
        <f>(((EW31*1.2)*1.15))</f>
        <v>22.493999999999996</v>
      </c>
      <c r="AI31" s="3">
        <f>(((EX31*1.2)*1.25))</f>
        <v>0</v>
      </c>
      <c r="AJ31" s="3">
        <f t="shared" si="30"/>
        <v>0</v>
      </c>
      <c r="AK31" s="3">
        <v>386.63</v>
      </c>
      <c r="AL31" s="3">
        <v>172.01</v>
      </c>
      <c r="AM31" s="3">
        <v>15.92</v>
      </c>
      <c r="AN31" s="3">
        <v>1.43</v>
      </c>
      <c r="AO31" s="3">
        <v>198.7</v>
      </c>
      <c r="AP31" s="3">
        <v>0</v>
      </c>
      <c r="AQ31" s="3">
        <v>16.3</v>
      </c>
      <c r="AR31" s="3">
        <v>0</v>
      </c>
      <c r="AS31" s="3">
        <v>0</v>
      </c>
      <c r="AT31" s="3">
        <v>121</v>
      </c>
      <c r="AU31" s="3">
        <v>72</v>
      </c>
      <c r="AV31" s="3">
        <v>1.0669999999999999</v>
      </c>
      <c r="AW31" s="3">
        <v>1</v>
      </c>
      <c r="AZ31" s="3">
        <v>1</v>
      </c>
      <c r="BA31" s="3">
        <v>56.35</v>
      </c>
      <c r="BB31" s="3">
        <v>15.03</v>
      </c>
      <c r="BC31" s="3">
        <v>7.27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1</v>
      </c>
      <c r="BJ31" s="3" t="s">
        <v>37</v>
      </c>
      <c r="BM31" s="3">
        <v>23</v>
      </c>
      <c r="BN31" s="3">
        <v>0</v>
      </c>
      <c r="BO31" s="3" t="s">
        <v>34</v>
      </c>
      <c r="BP31" s="3">
        <v>1</v>
      </c>
      <c r="BQ31" s="3">
        <v>30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121</v>
      </c>
      <c r="CA31" s="3">
        <v>72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715</v>
      </c>
      <c r="CO31" s="3">
        <v>0</v>
      </c>
      <c r="CP31" s="3">
        <f t="shared" si="31"/>
        <v>18120.350000000002</v>
      </c>
      <c r="CQ31" s="3">
        <f t="shared" si="32"/>
        <v>1250.51</v>
      </c>
      <c r="CR31" s="3">
        <f>(ROUND((ROUND(((((ET31*1.2)*1.25))*AV31*1),2)*BB31),2)+ROUND((ROUND(((AE31-(((EU31*1.2)*1.25)))*AV31*1),2)*BS31),2))</f>
        <v>382.96</v>
      </c>
      <c r="CS31" s="3">
        <f>(ROUND((ROUND(((((EU31*1.2)*1.25))*AV31*1),2)*BS31),2)+ROUND((ROUND(((AE31-(((EU31*1.2)*1.25)))*AV31*1),2)*BS31),2))</f>
        <v>129.04</v>
      </c>
      <c r="CT31" s="3">
        <f t="shared" si="33"/>
        <v>16486.88</v>
      </c>
      <c r="CU31" s="3">
        <f t="shared" si="34"/>
        <v>0</v>
      </c>
      <c r="CV31" s="3">
        <f t="shared" si="35"/>
        <v>24.001097999999995</v>
      </c>
      <c r="CW31" s="3">
        <f t="shared" si="36"/>
        <v>0</v>
      </c>
      <c r="CX31" s="3">
        <f t="shared" si="37"/>
        <v>0</v>
      </c>
      <c r="CY31" s="3">
        <f>(ROUND((((S31+ROUND((ROUND(((((EU31*1.2)*1.25))*AV31*1),2)*BS31),2))*AT31)/100),2)+ROUND(((ROUND((ROUND(((AE31-(((EU31*1.2)*1.25)))*AV31*1),2)*BS31),2)*AT31)/100),2))</f>
        <v>20105.259999999998</v>
      </c>
      <c r="CZ31" s="3">
        <f>(ROUND((((S31+ROUND((ROUND(((((EU31*1.2)*1.25))*AV31*1),2)*BS31),2))*AU31)/100),2)+ROUND(((ROUND((ROUND(((AE31-(((EU31*1.2)*1.25)))*AV31*1),2)*BS31),2)*AU31)/100),2))</f>
        <v>11963.46</v>
      </c>
      <c r="DB31" s="3">
        <v>7</v>
      </c>
      <c r="DC31" s="3" t="s">
        <v>3</v>
      </c>
      <c r="DD31" s="3" t="s">
        <v>38</v>
      </c>
      <c r="DE31" s="3" t="s">
        <v>39</v>
      </c>
      <c r="DF31" s="3" t="s">
        <v>39</v>
      </c>
      <c r="DG31" s="3" t="s">
        <v>40</v>
      </c>
      <c r="DH31" s="3" t="s">
        <v>3</v>
      </c>
      <c r="DI31" s="3" t="s">
        <v>40</v>
      </c>
      <c r="DJ31" s="3" t="s">
        <v>39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36</v>
      </c>
      <c r="DW31" s="3" t="s">
        <v>36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56938689</v>
      </c>
      <c r="EF31" s="3">
        <v>30</v>
      </c>
      <c r="EG31" s="3" t="s">
        <v>41</v>
      </c>
      <c r="EH31" s="3">
        <v>0</v>
      </c>
      <c r="EI31" s="3" t="s">
        <v>3</v>
      </c>
      <c r="EJ31" s="3">
        <v>1</v>
      </c>
      <c r="EK31" s="3">
        <v>23</v>
      </c>
      <c r="EL31" s="3" t="s">
        <v>42</v>
      </c>
      <c r="EM31" s="3" t="s">
        <v>43</v>
      </c>
      <c r="EO31" s="3" t="s">
        <v>44</v>
      </c>
      <c r="EQ31" s="3">
        <v>0</v>
      </c>
      <c r="ER31" s="3">
        <v>386.63</v>
      </c>
      <c r="ES31" s="3">
        <v>172.01</v>
      </c>
      <c r="ET31" s="3">
        <v>15.92</v>
      </c>
      <c r="EU31" s="3">
        <v>1.43</v>
      </c>
      <c r="EV31" s="3">
        <v>198.7</v>
      </c>
      <c r="EW31" s="3">
        <v>16.3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121</v>
      </c>
      <c r="FY31" s="3">
        <v>72</v>
      </c>
      <c r="GA31" s="3" t="s">
        <v>3</v>
      </c>
      <c r="GD31" s="3">
        <v>1</v>
      </c>
      <c r="GF31" s="3">
        <v>1996820590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38"/>
        <v>0</v>
      </c>
      <c r="GM31" s="3">
        <f t="shared" si="39"/>
        <v>50189.07</v>
      </c>
      <c r="GN31" s="3">
        <f t="shared" si="40"/>
        <v>50189.07</v>
      </c>
      <c r="GO31" s="3">
        <f t="shared" si="41"/>
        <v>0</v>
      </c>
      <c r="GP31" s="3">
        <f t="shared" si="42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ROW(SmtRes!A48)</f>
        <v>48</v>
      </c>
      <c r="D32" s="2">
        <f>ROW(EtalonRes!A57)</f>
        <v>57</v>
      </c>
      <c r="E32" s="2" t="s">
        <v>3</v>
      </c>
      <c r="F32" s="2" t="s">
        <v>45</v>
      </c>
      <c r="G32" s="2" t="s">
        <v>46</v>
      </c>
      <c r="H32" s="2" t="s">
        <v>25</v>
      </c>
      <c r="I32" s="2">
        <f>ROUND(1,9)</f>
        <v>1</v>
      </c>
      <c r="J32" s="2">
        <v>0</v>
      </c>
      <c r="K32" s="2">
        <f>ROUND(1,9)</f>
        <v>1</v>
      </c>
      <c r="L32" s="2"/>
      <c r="M32" s="2"/>
      <c r="N32" s="2"/>
      <c r="O32" s="2">
        <f t="shared" si="21"/>
        <v>513.44000000000005</v>
      </c>
      <c r="P32" s="2">
        <f t="shared" si="22"/>
        <v>43.53</v>
      </c>
      <c r="Q32" s="2">
        <f>(ROUND((ROUND((((ET32*1.2))*AV32*I32),2)*BB32),2)+ROUND((ROUND(((AE32-((EU32*1.2)))*AV32*I32),2)*BS32),2))</f>
        <v>31.37</v>
      </c>
      <c r="R32" s="2">
        <f>(ROUND((ROUND((((EU32*1.2))*AV32*I32),2)*BS32),2)+ROUND((ROUND(((AE32-((EU32*1.2)))*AV32*I32),2)*BS32),2))</f>
        <v>0.49</v>
      </c>
      <c r="S32" s="2">
        <f t="shared" si="23"/>
        <v>438.54</v>
      </c>
      <c r="T32" s="2">
        <f t="shared" si="24"/>
        <v>0</v>
      </c>
      <c r="U32" s="2">
        <f t="shared" si="25"/>
        <v>35.595119999999994</v>
      </c>
      <c r="V32" s="2">
        <f t="shared" si="26"/>
        <v>0</v>
      </c>
      <c r="W32" s="2">
        <f t="shared" si="27"/>
        <v>0</v>
      </c>
      <c r="X32" s="2">
        <f>(ROUND((((S32+ROUND((ROUND((((EU32*1.2))*AV32*I32),2)*BS32),2))*AT32)/100),2)+ROUND(((ROUND((ROUND(((AE32-((EU32*1.2)))*AV32*I32),2)*BS32),2)*AT32)/100),2))</f>
        <v>399.52</v>
      </c>
      <c r="Y32" s="2">
        <f>(ROUND((((S32+ROUND((ROUND((((EU32*1.2))*AV32*I32),2)*BS32),2))*AU32)/100),2)+ROUND(((ROUND((ROUND(((AE32-((EU32*1.2)))*AV32*I32),2)*BS32),2)*AU32)/100),2))</f>
        <v>206.34</v>
      </c>
      <c r="Z32" s="2"/>
      <c r="AA32" s="2">
        <v>-1</v>
      </c>
      <c r="AB32" s="2">
        <f t="shared" si="28"/>
        <v>482.74</v>
      </c>
      <c r="AC32" s="2">
        <f>ROUND(((ES32*1)),6)</f>
        <v>42.34</v>
      </c>
      <c r="AD32" s="2">
        <f>ROUND(((((ET32*1.2))-((EU32*1.2)))+AE32),6)</f>
        <v>29.4</v>
      </c>
      <c r="AE32" s="2">
        <f>ROUND(((EU32*1.2)),6)</f>
        <v>0.45600000000000002</v>
      </c>
      <c r="AF32" s="2">
        <f>ROUND(((EV32*1.2)),6)</f>
        <v>411</v>
      </c>
      <c r="AG32" s="2">
        <f t="shared" si="29"/>
        <v>0</v>
      </c>
      <c r="AH32" s="2">
        <f>((EW32*1.2))</f>
        <v>33.36</v>
      </c>
      <c r="AI32" s="2">
        <f>((EX32*1.2))</f>
        <v>0</v>
      </c>
      <c r="AJ32" s="2">
        <f t="shared" si="30"/>
        <v>0</v>
      </c>
      <c r="AK32" s="2">
        <v>409.34</v>
      </c>
      <c r="AL32" s="2">
        <v>42.34</v>
      </c>
      <c r="AM32" s="2">
        <v>24.5</v>
      </c>
      <c r="AN32" s="2">
        <v>0.38</v>
      </c>
      <c r="AO32" s="2">
        <v>342.5</v>
      </c>
      <c r="AP32" s="2">
        <v>0</v>
      </c>
      <c r="AQ32" s="2">
        <v>27.8</v>
      </c>
      <c r="AR32" s="2">
        <v>0</v>
      </c>
      <c r="AS32" s="2">
        <v>0</v>
      </c>
      <c r="AT32" s="2">
        <v>91</v>
      </c>
      <c r="AU32" s="2">
        <v>47</v>
      </c>
      <c r="AV32" s="2">
        <v>1.0669999999999999</v>
      </c>
      <c r="AW32" s="2">
        <v>1.028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47</v>
      </c>
      <c r="BK32" s="2"/>
      <c r="BL32" s="2"/>
      <c r="BM32" s="2">
        <v>66</v>
      </c>
      <c r="BN32" s="2">
        <v>0</v>
      </c>
      <c r="BO32" s="2" t="s">
        <v>45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91</v>
      </c>
      <c r="CA32" s="2">
        <v>47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716</v>
      </c>
      <c r="CO32" s="2">
        <v>0</v>
      </c>
      <c r="CP32" s="2">
        <f t="shared" si="31"/>
        <v>513.44000000000005</v>
      </c>
      <c r="CQ32" s="2">
        <f t="shared" si="32"/>
        <v>43.53</v>
      </c>
      <c r="CR32" s="2">
        <f>(ROUND((ROUND((((ET32*1.2))*AV32*1),2)*BB32),2)+ROUND((ROUND(((AE32-((EU32*1.2)))*AV32*1),2)*BS32),2))</f>
        <v>31.37</v>
      </c>
      <c r="CS32" s="2">
        <f>(ROUND((ROUND((((EU32*1.2))*AV32*1),2)*BS32),2)+ROUND((ROUND(((AE32-((EU32*1.2)))*AV32*1),2)*BS32),2))</f>
        <v>0.49</v>
      </c>
      <c r="CT32" s="2">
        <f t="shared" si="33"/>
        <v>438.54</v>
      </c>
      <c r="CU32" s="2">
        <f t="shared" si="34"/>
        <v>0</v>
      </c>
      <c r="CV32" s="2">
        <f t="shared" si="35"/>
        <v>35.595119999999994</v>
      </c>
      <c r="CW32" s="2">
        <f t="shared" si="36"/>
        <v>0</v>
      </c>
      <c r="CX32" s="2">
        <f t="shared" si="37"/>
        <v>0</v>
      </c>
      <c r="CY32" s="2">
        <f>(ROUND((((S32+ROUND((ROUND((((EU32*1.2))*AV32*1),2)*BS32),2))*AT32)/100),2)+ROUND(((ROUND((ROUND(((AE32-((EU32*1.2)))*AV32*1),2)*BS32),2)*AT32)/100),2))</f>
        <v>399.52</v>
      </c>
      <c r="CZ32" s="2">
        <f>(ROUND((((S32+ROUND((ROUND((((EU32*1.2))*AV32*1),2)*BS32),2))*AU32)/100),2)+ROUND(((ROUND((ROUND(((AE32-((EU32*1.2)))*AV32*1),2)*BS32),2)*AU32)/100),2))</f>
        <v>206.34</v>
      </c>
      <c r="DA32" s="2"/>
      <c r="DB32" s="2">
        <v>9</v>
      </c>
      <c r="DC32" s="2" t="s">
        <v>3</v>
      </c>
      <c r="DD32" s="2" t="s">
        <v>48</v>
      </c>
      <c r="DE32" s="2" t="s">
        <v>49</v>
      </c>
      <c r="DF32" s="2" t="s">
        <v>49</v>
      </c>
      <c r="DG32" s="2" t="s">
        <v>49</v>
      </c>
      <c r="DH32" s="2" t="s">
        <v>3</v>
      </c>
      <c r="DI32" s="2" t="s">
        <v>49</v>
      </c>
      <c r="DJ32" s="2" t="s">
        <v>49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25</v>
      </c>
      <c r="DW32" s="2" t="s">
        <v>25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56938733</v>
      </c>
      <c r="EF32" s="2">
        <v>40</v>
      </c>
      <c r="EG32" s="2" t="s">
        <v>29</v>
      </c>
      <c r="EH32" s="2">
        <v>0</v>
      </c>
      <c r="EI32" s="2" t="s">
        <v>3</v>
      </c>
      <c r="EJ32" s="2">
        <v>2</v>
      </c>
      <c r="EK32" s="2">
        <v>66</v>
      </c>
      <c r="EL32" s="2" t="s">
        <v>30</v>
      </c>
      <c r="EM32" s="2" t="s">
        <v>31</v>
      </c>
      <c r="EN32" s="2"/>
      <c r="EO32" s="2" t="s">
        <v>50</v>
      </c>
      <c r="EP32" s="2"/>
      <c r="EQ32" s="2">
        <v>132096</v>
      </c>
      <c r="ER32" s="2">
        <v>409.34</v>
      </c>
      <c r="ES32" s="2">
        <v>42.34</v>
      </c>
      <c r="ET32" s="2">
        <v>24.5</v>
      </c>
      <c r="EU32" s="2">
        <v>0.38</v>
      </c>
      <c r="EV32" s="2">
        <v>342.5</v>
      </c>
      <c r="EW32" s="2">
        <v>27.8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2</v>
      </c>
      <c r="FT32" s="2"/>
      <c r="FU32" s="2"/>
      <c r="FV32" s="2"/>
      <c r="FW32" s="2"/>
      <c r="FX32" s="2">
        <v>91</v>
      </c>
      <c r="FY32" s="2">
        <v>47</v>
      </c>
      <c r="FZ32" s="2"/>
      <c r="GA32" s="2" t="s">
        <v>3</v>
      </c>
      <c r="GB32" s="2"/>
      <c r="GC32" s="2"/>
      <c r="GD32" s="2">
        <v>1</v>
      </c>
      <c r="GE32" s="2"/>
      <c r="GF32" s="2">
        <v>-1722888311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1119.3</v>
      </c>
      <c r="GN32" s="2">
        <f t="shared" si="40"/>
        <v>0</v>
      </c>
      <c r="GO32" s="2">
        <f t="shared" si="41"/>
        <v>1119.3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ROW(SmtRes!A58)</f>
        <v>58</v>
      </c>
      <c r="D33" s="3">
        <f>ROW(EtalonRes!A68)</f>
        <v>68</v>
      </c>
      <c r="E33" s="3" t="s">
        <v>3</v>
      </c>
      <c r="F33" s="3" t="s">
        <v>45</v>
      </c>
      <c r="G33" s="3" t="s">
        <v>46</v>
      </c>
      <c r="H33" s="3" t="s">
        <v>25</v>
      </c>
      <c r="I33" s="3">
        <f>ROUND(1,9)</f>
        <v>1</v>
      </c>
      <c r="J33" s="3">
        <v>0</v>
      </c>
      <c r="K33" s="3">
        <f>ROUND(1,9)</f>
        <v>1</v>
      </c>
      <c r="O33" s="3">
        <f t="shared" si="21"/>
        <v>25637.77</v>
      </c>
      <c r="P33" s="3">
        <f t="shared" si="22"/>
        <v>507.56</v>
      </c>
      <c r="Q33" s="3">
        <f>(ROUND((ROUND((((ET33*1.2))*AV33*I33),2)*BB33),2)+ROUND((ROUND(((AE33-((EU33*1.2)))*AV33*I33),2)*BS33),2))</f>
        <v>418.48</v>
      </c>
      <c r="R33" s="3">
        <f>(ROUND((ROUND((((EU33*1.2))*AV33*I33),2)*BS33),2)+ROUND((ROUND(((AE33-((EU33*1.2)))*AV33*I33),2)*BS33),2))</f>
        <v>27.61</v>
      </c>
      <c r="S33" s="3">
        <f t="shared" si="23"/>
        <v>24711.73</v>
      </c>
      <c r="T33" s="3">
        <f t="shared" si="24"/>
        <v>0</v>
      </c>
      <c r="U33" s="3">
        <f t="shared" si="25"/>
        <v>35.595119999999994</v>
      </c>
      <c r="V33" s="3">
        <f t="shared" si="26"/>
        <v>0</v>
      </c>
      <c r="W33" s="3">
        <f t="shared" si="27"/>
        <v>0</v>
      </c>
      <c r="X33" s="3">
        <f>(ROUND((((S33+ROUND((ROUND((((EU33*1.2))*AV33*I33),2)*BS33),2))*AT33)/100),2)+ROUND(((ROUND((ROUND(((AE33-((EU33*1.2)))*AV33*I33),2)*BS33),2)*AT33)/100),2))</f>
        <v>22512.799999999999</v>
      </c>
      <c r="Y33" s="3">
        <f>(ROUND((((S33+ROUND((ROUND((((EU33*1.2))*AV33*I33),2)*BS33),2))*AU33)/100),2)+ROUND(((ROUND((ROUND(((AE33-((EU33*1.2)))*AV33*I33),2)*BS33),2)*AU33)/100),2))</f>
        <v>11627.49</v>
      </c>
      <c r="AA33" s="3">
        <v>-1</v>
      </c>
      <c r="AB33" s="3">
        <f t="shared" si="28"/>
        <v>482.74</v>
      </c>
      <c r="AC33" s="3">
        <f>ROUND(((ES33*1)),6)</f>
        <v>42.34</v>
      </c>
      <c r="AD33" s="3">
        <f>ROUND(((((ET33*1.2))-((EU33*1.2)))+AE33),6)</f>
        <v>29.4</v>
      </c>
      <c r="AE33" s="3">
        <f>ROUND(((EU33*1.2)),6)</f>
        <v>0.45600000000000002</v>
      </c>
      <c r="AF33" s="3">
        <f>ROUND(((EV33*1.2)),6)</f>
        <v>411</v>
      </c>
      <c r="AG33" s="3">
        <f t="shared" si="29"/>
        <v>0</v>
      </c>
      <c r="AH33" s="3">
        <f>((EW33*1.2))</f>
        <v>33.36</v>
      </c>
      <c r="AI33" s="3">
        <f>((EX33*1.2))</f>
        <v>0</v>
      </c>
      <c r="AJ33" s="3">
        <f t="shared" si="30"/>
        <v>0</v>
      </c>
      <c r="AK33" s="3">
        <v>409.34</v>
      </c>
      <c r="AL33" s="3">
        <v>42.34</v>
      </c>
      <c r="AM33" s="3">
        <v>24.5</v>
      </c>
      <c r="AN33" s="3">
        <v>0.38</v>
      </c>
      <c r="AO33" s="3">
        <v>342.5</v>
      </c>
      <c r="AP33" s="3">
        <v>0</v>
      </c>
      <c r="AQ33" s="3">
        <v>27.8</v>
      </c>
      <c r="AR33" s="3">
        <v>0</v>
      </c>
      <c r="AS33" s="3">
        <v>0</v>
      </c>
      <c r="AT33" s="3">
        <v>91</v>
      </c>
      <c r="AU33" s="3">
        <v>47</v>
      </c>
      <c r="AV33" s="3">
        <v>1.0669999999999999</v>
      </c>
      <c r="AW33" s="3">
        <v>1.028</v>
      </c>
      <c r="AZ33" s="3">
        <v>1</v>
      </c>
      <c r="BA33" s="3">
        <v>56.35</v>
      </c>
      <c r="BB33" s="3">
        <v>13.34</v>
      </c>
      <c r="BC33" s="3">
        <v>11.66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47</v>
      </c>
      <c r="BM33" s="3">
        <v>66</v>
      </c>
      <c r="BN33" s="3">
        <v>0</v>
      </c>
      <c r="BO33" s="3" t="s">
        <v>45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91</v>
      </c>
      <c r="CA33" s="3">
        <v>47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716</v>
      </c>
      <c r="CO33" s="3">
        <v>0</v>
      </c>
      <c r="CP33" s="3">
        <f t="shared" si="31"/>
        <v>25637.77</v>
      </c>
      <c r="CQ33" s="3">
        <f t="shared" si="32"/>
        <v>507.56</v>
      </c>
      <c r="CR33" s="3">
        <f>(ROUND((ROUND((((ET33*1.2))*AV33*1),2)*BB33),2)+ROUND((ROUND(((AE33-((EU33*1.2)))*AV33*1),2)*BS33),2))</f>
        <v>418.48</v>
      </c>
      <c r="CS33" s="3">
        <f>(ROUND((ROUND((((EU33*1.2))*AV33*1),2)*BS33),2)+ROUND((ROUND(((AE33-((EU33*1.2)))*AV33*1),2)*BS33),2))</f>
        <v>27.61</v>
      </c>
      <c r="CT33" s="3">
        <f t="shared" si="33"/>
        <v>24711.73</v>
      </c>
      <c r="CU33" s="3">
        <f t="shared" si="34"/>
        <v>0</v>
      </c>
      <c r="CV33" s="3">
        <f t="shared" si="35"/>
        <v>35.595119999999994</v>
      </c>
      <c r="CW33" s="3">
        <f t="shared" si="36"/>
        <v>0</v>
      </c>
      <c r="CX33" s="3">
        <f t="shared" si="37"/>
        <v>0</v>
      </c>
      <c r="CY33" s="3">
        <f>(ROUND((((S33+ROUND((ROUND((((EU33*1.2))*AV33*1),2)*BS33),2))*AT33)/100),2)+ROUND(((ROUND((ROUND(((AE33-((EU33*1.2)))*AV33*1),2)*BS33),2)*AT33)/100),2))</f>
        <v>22512.799999999999</v>
      </c>
      <c r="CZ33" s="3">
        <f>(ROUND((((S33+ROUND((ROUND((((EU33*1.2))*AV33*1),2)*BS33),2))*AU33)/100),2)+ROUND(((ROUND((ROUND(((AE33-((EU33*1.2)))*AV33*1),2)*BS33),2)*AU33)/100),2))</f>
        <v>11627.49</v>
      </c>
      <c r="DB33" s="3">
        <v>10</v>
      </c>
      <c r="DC33" s="3" t="s">
        <v>3</v>
      </c>
      <c r="DD33" s="3" t="s">
        <v>48</v>
      </c>
      <c r="DE33" s="3" t="s">
        <v>49</v>
      </c>
      <c r="DF33" s="3" t="s">
        <v>49</v>
      </c>
      <c r="DG33" s="3" t="s">
        <v>49</v>
      </c>
      <c r="DH33" s="3" t="s">
        <v>3</v>
      </c>
      <c r="DI33" s="3" t="s">
        <v>49</v>
      </c>
      <c r="DJ33" s="3" t="s">
        <v>49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25</v>
      </c>
      <c r="DW33" s="3" t="s">
        <v>25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56938733</v>
      </c>
      <c r="EF33" s="3">
        <v>40</v>
      </c>
      <c r="EG33" s="3" t="s">
        <v>29</v>
      </c>
      <c r="EH33" s="3">
        <v>0</v>
      </c>
      <c r="EI33" s="3" t="s">
        <v>3</v>
      </c>
      <c r="EJ33" s="3">
        <v>2</v>
      </c>
      <c r="EK33" s="3">
        <v>66</v>
      </c>
      <c r="EL33" s="3" t="s">
        <v>30</v>
      </c>
      <c r="EM33" s="3" t="s">
        <v>31</v>
      </c>
      <c r="EO33" s="3" t="s">
        <v>50</v>
      </c>
      <c r="EQ33" s="3">
        <v>132096</v>
      </c>
      <c r="ER33" s="3">
        <v>409.34</v>
      </c>
      <c r="ES33" s="3">
        <v>42.34</v>
      </c>
      <c r="ET33" s="3">
        <v>24.5</v>
      </c>
      <c r="EU33" s="3">
        <v>0.38</v>
      </c>
      <c r="EV33" s="3">
        <v>342.5</v>
      </c>
      <c r="EW33" s="3">
        <v>27.8</v>
      </c>
      <c r="EX33" s="3">
        <v>0</v>
      </c>
      <c r="EY33" s="3">
        <v>0</v>
      </c>
      <c r="FQ33" s="3">
        <v>0</v>
      </c>
      <c r="FR33" s="3">
        <v>0</v>
      </c>
      <c r="FS33" s="3">
        <v>2</v>
      </c>
      <c r="FX33" s="3">
        <v>91</v>
      </c>
      <c r="FY33" s="3">
        <v>47</v>
      </c>
      <c r="GA33" s="3" t="s">
        <v>3</v>
      </c>
      <c r="GD33" s="3">
        <v>1</v>
      </c>
      <c r="GF33" s="3">
        <v>-1722888311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8"/>
        <v>0</v>
      </c>
      <c r="GM33" s="3">
        <f t="shared" si="39"/>
        <v>59778.06</v>
      </c>
      <c r="GN33" s="3">
        <f t="shared" si="40"/>
        <v>0</v>
      </c>
      <c r="GO33" s="3">
        <f t="shared" si="41"/>
        <v>59778.06</v>
      </c>
      <c r="GP33" s="3">
        <f t="shared" si="42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ROW(SmtRes!A67)</f>
        <v>67</v>
      </c>
      <c r="D34" s="2">
        <f>ROW(EtalonRes!A78)</f>
        <v>78</v>
      </c>
      <c r="E34" s="2" t="s">
        <v>51</v>
      </c>
      <c r="F34" s="2" t="s">
        <v>52</v>
      </c>
      <c r="G34" s="2" t="s">
        <v>53</v>
      </c>
      <c r="H34" s="2" t="s">
        <v>25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358.38</v>
      </c>
      <c r="P34" s="2">
        <f t="shared" si="22"/>
        <v>109.65</v>
      </c>
      <c r="Q34" s="2">
        <f>(ROUND((ROUND(((((ET34*1.2)*1.25))*AV34*I34),2)*BB34),2)+ROUND((ROUND(((AE34-(((EU34*1.2)*1.25)))*AV34*I34),2)*BS34),2))</f>
        <v>10</v>
      </c>
      <c r="R34" s="2">
        <f>(ROUND((ROUND(((((EU34*1.2)*1.25))*AV34*I34),2)*BS34),2)+ROUND((ROUND(((AE34-(((EU34*1.2)*1.25)))*AV34*I34),2)*BS34),2))</f>
        <v>0.48</v>
      </c>
      <c r="S34" s="2">
        <f t="shared" si="23"/>
        <v>238.73</v>
      </c>
      <c r="T34" s="2">
        <f t="shared" si="24"/>
        <v>0</v>
      </c>
      <c r="U34" s="2">
        <f t="shared" si="25"/>
        <v>19.583717999999998</v>
      </c>
      <c r="V34" s="2">
        <f t="shared" si="26"/>
        <v>0</v>
      </c>
      <c r="W34" s="2">
        <f t="shared" si="27"/>
        <v>0</v>
      </c>
      <c r="X34" s="2">
        <f>(ROUND((((S34+ROUND((ROUND(((((EU34*1.2)*1.25))*AV34*I34),2)*BS34),2))*AT34)/100),2)+ROUND(((ROUND((ROUND(((AE34-(((EU34*1.2)*1.25)))*AV34*I34),2)*BS34),2)*AT34)/100),2))</f>
        <v>289.44</v>
      </c>
      <c r="Y34" s="2">
        <f>(ROUND((((S34+ROUND((ROUND(((((EU34*1.2)*1.25))*AV34*I34),2)*BS34),2))*AU34)/100),2)+ROUND(((ROUND((ROUND(((AE34-(((EU34*1.2)*1.25)))*AV34*I34),2)*BS34),2)*AU34)/100),2))</f>
        <v>172.23</v>
      </c>
      <c r="Z34" s="2"/>
      <c r="AA34" s="2">
        <v>55747649</v>
      </c>
      <c r="AB34" s="2">
        <f t="shared" si="28"/>
        <v>342.76440000000002</v>
      </c>
      <c r="AC34" s="2">
        <f>ROUND((((ES34*1)*1)),6)</f>
        <v>109.65</v>
      </c>
      <c r="AD34" s="2">
        <f>ROUND((((((ET34*1.2)*1.25))-(((EU34*1.2)*1.25)))+AE34),6)</f>
        <v>9.375</v>
      </c>
      <c r="AE34" s="2">
        <f>ROUND((((EU34*1.2)*1.25)),6)</f>
        <v>0.45</v>
      </c>
      <c r="AF34" s="2">
        <f>ROUND((((EV34*1.2)*1.15)),6)</f>
        <v>223.73939999999999</v>
      </c>
      <c r="AG34" s="2">
        <f t="shared" si="29"/>
        <v>0</v>
      </c>
      <c r="AH34" s="2">
        <f>(((EW34*1.2)*1.15))</f>
        <v>18.353999999999999</v>
      </c>
      <c r="AI34" s="2">
        <f>(((EX34*1.2)*1.25))</f>
        <v>0</v>
      </c>
      <c r="AJ34" s="2">
        <f t="shared" si="30"/>
        <v>0</v>
      </c>
      <c r="AK34" s="2">
        <v>278.02999999999997</v>
      </c>
      <c r="AL34" s="2">
        <v>109.65</v>
      </c>
      <c r="AM34" s="2">
        <v>6.25</v>
      </c>
      <c r="AN34" s="2">
        <v>0.3</v>
      </c>
      <c r="AO34" s="2">
        <v>162.13</v>
      </c>
      <c r="AP34" s="2">
        <v>0</v>
      </c>
      <c r="AQ34" s="2">
        <v>13.3</v>
      </c>
      <c r="AR34" s="2">
        <v>0</v>
      </c>
      <c r="AS34" s="2">
        <v>0</v>
      </c>
      <c r="AT34" s="2">
        <v>121</v>
      </c>
      <c r="AU34" s="2">
        <v>72</v>
      </c>
      <c r="AV34" s="2">
        <v>1.0669999999999999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54</v>
      </c>
      <c r="BK34" s="2"/>
      <c r="BL34" s="2"/>
      <c r="BM34" s="2">
        <v>22</v>
      </c>
      <c r="BN34" s="2">
        <v>0</v>
      </c>
      <c r="BO34" s="2" t="s">
        <v>52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121</v>
      </c>
      <c r="CA34" s="2">
        <v>72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715</v>
      </c>
      <c r="CO34" s="2">
        <v>0</v>
      </c>
      <c r="CP34" s="2">
        <f t="shared" si="31"/>
        <v>358.38</v>
      </c>
      <c r="CQ34" s="2">
        <f t="shared" si="32"/>
        <v>109.65</v>
      </c>
      <c r="CR34" s="2">
        <f>(ROUND((ROUND(((((ET34*1.2)*1.25))*AV34*1),2)*BB34),2)+ROUND((ROUND(((AE34-(((EU34*1.2)*1.25)))*AV34*1),2)*BS34),2))</f>
        <v>10</v>
      </c>
      <c r="CS34" s="2">
        <f>(ROUND((ROUND(((((EU34*1.2)*1.25))*AV34*1),2)*BS34),2)+ROUND((ROUND(((AE34-(((EU34*1.2)*1.25)))*AV34*1),2)*BS34),2))</f>
        <v>0.48</v>
      </c>
      <c r="CT34" s="2">
        <f t="shared" si="33"/>
        <v>238.73</v>
      </c>
      <c r="CU34" s="2">
        <f t="shared" si="34"/>
        <v>0</v>
      </c>
      <c r="CV34" s="2">
        <f t="shared" si="35"/>
        <v>19.583717999999998</v>
      </c>
      <c r="CW34" s="2">
        <f t="shared" si="36"/>
        <v>0</v>
      </c>
      <c r="CX34" s="2">
        <f t="shared" si="37"/>
        <v>0</v>
      </c>
      <c r="CY34" s="2">
        <f>(ROUND((((S34+ROUND((ROUND(((((EU34*1.2)*1.25))*AV34*1),2)*BS34),2))*AT34)/100),2)+ROUND(((ROUND((ROUND(((AE34-(((EU34*1.2)*1.25)))*AV34*1),2)*BS34),2)*AT34)/100),2))</f>
        <v>289.44</v>
      </c>
      <c r="CZ34" s="2">
        <f>(ROUND((((S34+ROUND((ROUND(((((EU34*1.2)*1.25))*AV34*1),2)*BS34),2))*AU34)/100),2)+ROUND(((ROUND((ROUND(((AE34-(((EU34*1.2)*1.25)))*AV34*1),2)*BS34),2)*AU34)/100),2))</f>
        <v>172.23</v>
      </c>
      <c r="DA34" s="2"/>
      <c r="DB34" s="2">
        <v>11</v>
      </c>
      <c r="DC34" s="2" t="s">
        <v>3</v>
      </c>
      <c r="DD34" s="2" t="s">
        <v>38</v>
      </c>
      <c r="DE34" s="2" t="s">
        <v>39</v>
      </c>
      <c r="DF34" s="2" t="s">
        <v>39</v>
      </c>
      <c r="DG34" s="2" t="s">
        <v>40</v>
      </c>
      <c r="DH34" s="2" t="s">
        <v>3</v>
      </c>
      <c r="DI34" s="2" t="s">
        <v>40</v>
      </c>
      <c r="DJ34" s="2" t="s">
        <v>39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25</v>
      </c>
      <c r="DW34" s="2" t="s">
        <v>25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56938688</v>
      </c>
      <c r="EF34" s="2">
        <v>30</v>
      </c>
      <c r="EG34" s="2" t="s">
        <v>41</v>
      </c>
      <c r="EH34" s="2">
        <v>0</v>
      </c>
      <c r="EI34" s="2" t="s">
        <v>3</v>
      </c>
      <c r="EJ34" s="2">
        <v>1</v>
      </c>
      <c r="EK34" s="2">
        <v>22</v>
      </c>
      <c r="EL34" s="2" t="s">
        <v>55</v>
      </c>
      <c r="EM34" s="2" t="s">
        <v>56</v>
      </c>
      <c r="EN34" s="2"/>
      <c r="EO34" s="2" t="s">
        <v>44</v>
      </c>
      <c r="EP34" s="2"/>
      <c r="EQ34" s="2">
        <v>0</v>
      </c>
      <c r="ER34" s="2">
        <v>278.02999999999997</v>
      </c>
      <c r="ES34" s="2">
        <v>109.65</v>
      </c>
      <c r="ET34" s="2">
        <v>6.25</v>
      </c>
      <c r="EU34" s="2">
        <v>0.3</v>
      </c>
      <c r="EV34" s="2">
        <v>162.13</v>
      </c>
      <c r="EW34" s="2">
        <v>13.3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121</v>
      </c>
      <c r="FY34" s="2">
        <v>72</v>
      </c>
      <c r="FZ34" s="2"/>
      <c r="GA34" s="2" t="s">
        <v>3</v>
      </c>
      <c r="GB34" s="2"/>
      <c r="GC34" s="2"/>
      <c r="GD34" s="2">
        <v>1</v>
      </c>
      <c r="GE34" s="2"/>
      <c r="GF34" s="2">
        <v>-257018826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8"/>
        <v>0</v>
      </c>
      <c r="GM34" s="2">
        <f t="shared" si="39"/>
        <v>820.05</v>
      </c>
      <c r="GN34" s="2">
        <f t="shared" si="40"/>
        <v>820.05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ROW(SmtRes!A76)</f>
        <v>76</v>
      </c>
      <c r="D35" s="3">
        <f>ROW(EtalonRes!A88)</f>
        <v>88</v>
      </c>
      <c r="E35" s="3" t="s">
        <v>51</v>
      </c>
      <c r="F35" s="3" t="s">
        <v>52</v>
      </c>
      <c r="G35" s="3" t="s">
        <v>53</v>
      </c>
      <c r="H35" s="3" t="s">
        <v>25</v>
      </c>
      <c r="I35" s="3">
        <v>1</v>
      </c>
      <c r="J35" s="3">
        <v>0</v>
      </c>
      <c r="K35" s="3">
        <v>1</v>
      </c>
      <c r="O35" s="3">
        <f t="shared" si="21"/>
        <v>14385.22</v>
      </c>
      <c r="P35" s="3">
        <f t="shared" si="22"/>
        <v>790.58</v>
      </c>
      <c r="Q35" s="3">
        <f>(ROUND((ROUND(((((ET35*1.2)*1.25))*AV35*I35),2)*BB35),2)+ROUND((ROUND(((AE35-(((EU35*1.2)*1.25)))*AV35*I35),2)*BS35),2))</f>
        <v>142.19999999999999</v>
      </c>
      <c r="R35" s="3">
        <f>(ROUND((ROUND(((((EU35*1.2)*1.25))*AV35*I35),2)*BS35),2)+ROUND((ROUND(((AE35-(((EU35*1.2)*1.25)))*AV35*I35),2)*BS35),2))</f>
        <v>27.05</v>
      </c>
      <c r="S35" s="3">
        <f t="shared" si="23"/>
        <v>13452.44</v>
      </c>
      <c r="T35" s="3">
        <f t="shared" si="24"/>
        <v>0</v>
      </c>
      <c r="U35" s="3">
        <f t="shared" si="25"/>
        <v>19.583717999999998</v>
      </c>
      <c r="V35" s="3">
        <f t="shared" si="26"/>
        <v>0</v>
      </c>
      <c r="W35" s="3">
        <f t="shared" si="27"/>
        <v>0</v>
      </c>
      <c r="X35" s="3">
        <f>(ROUND((((S35+ROUND((ROUND(((((EU35*1.2)*1.25))*AV35*I35),2)*BS35),2))*AT35)/100),2)+ROUND(((ROUND((ROUND(((AE35-(((EU35*1.2)*1.25)))*AV35*I35),2)*BS35),2)*AT35)/100),2))</f>
        <v>16310.18</v>
      </c>
      <c r="Y35" s="3">
        <f>(ROUND((((S35+ROUND((ROUND(((((EU35*1.2)*1.25))*AV35*I35),2)*BS35),2))*AU35)/100),2)+ROUND(((ROUND((ROUND(((AE35-(((EU35*1.2)*1.25)))*AV35*I35),2)*BS35),2)*AU35)/100),2))</f>
        <v>9705.23</v>
      </c>
      <c r="AA35" s="3">
        <v>55747651</v>
      </c>
      <c r="AB35" s="3">
        <f t="shared" si="28"/>
        <v>342.76440000000002</v>
      </c>
      <c r="AC35" s="3">
        <f>ROUND((((ES35*1)*1)),6)</f>
        <v>109.65</v>
      </c>
      <c r="AD35" s="3">
        <f>ROUND((((((ET35*1.2)*1.25))-(((EU35*1.2)*1.25)))+AE35),6)</f>
        <v>9.375</v>
      </c>
      <c r="AE35" s="3">
        <f>ROUND((((EU35*1.2)*1.25)),6)</f>
        <v>0.45</v>
      </c>
      <c r="AF35" s="3">
        <f>ROUND((((EV35*1.2)*1.15)),6)</f>
        <v>223.73939999999999</v>
      </c>
      <c r="AG35" s="3">
        <f t="shared" si="29"/>
        <v>0</v>
      </c>
      <c r="AH35" s="3">
        <f>(((EW35*1.2)*1.15))</f>
        <v>18.353999999999999</v>
      </c>
      <c r="AI35" s="3">
        <f>(((EX35*1.2)*1.25))</f>
        <v>0</v>
      </c>
      <c r="AJ35" s="3">
        <f t="shared" si="30"/>
        <v>0</v>
      </c>
      <c r="AK35" s="3">
        <v>278.02999999999997</v>
      </c>
      <c r="AL35" s="3">
        <v>109.65</v>
      </c>
      <c r="AM35" s="3">
        <v>6.25</v>
      </c>
      <c r="AN35" s="3">
        <v>0.3</v>
      </c>
      <c r="AO35" s="3">
        <v>162.13</v>
      </c>
      <c r="AP35" s="3">
        <v>0</v>
      </c>
      <c r="AQ35" s="3">
        <v>13.3</v>
      </c>
      <c r="AR35" s="3">
        <v>0</v>
      </c>
      <c r="AS35" s="3">
        <v>0</v>
      </c>
      <c r="AT35" s="3">
        <v>121</v>
      </c>
      <c r="AU35" s="3">
        <v>72</v>
      </c>
      <c r="AV35" s="3">
        <v>1.0669999999999999</v>
      </c>
      <c r="AW35" s="3">
        <v>1</v>
      </c>
      <c r="AZ35" s="3">
        <v>1</v>
      </c>
      <c r="BA35" s="3">
        <v>56.35</v>
      </c>
      <c r="BB35" s="3">
        <v>14.22</v>
      </c>
      <c r="BC35" s="3">
        <v>7.21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1</v>
      </c>
      <c r="BJ35" s="3" t="s">
        <v>54</v>
      </c>
      <c r="BM35" s="3">
        <v>22</v>
      </c>
      <c r="BN35" s="3">
        <v>0</v>
      </c>
      <c r="BO35" s="3" t="s">
        <v>52</v>
      </c>
      <c r="BP35" s="3">
        <v>1</v>
      </c>
      <c r="BQ35" s="3">
        <v>30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121</v>
      </c>
      <c r="CA35" s="3">
        <v>72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715</v>
      </c>
      <c r="CO35" s="3">
        <v>0</v>
      </c>
      <c r="CP35" s="3">
        <f t="shared" si="31"/>
        <v>14385.220000000001</v>
      </c>
      <c r="CQ35" s="3">
        <f t="shared" si="32"/>
        <v>790.58</v>
      </c>
      <c r="CR35" s="3">
        <f>(ROUND((ROUND(((((ET35*1.2)*1.25))*AV35*1),2)*BB35),2)+ROUND((ROUND(((AE35-(((EU35*1.2)*1.25)))*AV35*1),2)*BS35),2))</f>
        <v>142.19999999999999</v>
      </c>
      <c r="CS35" s="3">
        <f>(ROUND((ROUND(((((EU35*1.2)*1.25))*AV35*1),2)*BS35),2)+ROUND((ROUND(((AE35-(((EU35*1.2)*1.25)))*AV35*1),2)*BS35),2))</f>
        <v>27.05</v>
      </c>
      <c r="CT35" s="3">
        <f t="shared" si="33"/>
        <v>13452.44</v>
      </c>
      <c r="CU35" s="3">
        <f t="shared" si="34"/>
        <v>0</v>
      </c>
      <c r="CV35" s="3">
        <f t="shared" si="35"/>
        <v>19.583717999999998</v>
      </c>
      <c r="CW35" s="3">
        <f t="shared" si="36"/>
        <v>0</v>
      </c>
      <c r="CX35" s="3">
        <f t="shared" si="37"/>
        <v>0</v>
      </c>
      <c r="CY35" s="3">
        <f>(ROUND((((S35+ROUND((ROUND(((((EU35*1.2)*1.25))*AV35*1),2)*BS35),2))*AT35)/100),2)+ROUND(((ROUND((ROUND(((AE35-(((EU35*1.2)*1.25)))*AV35*1),2)*BS35),2)*AT35)/100),2))</f>
        <v>16310.18</v>
      </c>
      <c r="CZ35" s="3">
        <f>(ROUND((((S35+ROUND((ROUND(((((EU35*1.2)*1.25))*AV35*1),2)*BS35),2))*AU35)/100),2)+ROUND(((ROUND((ROUND(((AE35-(((EU35*1.2)*1.25)))*AV35*1),2)*BS35),2)*AU35)/100),2))</f>
        <v>9705.23</v>
      </c>
      <c r="DB35" s="3">
        <v>13</v>
      </c>
      <c r="DC35" s="3" t="s">
        <v>3</v>
      </c>
      <c r="DD35" s="3" t="s">
        <v>38</v>
      </c>
      <c r="DE35" s="3" t="s">
        <v>39</v>
      </c>
      <c r="DF35" s="3" t="s">
        <v>39</v>
      </c>
      <c r="DG35" s="3" t="s">
        <v>40</v>
      </c>
      <c r="DH35" s="3" t="s">
        <v>3</v>
      </c>
      <c r="DI35" s="3" t="s">
        <v>40</v>
      </c>
      <c r="DJ35" s="3" t="s">
        <v>39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25</v>
      </c>
      <c r="DW35" s="3" t="s">
        <v>25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56938688</v>
      </c>
      <c r="EF35" s="3">
        <v>30</v>
      </c>
      <c r="EG35" s="3" t="s">
        <v>41</v>
      </c>
      <c r="EH35" s="3">
        <v>0</v>
      </c>
      <c r="EI35" s="3" t="s">
        <v>3</v>
      </c>
      <c r="EJ35" s="3">
        <v>1</v>
      </c>
      <c r="EK35" s="3">
        <v>22</v>
      </c>
      <c r="EL35" s="3" t="s">
        <v>55</v>
      </c>
      <c r="EM35" s="3" t="s">
        <v>56</v>
      </c>
      <c r="EO35" s="3" t="s">
        <v>44</v>
      </c>
      <c r="EQ35" s="3">
        <v>0</v>
      </c>
      <c r="ER35" s="3">
        <v>278.02999999999997</v>
      </c>
      <c r="ES35" s="3">
        <v>109.65</v>
      </c>
      <c r="ET35" s="3">
        <v>6.25</v>
      </c>
      <c r="EU35" s="3">
        <v>0.3</v>
      </c>
      <c r="EV35" s="3">
        <v>162.13</v>
      </c>
      <c r="EW35" s="3">
        <v>13.3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121</v>
      </c>
      <c r="FY35" s="3">
        <v>72</v>
      </c>
      <c r="GA35" s="3" t="s">
        <v>3</v>
      </c>
      <c r="GD35" s="3">
        <v>1</v>
      </c>
      <c r="GF35" s="3">
        <v>-257018826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8"/>
        <v>0</v>
      </c>
      <c r="GM35" s="3">
        <f t="shared" si="39"/>
        <v>40400.629999999997</v>
      </c>
      <c r="GN35" s="3">
        <f t="shared" si="40"/>
        <v>40400.629999999997</v>
      </c>
      <c r="GO35" s="3">
        <f t="shared" si="41"/>
        <v>0</v>
      </c>
      <c r="GP35" s="3">
        <f t="shared" si="42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ROW(SmtRes!A77)</f>
        <v>77</v>
      </c>
      <c r="D36" s="2">
        <f>ROW(EtalonRes!A89)</f>
        <v>89</v>
      </c>
      <c r="E36" s="2" t="s">
        <v>3</v>
      </c>
      <c r="F36" s="2" t="s">
        <v>57</v>
      </c>
      <c r="G36" s="2" t="s">
        <v>58</v>
      </c>
      <c r="H36" s="2" t="s">
        <v>59</v>
      </c>
      <c r="I36" s="2">
        <v>8.9999999999999993E-3</v>
      </c>
      <c r="J36" s="2">
        <v>0</v>
      </c>
      <c r="K36" s="2">
        <v>8.9999999999999993E-3</v>
      </c>
      <c r="L36" s="2"/>
      <c r="M36" s="2"/>
      <c r="N36" s="2"/>
      <c r="O36" s="2">
        <f t="shared" si="21"/>
        <v>100.94</v>
      </c>
      <c r="P36" s="2">
        <f t="shared" si="22"/>
        <v>1.23</v>
      </c>
      <c r="Q36" s="2">
        <f>(ROUND((ROUND((((ET36*1.2))*AV36*I36),2)*BB36),2)+ROUND((ROUND(((AE36-((EU36*1.2)))*AV36*I36),2)*BS36),2))</f>
        <v>35.340000000000003</v>
      </c>
      <c r="R36" s="2">
        <f>(ROUND((ROUND((((EU36*1.2))*AV36*I36),2)*BS36),2)+ROUND((ROUND(((AE36-((EU36*1.2)))*AV36*I36),2)*BS36),2))</f>
        <v>10.63</v>
      </c>
      <c r="S36" s="2">
        <f t="shared" si="23"/>
        <v>64.37</v>
      </c>
      <c r="T36" s="2">
        <f t="shared" si="24"/>
        <v>0</v>
      </c>
      <c r="U36" s="2">
        <f t="shared" si="25"/>
        <v>5.6119931999999997</v>
      </c>
      <c r="V36" s="2">
        <f t="shared" si="26"/>
        <v>0</v>
      </c>
      <c r="W36" s="2">
        <f t="shared" si="27"/>
        <v>0</v>
      </c>
      <c r="X36" s="2">
        <f>(ROUND((((S36+ROUND((ROUND((((EU36*1.2))*AV36*I36),2)*BS36),2))*AT36)/100),2)+ROUND(((ROUND((ROUND(((AE36-((EU36*1.2)))*AV36*I36),2)*BS36),2)*AT36)/100),2))</f>
        <v>66.75</v>
      </c>
      <c r="Y36" s="2">
        <f>(ROUND((((S36+ROUND((ROUND((((EU36*1.2))*AV36*I36),2)*BS36),2))*AU36)/100),2)+ROUND(((ROUND((ROUND(((AE36-((EU36*1.2)))*AV36*I36),2)*BS36),2)*AU36)/100),2))</f>
        <v>33.75</v>
      </c>
      <c r="Z36" s="2"/>
      <c r="AA36" s="2">
        <v>-1</v>
      </c>
      <c r="AB36" s="2">
        <f t="shared" si="28"/>
        <v>10515.652</v>
      </c>
      <c r="AC36" s="2">
        <f>ROUND(((ES36*1)),6)</f>
        <v>133</v>
      </c>
      <c r="AD36" s="2">
        <f>ROUND(((((ET36*1.2))-((EU36*1.2)))+AE36),6)</f>
        <v>3679.5839999999998</v>
      </c>
      <c r="AE36" s="2">
        <f>ROUND(((EU36*1.2)),6)</f>
        <v>1107.0719999999999</v>
      </c>
      <c r="AF36" s="2">
        <f>ROUND(((EV36*1.2)),6)</f>
        <v>6703.0680000000002</v>
      </c>
      <c r="AG36" s="2">
        <f t="shared" si="29"/>
        <v>0</v>
      </c>
      <c r="AH36" s="2">
        <f>((EW36*1.2))</f>
        <v>584.4</v>
      </c>
      <c r="AI36" s="2">
        <f>((EX36*1.2))</f>
        <v>0</v>
      </c>
      <c r="AJ36" s="2">
        <f t="shared" si="30"/>
        <v>0</v>
      </c>
      <c r="AK36" s="2">
        <v>8785.2099999999991</v>
      </c>
      <c r="AL36" s="2">
        <v>133</v>
      </c>
      <c r="AM36" s="2">
        <v>3066.32</v>
      </c>
      <c r="AN36" s="2">
        <v>922.56</v>
      </c>
      <c r="AO36" s="2">
        <v>5585.89</v>
      </c>
      <c r="AP36" s="2">
        <v>0</v>
      </c>
      <c r="AQ36" s="2">
        <v>487</v>
      </c>
      <c r="AR36" s="2">
        <v>0</v>
      </c>
      <c r="AS36" s="2">
        <v>0</v>
      </c>
      <c r="AT36" s="2">
        <v>89</v>
      </c>
      <c r="AU36" s="2">
        <v>45</v>
      </c>
      <c r="AV36" s="2">
        <v>1.0669999999999999</v>
      </c>
      <c r="AW36" s="2">
        <v>1.028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60</v>
      </c>
      <c r="BK36" s="2"/>
      <c r="BL36" s="2"/>
      <c r="BM36" s="2">
        <v>65</v>
      </c>
      <c r="BN36" s="2">
        <v>0</v>
      </c>
      <c r="BO36" s="2" t="s">
        <v>57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89</v>
      </c>
      <c r="CA36" s="2">
        <v>45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716</v>
      </c>
      <c r="CO36" s="2">
        <v>0</v>
      </c>
      <c r="CP36" s="2">
        <f t="shared" si="31"/>
        <v>100.94</v>
      </c>
      <c r="CQ36" s="2">
        <f t="shared" si="32"/>
        <v>136.72</v>
      </c>
      <c r="CR36" s="2">
        <f>(ROUND((ROUND((((ET36*1.2))*AV36*1),2)*BB36),2)+ROUND((ROUND(((AE36-((EU36*1.2)))*AV36*1),2)*BS36),2))</f>
        <v>3926.12</v>
      </c>
      <c r="CS36" s="2">
        <f>(ROUND((ROUND((((EU36*1.2))*AV36*1),2)*BS36),2)+ROUND((ROUND(((AE36-((EU36*1.2)))*AV36*1),2)*BS36),2))</f>
        <v>1181.25</v>
      </c>
      <c r="CT36" s="2">
        <f t="shared" si="33"/>
        <v>7152.17</v>
      </c>
      <c r="CU36" s="2">
        <f t="shared" si="34"/>
        <v>0</v>
      </c>
      <c r="CV36" s="2">
        <f t="shared" si="35"/>
        <v>623.5548</v>
      </c>
      <c r="CW36" s="2">
        <f t="shared" si="36"/>
        <v>0</v>
      </c>
      <c r="CX36" s="2">
        <f t="shared" si="37"/>
        <v>0</v>
      </c>
      <c r="CY36" s="2">
        <f>(ROUND((((S36+ROUND((ROUND((((EU36*1.2))*AV36*1),2)*BS36),2))*AT36)/100),2)+ROUND(((ROUND((ROUND(((AE36-((EU36*1.2)))*AV36*1),2)*BS36),2)*AT36)/100),2))</f>
        <v>1108.5999999999999</v>
      </c>
      <c r="CZ36" s="2">
        <f>(ROUND((((S36+ROUND((ROUND((((EU36*1.2))*AV36*1),2)*BS36),2))*AU36)/100),2)+ROUND(((ROUND((ROUND(((AE36-((EU36*1.2)))*AV36*1),2)*BS36),2)*AU36)/100),2))</f>
        <v>560.53</v>
      </c>
      <c r="DA36" s="2"/>
      <c r="DB36" s="2">
        <v>15</v>
      </c>
      <c r="DC36" s="2" t="s">
        <v>3</v>
      </c>
      <c r="DD36" s="2" t="s">
        <v>48</v>
      </c>
      <c r="DE36" s="2" t="s">
        <v>49</v>
      </c>
      <c r="DF36" s="2" t="s">
        <v>49</v>
      </c>
      <c r="DG36" s="2" t="s">
        <v>49</v>
      </c>
      <c r="DH36" s="2" t="s">
        <v>3</v>
      </c>
      <c r="DI36" s="2" t="s">
        <v>49</v>
      </c>
      <c r="DJ36" s="2" t="s">
        <v>49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59</v>
      </c>
      <c r="DW36" s="2" t="s">
        <v>59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56938732</v>
      </c>
      <c r="EF36" s="2">
        <v>40</v>
      </c>
      <c r="EG36" s="2" t="s">
        <v>29</v>
      </c>
      <c r="EH36" s="2">
        <v>0</v>
      </c>
      <c r="EI36" s="2" t="s">
        <v>3</v>
      </c>
      <c r="EJ36" s="2">
        <v>2</v>
      </c>
      <c r="EK36" s="2">
        <v>65</v>
      </c>
      <c r="EL36" s="2" t="s">
        <v>61</v>
      </c>
      <c r="EM36" s="2" t="s">
        <v>62</v>
      </c>
      <c r="EN36" s="2"/>
      <c r="EO36" s="2" t="s">
        <v>50</v>
      </c>
      <c r="EP36" s="2"/>
      <c r="EQ36" s="2">
        <v>132096</v>
      </c>
      <c r="ER36" s="2">
        <v>8785.2099999999991</v>
      </c>
      <c r="ES36" s="2">
        <v>133</v>
      </c>
      <c r="ET36" s="2">
        <v>3066.32</v>
      </c>
      <c r="EU36" s="2">
        <v>922.56</v>
      </c>
      <c r="EV36" s="2">
        <v>5585.89</v>
      </c>
      <c r="EW36" s="2">
        <v>487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2</v>
      </c>
      <c r="FT36" s="2"/>
      <c r="FU36" s="2"/>
      <c r="FV36" s="2"/>
      <c r="FW36" s="2"/>
      <c r="FX36" s="2">
        <v>89</v>
      </c>
      <c r="FY36" s="2">
        <v>45</v>
      </c>
      <c r="FZ36" s="2"/>
      <c r="GA36" s="2" t="s">
        <v>3</v>
      </c>
      <c r="GB36" s="2"/>
      <c r="GC36" s="2"/>
      <c r="GD36" s="2">
        <v>1</v>
      </c>
      <c r="GE36" s="2"/>
      <c r="GF36" s="2">
        <v>-966979253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201.44</v>
      </c>
      <c r="GN36" s="2">
        <f t="shared" si="40"/>
        <v>0</v>
      </c>
      <c r="GO36" s="2">
        <f t="shared" si="41"/>
        <v>201.44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ROW(SmtRes!A78)</f>
        <v>78</v>
      </c>
      <c r="D37" s="3">
        <f>ROW(EtalonRes!A90)</f>
        <v>90</v>
      </c>
      <c r="E37" s="3" t="s">
        <v>3</v>
      </c>
      <c r="F37" s="3" t="s">
        <v>57</v>
      </c>
      <c r="G37" s="3" t="s">
        <v>58</v>
      </c>
      <c r="H37" s="3" t="s">
        <v>59</v>
      </c>
      <c r="I37" s="3">
        <v>8.9999999999999993E-3</v>
      </c>
      <c r="J37" s="3">
        <v>0</v>
      </c>
      <c r="K37" s="3">
        <v>8.9999999999999993E-3</v>
      </c>
      <c r="O37" s="3">
        <f t="shared" si="21"/>
        <v>4509.42</v>
      </c>
      <c r="P37" s="3">
        <f t="shared" si="22"/>
        <v>12.1</v>
      </c>
      <c r="Q37" s="3">
        <f>(ROUND((ROUND((((ET37*1.2))*AV37*I37),2)*BB37),2)+ROUND((ROUND(((AE37-((EU37*1.2)))*AV37*I37),2)*BS37),2))</f>
        <v>870.07</v>
      </c>
      <c r="R37" s="3">
        <f>(ROUND((ROUND((((EU37*1.2))*AV37*I37),2)*BS37),2)+ROUND((ROUND(((AE37-((EU37*1.2)))*AV37*I37),2)*BS37),2))</f>
        <v>599</v>
      </c>
      <c r="S37" s="3">
        <f t="shared" si="23"/>
        <v>3627.25</v>
      </c>
      <c r="T37" s="3">
        <f t="shared" si="24"/>
        <v>0</v>
      </c>
      <c r="U37" s="3">
        <f t="shared" si="25"/>
        <v>5.6119931999999997</v>
      </c>
      <c r="V37" s="3">
        <f t="shared" si="26"/>
        <v>0</v>
      </c>
      <c r="W37" s="3">
        <f t="shared" si="27"/>
        <v>0</v>
      </c>
      <c r="X37" s="3">
        <f>(ROUND((((S37+ROUND((ROUND((((EU37*1.2))*AV37*I37),2)*BS37),2))*AT37)/100),2)+ROUND(((ROUND((ROUND(((AE37-((EU37*1.2)))*AV37*I37),2)*BS37),2)*AT37)/100),2))</f>
        <v>3761.36</v>
      </c>
      <c r="Y37" s="3">
        <f>(ROUND((((S37+ROUND((ROUND((((EU37*1.2))*AV37*I37),2)*BS37),2))*AU37)/100),2)+ROUND(((ROUND((ROUND(((AE37-((EU37*1.2)))*AV37*I37),2)*BS37),2)*AU37)/100),2))</f>
        <v>1901.81</v>
      </c>
      <c r="AA37" s="3">
        <v>-1</v>
      </c>
      <c r="AB37" s="3">
        <f t="shared" si="28"/>
        <v>10515.652</v>
      </c>
      <c r="AC37" s="3">
        <f>ROUND(((ES37*1)),6)</f>
        <v>133</v>
      </c>
      <c r="AD37" s="3">
        <f>ROUND(((((ET37*1.2))-((EU37*1.2)))+AE37),6)</f>
        <v>3679.5839999999998</v>
      </c>
      <c r="AE37" s="3">
        <f>ROUND(((EU37*1.2)),6)</f>
        <v>1107.0719999999999</v>
      </c>
      <c r="AF37" s="3">
        <f>ROUND(((EV37*1.2)),6)</f>
        <v>6703.0680000000002</v>
      </c>
      <c r="AG37" s="3">
        <f t="shared" si="29"/>
        <v>0</v>
      </c>
      <c r="AH37" s="3">
        <f>((EW37*1.2))</f>
        <v>584.4</v>
      </c>
      <c r="AI37" s="3">
        <f>((EX37*1.2))</f>
        <v>0</v>
      </c>
      <c r="AJ37" s="3">
        <f t="shared" si="30"/>
        <v>0</v>
      </c>
      <c r="AK37" s="3">
        <v>8785.2099999999991</v>
      </c>
      <c r="AL37" s="3">
        <v>133</v>
      </c>
      <c r="AM37" s="3">
        <v>3066.32</v>
      </c>
      <c r="AN37" s="3">
        <v>922.56</v>
      </c>
      <c r="AO37" s="3">
        <v>5585.89</v>
      </c>
      <c r="AP37" s="3">
        <v>0</v>
      </c>
      <c r="AQ37" s="3">
        <v>487</v>
      </c>
      <c r="AR37" s="3">
        <v>0</v>
      </c>
      <c r="AS37" s="3">
        <v>0</v>
      </c>
      <c r="AT37" s="3">
        <v>89</v>
      </c>
      <c r="AU37" s="3">
        <v>45</v>
      </c>
      <c r="AV37" s="3">
        <v>1.0669999999999999</v>
      </c>
      <c r="AW37" s="3">
        <v>1.028</v>
      </c>
      <c r="AZ37" s="3">
        <v>1</v>
      </c>
      <c r="BA37" s="3">
        <v>56.35</v>
      </c>
      <c r="BB37" s="3">
        <v>24.62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60</v>
      </c>
      <c r="BM37" s="3">
        <v>65</v>
      </c>
      <c r="BN37" s="3">
        <v>0</v>
      </c>
      <c r="BO37" s="3" t="s">
        <v>57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89</v>
      </c>
      <c r="CA37" s="3">
        <v>45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716</v>
      </c>
      <c r="CO37" s="3">
        <v>0</v>
      </c>
      <c r="CP37" s="3">
        <f t="shared" si="31"/>
        <v>4509.42</v>
      </c>
      <c r="CQ37" s="3">
        <f t="shared" si="32"/>
        <v>1345.32</v>
      </c>
      <c r="CR37" s="3">
        <f>(ROUND((ROUND((((ET37*1.2))*AV37*1),2)*BB37),2)+ROUND((ROUND(((AE37-((EU37*1.2)))*AV37*1),2)*BS37),2))</f>
        <v>96661.07</v>
      </c>
      <c r="CS37" s="3">
        <f>(ROUND((ROUND((((EU37*1.2))*AV37*1),2)*BS37),2)+ROUND((ROUND(((AE37-((EU37*1.2)))*AV37*1),2)*BS37),2))</f>
        <v>66563.44</v>
      </c>
      <c r="CT37" s="3">
        <f t="shared" si="33"/>
        <v>403024.78</v>
      </c>
      <c r="CU37" s="3">
        <f t="shared" si="34"/>
        <v>0</v>
      </c>
      <c r="CV37" s="3">
        <f t="shared" si="35"/>
        <v>623.5548</v>
      </c>
      <c r="CW37" s="3">
        <f t="shared" si="36"/>
        <v>0</v>
      </c>
      <c r="CX37" s="3">
        <f t="shared" si="37"/>
        <v>0</v>
      </c>
      <c r="CY37" s="3">
        <f>(ROUND((((S37+ROUND((ROUND((((EU37*1.2))*AV37*1),2)*BS37),2))*AT37)/100),2)+ROUND(((ROUND((ROUND(((AE37-((EU37*1.2)))*AV37*1),2)*BS37),2)*AT37)/100),2))</f>
        <v>62469.71</v>
      </c>
      <c r="CZ37" s="3">
        <f>(ROUND((((S37+ROUND((ROUND((((EU37*1.2))*AV37*1),2)*BS37),2))*AU37)/100),2)+ROUND(((ROUND((ROUND(((AE37-((EU37*1.2)))*AV37*1),2)*BS37),2)*AU37)/100),2))</f>
        <v>31585.81</v>
      </c>
      <c r="DB37" s="3">
        <v>16</v>
      </c>
      <c r="DC37" s="3" t="s">
        <v>3</v>
      </c>
      <c r="DD37" s="3" t="s">
        <v>48</v>
      </c>
      <c r="DE37" s="3" t="s">
        <v>49</v>
      </c>
      <c r="DF37" s="3" t="s">
        <v>49</v>
      </c>
      <c r="DG37" s="3" t="s">
        <v>49</v>
      </c>
      <c r="DH37" s="3" t="s">
        <v>3</v>
      </c>
      <c r="DI37" s="3" t="s">
        <v>49</v>
      </c>
      <c r="DJ37" s="3" t="s">
        <v>49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59</v>
      </c>
      <c r="DW37" s="3" t="s">
        <v>59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56938732</v>
      </c>
      <c r="EF37" s="3">
        <v>40</v>
      </c>
      <c r="EG37" s="3" t="s">
        <v>29</v>
      </c>
      <c r="EH37" s="3">
        <v>0</v>
      </c>
      <c r="EI37" s="3" t="s">
        <v>3</v>
      </c>
      <c r="EJ37" s="3">
        <v>2</v>
      </c>
      <c r="EK37" s="3">
        <v>65</v>
      </c>
      <c r="EL37" s="3" t="s">
        <v>61</v>
      </c>
      <c r="EM37" s="3" t="s">
        <v>62</v>
      </c>
      <c r="EO37" s="3" t="s">
        <v>50</v>
      </c>
      <c r="EQ37" s="3">
        <v>132096</v>
      </c>
      <c r="ER37" s="3">
        <v>8785.2099999999991</v>
      </c>
      <c r="ES37" s="3">
        <v>133</v>
      </c>
      <c r="ET37" s="3">
        <v>3066.32</v>
      </c>
      <c r="EU37" s="3">
        <v>922.56</v>
      </c>
      <c r="EV37" s="3">
        <v>5585.89</v>
      </c>
      <c r="EW37" s="3">
        <v>487</v>
      </c>
      <c r="EX37" s="3">
        <v>0</v>
      </c>
      <c r="EY37" s="3">
        <v>0</v>
      </c>
      <c r="FQ37" s="3">
        <v>0</v>
      </c>
      <c r="FR37" s="3">
        <v>0</v>
      </c>
      <c r="FS37" s="3">
        <v>2</v>
      </c>
      <c r="FX37" s="3">
        <v>89</v>
      </c>
      <c r="FY37" s="3">
        <v>45</v>
      </c>
      <c r="GA37" s="3" t="s">
        <v>3</v>
      </c>
      <c r="GD37" s="3">
        <v>1</v>
      </c>
      <c r="GF37" s="3">
        <v>-966979253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38"/>
        <v>0</v>
      </c>
      <c r="GM37" s="3">
        <f t="shared" si="39"/>
        <v>10172.59</v>
      </c>
      <c r="GN37" s="3">
        <f t="shared" si="40"/>
        <v>0</v>
      </c>
      <c r="GO37" s="3">
        <f t="shared" si="41"/>
        <v>10172.59</v>
      </c>
      <c r="GP37" s="3">
        <f t="shared" si="42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ROW(SmtRes!A86)</f>
        <v>86</v>
      </c>
      <c r="D38" s="2">
        <f>ROW(EtalonRes!A99)</f>
        <v>99</v>
      </c>
      <c r="E38" s="2" t="s">
        <v>3</v>
      </c>
      <c r="F38" s="2" t="s">
        <v>63</v>
      </c>
      <c r="G38" s="2" t="s">
        <v>64</v>
      </c>
      <c r="H38" s="2" t="s">
        <v>65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57.22</v>
      </c>
      <c r="P38" s="2">
        <f t="shared" si="22"/>
        <v>4.1900000000000004</v>
      </c>
      <c r="Q38" s="2">
        <f>(ROUND((ROUND(((ET38)*AV38*I38),2)*BB38),2)+ROUND((ROUND(((AE38-(EU38))*AV38*I38),2)*BS38),2))</f>
        <v>8.07</v>
      </c>
      <c r="R38" s="2">
        <f>(ROUND((ROUND(((EU38)*AV38*I38),2)*BS38),2)+ROUND((ROUND(((AE38-(EU38))*AV38*I38),2)*BS38),2))</f>
        <v>0.63</v>
      </c>
      <c r="S38" s="2">
        <f t="shared" si="23"/>
        <v>44.96</v>
      </c>
      <c r="T38" s="2">
        <f t="shared" si="24"/>
        <v>0</v>
      </c>
      <c r="U38" s="2">
        <f t="shared" si="25"/>
        <v>3.8732099999999998</v>
      </c>
      <c r="V38" s="2">
        <f t="shared" si="26"/>
        <v>0</v>
      </c>
      <c r="W38" s="2">
        <f t="shared" si="27"/>
        <v>0</v>
      </c>
      <c r="X38" s="2">
        <f>(ROUND((((S38+ROUND((ROUND(((EU38)*AV38*I38),2)*BS38),2))*AT38)/100),2)+ROUND(((ROUND((ROUND(((AE38-(EU38))*AV38*I38),2)*BS38),2)*AT38)/100),2))</f>
        <v>55.16</v>
      </c>
      <c r="Y38" s="2">
        <f>(ROUND((((S38+ROUND((ROUND(((EU38)*AV38*I38),2)*BS38),2))*AU38)/100),2)+ROUND(((ROUND((ROUND(((AE38-(EU38))*AV38*I38),2)*BS38),2)*AU38)/100),2))</f>
        <v>32.82</v>
      </c>
      <c r="Z38" s="2"/>
      <c r="AA38" s="2">
        <v>-1</v>
      </c>
      <c r="AB38" s="2">
        <f t="shared" si="28"/>
        <v>53.89</v>
      </c>
      <c r="AC38" s="2">
        <f>ROUND((ES38),6)</f>
        <v>4.1900000000000004</v>
      </c>
      <c r="AD38" s="2">
        <f>ROUND((((ET38)-(EU38))+AE38),6)</f>
        <v>7.56</v>
      </c>
      <c r="AE38" s="2">
        <f>ROUND((EU38),6)</f>
        <v>0.59</v>
      </c>
      <c r="AF38" s="2">
        <f>ROUND((EV38),6)</f>
        <v>42.14</v>
      </c>
      <c r="AG38" s="2">
        <f t="shared" si="29"/>
        <v>0</v>
      </c>
      <c r="AH38" s="2">
        <f>(EW38)</f>
        <v>3.63</v>
      </c>
      <c r="AI38" s="2">
        <f>(EX38)</f>
        <v>0</v>
      </c>
      <c r="AJ38" s="2">
        <f t="shared" si="30"/>
        <v>0</v>
      </c>
      <c r="AK38" s="2">
        <v>53.89</v>
      </c>
      <c r="AL38" s="2">
        <v>4.1900000000000004</v>
      </c>
      <c r="AM38" s="2">
        <v>7.56</v>
      </c>
      <c r="AN38" s="2">
        <v>0.59</v>
      </c>
      <c r="AO38" s="2">
        <v>42.14</v>
      </c>
      <c r="AP38" s="2">
        <v>0</v>
      </c>
      <c r="AQ38" s="2">
        <v>3.63</v>
      </c>
      <c r="AR38" s="2">
        <v>0</v>
      </c>
      <c r="AS38" s="2">
        <v>0</v>
      </c>
      <c r="AT38" s="2">
        <v>121</v>
      </c>
      <c r="AU38" s="2">
        <v>72</v>
      </c>
      <c r="AV38" s="2">
        <v>1.0669999999999999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66</v>
      </c>
      <c r="BK38" s="2"/>
      <c r="BL38" s="2"/>
      <c r="BM38" s="2">
        <v>23</v>
      </c>
      <c r="BN38" s="2">
        <v>0</v>
      </c>
      <c r="BO38" s="2" t="s">
        <v>63</v>
      </c>
      <c r="BP38" s="2">
        <v>1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121</v>
      </c>
      <c r="CA38" s="2">
        <v>72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57.22</v>
      </c>
      <c r="CQ38" s="2">
        <f t="shared" si="32"/>
        <v>4.1900000000000004</v>
      </c>
      <c r="CR38" s="2">
        <f>(ROUND((ROUND(((ET38)*AV38*1),2)*BB38),2)+ROUND((ROUND(((AE38-(EU38))*AV38*1),2)*BS38),2))</f>
        <v>8.07</v>
      </c>
      <c r="CS38" s="2">
        <f>(ROUND((ROUND(((EU38)*AV38*1),2)*BS38),2)+ROUND((ROUND(((AE38-(EU38))*AV38*1),2)*BS38),2))</f>
        <v>0.63</v>
      </c>
      <c r="CT38" s="2">
        <f t="shared" si="33"/>
        <v>44.96</v>
      </c>
      <c r="CU38" s="2">
        <f t="shared" si="34"/>
        <v>0</v>
      </c>
      <c r="CV38" s="2">
        <f t="shared" si="35"/>
        <v>3.8732099999999998</v>
      </c>
      <c r="CW38" s="2">
        <f t="shared" si="36"/>
        <v>0</v>
      </c>
      <c r="CX38" s="2">
        <f t="shared" si="37"/>
        <v>0</v>
      </c>
      <c r="CY38" s="2">
        <f>(ROUND((((S38+ROUND((ROUND(((EU38)*AV38*1),2)*BS38),2))*AT38)/100),2)+ROUND(((ROUND((ROUND(((AE38-(EU38))*AV38*1),2)*BS38),2)*AT38)/100),2))</f>
        <v>55.16</v>
      </c>
      <c r="CZ38" s="2">
        <f>(ROUND((((S38+ROUND((ROUND(((EU38)*AV38*1),2)*BS38),2))*AU38)/100),2)+ROUND(((ROUND((ROUND(((AE38-(EU38))*AV38*1),2)*BS38),2)*AU38)/100),2))</f>
        <v>32.82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65</v>
      </c>
      <c r="DW38" s="2" t="s">
        <v>65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56938689</v>
      </c>
      <c r="EF38" s="2">
        <v>30</v>
      </c>
      <c r="EG38" s="2" t="s">
        <v>41</v>
      </c>
      <c r="EH38" s="2">
        <v>0</v>
      </c>
      <c r="EI38" s="2" t="s">
        <v>3</v>
      </c>
      <c r="EJ38" s="2">
        <v>1</v>
      </c>
      <c r="EK38" s="2">
        <v>23</v>
      </c>
      <c r="EL38" s="2" t="s">
        <v>42</v>
      </c>
      <c r="EM38" s="2" t="s">
        <v>43</v>
      </c>
      <c r="EN38" s="2"/>
      <c r="EO38" s="2" t="s">
        <v>3</v>
      </c>
      <c r="EP38" s="2"/>
      <c r="EQ38" s="2">
        <v>132096</v>
      </c>
      <c r="ER38" s="2">
        <v>53.89</v>
      </c>
      <c r="ES38" s="2">
        <v>4.1900000000000004</v>
      </c>
      <c r="ET38" s="2">
        <v>7.56</v>
      </c>
      <c r="EU38" s="2">
        <v>0.59</v>
      </c>
      <c r="EV38" s="2">
        <v>42.14</v>
      </c>
      <c r="EW38" s="2">
        <v>3.63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121</v>
      </c>
      <c r="FY38" s="2">
        <v>72</v>
      </c>
      <c r="FZ38" s="2"/>
      <c r="GA38" s="2" t="s">
        <v>3</v>
      </c>
      <c r="GB38" s="2"/>
      <c r="GC38" s="2"/>
      <c r="GD38" s="2">
        <v>1</v>
      </c>
      <c r="GE38" s="2"/>
      <c r="GF38" s="2">
        <v>1630609332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38"/>
        <v>0</v>
      </c>
      <c r="GM38" s="2">
        <f t="shared" si="39"/>
        <v>145.19999999999999</v>
      </c>
      <c r="GN38" s="2">
        <f t="shared" si="40"/>
        <v>145.19999999999999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ROW(SmtRes!A94)</f>
        <v>94</v>
      </c>
      <c r="D39" s="3">
        <f>ROW(EtalonRes!A108)</f>
        <v>108</v>
      </c>
      <c r="E39" s="3" t="s">
        <v>3</v>
      </c>
      <c r="F39" s="3" t="s">
        <v>63</v>
      </c>
      <c r="G39" s="3" t="s">
        <v>64</v>
      </c>
      <c r="H39" s="3" t="s">
        <v>65</v>
      </c>
      <c r="I39" s="3">
        <v>1</v>
      </c>
      <c r="J39" s="3">
        <v>0</v>
      </c>
      <c r="K39" s="3">
        <v>1</v>
      </c>
      <c r="O39" s="3">
        <f t="shared" si="21"/>
        <v>2672.58</v>
      </c>
      <c r="P39" s="3">
        <f t="shared" si="22"/>
        <v>24.89</v>
      </c>
      <c r="Q39" s="3">
        <f>(ROUND((ROUND(((ET39)*AV39*I39),2)*BB39),2)+ROUND((ROUND(((AE39-(EU39))*AV39*I39),2)*BS39),2))</f>
        <v>114.19</v>
      </c>
      <c r="R39" s="3">
        <f>(ROUND((ROUND(((EU39)*AV39*I39),2)*BS39),2)+ROUND((ROUND(((AE39-(EU39))*AV39*I39),2)*BS39),2))</f>
        <v>35.5</v>
      </c>
      <c r="S39" s="3">
        <f t="shared" si="23"/>
        <v>2533.5</v>
      </c>
      <c r="T39" s="3">
        <f t="shared" si="24"/>
        <v>0</v>
      </c>
      <c r="U39" s="3">
        <f t="shared" si="25"/>
        <v>3.8732099999999998</v>
      </c>
      <c r="V39" s="3">
        <f t="shared" si="26"/>
        <v>0</v>
      </c>
      <c r="W39" s="3">
        <f t="shared" si="27"/>
        <v>0</v>
      </c>
      <c r="X39" s="3">
        <f>(ROUND((((S39+ROUND((ROUND(((EU39)*AV39*I39),2)*BS39),2))*AT39)/100),2)+ROUND(((ROUND((ROUND(((AE39-(EU39))*AV39*I39),2)*BS39),2)*AT39)/100),2))</f>
        <v>3108.49</v>
      </c>
      <c r="Y39" s="3">
        <f>(ROUND((((S39+ROUND((ROUND(((EU39)*AV39*I39),2)*BS39),2))*AU39)/100),2)+ROUND(((ROUND((ROUND(((AE39-(EU39))*AV39*I39),2)*BS39),2)*AU39)/100),2))</f>
        <v>1849.68</v>
      </c>
      <c r="AA39" s="3">
        <v>-1</v>
      </c>
      <c r="AB39" s="3">
        <f t="shared" si="28"/>
        <v>53.89</v>
      </c>
      <c r="AC39" s="3">
        <f>ROUND((ES39),6)</f>
        <v>4.1900000000000004</v>
      </c>
      <c r="AD39" s="3">
        <f>ROUND((((ET39)-(EU39))+AE39),6)</f>
        <v>7.56</v>
      </c>
      <c r="AE39" s="3">
        <f>ROUND((EU39),6)</f>
        <v>0.59</v>
      </c>
      <c r="AF39" s="3">
        <f>ROUND((EV39),6)</f>
        <v>42.14</v>
      </c>
      <c r="AG39" s="3">
        <f t="shared" si="29"/>
        <v>0</v>
      </c>
      <c r="AH39" s="3">
        <f>(EW39)</f>
        <v>3.63</v>
      </c>
      <c r="AI39" s="3">
        <f>(EX39)</f>
        <v>0</v>
      </c>
      <c r="AJ39" s="3">
        <f t="shared" si="30"/>
        <v>0</v>
      </c>
      <c r="AK39" s="3">
        <v>53.89</v>
      </c>
      <c r="AL39" s="3">
        <v>4.1900000000000004</v>
      </c>
      <c r="AM39" s="3">
        <v>7.56</v>
      </c>
      <c r="AN39" s="3">
        <v>0.59</v>
      </c>
      <c r="AO39" s="3">
        <v>42.14</v>
      </c>
      <c r="AP39" s="3">
        <v>0</v>
      </c>
      <c r="AQ39" s="3">
        <v>3.63</v>
      </c>
      <c r="AR39" s="3">
        <v>0</v>
      </c>
      <c r="AS39" s="3">
        <v>0</v>
      </c>
      <c r="AT39" s="3">
        <v>121</v>
      </c>
      <c r="AU39" s="3">
        <v>72</v>
      </c>
      <c r="AV39" s="3">
        <v>1.0669999999999999</v>
      </c>
      <c r="AW39" s="3">
        <v>1</v>
      </c>
      <c r="AZ39" s="3">
        <v>1</v>
      </c>
      <c r="BA39" s="3">
        <v>56.35</v>
      </c>
      <c r="BB39" s="3">
        <v>14.15</v>
      </c>
      <c r="BC39" s="3">
        <v>5.94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1</v>
      </c>
      <c r="BJ39" s="3" t="s">
        <v>66</v>
      </c>
      <c r="BM39" s="3">
        <v>23</v>
      </c>
      <c r="BN39" s="3">
        <v>0</v>
      </c>
      <c r="BO39" s="3" t="s">
        <v>63</v>
      </c>
      <c r="BP39" s="3">
        <v>1</v>
      </c>
      <c r="BQ39" s="3">
        <v>30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121</v>
      </c>
      <c r="CA39" s="3">
        <v>72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1"/>
        <v>2672.58</v>
      </c>
      <c r="CQ39" s="3">
        <f t="shared" si="32"/>
        <v>24.89</v>
      </c>
      <c r="CR39" s="3">
        <f>(ROUND((ROUND(((ET39)*AV39*1),2)*BB39),2)+ROUND((ROUND(((AE39-(EU39))*AV39*1),2)*BS39),2))</f>
        <v>114.19</v>
      </c>
      <c r="CS39" s="3">
        <f>(ROUND((ROUND(((EU39)*AV39*1),2)*BS39),2)+ROUND((ROUND(((AE39-(EU39))*AV39*1),2)*BS39),2))</f>
        <v>35.5</v>
      </c>
      <c r="CT39" s="3">
        <f t="shared" si="33"/>
        <v>2533.5</v>
      </c>
      <c r="CU39" s="3">
        <f t="shared" si="34"/>
        <v>0</v>
      </c>
      <c r="CV39" s="3">
        <f t="shared" si="35"/>
        <v>3.8732099999999998</v>
      </c>
      <c r="CW39" s="3">
        <f t="shared" si="36"/>
        <v>0</v>
      </c>
      <c r="CX39" s="3">
        <f t="shared" si="37"/>
        <v>0</v>
      </c>
      <c r="CY39" s="3">
        <f>(ROUND((((S39+ROUND((ROUND(((EU39)*AV39*1),2)*BS39),2))*AT39)/100),2)+ROUND(((ROUND((ROUND(((AE39-(EU39))*AV39*1),2)*BS39),2)*AT39)/100),2))</f>
        <v>3108.49</v>
      </c>
      <c r="CZ39" s="3">
        <f>(ROUND((((S39+ROUND((ROUND(((EU39)*AV39*1),2)*BS39),2))*AU39)/100),2)+ROUND(((ROUND((ROUND(((AE39-(EU39))*AV39*1),2)*BS39),2)*AU39)/100),2))</f>
        <v>1849.68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65</v>
      </c>
      <c r="DW39" s="3" t="s">
        <v>65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56938689</v>
      </c>
      <c r="EF39" s="3">
        <v>30</v>
      </c>
      <c r="EG39" s="3" t="s">
        <v>41</v>
      </c>
      <c r="EH39" s="3">
        <v>0</v>
      </c>
      <c r="EI39" s="3" t="s">
        <v>3</v>
      </c>
      <c r="EJ39" s="3">
        <v>1</v>
      </c>
      <c r="EK39" s="3">
        <v>23</v>
      </c>
      <c r="EL39" s="3" t="s">
        <v>42</v>
      </c>
      <c r="EM39" s="3" t="s">
        <v>43</v>
      </c>
      <c r="EO39" s="3" t="s">
        <v>3</v>
      </c>
      <c r="EQ39" s="3">
        <v>132096</v>
      </c>
      <c r="ER39" s="3">
        <v>53.89</v>
      </c>
      <c r="ES39" s="3">
        <v>4.1900000000000004</v>
      </c>
      <c r="ET39" s="3">
        <v>7.56</v>
      </c>
      <c r="EU39" s="3">
        <v>0.59</v>
      </c>
      <c r="EV39" s="3">
        <v>42.14</v>
      </c>
      <c r="EW39" s="3">
        <v>3.63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121</v>
      </c>
      <c r="FY39" s="3">
        <v>72</v>
      </c>
      <c r="GA39" s="3" t="s">
        <v>3</v>
      </c>
      <c r="GD39" s="3">
        <v>1</v>
      </c>
      <c r="GF39" s="3">
        <v>1630609332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38"/>
        <v>0</v>
      </c>
      <c r="GM39" s="3">
        <f t="shared" si="39"/>
        <v>7630.75</v>
      </c>
      <c r="GN39" s="3">
        <f t="shared" si="40"/>
        <v>7630.75</v>
      </c>
      <c r="GO39" s="3">
        <f t="shared" si="41"/>
        <v>0</v>
      </c>
      <c r="GP39" s="3">
        <f t="shared" si="42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ROW(SmtRes!A101)</f>
        <v>101</v>
      </c>
      <c r="D40" s="2">
        <f>ROW(EtalonRes!A117)</f>
        <v>117</v>
      </c>
      <c r="E40" s="2" t="s">
        <v>3</v>
      </c>
      <c r="F40" s="2" t="s">
        <v>67</v>
      </c>
      <c r="G40" s="2" t="s">
        <v>68</v>
      </c>
      <c r="H40" s="2" t="s">
        <v>25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56.97</v>
      </c>
      <c r="P40" s="2">
        <f t="shared" si="22"/>
        <v>1.46</v>
      </c>
      <c r="Q40" s="2">
        <f t="shared" ref="Q40:Q51" si="46">(ROUND((ROUND((((ET40*1.2))*AV40*I40),2)*BB40),2)+ROUND((ROUND(((AE40-((EU40*1.2)))*AV40*I40),2)*BS40),2))</f>
        <v>21.89</v>
      </c>
      <c r="R40" s="2">
        <f t="shared" ref="R40:R51" si="47">(ROUND((ROUND((((EU40*1.2))*AV40*I40),2)*BS40),2)+ROUND((ROUND(((AE40-((EU40*1.2)))*AV40*I40),2)*BS40),2))</f>
        <v>3.97</v>
      </c>
      <c r="S40" s="2">
        <f t="shared" si="23"/>
        <v>33.619999999999997</v>
      </c>
      <c r="T40" s="2">
        <f t="shared" si="24"/>
        <v>0</v>
      </c>
      <c r="U40" s="2">
        <f t="shared" si="25"/>
        <v>2.5881839999999996</v>
      </c>
      <c r="V40" s="2">
        <f t="shared" si="26"/>
        <v>0</v>
      </c>
      <c r="W40" s="2">
        <f t="shared" si="27"/>
        <v>0</v>
      </c>
      <c r="X40" s="2">
        <f t="shared" ref="X40:X51" si="48">(ROUND((((S40+ROUND((ROUND((((EU40*1.2))*AV40*I40),2)*BS40),2))*AT40)/100),2)+ROUND(((ROUND((ROUND(((AE40-((EU40*1.2)))*AV40*I40),2)*BS40),2)*AT40)/100),2))</f>
        <v>36.46</v>
      </c>
      <c r="Y40" s="2">
        <f t="shared" ref="Y40:Y51" si="49">(ROUND((((S40+ROUND((ROUND((((EU40*1.2))*AV40*I40),2)*BS40),2))*AU40)/100),2)+ROUND(((ROUND((ROUND(((AE40-((EU40*1.2)))*AV40*I40),2)*BS40),2)*AU40)/100),2))</f>
        <v>19.170000000000002</v>
      </c>
      <c r="Z40" s="2"/>
      <c r="AA40" s="2">
        <v>-1</v>
      </c>
      <c r="AB40" s="2">
        <f t="shared" si="28"/>
        <v>54.475999999999999</v>
      </c>
      <c r="AC40" s="2">
        <f t="shared" ref="AC40:AC51" si="50">ROUND(((ES40*1)),6)</f>
        <v>1.46</v>
      </c>
      <c r="AD40" s="2">
        <f t="shared" ref="AD40:AD51" si="51">ROUND(((((ET40*1.2))-((EU40*1.2)))+AE40),6)</f>
        <v>20.904</v>
      </c>
      <c r="AE40" s="2">
        <f t="shared" ref="AE40:AE51" si="52">ROUND(((EU40*1.2)),6)</f>
        <v>3.7919999999999998</v>
      </c>
      <c r="AF40" s="2">
        <f t="shared" ref="AF40:AF51" si="53">ROUND(((EV40*1.2)),6)</f>
        <v>32.112000000000002</v>
      </c>
      <c r="AG40" s="2">
        <f t="shared" si="29"/>
        <v>0</v>
      </c>
      <c r="AH40" s="2">
        <f t="shared" ref="AH40:AH51" si="54">((EW40*1.2))</f>
        <v>2.472</v>
      </c>
      <c r="AI40" s="2">
        <f t="shared" ref="AI40:AI51" si="55">((EX40*1.2))</f>
        <v>0</v>
      </c>
      <c r="AJ40" s="2">
        <f t="shared" si="30"/>
        <v>0</v>
      </c>
      <c r="AK40" s="2">
        <v>45.64</v>
      </c>
      <c r="AL40" s="2">
        <v>1.46</v>
      </c>
      <c r="AM40" s="2">
        <v>17.420000000000002</v>
      </c>
      <c r="AN40" s="2">
        <v>3.16</v>
      </c>
      <c r="AO40" s="2">
        <v>26.76</v>
      </c>
      <c r="AP40" s="2">
        <v>0</v>
      </c>
      <c r="AQ40" s="2">
        <v>2.06</v>
      </c>
      <c r="AR40" s="2">
        <v>0</v>
      </c>
      <c r="AS40" s="2">
        <v>0</v>
      </c>
      <c r="AT40" s="2">
        <v>97</v>
      </c>
      <c r="AU40" s="2">
        <v>51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69</v>
      </c>
      <c r="BK40" s="2"/>
      <c r="BL40" s="2"/>
      <c r="BM40" s="2">
        <v>67</v>
      </c>
      <c r="BN40" s="2">
        <v>0</v>
      </c>
      <c r="BO40" s="2" t="s">
        <v>67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97</v>
      </c>
      <c r="CA40" s="2">
        <v>51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716</v>
      </c>
      <c r="CO40" s="2">
        <v>0</v>
      </c>
      <c r="CP40" s="2">
        <f t="shared" si="31"/>
        <v>56.97</v>
      </c>
      <c r="CQ40" s="2">
        <f t="shared" si="32"/>
        <v>1.46</v>
      </c>
      <c r="CR40" s="2">
        <f t="shared" ref="CR40:CR51" si="56">(ROUND((ROUND((((ET40*1.2))*AV40*1),2)*BB40),2)+ROUND((ROUND(((AE40-((EU40*1.2)))*AV40*1),2)*BS40),2))</f>
        <v>21.89</v>
      </c>
      <c r="CS40" s="2">
        <f t="shared" ref="CS40:CS51" si="57">(ROUND((ROUND((((EU40*1.2))*AV40*1),2)*BS40),2)+ROUND((ROUND(((AE40-((EU40*1.2)))*AV40*1),2)*BS40),2))</f>
        <v>3.97</v>
      </c>
      <c r="CT40" s="2">
        <f t="shared" si="33"/>
        <v>33.619999999999997</v>
      </c>
      <c r="CU40" s="2">
        <f t="shared" si="34"/>
        <v>0</v>
      </c>
      <c r="CV40" s="2">
        <f t="shared" si="35"/>
        <v>2.5881839999999996</v>
      </c>
      <c r="CW40" s="2">
        <f t="shared" si="36"/>
        <v>0</v>
      </c>
      <c r="CX40" s="2">
        <f t="shared" si="37"/>
        <v>0</v>
      </c>
      <c r="CY40" s="2">
        <f t="shared" ref="CY40:CY51" si="58">(ROUND((((S40+ROUND((ROUND((((EU40*1.2))*AV40*1),2)*BS40),2))*AT40)/100),2)+ROUND(((ROUND((ROUND(((AE40-((EU40*1.2)))*AV40*1),2)*BS40),2)*AT40)/100),2))</f>
        <v>36.46</v>
      </c>
      <c r="CZ40" s="2">
        <f t="shared" ref="CZ40:CZ51" si="59">(ROUND((((S40+ROUND((ROUND((((EU40*1.2))*AV40*1),2)*BS40),2))*AU40)/100),2)+ROUND(((ROUND((ROUND(((AE40-((EU40*1.2)))*AV40*1),2)*BS40),2)*AU40)/100),2))</f>
        <v>19.170000000000002</v>
      </c>
      <c r="DA40" s="2"/>
      <c r="DB40" s="2">
        <v>17</v>
      </c>
      <c r="DC40" s="2" t="s">
        <v>3</v>
      </c>
      <c r="DD40" s="2" t="s">
        <v>48</v>
      </c>
      <c r="DE40" s="2" t="s">
        <v>49</v>
      </c>
      <c r="DF40" s="2" t="s">
        <v>49</v>
      </c>
      <c r="DG40" s="2" t="s">
        <v>49</v>
      </c>
      <c r="DH40" s="2" t="s">
        <v>3</v>
      </c>
      <c r="DI40" s="2" t="s">
        <v>49</v>
      </c>
      <c r="DJ40" s="2" t="s">
        <v>49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25</v>
      </c>
      <c r="DW40" s="2" t="s">
        <v>25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56938734</v>
      </c>
      <c r="EF40" s="2">
        <v>40</v>
      </c>
      <c r="EG40" s="2" t="s">
        <v>29</v>
      </c>
      <c r="EH40" s="2">
        <v>0</v>
      </c>
      <c r="EI40" s="2" t="s">
        <v>3</v>
      </c>
      <c r="EJ40" s="2">
        <v>2</v>
      </c>
      <c r="EK40" s="2">
        <v>67</v>
      </c>
      <c r="EL40" s="2" t="s">
        <v>70</v>
      </c>
      <c r="EM40" s="2" t="s">
        <v>71</v>
      </c>
      <c r="EN40" s="2"/>
      <c r="EO40" s="2" t="s">
        <v>50</v>
      </c>
      <c r="EP40" s="2"/>
      <c r="EQ40" s="2">
        <v>132096</v>
      </c>
      <c r="ER40" s="2">
        <v>45.64</v>
      </c>
      <c r="ES40" s="2">
        <v>1.46</v>
      </c>
      <c r="ET40" s="2">
        <v>17.420000000000002</v>
      </c>
      <c r="EU40" s="2">
        <v>3.16</v>
      </c>
      <c r="EV40" s="2">
        <v>26.76</v>
      </c>
      <c r="EW40" s="2">
        <v>2.06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97</v>
      </c>
      <c r="FY40" s="2">
        <v>51</v>
      </c>
      <c r="FZ40" s="2"/>
      <c r="GA40" s="2" t="s">
        <v>3</v>
      </c>
      <c r="GB40" s="2"/>
      <c r="GC40" s="2"/>
      <c r="GD40" s="2">
        <v>1</v>
      </c>
      <c r="GE40" s="2"/>
      <c r="GF40" s="2">
        <v>-1842782186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8"/>
        <v>0</v>
      </c>
      <c r="GM40" s="2">
        <f t="shared" si="39"/>
        <v>112.6</v>
      </c>
      <c r="GN40" s="2">
        <f t="shared" si="40"/>
        <v>0</v>
      </c>
      <c r="GO40" s="2">
        <f t="shared" si="41"/>
        <v>112.6</v>
      </c>
      <c r="GP40" s="2">
        <f t="shared" si="42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ROW(SmtRes!A108)</f>
        <v>108</v>
      </c>
      <c r="D41" s="3">
        <f>ROW(EtalonRes!A126)</f>
        <v>126</v>
      </c>
      <c r="E41" s="3" t="s">
        <v>3</v>
      </c>
      <c r="F41" s="3" t="s">
        <v>67</v>
      </c>
      <c r="G41" s="3" t="s">
        <v>68</v>
      </c>
      <c r="H41" s="3" t="s">
        <v>25</v>
      </c>
      <c r="I41" s="3">
        <v>1</v>
      </c>
      <c r="J41" s="3">
        <v>0</v>
      </c>
      <c r="K41" s="3">
        <v>1</v>
      </c>
      <c r="O41" s="3">
        <f t="shared" si="21"/>
        <v>2346.0100000000002</v>
      </c>
      <c r="P41" s="3">
        <f t="shared" si="22"/>
        <v>16.13</v>
      </c>
      <c r="Q41" s="3">
        <f t="shared" si="46"/>
        <v>435.39</v>
      </c>
      <c r="R41" s="3">
        <f t="shared" si="47"/>
        <v>223.71</v>
      </c>
      <c r="S41" s="3">
        <f t="shared" si="23"/>
        <v>1894.49</v>
      </c>
      <c r="T41" s="3">
        <f t="shared" si="24"/>
        <v>0</v>
      </c>
      <c r="U41" s="3">
        <f t="shared" si="25"/>
        <v>2.5881839999999996</v>
      </c>
      <c r="V41" s="3">
        <f t="shared" si="26"/>
        <v>0</v>
      </c>
      <c r="W41" s="3">
        <f t="shared" si="27"/>
        <v>0</v>
      </c>
      <c r="X41" s="3">
        <f t="shared" si="48"/>
        <v>2054.65</v>
      </c>
      <c r="Y41" s="3">
        <f t="shared" si="49"/>
        <v>1080.28</v>
      </c>
      <c r="AA41" s="3">
        <v>-1</v>
      </c>
      <c r="AB41" s="3">
        <f t="shared" si="28"/>
        <v>54.475999999999999</v>
      </c>
      <c r="AC41" s="3">
        <f t="shared" si="50"/>
        <v>1.46</v>
      </c>
      <c r="AD41" s="3">
        <f t="shared" si="51"/>
        <v>20.904</v>
      </c>
      <c r="AE41" s="3">
        <f t="shared" si="52"/>
        <v>3.7919999999999998</v>
      </c>
      <c r="AF41" s="3">
        <f t="shared" si="53"/>
        <v>32.112000000000002</v>
      </c>
      <c r="AG41" s="3">
        <f t="shared" si="29"/>
        <v>0</v>
      </c>
      <c r="AH41" s="3">
        <f t="shared" si="54"/>
        <v>2.472</v>
      </c>
      <c r="AI41" s="3">
        <f t="shared" si="55"/>
        <v>0</v>
      </c>
      <c r="AJ41" s="3">
        <f t="shared" si="30"/>
        <v>0</v>
      </c>
      <c r="AK41" s="3">
        <v>45.64</v>
      </c>
      <c r="AL41" s="3">
        <v>1.46</v>
      </c>
      <c r="AM41" s="3">
        <v>17.420000000000002</v>
      </c>
      <c r="AN41" s="3">
        <v>3.16</v>
      </c>
      <c r="AO41" s="3">
        <v>26.76</v>
      </c>
      <c r="AP41" s="3">
        <v>0</v>
      </c>
      <c r="AQ41" s="3">
        <v>2.06</v>
      </c>
      <c r="AR41" s="3">
        <v>0</v>
      </c>
      <c r="AS41" s="3">
        <v>0</v>
      </c>
      <c r="AT41" s="3">
        <v>97</v>
      </c>
      <c r="AU41" s="3">
        <v>51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19.89</v>
      </c>
      <c r="BC41" s="3">
        <v>11.05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69</v>
      </c>
      <c r="BM41" s="3">
        <v>67</v>
      </c>
      <c r="BN41" s="3">
        <v>0</v>
      </c>
      <c r="BO41" s="3" t="s">
        <v>67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97</v>
      </c>
      <c r="CA41" s="3">
        <v>51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716</v>
      </c>
      <c r="CO41" s="3">
        <v>0</v>
      </c>
      <c r="CP41" s="3">
        <f t="shared" si="31"/>
        <v>2346.0100000000002</v>
      </c>
      <c r="CQ41" s="3">
        <f t="shared" si="32"/>
        <v>16.13</v>
      </c>
      <c r="CR41" s="3">
        <f t="shared" si="56"/>
        <v>435.39</v>
      </c>
      <c r="CS41" s="3">
        <f t="shared" si="57"/>
        <v>223.71</v>
      </c>
      <c r="CT41" s="3">
        <f t="shared" si="33"/>
        <v>1894.49</v>
      </c>
      <c r="CU41" s="3">
        <f t="shared" si="34"/>
        <v>0</v>
      </c>
      <c r="CV41" s="3">
        <f t="shared" si="35"/>
        <v>2.5881839999999996</v>
      </c>
      <c r="CW41" s="3">
        <f t="shared" si="36"/>
        <v>0</v>
      </c>
      <c r="CX41" s="3">
        <f t="shared" si="37"/>
        <v>0</v>
      </c>
      <c r="CY41" s="3">
        <f t="shared" si="58"/>
        <v>2054.65</v>
      </c>
      <c r="CZ41" s="3">
        <f t="shared" si="59"/>
        <v>1080.28</v>
      </c>
      <c r="DB41" s="3">
        <v>18</v>
      </c>
      <c r="DC41" s="3" t="s">
        <v>3</v>
      </c>
      <c r="DD41" s="3" t="s">
        <v>48</v>
      </c>
      <c r="DE41" s="3" t="s">
        <v>49</v>
      </c>
      <c r="DF41" s="3" t="s">
        <v>49</v>
      </c>
      <c r="DG41" s="3" t="s">
        <v>49</v>
      </c>
      <c r="DH41" s="3" t="s">
        <v>3</v>
      </c>
      <c r="DI41" s="3" t="s">
        <v>49</v>
      </c>
      <c r="DJ41" s="3" t="s">
        <v>49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25</v>
      </c>
      <c r="DW41" s="3" t="s">
        <v>25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56938734</v>
      </c>
      <c r="EF41" s="3">
        <v>40</v>
      </c>
      <c r="EG41" s="3" t="s">
        <v>29</v>
      </c>
      <c r="EH41" s="3">
        <v>0</v>
      </c>
      <c r="EI41" s="3" t="s">
        <v>3</v>
      </c>
      <c r="EJ41" s="3">
        <v>2</v>
      </c>
      <c r="EK41" s="3">
        <v>67</v>
      </c>
      <c r="EL41" s="3" t="s">
        <v>70</v>
      </c>
      <c r="EM41" s="3" t="s">
        <v>71</v>
      </c>
      <c r="EO41" s="3" t="s">
        <v>50</v>
      </c>
      <c r="EQ41" s="3">
        <v>132096</v>
      </c>
      <c r="ER41" s="3">
        <v>45.64</v>
      </c>
      <c r="ES41" s="3">
        <v>1.46</v>
      </c>
      <c r="ET41" s="3">
        <v>17.420000000000002</v>
      </c>
      <c r="EU41" s="3">
        <v>3.16</v>
      </c>
      <c r="EV41" s="3">
        <v>26.76</v>
      </c>
      <c r="EW41" s="3">
        <v>2.06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97</v>
      </c>
      <c r="FY41" s="3">
        <v>51</v>
      </c>
      <c r="GA41" s="3" t="s">
        <v>3</v>
      </c>
      <c r="GD41" s="3">
        <v>1</v>
      </c>
      <c r="GF41" s="3">
        <v>-1842782186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38"/>
        <v>0</v>
      </c>
      <c r="GM41" s="3">
        <f t="shared" si="39"/>
        <v>5480.94</v>
      </c>
      <c r="GN41" s="3">
        <f t="shared" si="40"/>
        <v>0</v>
      </c>
      <c r="GO41" s="3">
        <f t="shared" si="41"/>
        <v>5480.94</v>
      </c>
      <c r="GP41" s="3">
        <f t="shared" si="42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ROW(SmtRes!A119)</f>
        <v>119</v>
      </c>
      <c r="D42" s="2">
        <f>ROW(EtalonRes!A138)</f>
        <v>138</v>
      </c>
      <c r="E42" s="2" t="s">
        <v>72</v>
      </c>
      <c r="F42" s="2" t="s">
        <v>73</v>
      </c>
      <c r="G42" s="2" t="s">
        <v>74</v>
      </c>
      <c r="H42" s="2" t="s">
        <v>25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169.84</v>
      </c>
      <c r="P42" s="2">
        <f t="shared" si="22"/>
        <v>89.36</v>
      </c>
      <c r="Q42" s="2">
        <f t="shared" si="46"/>
        <v>5.36</v>
      </c>
      <c r="R42" s="2">
        <f t="shared" si="47"/>
        <v>0.48</v>
      </c>
      <c r="S42" s="2">
        <f t="shared" si="23"/>
        <v>75.12</v>
      </c>
      <c r="T42" s="2">
        <f t="shared" si="24"/>
        <v>0</v>
      </c>
      <c r="U42" s="2">
        <f t="shared" si="25"/>
        <v>6.4704600000000001</v>
      </c>
      <c r="V42" s="2">
        <f t="shared" si="26"/>
        <v>0</v>
      </c>
      <c r="W42" s="2">
        <f t="shared" si="27"/>
        <v>0</v>
      </c>
      <c r="X42" s="2">
        <f t="shared" si="48"/>
        <v>68.040000000000006</v>
      </c>
      <c r="Y42" s="2">
        <f t="shared" si="49"/>
        <v>34.78</v>
      </c>
      <c r="Z42" s="2"/>
      <c r="AA42" s="2">
        <v>55747649</v>
      </c>
      <c r="AB42" s="2">
        <f t="shared" si="28"/>
        <v>166.232</v>
      </c>
      <c r="AC42" s="2">
        <f t="shared" si="50"/>
        <v>89.36</v>
      </c>
      <c r="AD42" s="2">
        <f t="shared" si="51"/>
        <v>5.1239999999999997</v>
      </c>
      <c r="AE42" s="2">
        <f t="shared" si="52"/>
        <v>0.45600000000000002</v>
      </c>
      <c r="AF42" s="2">
        <f t="shared" si="53"/>
        <v>71.748000000000005</v>
      </c>
      <c r="AG42" s="2">
        <f t="shared" si="29"/>
        <v>0</v>
      </c>
      <c r="AH42" s="2">
        <f t="shared" si="54"/>
        <v>6.1800000000000006</v>
      </c>
      <c r="AI42" s="2">
        <f t="shared" si="55"/>
        <v>0</v>
      </c>
      <c r="AJ42" s="2">
        <f t="shared" si="30"/>
        <v>0</v>
      </c>
      <c r="AK42" s="2">
        <v>153.41999999999999</v>
      </c>
      <c r="AL42" s="2">
        <v>89.36</v>
      </c>
      <c r="AM42" s="2">
        <v>4.2699999999999996</v>
      </c>
      <c r="AN42" s="2">
        <v>0.38</v>
      </c>
      <c r="AO42" s="2">
        <v>59.79</v>
      </c>
      <c r="AP42" s="2">
        <v>0</v>
      </c>
      <c r="AQ42" s="2">
        <v>5.15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75</v>
      </c>
      <c r="BK42" s="2"/>
      <c r="BL42" s="2"/>
      <c r="BM42" s="2">
        <v>72</v>
      </c>
      <c r="BN42" s="2">
        <v>0</v>
      </c>
      <c r="BO42" s="2" t="s">
        <v>73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716</v>
      </c>
      <c r="CO42" s="2">
        <v>0</v>
      </c>
      <c r="CP42" s="2">
        <f t="shared" si="31"/>
        <v>169.84</v>
      </c>
      <c r="CQ42" s="2">
        <f t="shared" si="32"/>
        <v>89.36</v>
      </c>
      <c r="CR42" s="2">
        <f t="shared" si="56"/>
        <v>5.36</v>
      </c>
      <c r="CS42" s="2">
        <f t="shared" si="57"/>
        <v>0.48</v>
      </c>
      <c r="CT42" s="2">
        <f t="shared" si="33"/>
        <v>75.12</v>
      </c>
      <c r="CU42" s="2">
        <f t="shared" si="34"/>
        <v>0</v>
      </c>
      <c r="CV42" s="2">
        <f t="shared" si="35"/>
        <v>6.4704600000000001</v>
      </c>
      <c r="CW42" s="2">
        <f t="shared" si="36"/>
        <v>0</v>
      </c>
      <c r="CX42" s="2">
        <f t="shared" si="37"/>
        <v>0</v>
      </c>
      <c r="CY42" s="2">
        <f t="shared" si="58"/>
        <v>68.040000000000006</v>
      </c>
      <c r="CZ42" s="2">
        <f t="shared" si="59"/>
        <v>34.78</v>
      </c>
      <c r="DA42" s="2"/>
      <c r="DB42" s="2">
        <v>19</v>
      </c>
      <c r="DC42" s="2" t="s">
        <v>3</v>
      </c>
      <c r="DD42" s="2" t="s">
        <v>48</v>
      </c>
      <c r="DE42" s="2" t="s">
        <v>49</v>
      </c>
      <c r="DF42" s="2" t="s">
        <v>49</v>
      </c>
      <c r="DG42" s="2" t="s">
        <v>49</v>
      </c>
      <c r="DH42" s="2" t="s">
        <v>3</v>
      </c>
      <c r="DI42" s="2" t="s">
        <v>49</v>
      </c>
      <c r="DJ42" s="2" t="s">
        <v>49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25</v>
      </c>
      <c r="DW42" s="2" t="s">
        <v>25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56938739</v>
      </c>
      <c r="EF42" s="2">
        <v>40</v>
      </c>
      <c r="EG42" s="2" t="s">
        <v>29</v>
      </c>
      <c r="EH42" s="2">
        <v>0</v>
      </c>
      <c r="EI42" s="2" t="s">
        <v>3</v>
      </c>
      <c r="EJ42" s="2">
        <v>2</v>
      </c>
      <c r="EK42" s="2">
        <v>72</v>
      </c>
      <c r="EL42" s="2" t="s">
        <v>76</v>
      </c>
      <c r="EM42" s="2" t="s">
        <v>77</v>
      </c>
      <c r="EN42" s="2"/>
      <c r="EO42" s="2" t="s">
        <v>50</v>
      </c>
      <c r="EP42" s="2"/>
      <c r="EQ42" s="2">
        <v>0</v>
      </c>
      <c r="ER42" s="2">
        <v>153.41999999999999</v>
      </c>
      <c r="ES42" s="2">
        <v>89.36</v>
      </c>
      <c r="ET42" s="2">
        <v>4.2699999999999996</v>
      </c>
      <c r="EU42" s="2">
        <v>0.38</v>
      </c>
      <c r="EV42" s="2">
        <v>59.79</v>
      </c>
      <c r="EW42" s="2">
        <v>5.15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69985007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38"/>
        <v>0</v>
      </c>
      <c r="GM42" s="2">
        <f t="shared" si="39"/>
        <v>272.66000000000003</v>
      </c>
      <c r="GN42" s="2">
        <f t="shared" si="40"/>
        <v>0</v>
      </c>
      <c r="GO42" s="2">
        <f t="shared" si="41"/>
        <v>272.66000000000003</v>
      </c>
      <c r="GP42" s="2">
        <f t="shared" si="42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ROW(SmtRes!A130)</f>
        <v>130</v>
      </c>
      <c r="D43" s="3">
        <f>ROW(EtalonRes!A150)</f>
        <v>150</v>
      </c>
      <c r="E43" s="3" t="s">
        <v>72</v>
      </c>
      <c r="F43" s="3" t="s">
        <v>73</v>
      </c>
      <c r="G43" s="3" t="s">
        <v>74</v>
      </c>
      <c r="H43" s="3" t="s">
        <v>25</v>
      </c>
      <c r="I43" s="3">
        <v>1</v>
      </c>
      <c r="J43" s="3">
        <v>0</v>
      </c>
      <c r="K43" s="3">
        <v>1</v>
      </c>
      <c r="O43" s="3">
        <f t="shared" si="21"/>
        <v>4716.92</v>
      </c>
      <c r="P43" s="3">
        <f t="shared" si="22"/>
        <v>402.12</v>
      </c>
      <c r="Q43" s="3">
        <f t="shared" si="46"/>
        <v>81.790000000000006</v>
      </c>
      <c r="R43" s="3">
        <f t="shared" si="47"/>
        <v>27.05</v>
      </c>
      <c r="S43" s="3">
        <f t="shared" si="23"/>
        <v>4233.01</v>
      </c>
      <c r="T43" s="3">
        <f t="shared" si="24"/>
        <v>0</v>
      </c>
      <c r="U43" s="3">
        <f t="shared" si="25"/>
        <v>6.4704600000000001</v>
      </c>
      <c r="V43" s="3">
        <f t="shared" si="26"/>
        <v>0</v>
      </c>
      <c r="W43" s="3">
        <f t="shared" si="27"/>
        <v>0</v>
      </c>
      <c r="X43" s="3">
        <f t="shared" si="48"/>
        <v>3834.05</v>
      </c>
      <c r="Y43" s="3">
        <f t="shared" si="49"/>
        <v>1959.63</v>
      </c>
      <c r="AA43" s="3">
        <v>55747651</v>
      </c>
      <c r="AB43" s="3">
        <f t="shared" si="28"/>
        <v>166.232</v>
      </c>
      <c r="AC43" s="3">
        <f t="shared" si="50"/>
        <v>89.36</v>
      </c>
      <c r="AD43" s="3">
        <f t="shared" si="51"/>
        <v>5.1239999999999997</v>
      </c>
      <c r="AE43" s="3">
        <f t="shared" si="52"/>
        <v>0.45600000000000002</v>
      </c>
      <c r="AF43" s="3">
        <f t="shared" si="53"/>
        <v>71.748000000000005</v>
      </c>
      <c r="AG43" s="3">
        <f t="shared" si="29"/>
        <v>0</v>
      </c>
      <c r="AH43" s="3">
        <f t="shared" si="54"/>
        <v>6.1800000000000006</v>
      </c>
      <c r="AI43" s="3">
        <f t="shared" si="55"/>
        <v>0</v>
      </c>
      <c r="AJ43" s="3">
        <f t="shared" si="30"/>
        <v>0</v>
      </c>
      <c r="AK43" s="3">
        <v>153.41999999999999</v>
      </c>
      <c r="AL43" s="3">
        <v>89.36</v>
      </c>
      <c r="AM43" s="3">
        <v>4.2699999999999996</v>
      </c>
      <c r="AN43" s="3">
        <v>0.38</v>
      </c>
      <c r="AO43" s="3">
        <v>59.79</v>
      </c>
      <c r="AP43" s="3">
        <v>0</v>
      </c>
      <c r="AQ43" s="3">
        <v>5.15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15.26</v>
      </c>
      <c r="BC43" s="3">
        <v>4.5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75</v>
      </c>
      <c r="BM43" s="3">
        <v>72</v>
      </c>
      <c r="BN43" s="3">
        <v>0</v>
      </c>
      <c r="BO43" s="3" t="s">
        <v>73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716</v>
      </c>
      <c r="CO43" s="3">
        <v>0</v>
      </c>
      <c r="CP43" s="3">
        <f t="shared" si="31"/>
        <v>4716.92</v>
      </c>
      <c r="CQ43" s="3">
        <f t="shared" si="32"/>
        <v>402.12</v>
      </c>
      <c r="CR43" s="3">
        <f t="shared" si="56"/>
        <v>81.790000000000006</v>
      </c>
      <c r="CS43" s="3">
        <f t="shared" si="57"/>
        <v>27.05</v>
      </c>
      <c r="CT43" s="3">
        <f t="shared" si="33"/>
        <v>4233.01</v>
      </c>
      <c r="CU43" s="3">
        <f t="shared" si="34"/>
        <v>0</v>
      </c>
      <c r="CV43" s="3">
        <f t="shared" si="35"/>
        <v>6.4704600000000001</v>
      </c>
      <c r="CW43" s="3">
        <f t="shared" si="36"/>
        <v>0</v>
      </c>
      <c r="CX43" s="3">
        <f t="shared" si="37"/>
        <v>0</v>
      </c>
      <c r="CY43" s="3">
        <f t="shared" si="58"/>
        <v>3834.05</v>
      </c>
      <c r="CZ43" s="3">
        <f t="shared" si="59"/>
        <v>1959.63</v>
      </c>
      <c r="DB43" s="3">
        <v>20</v>
      </c>
      <c r="DC43" s="3" t="s">
        <v>3</v>
      </c>
      <c r="DD43" s="3" t="s">
        <v>48</v>
      </c>
      <c r="DE43" s="3" t="s">
        <v>49</v>
      </c>
      <c r="DF43" s="3" t="s">
        <v>49</v>
      </c>
      <c r="DG43" s="3" t="s">
        <v>49</v>
      </c>
      <c r="DH43" s="3" t="s">
        <v>3</v>
      </c>
      <c r="DI43" s="3" t="s">
        <v>49</v>
      </c>
      <c r="DJ43" s="3" t="s">
        <v>49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25</v>
      </c>
      <c r="DW43" s="3" t="s">
        <v>25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56938739</v>
      </c>
      <c r="EF43" s="3">
        <v>40</v>
      </c>
      <c r="EG43" s="3" t="s">
        <v>29</v>
      </c>
      <c r="EH43" s="3">
        <v>0</v>
      </c>
      <c r="EI43" s="3" t="s">
        <v>3</v>
      </c>
      <c r="EJ43" s="3">
        <v>2</v>
      </c>
      <c r="EK43" s="3">
        <v>72</v>
      </c>
      <c r="EL43" s="3" t="s">
        <v>76</v>
      </c>
      <c r="EM43" s="3" t="s">
        <v>77</v>
      </c>
      <c r="EO43" s="3" t="s">
        <v>50</v>
      </c>
      <c r="EQ43" s="3">
        <v>0</v>
      </c>
      <c r="ER43" s="3">
        <v>153.41999999999999</v>
      </c>
      <c r="ES43" s="3">
        <v>89.36</v>
      </c>
      <c r="ET43" s="3">
        <v>4.2699999999999996</v>
      </c>
      <c r="EU43" s="3">
        <v>0.38</v>
      </c>
      <c r="EV43" s="3">
        <v>59.79</v>
      </c>
      <c r="EW43" s="3">
        <v>5.15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69985007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38"/>
        <v>0</v>
      </c>
      <c r="GM43" s="3">
        <f t="shared" si="39"/>
        <v>10510.6</v>
      </c>
      <c r="GN43" s="3">
        <f t="shared" si="40"/>
        <v>0</v>
      </c>
      <c r="GO43" s="3">
        <f t="shared" si="41"/>
        <v>10510.6</v>
      </c>
      <c r="GP43" s="3">
        <f t="shared" si="42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ROW(SmtRes!A131)</f>
        <v>131</v>
      </c>
      <c r="D44" s="2">
        <f>ROW(EtalonRes!A153)</f>
        <v>153</v>
      </c>
      <c r="E44" s="2" t="s">
        <v>78</v>
      </c>
      <c r="F44" s="2" t="s">
        <v>79</v>
      </c>
      <c r="G44" s="2" t="s">
        <v>80</v>
      </c>
      <c r="H44" s="2" t="s">
        <v>25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8.48</v>
      </c>
      <c r="P44" s="2">
        <f t="shared" si="22"/>
        <v>0</v>
      </c>
      <c r="Q44" s="2">
        <f t="shared" si="46"/>
        <v>0</v>
      </c>
      <c r="R44" s="2">
        <f t="shared" si="47"/>
        <v>0</v>
      </c>
      <c r="S44" s="2">
        <f t="shared" si="23"/>
        <v>8.48</v>
      </c>
      <c r="T44" s="2">
        <f t="shared" si="24"/>
        <v>0</v>
      </c>
      <c r="U44" s="2">
        <f t="shared" si="25"/>
        <v>0.65332799999999991</v>
      </c>
      <c r="V44" s="2">
        <f t="shared" si="26"/>
        <v>0</v>
      </c>
      <c r="W44" s="2">
        <f t="shared" si="27"/>
        <v>0</v>
      </c>
      <c r="X44" s="2">
        <f t="shared" si="48"/>
        <v>7.63</v>
      </c>
      <c r="Y44" s="2">
        <f t="shared" si="49"/>
        <v>3.9</v>
      </c>
      <c r="Z44" s="2"/>
      <c r="AA44" s="2">
        <v>55747649</v>
      </c>
      <c r="AB44" s="2">
        <f t="shared" si="28"/>
        <v>8.1</v>
      </c>
      <c r="AC44" s="2">
        <f t="shared" si="50"/>
        <v>0</v>
      </c>
      <c r="AD44" s="2">
        <f t="shared" si="51"/>
        <v>0</v>
      </c>
      <c r="AE44" s="2">
        <f t="shared" si="52"/>
        <v>0</v>
      </c>
      <c r="AF44" s="2">
        <f t="shared" si="53"/>
        <v>8.1</v>
      </c>
      <c r="AG44" s="2">
        <f t="shared" si="29"/>
        <v>0</v>
      </c>
      <c r="AH44" s="2">
        <f t="shared" si="54"/>
        <v>0.624</v>
      </c>
      <c r="AI44" s="2">
        <f t="shared" si="55"/>
        <v>0</v>
      </c>
      <c r="AJ44" s="2">
        <f t="shared" si="30"/>
        <v>0</v>
      </c>
      <c r="AK44" s="2">
        <v>6.75</v>
      </c>
      <c r="AL44" s="2">
        <v>0</v>
      </c>
      <c r="AM44" s="2">
        <v>0</v>
      </c>
      <c r="AN44" s="2">
        <v>0</v>
      </c>
      <c r="AO44" s="2">
        <v>6.75</v>
      </c>
      <c r="AP44" s="2">
        <v>0</v>
      </c>
      <c r="AQ44" s="2">
        <v>0.52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81</v>
      </c>
      <c r="BK44" s="2"/>
      <c r="BL44" s="2"/>
      <c r="BM44" s="2">
        <v>72</v>
      </c>
      <c r="BN44" s="2">
        <v>0</v>
      </c>
      <c r="BO44" s="2" t="s">
        <v>79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716</v>
      </c>
      <c r="CO44" s="2">
        <v>0</v>
      </c>
      <c r="CP44" s="2">
        <f t="shared" si="31"/>
        <v>8.48</v>
      </c>
      <c r="CQ44" s="2">
        <f t="shared" si="32"/>
        <v>0</v>
      </c>
      <c r="CR44" s="2">
        <f t="shared" si="56"/>
        <v>0</v>
      </c>
      <c r="CS44" s="2">
        <f t="shared" si="57"/>
        <v>0</v>
      </c>
      <c r="CT44" s="2">
        <f t="shared" si="33"/>
        <v>8.48</v>
      </c>
      <c r="CU44" s="2">
        <f t="shared" si="34"/>
        <v>0</v>
      </c>
      <c r="CV44" s="2">
        <f t="shared" si="35"/>
        <v>0.65332799999999991</v>
      </c>
      <c r="CW44" s="2">
        <f t="shared" si="36"/>
        <v>0</v>
      </c>
      <c r="CX44" s="2">
        <f t="shared" si="37"/>
        <v>0</v>
      </c>
      <c r="CY44" s="2">
        <f t="shared" si="58"/>
        <v>7.63</v>
      </c>
      <c r="CZ44" s="2">
        <f t="shared" si="59"/>
        <v>3.9</v>
      </c>
      <c r="DA44" s="2"/>
      <c r="DB44" s="2">
        <v>21</v>
      </c>
      <c r="DC44" s="2" t="s">
        <v>3</v>
      </c>
      <c r="DD44" s="2" t="s">
        <v>48</v>
      </c>
      <c r="DE44" s="2" t="s">
        <v>49</v>
      </c>
      <c r="DF44" s="2" t="s">
        <v>49</v>
      </c>
      <c r="DG44" s="2" t="s">
        <v>49</v>
      </c>
      <c r="DH44" s="2" t="s">
        <v>3</v>
      </c>
      <c r="DI44" s="2" t="s">
        <v>49</v>
      </c>
      <c r="DJ44" s="2" t="s">
        <v>49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25</v>
      </c>
      <c r="DW44" s="2" t="s">
        <v>25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56938739</v>
      </c>
      <c r="EF44" s="2">
        <v>40</v>
      </c>
      <c r="EG44" s="2" t="s">
        <v>29</v>
      </c>
      <c r="EH44" s="2">
        <v>0</v>
      </c>
      <c r="EI44" s="2" t="s">
        <v>3</v>
      </c>
      <c r="EJ44" s="2">
        <v>2</v>
      </c>
      <c r="EK44" s="2">
        <v>72</v>
      </c>
      <c r="EL44" s="2" t="s">
        <v>76</v>
      </c>
      <c r="EM44" s="2" t="s">
        <v>77</v>
      </c>
      <c r="EN44" s="2"/>
      <c r="EO44" s="2" t="s">
        <v>50</v>
      </c>
      <c r="EP44" s="2"/>
      <c r="EQ44" s="2">
        <v>0</v>
      </c>
      <c r="ER44" s="2">
        <v>6.75</v>
      </c>
      <c r="ES44" s="2">
        <v>0</v>
      </c>
      <c r="ET44" s="2">
        <v>0</v>
      </c>
      <c r="EU44" s="2">
        <v>0</v>
      </c>
      <c r="EV44" s="2">
        <v>6.75</v>
      </c>
      <c r="EW44" s="2">
        <v>0.52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-1400951207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8"/>
        <v>0</v>
      </c>
      <c r="GM44" s="2">
        <f t="shared" si="39"/>
        <v>20.010000000000002</v>
      </c>
      <c r="GN44" s="2">
        <f t="shared" si="40"/>
        <v>0</v>
      </c>
      <c r="GO44" s="2">
        <f t="shared" si="41"/>
        <v>20.010000000000002</v>
      </c>
      <c r="GP44" s="2">
        <f t="shared" si="42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ROW(SmtRes!A132)</f>
        <v>132</v>
      </c>
      <c r="D45" s="3">
        <f>ROW(EtalonRes!A156)</f>
        <v>156</v>
      </c>
      <c r="E45" s="3" t="s">
        <v>78</v>
      </c>
      <c r="F45" s="3" t="s">
        <v>79</v>
      </c>
      <c r="G45" s="3" t="s">
        <v>80</v>
      </c>
      <c r="H45" s="3" t="s">
        <v>25</v>
      </c>
      <c r="I45" s="3">
        <v>1</v>
      </c>
      <c r="J45" s="3">
        <v>0</v>
      </c>
      <c r="K45" s="3">
        <v>1</v>
      </c>
      <c r="O45" s="3">
        <f t="shared" si="21"/>
        <v>477.85</v>
      </c>
      <c r="P45" s="3">
        <f t="shared" si="22"/>
        <v>0</v>
      </c>
      <c r="Q45" s="3">
        <f t="shared" si="46"/>
        <v>0</v>
      </c>
      <c r="R45" s="3">
        <f t="shared" si="47"/>
        <v>0</v>
      </c>
      <c r="S45" s="3">
        <f t="shared" si="23"/>
        <v>477.85</v>
      </c>
      <c r="T45" s="3">
        <f t="shared" si="24"/>
        <v>0</v>
      </c>
      <c r="U45" s="3">
        <f t="shared" si="25"/>
        <v>0.65332799999999991</v>
      </c>
      <c r="V45" s="3">
        <f t="shared" si="26"/>
        <v>0</v>
      </c>
      <c r="W45" s="3">
        <f t="shared" si="27"/>
        <v>0</v>
      </c>
      <c r="X45" s="3">
        <f t="shared" si="48"/>
        <v>430.07</v>
      </c>
      <c r="Y45" s="3">
        <f t="shared" si="49"/>
        <v>219.81</v>
      </c>
      <c r="AA45" s="3">
        <v>55747651</v>
      </c>
      <c r="AB45" s="3">
        <f t="shared" si="28"/>
        <v>8.1</v>
      </c>
      <c r="AC45" s="3">
        <f t="shared" si="50"/>
        <v>0</v>
      </c>
      <c r="AD45" s="3">
        <f t="shared" si="51"/>
        <v>0</v>
      </c>
      <c r="AE45" s="3">
        <f t="shared" si="52"/>
        <v>0</v>
      </c>
      <c r="AF45" s="3">
        <f t="shared" si="53"/>
        <v>8.1</v>
      </c>
      <c r="AG45" s="3">
        <f t="shared" si="29"/>
        <v>0</v>
      </c>
      <c r="AH45" s="3">
        <f t="shared" si="54"/>
        <v>0.624</v>
      </c>
      <c r="AI45" s="3">
        <f t="shared" si="55"/>
        <v>0</v>
      </c>
      <c r="AJ45" s="3">
        <f t="shared" si="30"/>
        <v>0</v>
      </c>
      <c r="AK45" s="3">
        <v>6.75</v>
      </c>
      <c r="AL45" s="3">
        <v>0</v>
      </c>
      <c r="AM45" s="3">
        <v>0</v>
      </c>
      <c r="AN45" s="3">
        <v>0</v>
      </c>
      <c r="AO45" s="3">
        <v>6.75</v>
      </c>
      <c r="AP45" s="3">
        <v>0</v>
      </c>
      <c r="AQ45" s="3">
        <v>0.52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81</v>
      </c>
      <c r="BM45" s="3">
        <v>72</v>
      </c>
      <c r="BN45" s="3">
        <v>0</v>
      </c>
      <c r="BO45" s="3" t="s">
        <v>79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716</v>
      </c>
      <c r="CO45" s="3">
        <v>0</v>
      </c>
      <c r="CP45" s="3">
        <f t="shared" si="31"/>
        <v>477.85</v>
      </c>
      <c r="CQ45" s="3">
        <f t="shared" si="32"/>
        <v>0</v>
      </c>
      <c r="CR45" s="3">
        <f t="shared" si="56"/>
        <v>0</v>
      </c>
      <c r="CS45" s="3">
        <f t="shared" si="57"/>
        <v>0</v>
      </c>
      <c r="CT45" s="3">
        <f t="shared" si="33"/>
        <v>477.85</v>
      </c>
      <c r="CU45" s="3">
        <f t="shared" si="34"/>
        <v>0</v>
      </c>
      <c r="CV45" s="3">
        <f t="shared" si="35"/>
        <v>0.65332799999999991</v>
      </c>
      <c r="CW45" s="3">
        <f t="shared" si="36"/>
        <v>0</v>
      </c>
      <c r="CX45" s="3">
        <f t="shared" si="37"/>
        <v>0</v>
      </c>
      <c r="CY45" s="3">
        <f t="shared" si="58"/>
        <v>430.07</v>
      </c>
      <c r="CZ45" s="3">
        <f t="shared" si="59"/>
        <v>219.81</v>
      </c>
      <c r="DB45" s="3">
        <v>22</v>
      </c>
      <c r="DC45" s="3" t="s">
        <v>3</v>
      </c>
      <c r="DD45" s="3" t="s">
        <v>48</v>
      </c>
      <c r="DE45" s="3" t="s">
        <v>49</v>
      </c>
      <c r="DF45" s="3" t="s">
        <v>49</v>
      </c>
      <c r="DG45" s="3" t="s">
        <v>49</v>
      </c>
      <c r="DH45" s="3" t="s">
        <v>3</v>
      </c>
      <c r="DI45" s="3" t="s">
        <v>49</v>
      </c>
      <c r="DJ45" s="3" t="s">
        <v>49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25</v>
      </c>
      <c r="DW45" s="3" t="s">
        <v>25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56938739</v>
      </c>
      <c r="EF45" s="3">
        <v>40</v>
      </c>
      <c r="EG45" s="3" t="s">
        <v>29</v>
      </c>
      <c r="EH45" s="3">
        <v>0</v>
      </c>
      <c r="EI45" s="3" t="s">
        <v>3</v>
      </c>
      <c r="EJ45" s="3">
        <v>2</v>
      </c>
      <c r="EK45" s="3">
        <v>72</v>
      </c>
      <c r="EL45" s="3" t="s">
        <v>76</v>
      </c>
      <c r="EM45" s="3" t="s">
        <v>77</v>
      </c>
      <c r="EO45" s="3" t="s">
        <v>50</v>
      </c>
      <c r="EQ45" s="3">
        <v>0</v>
      </c>
      <c r="ER45" s="3">
        <v>6.75</v>
      </c>
      <c r="ES45" s="3">
        <v>0</v>
      </c>
      <c r="ET45" s="3">
        <v>0</v>
      </c>
      <c r="EU45" s="3">
        <v>0</v>
      </c>
      <c r="EV45" s="3">
        <v>6.75</v>
      </c>
      <c r="EW45" s="3">
        <v>0.52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-1400951207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38"/>
        <v>0</v>
      </c>
      <c r="GM45" s="3">
        <f t="shared" si="39"/>
        <v>1127.73</v>
      </c>
      <c r="GN45" s="3">
        <f t="shared" si="40"/>
        <v>0</v>
      </c>
      <c r="GO45" s="3">
        <f t="shared" si="41"/>
        <v>1127.73</v>
      </c>
      <c r="GP45" s="3">
        <f t="shared" si="42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ROW(SmtRes!A135)</f>
        <v>135</v>
      </c>
      <c r="D46" s="2">
        <f>ROW(EtalonRes!A161)</f>
        <v>161</v>
      </c>
      <c r="E46" s="2" t="s">
        <v>3</v>
      </c>
      <c r="F46" s="2" t="s">
        <v>82</v>
      </c>
      <c r="G46" s="2" t="s">
        <v>83</v>
      </c>
      <c r="H46" s="2" t="s">
        <v>25</v>
      </c>
      <c r="I46" s="2">
        <f>ROUND(2+4,9)</f>
        <v>6</v>
      </c>
      <c r="J46" s="2">
        <v>0</v>
      </c>
      <c r="K46" s="2">
        <f>ROUND(2+4,9)</f>
        <v>6</v>
      </c>
      <c r="L46" s="2"/>
      <c r="M46" s="2"/>
      <c r="N46" s="2"/>
      <c r="O46" s="2">
        <f t="shared" si="21"/>
        <v>417.65</v>
      </c>
      <c r="P46" s="2">
        <f t="shared" si="22"/>
        <v>17.09</v>
      </c>
      <c r="Q46" s="2">
        <f t="shared" si="46"/>
        <v>12.75</v>
      </c>
      <c r="R46" s="2">
        <f t="shared" si="47"/>
        <v>1.92</v>
      </c>
      <c r="S46" s="2">
        <f t="shared" si="23"/>
        <v>387.81</v>
      </c>
      <c r="T46" s="2">
        <f t="shared" si="24"/>
        <v>0</v>
      </c>
      <c r="U46" s="2">
        <f t="shared" si="25"/>
        <v>30.729599999999998</v>
      </c>
      <c r="V46" s="2">
        <f t="shared" si="26"/>
        <v>0</v>
      </c>
      <c r="W46" s="2">
        <f t="shared" si="27"/>
        <v>0</v>
      </c>
      <c r="X46" s="2">
        <f t="shared" si="48"/>
        <v>350.76</v>
      </c>
      <c r="Y46" s="2">
        <f t="shared" si="49"/>
        <v>179.28</v>
      </c>
      <c r="Z46" s="2"/>
      <c r="AA46" s="2">
        <v>-1</v>
      </c>
      <c r="AB46" s="2">
        <f t="shared" si="28"/>
        <v>65.337999999999994</v>
      </c>
      <c r="AC46" s="2">
        <f t="shared" si="50"/>
        <v>2.77</v>
      </c>
      <c r="AD46" s="2">
        <f t="shared" si="51"/>
        <v>1.992</v>
      </c>
      <c r="AE46" s="2">
        <f t="shared" si="52"/>
        <v>0.3</v>
      </c>
      <c r="AF46" s="2">
        <f t="shared" si="53"/>
        <v>60.576000000000001</v>
      </c>
      <c r="AG46" s="2">
        <f t="shared" si="29"/>
        <v>0</v>
      </c>
      <c r="AH46" s="2">
        <f t="shared" si="54"/>
        <v>4.8</v>
      </c>
      <c r="AI46" s="2">
        <f t="shared" si="55"/>
        <v>0</v>
      </c>
      <c r="AJ46" s="2">
        <f t="shared" si="30"/>
        <v>0</v>
      </c>
      <c r="AK46" s="2">
        <v>54.91</v>
      </c>
      <c r="AL46" s="2">
        <v>2.77</v>
      </c>
      <c r="AM46" s="2">
        <v>1.66</v>
      </c>
      <c r="AN46" s="2">
        <v>0.25</v>
      </c>
      <c r="AO46" s="2">
        <v>50.48</v>
      </c>
      <c r="AP46" s="2">
        <v>0</v>
      </c>
      <c r="AQ46" s="2">
        <v>4</v>
      </c>
      <c r="AR46" s="2">
        <v>0</v>
      </c>
      <c r="AS46" s="2">
        <v>0</v>
      </c>
      <c r="AT46" s="2">
        <v>90</v>
      </c>
      <c r="AU46" s="2">
        <v>46</v>
      </c>
      <c r="AV46" s="2">
        <v>1.0669999999999999</v>
      </c>
      <c r="AW46" s="2">
        <v>1.028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84</v>
      </c>
      <c r="BK46" s="2"/>
      <c r="BL46" s="2"/>
      <c r="BM46" s="2">
        <v>73</v>
      </c>
      <c r="BN46" s="2">
        <v>0</v>
      </c>
      <c r="BO46" s="2" t="s">
        <v>82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716</v>
      </c>
      <c r="CO46" s="2">
        <v>0</v>
      </c>
      <c r="CP46" s="2">
        <f t="shared" si="31"/>
        <v>417.65</v>
      </c>
      <c r="CQ46" s="2">
        <f t="shared" si="32"/>
        <v>2.85</v>
      </c>
      <c r="CR46" s="2">
        <f t="shared" si="56"/>
        <v>2.13</v>
      </c>
      <c r="CS46" s="2">
        <f t="shared" si="57"/>
        <v>0.32</v>
      </c>
      <c r="CT46" s="2">
        <f t="shared" si="33"/>
        <v>64.63</v>
      </c>
      <c r="CU46" s="2">
        <f t="shared" si="34"/>
        <v>0</v>
      </c>
      <c r="CV46" s="2">
        <f t="shared" si="35"/>
        <v>5.1215999999999999</v>
      </c>
      <c r="CW46" s="2">
        <f t="shared" si="36"/>
        <v>0</v>
      </c>
      <c r="CX46" s="2">
        <f t="shared" si="37"/>
        <v>0</v>
      </c>
      <c r="CY46" s="2">
        <f t="shared" si="58"/>
        <v>349.32</v>
      </c>
      <c r="CZ46" s="2">
        <f t="shared" si="59"/>
        <v>178.54</v>
      </c>
      <c r="DA46" s="2"/>
      <c r="DB46" s="2">
        <v>23</v>
      </c>
      <c r="DC46" s="2" t="s">
        <v>3</v>
      </c>
      <c r="DD46" s="2" t="s">
        <v>48</v>
      </c>
      <c r="DE46" s="2" t="s">
        <v>49</v>
      </c>
      <c r="DF46" s="2" t="s">
        <v>49</v>
      </c>
      <c r="DG46" s="2" t="s">
        <v>49</v>
      </c>
      <c r="DH46" s="2" t="s">
        <v>3</v>
      </c>
      <c r="DI46" s="2" t="s">
        <v>49</v>
      </c>
      <c r="DJ46" s="2" t="s">
        <v>49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25</v>
      </c>
      <c r="DW46" s="2" t="s">
        <v>25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56938740</v>
      </c>
      <c r="EF46" s="2">
        <v>40</v>
      </c>
      <c r="EG46" s="2" t="s">
        <v>29</v>
      </c>
      <c r="EH46" s="2">
        <v>0</v>
      </c>
      <c r="EI46" s="2" t="s">
        <v>3</v>
      </c>
      <c r="EJ46" s="2">
        <v>2</v>
      </c>
      <c r="EK46" s="2">
        <v>73</v>
      </c>
      <c r="EL46" s="2" t="s">
        <v>85</v>
      </c>
      <c r="EM46" s="2" t="s">
        <v>86</v>
      </c>
      <c r="EN46" s="2"/>
      <c r="EO46" s="2" t="s">
        <v>50</v>
      </c>
      <c r="EP46" s="2"/>
      <c r="EQ46" s="2">
        <v>132096</v>
      </c>
      <c r="ER46" s="2">
        <v>54.91</v>
      </c>
      <c r="ES46" s="2">
        <v>2.77</v>
      </c>
      <c r="ET46" s="2">
        <v>1.66</v>
      </c>
      <c r="EU46" s="2">
        <v>0.25</v>
      </c>
      <c r="EV46" s="2">
        <v>50.48</v>
      </c>
      <c r="EW46" s="2">
        <v>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2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742127146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38"/>
        <v>0</v>
      </c>
      <c r="GM46" s="2">
        <f t="shared" si="39"/>
        <v>947.69</v>
      </c>
      <c r="GN46" s="2">
        <f t="shared" si="40"/>
        <v>0</v>
      </c>
      <c r="GO46" s="2">
        <f t="shared" si="41"/>
        <v>947.69</v>
      </c>
      <c r="GP46" s="2">
        <f t="shared" si="42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ROW(SmtRes!A138)</f>
        <v>138</v>
      </c>
      <c r="D47" s="3">
        <f>ROW(EtalonRes!A166)</f>
        <v>166</v>
      </c>
      <c r="E47" s="3" t="s">
        <v>3</v>
      </c>
      <c r="F47" s="3" t="s">
        <v>82</v>
      </c>
      <c r="G47" s="3" t="s">
        <v>83</v>
      </c>
      <c r="H47" s="3" t="s">
        <v>25</v>
      </c>
      <c r="I47" s="3">
        <f>ROUND(2+4,9)</f>
        <v>6</v>
      </c>
      <c r="J47" s="3">
        <v>0</v>
      </c>
      <c r="K47" s="3">
        <f>ROUND(2+4,9)</f>
        <v>6</v>
      </c>
      <c r="O47" s="3">
        <f t="shared" si="21"/>
        <v>22147.9</v>
      </c>
      <c r="P47" s="3">
        <f t="shared" si="22"/>
        <v>76.91</v>
      </c>
      <c r="Q47" s="3">
        <f t="shared" si="46"/>
        <v>217.9</v>
      </c>
      <c r="R47" s="3">
        <f t="shared" si="47"/>
        <v>108.19</v>
      </c>
      <c r="S47" s="3">
        <f t="shared" si="23"/>
        <v>21853.09</v>
      </c>
      <c r="T47" s="3">
        <f t="shared" si="24"/>
        <v>0</v>
      </c>
      <c r="U47" s="3">
        <f t="shared" si="25"/>
        <v>30.729599999999998</v>
      </c>
      <c r="V47" s="3">
        <f t="shared" si="26"/>
        <v>0</v>
      </c>
      <c r="W47" s="3">
        <f t="shared" si="27"/>
        <v>0</v>
      </c>
      <c r="X47" s="3">
        <f t="shared" si="48"/>
        <v>19765.150000000001</v>
      </c>
      <c r="Y47" s="3">
        <f t="shared" si="49"/>
        <v>10102.19</v>
      </c>
      <c r="AA47" s="3">
        <v>-1</v>
      </c>
      <c r="AB47" s="3">
        <f t="shared" si="28"/>
        <v>65.337999999999994</v>
      </c>
      <c r="AC47" s="3">
        <f t="shared" si="50"/>
        <v>2.77</v>
      </c>
      <c r="AD47" s="3">
        <f t="shared" si="51"/>
        <v>1.992</v>
      </c>
      <c r="AE47" s="3">
        <f t="shared" si="52"/>
        <v>0.3</v>
      </c>
      <c r="AF47" s="3">
        <f t="shared" si="53"/>
        <v>60.576000000000001</v>
      </c>
      <c r="AG47" s="3">
        <f t="shared" si="29"/>
        <v>0</v>
      </c>
      <c r="AH47" s="3">
        <f t="shared" si="54"/>
        <v>4.8</v>
      </c>
      <c r="AI47" s="3">
        <f t="shared" si="55"/>
        <v>0</v>
      </c>
      <c r="AJ47" s="3">
        <f t="shared" si="30"/>
        <v>0</v>
      </c>
      <c r="AK47" s="3">
        <v>54.91</v>
      </c>
      <c r="AL47" s="3">
        <v>2.77</v>
      </c>
      <c r="AM47" s="3">
        <v>1.66</v>
      </c>
      <c r="AN47" s="3">
        <v>0.25</v>
      </c>
      <c r="AO47" s="3">
        <v>50.48</v>
      </c>
      <c r="AP47" s="3">
        <v>0</v>
      </c>
      <c r="AQ47" s="3">
        <v>4</v>
      </c>
      <c r="AR47" s="3">
        <v>0</v>
      </c>
      <c r="AS47" s="3">
        <v>0</v>
      </c>
      <c r="AT47" s="3">
        <v>90</v>
      </c>
      <c r="AU47" s="3">
        <v>46</v>
      </c>
      <c r="AV47" s="3">
        <v>1.0669999999999999</v>
      </c>
      <c r="AW47" s="3">
        <v>1.028</v>
      </c>
      <c r="AZ47" s="3">
        <v>1</v>
      </c>
      <c r="BA47" s="3">
        <v>56.35</v>
      </c>
      <c r="BB47" s="3">
        <v>17.09</v>
      </c>
      <c r="BC47" s="3">
        <v>4.5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84</v>
      </c>
      <c r="BM47" s="3">
        <v>73</v>
      </c>
      <c r="BN47" s="3">
        <v>0</v>
      </c>
      <c r="BO47" s="3" t="s">
        <v>82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716</v>
      </c>
      <c r="CO47" s="3">
        <v>0</v>
      </c>
      <c r="CP47" s="3">
        <f t="shared" si="31"/>
        <v>22147.9</v>
      </c>
      <c r="CQ47" s="3">
        <f t="shared" si="32"/>
        <v>12.83</v>
      </c>
      <c r="CR47" s="3">
        <f t="shared" si="56"/>
        <v>36.4</v>
      </c>
      <c r="CS47" s="3">
        <f t="shared" si="57"/>
        <v>18.03</v>
      </c>
      <c r="CT47" s="3">
        <f t="shared" si="33"/>
        <v>3641.9</v>
      </c>
      <c r="CU47" s="3">
        <f t="shared" si="34"/>
        <v>0</v>
      </c>
      <c r="CV47" s="3">
        <f t="shared" si="35"/>
        <v>5.1215999999999999</v>
      </c>
      <c r="CW47" s="3">
        <f t="shared" si="36"/>
        <v>0</v>
      </c>
      <c r="CX47" s="3">
        <f t="shared" si="37"/>
        <v>0</v>
      </c>
      <c r="CY47" s="3">
        <f t="shared" si="58"/>
        <v>19684.009999999998</v>
      </c>
      <c r="CZ47" s="3">
        <f t="shared" si="59"/>
        <v>10060.719999999999</v>
      </c>
      <c r="DB47" s="3">
        <v>24</v>
      </c>
      <c r="DC47" s="3" t="s">
        <v>3</v>
      </c>
      <c r="DD47" s="3" t="s">
        <v>48</v>
      </c>
      <c r="DE47" s="3" t="s">
        <v>49</v>
      </c>
      <c r="DF47" s="3" t="s">
        <v>49</v>
      </c>
      <c r="DG47" s="3" t="s">
        <v>49</v>
      </c>
      <c r="DH47" s="3" t="s">
        <v>3</v>
      </c>
      <c r="DI47" s="3" t="s">
        <v>49</v>
      </c>
      <c r="DJ47" s="3" t="s">
        <v>49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25</v>
      </c>
      <c r="DW47" s="3" t="s">
        <v>25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56938740</v>
      </c>
      <c r="EF47" s="3">
        <v>40</v>
      </c>
      <c r="EG47" s="3" t="s">
        <v>29</v>
      </c>
      <c r="EH47" s="3">
        <v>0</v>
      </c>
      <c r="EI47" s="3" t="s">
        <v>3</v>
      </c>
      <c r="EJ47" s="3">
        <v>2</v>
      </c>
      <c r="EK47" s="3">
        <v>73</v>
      </c>
      <c r="EL47" s="3" t="s">
        <v>85</v>
      </c>
      <c r="EM47" s="3" t="s">
        <v>86</v>
      </c>
      <c r="EO47" s="3" t="s">
        <v>50</v>
      </c>
      <c r="EQ47" s="3">
        <v>132096</v>
      </c>
      <c r="ER47" s="3">
        <v>54.91</v>
      </c>
      <c r="ES47" s="3">
        <v>2.77</v>
      </c>
      <c r="ET47" s="3">
        <v>1.66</v>
      </c>
      <c r="EU47" s="3">
        <v>0.25</v>
      </c>
      <c r="EV47" s="3">
        <v>50.48</v>
      </c>
      <c r="EW47" s="3">
        <v>4</v>
      </c>
      <c r="EX47" s="3">
        <v>0</v>
      </c>
      <c r="EY47" s="3">
        <v>0</v>
      </c>
      <c r="FQ47" s="3">
        <v>0</v>
      </c>
      <c r="FR47" s="3">
        <v>0</v>
      </c>
      <c r="FS47" s="3">
        <v>2</v>
      </c>
      <c r="FX47" s="3">
        <v>90</v>
      </c>
      <c r="FY47" s="3">
        <v>46</v>
      </c>
      <c r="GA47" s="3" t="s">
        <v>3</v>
      </c>
      <c r="GD47" s="3">
        <v>1</v>
      </c>
      <c r="GF47" s="3">
        <v>742127146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38"/>
        <v>0</v>
      </c>
      <c r="GM47" s="3">
        <f t="shared" si="39"/>
        <v>52015.24</v>
      </c>
      <c r="GN47" s="3">
        <f t="shared" si="40"/>
        <v>0</v>
      </c>
      <c r="GO47" s="3">
        <f t="shared" si="41"/>
        <v>52015.24</v>
      </c>
      <c r="GP47" s="3">
        <f t="shared" si="42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>
        <f>ROW(SmtRes!A141)</f>
        <v>141</v>
      </c>
      <c r="D48" s="2">
        <f>ROW(EtalonRes!A171)</f>
        <v>171</v>
      </c>
      <c r="E48" s="2" t="s">
        <v>3</v>
      </c>
      <c r="F48" s="2" t="s">
        <v>87</v>
      </c>
      <c r="G48" s="2" t="s">
        <v>88</v>
      </c>
      <c r="H48" s="2" t="s">
        <v>25</v>
      </c>
      <c r="I48" s="2">
        <f>ROUND(2,9)</f>
        <v>2</v>
      </c>
      <c r="J48" s="2">
        <v>0</v>
      </c>
      <c r="K48" s="2">
        <f>ROUND(2,9)</f>
        <v>2</v>
      </c>
      <c r="L48" s="2"/>
      <c r="M48" s="2"/>
      <c r="N48" s="2"/>
      <c r="O48" s="2">
        <f t="shared" si="21"/>
        <v>191.1</v>
      </c>
      <c r="P48" s="2">
        <f t="shared" si="22"/>
        <v>8.08</v>
      </c>
      <c r="Q48" s="2">
        <f t="shared" si="46"/>
        <v>8.5</v>
      </c>
      <c r="R48" s="2">
        <f t="shared" si="47"/>
        <v>1.28</v>
      </c>
      <c r="S48" s="2">
        <f t="shared" si="23"/>
        <v>174.52</v>
      </c>
      <c r="T48" s="2">
        <f t="shared" si="24"/>
        <v>0</v>
      </c>
      <c r="U48" s="2">
        <f t="shared" si="25"/>
        <v>13.82832</v>
      </c>
      <c r="V48" s="2">
        <f t="shared" si="26"/>
        <v>0</v>
      </c>
      <c r="W48" s="2">
        <f t="shared" si="27"/>
        <v>0</v>
      </c>
      <c r="X48" s="2">
        <f t="shared" si="48"/>
        <v>158.22</v>
      </c>
      <c r="Y48" s="2">
        <f t="shared" si="49"/>
        <v>80.87</v>
      </c>
      <c r="Z48" s="2"/>
      <c r="AA48" s="2">
        <v>-1</v>
      </c>
      <c r="AB48" s="2">
        <f t="shared" si="28"/>
        <v>89.694000000000003</v>
      </c>
      <c r="AC48" s="2">
        <f t="shared" si="50"/>
        <v>3.93</v>
      </c>
      <c r="AD48" s="2">
        <f t="shared" si="51"/>
        <v>3.984</v>
      </c>
      <c r="AE48" s="2">
        <f t="shared" si="52"/>
        <v>0.6</v>
      </c>
      <c r="AF48" s="2">
        <f t="shared" si="53"/>
        <v>81.78</v>
      </c>
      <c r="AG48" s="2">
        <f t="shared" si="29"/>
        <v>0</v>
      </c>
      <c r="AH48" s="2">
        <f t="shared" si="54"/>
        <v>6.48</v>
      </c>
      <c r="AI48" s="2">
        <f t="shared" si="55"/>
        <v>0</v>
      </c>
      <c r="AJ48" s="2">
        <f t="shared" si="30"/>
        <v>0</v>
      </c>
      <c r="AK48" s="2">
        <v>75.400000000000006</v>
      </c>
      <c r="AL48" s="2">
        <v>3.93</v>
      </c>
      <c r="AM48" s="2">
        <v>3.32</v>
      </c>
      <c r="AN48" s="2">
        <v>0.5</v>
      </c>
      <c r="AO48" s="2">
        <v>68.150000000000006</v>
      </c>
      <c r="AP48" s="2">
        <v>0</v>
      </c>
      <c r="AQ48" s="2">
        <v>5.4</v>
      </c>
      <c r="AR48" s="2">
        <v>0</v>
      </c>
      <c r="AS48" s="2">
        <v>0</v>
      </c>
      <c r="AT48" s="2">
        <v>90</v>
      </c>
      <c r="AU48" s="2">
        <v>46</v>
      </c>
      <c r="AV48" s="2">
        <v>1.0669999999999999</v>
      </c>
      <c r="AW48" s="2">
        <v>1.028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89</v>
      </c>
      <c r="BK48" s="2"/>
      <c r="BL48" s="2"/>
      <c r="BM48" s="2">
        <v>73</v>
      </c>
      <c r="BN48" s="2">
        <v>0</v>
      </c>
      <c r="BO48" s="2" t="s">
        <v>87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716</v>
      </c>
      <c r="CO48" s="2">
        <v>0</v>
      </c>
      <c r="CP48" s="2">
        <f t="shared" si="31"/>
        <v>191.10000000000002</v>
      </c>
      <c r="CQ48" s="2">
        <f t="shared" si="32"/>
        <v>4.04</v>
      </c>
      <c r="CR48" s="2">
        <f t="shared" si="56"/>
        <v>4.25</v>
      </c>
      <c r="CS48" s="2">
        <f t="shared" si="57"/>
        <v>0.64</v>
      </c>
      <c r="CT48" s="2">
        <f t="shared" si="33"/>
        <v>87.26</v>
      </c>
      <c r="CU48" s="2">
        <f t="shared" si="34"/>
        <v>0</v>
      </c>
      <c r="CV48" s="2">
        <f t="shared" si="35"/>
        <v>6.9141599999999999</v>
      </c>
      <c r="CW48" s="2">
        <f t="shared" si="36"/>
        <v>0</v>
      </c>
      <c r="CX48" s="2">
        <f t="shared" si="37"/>
        <v>0</v>
      </c>
      <c r="CY48" s="2">
        <f t="shared" si="58"/>
        <v>157.63999999999999</v>
      </c>
      <c r="CZ48" s="2">
        <f t="shared" si="59"/>
        <v>80.569999999999993</v>
      </c>
      <c r="DA48" s="2"/>
      <c r="DB48" s="2">
        <v>25</v>
      </c>
      <c r="DC48" s="2" t="s">
        <v>3</v>
      </c>
      <c r="DD48" s="2" t="s">
        <v>48</v>
      </c>
      <c r="DE48" s="2" t="s">
        <v>49</v>
      </c>
      <c r="DF48" s="2" t="s">
        <v>49</v>
      </c>
      <c r="DG48" s="2" t="s">
        <v>49</v>
      </c>
      <c r="DH48" s="2" t="s">
        <v>3</v>
      </c>
      <c r="DI48" s="2" t="s">
        <v>49</v>
      </c>
      <c r="DJ48" s="2" t="s">
        <v>49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25</v>
      </c>
      <c r="DW48" s="2" t="s">
        <v>25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56938740</v>
      </c>
      <c r="EF48" s="2">
        <v>40</v>
      </c>
      <c r="EG48" s="2" t="s">
        <v>29</v>
      </c>
      <c r="EH48" s="2">
        <v>0</v>
      </c>
      <c r="EI48" s="2" t="s">
        <v>3</v>
      </c>
      <c r="EJ48" s="2">
        <v>2</v>
      </c>
      <c r="EK48" s="2">
        <v>73</v>
      </c>
      <c r="EL48" s="2" t="s">
        <v>85</v>
      </c>
      <c r="EM48" s="2" t="s">
        <v>86</v>
      </c>
      <c r="EN48" s="2"/>
      <c r="EO48" s="2" t="s">
        <v>50</v>
      </c>
      <c r="EP48" s="2"/>
      <c r="EQ48" s="2">
        <v>132096</v>
      </c>
      <c r="ER48" s="2">
        <v>75.400000000000006</v>
      </c>
      <c r="ES48" s="2">
        <v>3.93</v>
      </c>
      <c r="ET48" s="2">
        <v>3.32</v>
      </c>
      <c r="EU48" s="2">
        <v>0.5</v>
      </c>
      <c r="EV48" s="2">
        <v>68.150000000000006</v>
      </c>
      <c r="EW48" s="2">
        <v>5.4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2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434457661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38"/>
        <v>0</v>
      </c>
      <c r="GM48" s="2">
        <f t="shared" si="39"/>
        <v>430.19</v>
      </c>
      <c r="GN48" s="2">
        <f t="shared" si="40"/>
        <v>0</v>
      </c>
      <c r="GO48" s="2">
        <f t="shared" si="41"/>
        <v>430.19</v>
      </c>
      <c r="GP48" s="2">
        <f t="shared" si="42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43"/>
        <v>0</v>
      </c>
      <c r="GW48" s="2">
        <v>1</v>
      </c>
      <c r="GX48" s="2">
        <f t="shared" si="44"/>
        <v>0</v>
      </c>
      <c r="GY48" s="2"/>
      <c r="GZ48" s="2"/>
      <c r="HA48" s="2">
        <v>0</v>
      </c>
      <c r="HB48" s="2">
        <v>0</v>
      </c>
      <c r="HC48" s="2">
        <f t="shared" si="45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C49" s="3">
        <f>ROW(SmtRes!A144)</f>
        <v>144</v>
      </c>
      <c r="D49" s="3">
        <f>ROW(EtalonRes!A176)</f>
        <v>176</v>
      </c>
      <c r="E49" s="3" t="s">
        <v>3</v>
      </c>
      <c r="F49" s="3" t="s">
        <v>87</v>
      </c>
      <c r="G49" s="3" t="s">
        <v>88</v>
      </c>
      <c r="H49" s="3" t="s">
        <v>25</v>
      </c>
      <c r="I49" s="3">
        <f>ROUND(2,9)</f>
        <v>2</v>
      </c>
      <c r="J49" s="3">
        <v>0</v>
      </c>
      <c r="K49" s="3">
        <f>ROUND(2,9)</f>
        <v>2</v>
      </c>
      <c r="O49" s="3">
        <f t="shared" si="21"/>
        <v>10015.75</v>
      </c>
      <c r="P49" s="3">
        <f t="shared" si="22"/>
        <v>36.28</v>
      </c>
      <c r="Q49" s="3">
        <f t="shared" si="46"/>
        <v>145.27000000000001</v>
      </c>
      <c r="R49" s="3">
        <f t="shared" si="47"/>
        <v>72.13</v>
      </c>
      <c r="S49" s="3">
        <f t="shared" si="23"/>
        <v>9834.2000000000007</v>
      </c>
      <c r="T49" s="3">
        <f t="shared" si="24"/>
        <v>0</v>
      </c>
      <c r="U49" s="3">
        <f t="shared" si="25"/>
        <v>13.82832</v>
      </c>
      <c r="V49" s="3">
        <f t="shared" si="26"/>
        <v>0</v>
      </c>
      <c r="W49" s="3">
        <f t="shared" si="27"/>
        <v>0</v>
      </c>
      <c r="X49" s="3">
        <f t="shared" si="48"/>
        <v>8915.7000000000007</v>
      </c>
      <c r="Y49" s="3">
        <f t="shared" si="49"/>
        <v>4556.91</v>
      </c>
      <c r="AA49" s="3">
        <v>-1</v>
      </c>
      <c r="AB49" s="3">
        <f t="shared" si="28"/>
        <v>89.694000000000003</v>
      </c>
      <c r="AC49" s="3">
        <f t="shared" si="50"/>
        <v>3.93</v>
      </c>
      <c r="AD49" s="3">
        <f t="shared" si="51"/>
        <v>3.984</v>
      </c>
      <c r="AE49" s="3">
        <f t="shared" si="52"/>
        <v>0.6</v>
      </c>
      <c r="AF49" s="3">
        <f t="shared" si="53"/>
        <v>81.78</v>
      </c>
      <c r="AG49" s="3">
        <f t="shared" si="29"/>
        <v>0</v>
      </c>
      <c r="AH49" s="3">
        <f t="shared" si="54"/>
        <v>6.48</v>
      </c>
      <c r="AI49" s="3">
        <f t="shared" si="55"/>
        <v>0</v>
      </c>
      <c r="AJ49" s="3">
        <f t="shared" si="30"/>
        <v>0</v>
      </c>
      <c r="AK49" s="3">
        <v>75.400000000000006</v>
      </c>
      <c r="AL49" s="3">
        <v>3.93</v>
      </c>
      <c r="AM49" s="3">
        <v>3.32</v>
      </c>
      <c r="AN49" s="3">
        <v>0.5</v>
      </c>
      <c r="AO49" s="3">
        <v>68.150000000000006</v>
      </c>
      <c r="AP49" s="3">
        <v>0</v>
      </c>
      <c r="AQ49" s="3">
        <v>5.4</v>
      </c>
      <c r="AR49" s="3">
        <v>0</v>
      </c>
      <c r="AS49" s="3">
        <v>0</v>
      </c>
      <c r="AT49" s="3">
        <v>90</v>
      </c>
      <c r="AU49" s="3">
        <v>46</v>
      </c>
      <c r="AV49" s="3">
        <v>1.0669999999999999</v>
      </c>
      <c r="AW49" s="3">
        <v>1.028</v>
      </c>
      <c r="AZ49" s="3">
        <v>1</v>
      </c>
      <c r="BA49" s="3">
        <v>56.35</v>
      </c>
      <c r="BB49" s="3">
        <v>17.09</v>
      </c>
      <c r="BC49" s="3">
        <v>4.49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89</v>
      </c>
      <c r="BM49" s="3">
        <v>73</v>
      </c>
      <c r="BN49" s="3">
        <v>0</v>
      </c>
      <c r="BO49" s="3" t="s">
        <v>87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716</v>
      </c>
      <c r="CO49" s="3">
        <v>0</v>
      </c>
      <c r="CP49" s="3">
        <f t="shared" si="31"/>
        <v>10015.75</v>
      </c>
      <c r="CQ49" s="3">
        <f t="shared" si="32"/>
        <v>18.14</v>
      </c>
      <c r="CR49" s="3">
        <f t="shared" si="56"/>
        <v>72.63</v>
      </c>
      <c r="CS49" s="3">
        <f t="shared" si="57"/>
        <v>36.06</v>
      </c>
      <c r="CT49" s="3">
        <f t="shared" si="33"/>
        <v>4917.1000000000004</v>
      </c>
      <c r="CU49" s="3">
        <f t="shared" si="34"/>
        <v>0</v>
      </c>
      <c r="CV49" s="3">
        <f t="shared" si="35"/>
        <v>6.9141599999999999</v>
      </c>
      <c r="CW49" s="3">
        <f t="shared" si="36"/>
        <v>0</v>
      </c>
      <c r="CX49" s="3">
        <f t="shared" si="37"/>
        <v>0</v>
      </c>
      <c r="CY49" s="3">
        <f t="shared" si="58"/>
        <v>8883.23</v>
      </c>
      <c r="CZ49" s="3">
        <f t="shared" si="59"/>
        <v>4540.32</v>
      </c>
      <c r="DB49" s="3">
        <v>26</v>
      </c>
      <c r="DC49" s="3" t="s">
        <v>3</v>
      </c>
      <c r="DD49" s="3" t="s">
        <v>48</v>
      </c>
      <c r="DE49" s="3" t="s">
        <v>49</v>
      </c>
      <c r="DF49" s="3" t="s">
        <v>49</v>
      </c>
      <c r="DG49" s="3" t="s">
        <v>49</v>
      </c>
      <c r="DH49" s="3" t="s">
        <v>3</v>
      </c>
      <c r="DI49" s="3" t="s">
        <v>49</v>
      </c>
      <c r="DJ49" s="3" t="s">
        <v>49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25</v>
      </c>
      <c r="DW49" s="3" t="s">
        <v>25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56938740</v>
      </c>
      <c r="EF49" s="3">
        <v>40</v>
      </c>
      <c r="EG49" s="3" t="s">
        <v>29</v>
      </c>
      <c r="EH49" s="3">
        <v>0</v>
      </c>
      <c r="EI49" s="3" t="s">
        <v>3</v>
      </c>
      <c r="EJ49" s="3">
        <v>2</v>
      </c>
      <c r="EK49" s="3">
        <v>73</v>
      </c>
      <c r="EL49" s="3" t="s">
        <v>85</v>
      </c>
      <c r="EM49" s="3" t="s">
        <v>86</v>
      </c>
      <c r="EO49" s="3" t="s">
        <v>50</v>
      </c>
      <c r="EQ49" s="3">
        <v>132096</v>
      </c>
      <c r="ER49" s="3">
        <v>75.400000000000006</v>
      </c>
      <c r="ES49" s="3">
        <v>3.93</v>
      </c>
      <c r="ET49" s="3">
        <v>3.32</v>
      </c>
      <c r="EU49" s="3">
        <v>0.5</v>
      </c>
      <c r="EV49" s="3">
        <v>68.150000000000006</v>
      </c>
      <c r="EW49" s="3">
        <v>5.4</v>
      </c>
      <c r="EX49" s="3">
        <v>0</v>
      </c>
      <c r="EY49" s="3">
        <v>0</v>
      </c>
      <c r="FQ49" s="3">
        <v>0</v>
      </c>
      <c r="FR49" s="3">
        <v>0</v>
      </c>
      <c r="FS49" s="3">
        <v>2</v>
      </c>
      <c r="FX49" s="3">
        <v>90</v>
      </c>
      <c r="FY49" s="3">
        <v>46</v>
      </c>
      <c r="GA49" s="3" t="s">
        <v>3</v>
      </c>
      <c r="GD49" s="3">
        <v>1</v>
      </c>
      <c r="GF49" s="3">
        <v>434457661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38"/>
        <v>0</v>
      </c>
      <c r="GM49" s="3">
        <f t="shared" si="39"/>
        <v>23488.36</v>
      </c>
      <c r="GN49" s="3">
        <f t="shared" si="40"/>
        <v>0</v>
      </c>
      <c r="GO49" s="3">
        <f t="shared" si="41"/>
        <v>23488.36</v>
      </c>
      <c r="GP49" s="3">
        <f t="shared" si="42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43"/>
        <v>0</v>
      </c>
      <c r="GW49" s="3">
        <v>1</v>
      </c>
      <c r="GX49" s="3">
        <f t="shared" si="44"/>
        <v>0</v>
      </c>
      <c r="HA49" s="3">
        <v>0</v>
      </c>
      <c r="HB49" s="3">
        <v>0</v>
      </c>
      <c r="HC49" s="3">
        <f t="shared" si="45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ROW(SmtRes!A146)</f>
        <v>146</v>
      </c>
      <c r="D50" s="2">
        <f>ROW(EtalonRes!A180)</f>
        <v>180</v>
      </c>
      <c r="E50" s="2" t="s">
        <v>3</v>
      </c>
      <c r="F50" s="2" t="s">
        <v>90</v>
      </c>
      <c r="G50" s="2" t="s">
        <v>91</v>
      </c>
      <c r="H50" s="2" t="s">
        <v>25</v>
      </c>
      <c r="I50" s="2">
        <f>ROUND(1+2,9)</f>
        <v>3</v>
      </c>
      <c r="J50" s="2">
        <v>0</v>
      </c>
      <c r="K50" s="2">
        <f>ROUND(1+2,9)</f>
        <v>3</v>
      </c>
      <c r="L50" s="2"/>
      <c r="M50" s="2"/>
      <c r="N50" s="2"/>
      <c r="O50" s="2">
        <f t="shared" si="21"/>
        <v>147.56</v>
      </c>
      <c r="P50" s="2">
        <f t="shared" si="22"/>
        <v>2.13</v>
      </c>
      <c r="Q50" s="2">
        <f t="shared" si="46"/>
        <v>0</v>
      </c>
      <c r="R50" s="2">
        <f t="shared" si="47"/>
        <v>0</v>
      </c>
      <c r="S50" s="2">
        <f t="shared" si="23"/>
        <v>145.43</v>
      </c>
      <c r="T50" s="2">
        <f t="shared" si="24"/>
        <v>0</v>
      </c>
      <c r="U50" s="2">
        <f t="shared" si="25"/>
        <v>11.523599999999998</v>
      </c>
      <c r="V50" s="2">
        <f t="shared" si="26"/>
        <v>0</v>
      </c>
      <c r="W50" s="2">
        <f t="shared" si="27"/>
        <v>0</v>
      </c>
      <c r="X50" s="2">
        <f t="shared" si="48"/>
        <v>130.88999999999999</v>
      </c>
      <c r="Y50" s="2">
        <f t="shared" si="49"/>
        <v>66.900000000000006</v>
      </c>
      <c r="Z50" s="2"/>
      <c r="AA50" s="2">
        <v>-1</v>
      </c>
      <c r="AB50" s="2">
        <f t="shared" si="28"/>
        <v>46.122</v>
      </c>
      <c r="AC50" s="2">
        <f t="shared" si="50"/>
        <v>0.69</v>
      </c>
      <c r="AD50" s="2">
        <f t="shared" si="51"/>
        <v>0</v>
      </c>
      <c r="AE50" s="2">
        <f t="shared" si="52"/>
        <v>0</v>
      </c>
      <c r="AF50" s="2">
        <f t="shared" si="53"/>
        <v>45.432000000000002</v>
      </c>
      <c r="AG50" s="2">
        <f t="shared" si="29"/>
        <v>0</v>
      </c>
      <c r="AH50" s="2">
        <f t="shared" si="54"/>
        <v>3.5999999999999996</v>
      </c>
      <c r="AI50" s="2">
        <f t="shared" si="55"/>
        <v>0</v>
      </c>
      <c r="AJ50" s="2">
        <f t="shared" si="30"/>
        <v>0</v>
      </c>
      <c r="AK50" s="2">
        <v>38.549999999999997</v>
      </c>
      <c r="AL50" s="2">
        <v>0.69</v>
      </c>
      <c r="AM50" s="2">
        <v>0</v>
      </c>
      <c r="AN50" s="2">
        <v>0</v>
      </c>
      <c r="AO50" s="2">
        <v>37.86</v>
      </c>
      <c r="AP50" s="2">
        <v>0</v>
      </c>
      <c r="AQ50" s="2">
        <v>3</v>
      </c>
      <c r="AR50" s="2">
        <v>0</v>
      </c>
      <c r="AS50" s="2">
        <v>0</v>
      </c>
      <c r="AT50" s="2">
        <v>90</v>
      </c>
      <c r="AU50" s="2">
        <v>46</v>
      </c>
      <c r="AV50" s="2">
        <v>1.0669999999999999</v>
      </c>
      <c r="AW50" s="2">
        <v>1.028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92</v>
      </c>
      <c r="BK50" s="2"/>
      <c r="BL50" s="2"/>
      <c r="BM50" s="2">
        <v>73</v>
      </c>
      <c r="BN50" s="2">
        <v>0</v>
      </c>
      <c r="BO50" s="2" t="s">
        <v>90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716</v>
      </c>
      <c r="CO50" s="2">
        <v>0</v>
      </c>
      <c r="CP50" s="2">
        <f t="shared" si="31"/>
        <v>147.56</v>
      </c>
      <c r="CQ50" s="2">
        <f t="shared" si="32"/>
        <v>0.71</v>
      </c>
      <c r="CR50" s="2">
        <f t="shared" si="56"/>
        <v>0</v>
      </c>
      <c r="CS50" s="2">
        <f t="shared" si="57"/>
        <v>0</v>
      </c>
      <c r="CT50" s="2">
        <f t="shared" si="33"/>
        <v>48.48</v>
      </c>
      <c r="CU50" s="2">
        <f t="shared" si="34"/>
        <v>0</v>
      </c>
      <c r="CV50" s="2">
        <f t="shared" si="35"/>
        <v>3.8411999999999993</v>
      </c>
      <c r="CW50" s="2">
        <f t="shared" si="36"/>
        <v>0</v>
      </c>
      <c r="CX50" s="2">
        <f t="shared" si="37"/>
        <v>0</v>
      </c>
      <c r="CY50" s="2">
        <f t="shared" si="58"/>
        <v>130.88999999999999</v>
      </c>
      <c r="CZ50" s="2">
        <f t="shared" si="59"/>
        <v>66.900000000000006</v>
      </c>
      <c r="DA50" s="2"/>
      <c r="DB50" s="2">
        <v>27</v>
      </c>
      <c r="DC50" s="2" t="s">
        <v>3</v>
      </c>
      <c r="DD50" s="2" t="s">
        <v>48</v>
      </c>
      <c r="DE50" s="2" t="s">
        <v>49</v>
      </c>
      <c r="DF50" s="2" t="s">
        <v>49</v>
      </c>
      <c r="DG50" s="2" t="s">
        <v>49</v>
      </c>
      <c r="DH50" s="2" t="s">
        <v>3</v>
      </c>
      <c r="DI50" s="2" t="s">
        <v>49</v>
      </c>
      <c r="DJ50" s="2" t="s">
        <v>49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25</v>
      </c>
      <c r="DW50" s="2" t="s">
        <v>25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56938740</v>
      </c>
      <c r="EF50" s="2">
        <v>40</v>
      </c>
      <c r="EG50" s="2" t="s">
        <v>29</v>
      </c>
      <c r="EH50" s="2">
        <v>0</v>
      </c>
      <c r="EI50" s="2" t="s">
        <v>3</v>
      </c>
      <c r="EJ50" s="2">
        <v>2</v>
      </c>
      <c r="EK50" s="2">
        <v>73</v>
      </c>
      <c r="EL50" s="2" t="s">
        <v>85</v>
      </c>
      <c r="EM50" s="2" t="s">
        <v>86</v>
      </c>
      <c r="EN50" s="2"/>
      <c r="EO50" s="2" t="s">
        <v>50</v>
      </c>
      <c r="EP50" s="2"/>
      <c r="EQ50" s="2">
        <v>132096</v>
      </c>
      <c r="ER50" s="2">
        <v>38.549999999999997</v>
      </c>
      <c r="ES50" s="2">
        <v>0.69</v>
      </c>
      <c r="ET50" s="2">
        <v>0</v>
      </c>
      <c r="EU50" s="2">
        <v>0</v>
      </c>
      <c r="EV50" s="2">
        <v>37.86</v>
      </c>
      <c r="EW50" s="2">
        <v>3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2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2121044303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38"/>
        <v>0</v>
      </c>
      <c r="GM50" s="2">
        <f t="shared" si="39"/>
        <v>345.35</v>
      </c>
      <c r="GN50" s="2">
        <f t="shared" si="40"/>
        <v>0</v>
      </c>
      <c r="GO50" s="2">
        <f t="shared" si="41"/>
        <v>345.35</v>
      </c>
      <c r="GP50" s="2">
        <f t="shared" si="42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3"/>
        <v>0</v>
      </c>
      <c r="GW50" s="2">
        <v>1</v>
      </c>
      <c r="GX50" s="2">
        <f t="shared" si="44"/>
        <v>0</v>
      </c>
      <c r="GY50" s="2"/>
      <c r="GZ50" s="2"/>
      <c r="HA50" s="2">
        <v>0</v>
      </c>
      <c r="HB50" s="2">
        <v>0</v>
      </c>
      <c r="HC50" s="2">
        <f t="shared" si="45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ROW(SmtRes!A148)</f>
        <v>148</v>
      </c>
      <c r="D51" s="3">
        <f>ROW(EtalonRes!A184)</f>
        <v>184</v>
      </c>
      <c r="E51" s="3" t="s">
        <v>3</v>
      </c>
      <c r="F51" s="3" t="s">
        <v>90</v>
      </c>
      <c r="G51" s="3" t="s">
        <v>91</v>
      </c>
      <c r="H51" s="3" t="s">
        <v>25</v>
      </c>
      <c r="I51" s="3">
        <f>ROUND(1+2,9)</f>
        <v>3</v>
      </c>
      <c r="J51" s="3">
        <v>0</v>
      </c>
      <c r="K51" s="3">
        <f>ROUND(1+2,9)</f>
        <v>3</v>
      </c>
      <c r="O51" s="3">
        <f t="shared" si="21"/>
        <v>8204.61</v>
      </c>
      <c r="P51" s="3">
        <f t="shared" si="22"/>
        <v>9.6300000000000008</v>
      </c>
      <c r="Q51" s="3">
        <f t="shared" si="46"/>
        <v>0</v>
      </c>
      <c r="R51" s="3">
        <f t="shared" si="47"/>
        <v>0</v>
      </c>
      <c r="S51" s="3">
        <f t="shared" si="23"/>
        <v>8194.98</v>
      </c>
      <c r="T51" s="3">
        <f t="shared" si="24"/>
        <v>0</v>
      </c>
      <c r="U51" s="3">
        <f t="shared" si="25"/>
        <v>11.523599999999998</v>
      </c>
      <c r="V51" s="3">
        <f t="shared" si="26"/>
        <v>0</v>
      </c>
      <c r="W51" s="3">
        <f t="shared" si="27"/>
        <v>0</v>
      </c>
      <c r="X51" s="3">
        <f t="shared" si="48"/>
        <v>7375.48</v>
      </c>
      <c r="Y51" s="3">
        <f t="shared" si="49"/>
        <v>3769.69</v>
      </c>
      <c r="AA51" s="3">
        <v>-1</v>
      </c>
      <c r="AB51" s="3">
        <f t="shared" si="28"/>
        <v>46.122</v>
      </c>
      <c r="AC51" s="3">
        <f t="shared" si="50"/>
        <v>0.69</v>
      </c>
      <c r="AD51" s="3">
        <f t="shared" si="51"/>
        <v>0</v>
      </c>
      <c r="AE51" s="3">
        <f t="shared" si="52"/>
        <v>0</v>
      </c>
      <c r="AF51" s="3">
        <f t="shared" si="53"/>
        <v>45.432000000000002</v>
      </c>
      <c r="AG51" s="3">
        <f t="shared" si="29"/>
        <v>0</v>
      </c>
      <c r="AH51" s="3">
        <f t="shared" si="54"/>
        <v>3.5999999999999996</v>
      </c>
      <c r="AI51" s="3">
        <f t="shared" si="55"/>
        <v>0</v>
      </c>
      <c r="AJ51" s="3">
        <f t="shared" si="30"/>
        <v>0</v>
      </c>
      <c r="AK51" s="3">
        <v>38.549999999999997</v>
      </c>
      <c r="AL51" s="3">
        <v>0.69</v>
      </c>
      <c r="AM51" s="3">
        <v>0</v>
      </c>
      <c r="AN51" s="3">
        <v>0</v>
      </c>
      <c r="AO51" s="3">
        <v>37.86</v>
      </c>
      <c r="AP51" s="3">
        <v>0</v>
      </c>
      <c r="AQ51" s="3">
        <v>3</v>
      </c>
      <c r="AR51" s="3">
        <v>0</v>
      </c>
      <c r="AS51" s="3">
        <v>0</v>
      </c>
      <c r="AT51" s="3">
        <v>90</v>
      </c>
      <c r="AU51" s="3">
        <v>46</v>
      </c>
      <c r="AV51" s="3">
        <v>1.0669999999999999</v>
      </c>
      <c r="AW51" s="3">
        <v>1.028</v>
      </c>
      <c r="AZ51" s="3">
        <v>1</v>
      </c>
      <c r="BA51" s="3">
        <v>56.35</v>
      </c>
      <c r="BB51" s="3">
        <v>1</v>
      </c>
      <c r="BC51" s="3">
        <v>4.5199999999999996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92</v>
      </c>
      <c r="BM51" s="3">
        <v>73</v>
      </c>
      <c r="BN51" s="3">
        <v>0</v>
      </c>
      <c r="BO51" s="3" t="s">
        <v>90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716</v>
      </c>
      <c r="CO51" s="3">
        <v>0</v>
      </c>
      <c r="CP51" s="3">
        <f t="shared" si="31"/>
        <v>8204.6099999999988</v>
      </c>
      <c r="CQ51" s="3">
        <f t="shared" si="32"/>
        <v>3.21</v>
      </c>
      <c r="CR51" s="3">
        <f t="shared" si="56"/>
        <v>0</v>
      </c>
      <c r="CS51" s="3">
        <f t="shared" si="57"/>
        <v>0</v>
      </c>
      <c r="CT51" s="3">
        <f t="shared" si="33"/>
        <v>2731.85</v>
      </c>
      <c r="CU51" s="3">
        <f t="shared" si="34"/>
        <v>0</v>
      </c>
      <c r="CV51" s="3">
        <f t="shared" si="35"/>
        <v>3.8411999999999993</v>
      </c>
      <c r="CW51" s="3">
        <f t="shared" si="36"/>
        <v>0</v>
      </c>
      <c r="CX51" s="3">
        <f t="shared" si="37"/>
        <v>0</v>
      </c>
      <c r="CY51" s="3">
        <f t="shared" si="58"/>
        <v>7375.48</v>
      </c>
      <c r="CZ51" s="3">
        <f t="shared" si="59"/>
        <v>3769.69</v>
      </c>
      <c r="DB51" s="3">
        <v>28</v>
      </c>
      <c r="DC51" s="3" t="s">
        <v>3</v>
      </c>
      <c r="DD51" s="3" t="s">
        <v>48</v>
      </c>
      <c r="DE51" s="3" t="s">
        <v>49</v>
      </c>
      <c r="DF51" s="3" t="s">
        <v>49</v>
      </c>
      <c r="DG51" s="3" t="s">
        <v>49</v>
      </c>
      <c r="DH51" s="3" t="s">
        <v>3</v>
      </c>
      <c r="DI51" s="3" t="s">
        <v>49</v>
      </c>
      <c r="DJ51" s="3" t="s">
        <v>49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25</v>
      </c>
      <c r="DW51" s="3" t="s">
        <v>25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56938740</v>
      </c>
      <c r="EF51" s="3">
        <v>40</v>
      </c>
      <c r="EG51" s="3" t="s">
        <v>29</v>
      </c>
      <c r="EH51" s="3">
        <v>0</v>
      </c>
      <c r="EI51" s="3" t="s">
        <v>3</v>
      </c>
      <c r="EJ51" s="3">
        <v>2</v>
      </c>
      <c r="EK51" s="3">
        <v>73</v>
      </c>
      <c r="EL51" s="3" t="s">
        <v>85</v>
      </c>
      <c r="EM51" s="3" t="s">
        <v>86</v>
      </c>
      <c r="EO51" s="3" t="s">
        <v>50</v>
      </c>
      <c r="EQ51" s="3">
        <v>132096</v>
      </c>
      <c r="ER51" s="3">
        <v>38.549999999999997</v>
      </c>
      <c r="ES51" s="3">
        <v>0.69</v>
      </c>
      <c r="ET51" s="3">
        <v>0</v>
      </c>
      <c r="EU51" s="3">
        <v>0</v>
      </c>
      <c r="EV51" s="3">
        <v>37.86</v>
      </c>
      <c r="EW51" s="3">
        <v>3</v>
      </c>
      <c r="EX51" s="3">
        <v>0</v>
      </c>
      <c r="EY51" s="3">
        <v>0</v>
      </c>
      <c r="FQ51" s="3">
        <v>0</v>
      </c>
      <c r="FR51" s="3">
        <v>0</v>
      </c>
      <c r="FS51" s="3">
        <v>2</v>
      </c>
      <c r="FX51" s="3">
        <v>90</v>
      </c>
      <c r="FY51" s="3">
        <v>46</v>
      </c>
      <c r="GA51" s="3" t="s">
        <v>3</v>
      </c>
      <c r="GD51" s="3">
        <v>1</v>
      </c>
      <c r="GF51" s="3">
        <v>2121044303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38"/>
        <v>0</v>
      </c>
      <c r="GM51" s="3">
        <f t="shared" si="39"/>
        <v>19349.78</v>
      </c>
      <c r="GN51" s="3">
        <f t="shared" si="40"/>
        <v>0</v>
      </c>
      <c r="GO51" s="3">
        <f t="shared" si="41"/>
        <v>19349.78</v>
      </c>
      <c r="GP51" s="3">
        <f t="shared" si="42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43"/>
        <v>0</v>
      </c>
      <c r="GW51" s="3">
        <v>1</v>
      </c>
      <c r="GX51" s="3">
        <f t="shared" si="44"/>
        <v>0</v>
      </c>
      <c r="HA51" s="3">
        <v>0</v>
      </c>
      <c r="HB51" s="3">
        <v>0</v>
      </c>
      <c r="HC51" s="3">
        <f t="shared" si="45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>
        <f>ROW(SmtRes!A152)</f>
        <v>152</v>
      </c>
      <c r="D52" s="2">
        <f>ROW(EtalonRes!A190)</f>
        <v>190</v>
      </c>
      <c r="E52" s="2" t="s">
        <v>3</v>
      </c>
      <c r="F52" s="2" t="s">
        <v>93</v>
      </c>
      <c r="G52" s="2" t="s">
        <v>94</v>
      </c>
      <c r="H52" s="2" t="s">
        <v>95</v>
      </c>
      <c r="I52" s="2">
        <f>ROUND(2+2+4,9)</f>
        <v>8</v>
      </c>
      <c r="J52" s="2">
        <v>0</v>
      </c>
      <c r="K52" s="2">
        <f>ROUND(2+2+4,9)</f>
        <v>8</v>
      </c>
      <c r="L52" s="2"/>
      <c r="M52" s="2"/>
      <c r="N52" s="2"/>
      <c r="O52" s="2">
        <f t="shared" si="21"/>
        <v>41.13</v>
      </c>
      <c r="P52" s="2">
        <f t="shared" si="22"/>
        <v>7.44</v>
      </c>
      <c r="Q52" s="2">
        <f>(ROUND((ROUND(((((ET52*1.25)*1.2))*AV52*I52),2)*BB52),2)+ROUND((ROUND(((AE52-(((EU52*1.25)*1.2)))*AV52*I52),2)*BS52),2))</f>
        <v>0</v>
      </c>
      <c r="R52" s="2">
        <f>(ROUND((ROUND(((((EU52*1.25)*1.2))*AV52*I52),2)*BS52),2)+ROUND((ROUND(((AE52-(((EU52*1.25)*1.2)))*AV52*I52),2)*BS52),2))</f>
        <v>0</v>
      </c>
      <c r="S52" s="2">
        <f t="shared" si="23"/>
        <v>33.69</v>
      </c>
      <c r="T52" s="2">
        <f t="shared" si="24"/>
        <v>0</v>
      </c>
      <c r="U52" s="2">
        <f t="shared" si="25"/>
        <v>2.5915295999999999</v>
      </c>
      <c r="V52" s="2">
        <f t="shared" si="26"/>
        <v>0</v>
      </c>
      <c r="W52" s="2">
        <f t="shared" si="27"/>
        <v>0</v>
      </c>
      <c r="X52" s="2">
        <f>(ROUND((((S52+ROUND((ROUND(((((EU52*1.25)*1.2))*AV52*I52),2)*BS52),2))*AT52)/100),2)+ROUND(((ROUND((ROUND(((AE52-(((EU52*1.25)*1.2)))*AV52*I52),2)*BS52),2)*AT52)/100),2))</f>
        <v>40.76</v>
      </c>
      <c r="Y52" s="2">
        <f>(ROUND((((S52+ROUND((ROUND(((((EU52*1.25)*1.2))*AV52*I52),2)*BS52),2))*AU52)/100),2)+ROUND(((ROUND((ROUND(((AE52-(((EU52*1.25)*1.2)))*AV52*I52),2)*BS52),2)*AU52)/100),2))</f>
        <v>24.26</v>
      </c>
      <c r="Z52" s="2"/>
      <c r="AA52" s="2">
        <v>-1</v>
      </c>
      <c r="AB52" s="2">
        <f t="shared" si="28"/>
        <v>4.8768000000000002</v>
      </c>
      <c r="AC52" s="2">
        <f>ROUND((((ES52*1)*1)),6)</f>
        <v>0.93</v>
      </c>
      <c r="AD52" s="2">
        <f>ROUND((((((ET52*1.25)*1.2))-(((EU52*1.25)*1.2)))+AE52),6)</f>
        <v>0</v>
      </c>
      <c r="AE52" s="2">
        <f>ROUND((((EU52*1.25)*1.2)),6)</f>
        <v>0</v>
      </c>
      <c r="AF52" s="2">
        <f>ROUND((((EV52*1.15)*1.2)),6)</f>
        <v>3.9468000000000001</v>
      </c>
      <c r="AG52" s="2">
        <f t="shared" si="29"/>
        <v>0</v>
      </c>
      <c r="AH52" s="2">
        <f>(((EW52*1.15)*1.2))</f>
        <v>0.30359999999999998</v>
      </c>
      <c r="AI52" s="2">
        <f>(((EX52*1.25)*1.2))</f>
        <v>0</v>
      </c>
      <c r="AJ52" s="2">
        <f t="shared" si="30"/>
        <v>0</v>
      </c>
      <c r="AK52" s="2">
        <v>3.79</v>
      </c>
      <c r="AL52" s="2">
        <v>0.93</v>
      </c>
      <c r="AM52" s="2">
        <v>0</v>
      </c>
      <c r="AN52" s="2">
        <v>0</v>
      </c>
      <c r="AO52" s="2">
        <v>2.86</v>
      </c>
      <c r="AP52" s="2">
        <v>0</v>
      </c>
      <c r="AQ52" s="2">
        <v>0.22</v>
      </c>
      <c r="AR52" s="2">
        <v>0</v>
      </c>
      <c r="AS52" s="2">
        <v>0</v>
      </c>
      <c r="AT52" s="2">
        <v>121</v>
      </c>
      <c r="AU52" s="2">
        <v>72</v>
      </c>
      <c r="AV52" s="2">
        <v>1.0669999999999999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96</v>
      </c>
      <c r="BK52" s="2"/>
      <c r="BL52" s="2"/>
      <c r="BM52" s="2">
        <v>23</v>
      </c>
      <c r="BN52" s="2">
        <v>0</v>
      </c>
      <c r="BO52" s="2" t="s">
        <v>93</v>
      </c>
      <c r="BP52" s="2">
        <v>1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121</v>
      </c>
      <c r="CA52" s="2">
        <v>72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717</v>
      </c>
      <c r="CO52" s="2">
        <v>0</v>
      </c>
      <c r="CP52" s="2">
        <f t="shared" si="31"/>
        <v>41.129999999999995</v>
      </c>
      <c r="CQ52" s="2">
        <f t="shared" si="32"/>
        <v>0.93</v>
      </c>
      <c r="CR52" s="2">
        <f>(ROUND((ROUND(((((ET52*1.25)*1.2))*AV52*1),2)*BB52),2)+ROUND((ROUND(((AE52-(((EU52*1.25)*1.2)))*AV52*1),2)*BS52),2))</f>
        <v>0</v>
      </c>
      <c r="CS52" s="2">
        <f>(ROUND((ROUND(((((EU52*1.25)*1.2))*AV52*1),2)*BS52),2)+ROUND((ROUND(((AE52-(((EU52*1.25)*1.2)))*AV52*1),2)*BS52),2))</f>
        <v>0</v>
      </c>
      <c r="CT52" s="2">
        <f t="shared" si="33"/>
        <v>4.21</v>
      </c>
      <c r="CU52" s="2">
        <f t="shared" si="34"/>
        <v>0</v>
      </c>
      <c r="CV52" s="2">
        <f t="shared" si="35"/>
        <v>0.32394119999999998</v>
      </c>
      <c r="CW52" s="2">
        <f t="shared" si="36"/>
        <v>0</v>
      </c>
      <c r="CX52" s="2">
        <f t="shared" si="37"/>
        <v>0</v>
      </c>
      <c r="CY52" s="2">
        <f>(ROUND((((S52+ROUND((ROUND(((((EU52*1.25)*1.2))*AV52*1),2)*BS52),2))*AT52)/100),2)+ROUND(((ROUND((ROUND(((AE52-(((EU52*1.25)*1.2)))*AV52*1),2)*BS52),2)*AT52)/100),2))</f>
        <v>40.76</v>
      </c>
      <c r="CZ52" s="2">
        <f>(ROUND((((S52+ROUND((ROUND(((((EU52*1.25)*1.2))*AV52*1),2)*BS52),2))*AU52)/100),2)+ROUND(((ROUND((ROUND(((AE52-(((EU52*1.25)*1.2)))*AV52*1),2)*BS52),2)*AU52)/100),2))</f>
        <v>24.26</v>
      </c>
      <c r="DA52" s="2"/>
      <c r="DB52" s="2">
        <v>29</v>
      </c>
      <c r="DC52" s="2" t="s">
        <v>3</v>
      </c>
      <c r="DD52" s="2" t="s">
        <v>38</v>
      </c>
      <c r="DE52" s="2" t="s">
        <v>97</v>
      </c>
      <c r="DF52" s="2" t="s">
        <v>97</v>
      </c>
      <c r="DG52" s="2" t="s">
        <v>98</v>
      </c>
      <c r="DH52" s="2" t="s">
        <v>3</v>
      </c>
      <c r="DI52" s="2" t="s">
        <v>98</v>
      </c>
      <c r="DJ52" s="2" t="s">
        <v>97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95</v>
      </c>
      <c r="DW52" s="2" t="s">
        <v>95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56938689</v>
      </c>
      <c r="EF52" s="2">
        <v>30</v>
      </c>
      <c r="EG52" s="2" t="s">
        <v>41</v>
      </c>
      <c r="EH52" s="2">
        <v>0</v>
      </c>
      <c r="EI52" s="2" t="s">
        <v>3</v>
      </c>
      <c r="EJ52" s="2">
        <v>1</v>
      </c>
      <c r="EK52" s="2">
        <v>23</v>
      </c>
      <c r="EL52" s="2" t="s">
        <v>42</v>
      </c>
      <c r="EM52" s="2" t="s">
        <v>43</v>
      </c>
      <c r="EN52" s="2"/>
      <c r="EO52" s="2" t="s">
        <v>99</v>
      </c>
      <c r="EP52" s="2"/>
      <c r="EQ52" s="2">
        <v>132096</v>
      </c>
      <c r="ER52" s="2">
        <v>3.79</v>
      </c>
      <c r="ES52" s="2">
        <v>0.93</v>
      </c>
      <c r="ET52" s="2">
        <v>0</v>
      </c>
      <c r="EU52" s="2">
        <v>0</v>
      </c>
      <c r="EV52" s="2">
        <v>2.86</v>
      </c>
      <c r="EW52" s="2">
        <v>0.22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121</v>
      </c>
      <c r="FY52" s="2">
        <v>72</v>
      </c>
      <c r="FZ52" s="2"/>
      <c r="GA52" s="2" t="s">
        <v>3</v>
      </c>
      <c r="GB52" s="2"/>
      <c r="GC52" s="2"/>
      <c r="GD52" s="2">
        <v>1</v>
      </c>
      <c r="GE52" s="2"/>
      <c r="GF52" s="2">
        <v>2014171460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38"/>
        <v>0</v>
      </c>
      <c r="GM52" s="2">
        <f t="shared" si="39"/>
        <v>106.15</v>
      </c>
      <c r="GN52" s="2">
        <f t="shared" si="40"/>
        <v>106.15</v>
      </c>
      <c r="GO52" s="2">
        <f t="shared" si="41"/>
        <v>0</v>
      </c>
      <c r="GP52" s="2">
        <f t="shared" si="42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43"/>
        <v>0</v>
      </c>
      <c r="GW52" s="2">
        <v>1</v>
      </c>
      <c r="GX52" s="2">
        <f t="shared" si="44"/>
        <v>0</v>
      </c>
      <c r="GY52" s="2"/>
      <c r="GZ52" s="2"/>
      <c r="HA52" s="2">
        <v>0</v>
      </c>
      <c r="HB52" s="2">
        <v>0</v>
      </c>
      <c r="HC52" s="2">
        <f t="shared" si="45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C53" s="3">
        <f>ROW(SmtRes!A156)</f>
        <v>156</v>
      </c>
      <c r="D53" s="3">
        <f>ROW(EtalonRes!A196)</f>
        <v>196</v>
      </c>
      <c r="E53" s="3" t="s">
        <v>3</v>
      </c>
      <c r="F53" s="3" t="s">
        <v>93</v>
      </c>
      <c r="G53" s="3" t="s">
        <v>94</v>
      </c>
      <c r="H53" s="3" t="s">
        <v>95</v>
      </c>
      <c r="I53" s="3">
        <f>ROUND(2+2+4,9)</f>
        <v>8</v>
      </c>
      <c r="J53" s="3">
        <v>0</v>
      </c>
      <c r="K53" s="3">
        <f>ROUND(2+2+4,9)</f>
        <v>8</v>
      </c>
      <c r="O53" s="3">
        <f t="shared" si="21"/>
        <v>1939.13</v>
      </c>
      <c r="P53" s="3">
        <f t="shared" si="22"/>
        <v>40.700000000000003</v>
      </c>
      <c r="Q53" s="3">
        <f>(ROUND((ROUND(((((ET53*1.25)*1.2))*AV53*I53),2)*BB53),2)+ROUND((ROUND(((AE53-(((EU53*1.25)*1.2)))*AV53*I53),2)*BS53),2))</f>
        <v>0</v>
      </c>
      <c r="R53" s="3">
        <f>(ROUND((ROUND(((((EU53*1.25)*1.2))*AV53*I53),2)*BS53),2)+ROUND((ROUND(((AE53-(((EU53*1.25)*1.2)))*AV53*I53),2)*BS53),2))</f>
        <v>0</v>
      </c>
      <c r="S53" s="3">
        <f t="shared" si="23"/>
        <v>1898.43</v>
      </c>
      <c r="T53" s="3">
        <f t="shared" si="24"/>
        <v>0</v>
      </c>
      <c r="U53" s="3">
        <f t="shared" si="25"/>
        <v>2.5915295999999999</v>
      </c>
      <c r="V53" s="3">
        <f t="shared" si="26"/>
        <v>0</v>
      </c>
      <c r="W53" s="3">
        <f t="shared" si="27"/>
        <v>0</v>
      </c>
      <c r="X53" s="3">
        <f>(ROUND((((S53+ROUND((ROUND(((((EU53*1.25)*1.2))*AV53*I53),2)*BS53),2))*AT53)/100),2)+ROUND(((ROUND((ROUND(((AE53-(((EU53*1.25)*1.2)))*AV53*I53),2)*BS53),2)*AT53)/100),2))</f>
        <v>2297.1</v>
      </c>
      <c r="Y53" s="3">
        <f>(ROUND((((S53+ROUND((ROUND(((((EU53*1.25)*1.2))*AV53*I53),2)*BS53),2))*AU53)/100),2)+ROUND(((ROUND((ROUND(((AE53-(((EU53*1.25)*1.2)))*AV53*I53),2)*BS53),2)*AU53)/100),2))</f>
        <v>1366.87</v>
      </c>
      <c r="AA53" s="3">
        <v>-1</v>
      </c>
      <c r="AB53" s="3">
        <f t="shared" si="28"/>
        <v>4.8768000000000002</v>
      </c>
      <c r="AC53" s="3">
        <f>ROUND((((ES53*1)*1)),6)</f>
        <v>0.93</v>
      </c>
      <c r="AD53" s="3">
        <f>ROUND((((((ET53*1.25)*1.2))-(((EU53*1.25)*1.2)))+AE53),6)</f>
        <v>0</v>
      </c>
      <c r="AE53" s="3">
        <f>ROUND((((EU53*1.25)*1.2)),6)</f>
        <v>0</v>
      </c>
      <c r="AF53" s="3">
        <f>ROUND((((EV53*1.15)*1.2)),6)</f>
        <v>3.9468000000000001</v>
      </c>
      <c r="AG53" s="3">
        <f t="shared" si="29"/>
        <v>0</v>
      </c>
      <c r="AH53" s="3">
        <f>(((EW53*1.15)*1.2))</f>
        <v>0.30359999999999998</v>
      </c>
      <c r="AI53" s="3">
        <f>(((EX53*1.25)*1.2))</f>
        <v>0</v>
      </c>
      <c r="AJ53" s="3">
        <f t="shared" si="30"/>
        <v>0</v>
      </c>
      <c r="AK53" s="3">
        <v>3.79</v>
      </c>
      <c r="AL53" s="3">
        <v>0.93</v>
      </c>
      <c r="AM53" s="3">
        <v>0</v>
      </c>
      <c r="AN53" s="3">
        <v>0</v>
      </c>
      <c r="AO53" s="3">
        <v>2.86</v>
      </c>
      <c r="AP53" s="3">
        <v>0</v>
      </c>
      <c r="AQ53" s="3">
        <v>0.22</v>
      </c>
      <c r="AR53" s="3">
        <v>0</v>
      </c>
      <c r="AS53" s="3">
        <v>0</v>
      </c>
      <c r="AT53" s="3">
        <v>121</v>
      </c>
      <c r="AU53" s="3">
        <v>72</v>
      </c>
      <c r="AV53" s="3">
        <v>1.0669999999999999</v>
      </c>
      <c r="AW53" s="3">
        <v>1</v>
      </c>
      <c r="AZ53" s="3">
        <v>1</v>
      </c>
      <c r="BA53" s="3">
        <v>56.35</v>
      </c>
      <c r="BB53" s="3">
        <v>1</v>
      </c>
      <c r="BC53" s="3">
        <v>5.47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96</v>
      </c>
      <c r="BM53" s="3">
        <v>23</v>
      </c>
      <c r="BN53" s="3">
        <v>0</v>
      </c>
      <c r="BO53" s="3" t="s">
        <v>93</v>
      </c>
      <c r="BP53" s="3">
        <v>1</v>
      </c>
      <c r="BQ53" s="3">
        <v>30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121</v>
      </c>
      <c r="CA53" s="3">
        <v>72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717</v>
      </c>
      <c r="CO53" s="3">
        <v>0</v>
      </c>
      <c r="CP53" s="3">
        <f t="shared" si="31"/>
        <v>1939.13</v>
      </c>
      <c r="CQ53" s="3">
        <f t="shared" si="32"/>
        <v>5.09</v>
      </c>
      <c r="CR53" s="3">
        <f>(ROUND((ROUND(((((ET53*1.25)*1.2))*AV53*1),2)*BB53),2)+ROUND((ROUND(((AE53-(((EU53*1.25)*1.2)))*AV53*1),2)*BS53),2))</f>
        <v>0</v>
      </c>
      <c r="CS53" s="3">
        <f>(ROUND((ROUND(((((EU53*1.25)*1.2))*AV53*1),2)*BS53),2)+ROUND((ROUND(((AE53-(((EU53*1.25)*1.2)))*AV53*1),2)*BS53),2))</f>
        <v>0</v>
      </c>
      <c r="CT53" s="3">
        <f t="shared" si="33"/>
        <v>237.23</v>
      </c>
      <c r="CU53" s="3">
        <f t="shared" si="34"/>
        <v>0</v>
      </c>
      <c r="CV53" s="3">
        <f t="shared" si="35"/>
        <v>0.32394119999999998</v>
      </c>
      <c r="CW53" s="3">
        <f t="shared" si="36"/>
        <v>0</v>
      </c>
      <c r="CX53" s="3">
        <f t="shared" si="37"/>
        <v>0</v>
      </c>
      <c r="CY53" s="3">
        <f>(ROUND((((S53+ROUND((ROUND(((((EU53*1.25)*1.2))*AV53*1),2)*BS53),2))*AT53)/100),2)+ROUND(((ROUND((ROUND(((AE53-(((EU53*1.25)*1.2)))*AV53*1),2)*BS53),2)*AT53)/100),2))</f>
        <v>2297.1</v>
      </c>
      <c r="CZ53" s="3">
        <f>(ROUND((((S53+ROUND((ROUND(((((EU53*1.25)*1.2))*AV53*1),2)*BS53),2))*AU53)/100),2)+ROUND(((ROUND((ROUND(((AE53-(((EU53*1.25)*1.2)))*AV53*1),2)*BS53),2)*AU53)/100),2))</f>
        <v>1366.87</v>
      </c>
      <c r="DB53" s="3">
        <v>31</v>
      </c>
      <c r="DC53" s="3" t="s">
        <v>3</v>
      </c>
      <c r="DD53" s="3" t="s">
        <v>38</v>
      </c>
      <c r="DE53" s="3" t="s">
        <v>97</v>
      </c>
      <c r="DF53" s="3" t="s">
        <v>97</v>
      </c>
      <c r="DG53" s="3" t="s">
        <v>98</v>
      </c>
      <c r="DH53" s="3" t="s">
        <v>3</v>
      </c>
      <c r="DI53" s="3" t="s">
        <v>98</v>
      </c>
      <c r="DJ53" s="3" t="s">
        <v>97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95</v>
      </c>
      <c r="DW53" s="3" t="s">
        <v>95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56938689</v>
      </c>
      <c r="EF53" s="3">
        <v>30</v>
      </c>
      <c r="EG53" s="3" t="s">
        <v>41</v>
      </c>
      <c r="EH53" s="3">
        <v>0</v>
      </c>
      <c r="EI53" s="3" t="s">
        <v>3</v>
      </c>
      <c r="EJ53" s="3">
        <v>1</v>
      </c>
      <c r="EK53" s="3">
        <v>23</v>
      </c>
      <c r="EL53" s="3" t="s">
        <v>42</v>
      </c>
      <c r="EM53" s="3" t="s">
        <v>43</v>
      </c>
      <c r="EO53" s="3" t="s">
        <v>99</v>
      </c>
      <c r="EQ53" s="3">
        <v>132096</v>
      </c>
      <c r="ER53" s="3">
        <v>3.79</v>
      </c>
      <c r="ES53" s="3">
        <v>0.93</v>
      </c>
      <c r="ET53" s="3">
        <v>0</v>
      </c>
      <c r="EU53" s="3">
        <v>0</v>
      </c>
      <c r="EV53" s="3">
        <v>2.86</v>
      </c>
      <c r="EW53" s="3">
        <v>0.22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121</v>
      </c>
      <c r="FY53" s="3">
        <v>72</v>
      </c>
      <c r="GA53" s="3" t="s">
        <v>3</v>
      </c>
      <c r="GD53" s="3">
        <v>1</v>
      </c>
      <c r="GF53" s="3">
        <v>2014171460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38"/>
        <v>0</v>
      </c>
      <c r="GM53" s="3">
        <f t="shared" si="39"/>
        <v>5603.1</v>
      </c>
      <c r="GN53" s="3">
        <f t="shared" si="40"/>
        <v>5603.1</v>
      </c>
      <c r="GO53" s="3">
        <f t="shared" si="41"/>
        <v>0</v>
      </c>
      <c r="GP53" s="3">
        <f t="shared" si="42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43"/>
        <v>0</v>
      </c>
      <c r="GW53" s="3">
        <v>1</v>
      </c>
      <c r="GX53" s="3">
        <f t="shared" si="44"/>
        <v>0</v>
      </c>
      <c r="HA53" s="3">
        <v>0</v>
      </c>
      <c r="HB53" s="3">
        <v>0</v>
      </c>
      <c r="HC53" s="3">
        <f t="shared" si="45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/>
      <c r="D54" s="2"/>
      <c r="E54" s="2" t="s">
        <v>100</v>
      </c>
      <c r="F54" s="2" t="s">
        <v>101</v>
      </c>
      <c r="G54" s="2" t="s">
        <v>102</v>
      </c>
      <c r="H54" s="2" t="s">
        <v>103</v>
      </c>
      <c r="I54" s="2">
        <v>1</v>
      </c>
      <c r="J54" s="2">
        <v>0</v>
      </c>
      <c r="K54" s="2">
        <v>1</v>
      </c>
      <c r="L54" s="2"/>
      <c r="M54" s="2"/>
      <c r="N54" s="2"/>
      <c r="O54" s="2">
        <f t="shared" si="21"/>
        <v>199171.86</v>
      </c>
      <c r="P54" s="2">
        <f>ROUND((ROUND((AC54*I54),2)*BC54),2)</f>
        <v>199171.86</v>
      </c>
      <c r="Q54" s="2">
        <f>(ROUND((ROUND(((ET54)*AV54*I54),2)*BB54),2)+ROUND((ROUND(((AE54-(EU54))*AV54*I54),2)*BS54),2))</f>
        <v>0</v>
      </c>
      <c r="R54" s="2">
        <f>(ROUND((ROUND(((EU54)*AV54*I54),2)*BS54),2)+ROUND((ROUND(((AE54-(EU54))*AV54*I54),2)*BS54),2))</f>
        <v>0</v>
      </c>
      <c r="S54" s="2">
        <f t="shared" si="23"/>
        <v>0</v>
      </c>
      <c r="T54" s="2">
        <f t="shared" si="24"/>
        <v>0</v>
      </c>
      <c r="U54" s="2">
        <f t="shared" si="25"/>
        <v>0</v>
      </c>
      <c r="V54" s="2">
        <f t="shared" si="26"/>
        <v>0</v>
      </c>
      <c r="W54" s="2">
        <f t="shared" si="27"/>
        <v>0</v>
      </c>
      <c r="X54" s="2">
        <f>(ROUND((((S54+ROUND((ROUND(((EU54)*AV54*I54),2)*BS54),2))*AT54)/100),2)+ROUND(((ROUND((ROUND(((AE54-(EU54))*AV54*I54),2)*BS54),2)*AT54)/100),2))</f>
        <v>0</v>
      </c>
      <c r="Y54" s="2">
        <f>(ROUND((((S54+ROUND((ROUND(((EU54)*AV54*I54),2)*BS54),2))*AU54)/100),2)+ROUND(((ROUND((ROUND(((AE54-(EU54))*AV54*I54),2)*BS54),2)*AU54)/100),2))</f>
        <v>0</v>
      </c>
      <c r="Z54" s="2"/>
      <c r="AA54" s="2">
        <v>55747649</v>
      </c>
      <c r="AB54" s="2">
        <f t="shared" si="28"/>
        <v>199171.86</v>
      </c>
      <c r="AC54" s="2">
        <f>ROUND((ES54),6)</f>
        <v>199171.86</v>
      </c>
      <c r="AD54" s="2">
        <f>ROUND((((ET54)-(EU54))+AE54),6)</f>
        <v>0</v>
      </c>
      <c r="AE54" s="2">
        <f>ROUND((EU54),6)</f>
        <v>0</v>
      </c>
      <c r="AF54" s="2">
        <f>ROUND((EV54),6)</f>
        <v>0</v>
      </c>
      <c r="AG54" s="2">
        <f t="shared" si="29"/>
        <v>0</v>
      </c>
      <c r="AH54" s="2">
        <f>(EW54)</f>
        <v>0</v>
      </c>
      <c r="AI54" s="2">
        <f>(EX54)</f>
        <v>0</v>
      </c>
      <c r="AJ54" s="2">
        <f t="shared" si="30"/>
        <v>0</v>
      </c>
      <c r="AK54" s="2">
        <v>199171.86</v>
      </c>
      <c r="AL54" s="2">
        <v>199171.86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3</v>
      </c>
      <c r="BJ54" s="2" t="s">
        <v>3</v>
      </c>
      <c r="BK54" s="2"/>
      <c r="BL54" s="2"/>
      <c r="BM54" s="2">
        <v>746</v>
      </c>
      <c r="BN54" s="2">
        <v>0</v>
      </c>
      <c r="BO54" s="2" t="s">
        <v>3</v>
      </c>
      <c r="BP54" s="2">
        <v>0</v>
      </c>
      <c r="BQ54" s="2">
        <v>130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0</v>
      </c>
      <c r="CA54" s="2">
        <v>0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104</v>
      </c>
      <c r="CO54" s="2">
        <v>0</v>
      </c>
      <c r="CP54" s="2">
        <f t="shared" si="31"/>
        <v>199171.86</v>
      </c>
      <c r="CQ54" s="2">
        <f>ROUND((ROUND((AC54*1),2)*BC54),2)</f>
        <v>199171.86</v>
      </c>
      <c r="CR54" s="2">
        <f>(ROUND((ROUND(((ET54)*AV54*1),2)*BB54),2)+ROUND((ROUND(((AE54-(EU54))*AV54*1),2)*BS54),2))</f>
        <v>0</v>
      </c>
      <c r="CS54" s="2">
        <f>(ROUND((ROUND(((EU54)*AV54*1),2)*BS54),2)+ROUND((ROUND(((AE54-(EU54))*AV54*1),2)*BS54),2))</f>
        <v>0</v>
      </c>
      <c r="CT54" s="2">
        <f t="shared" si="33"/>
        <v>0</v>
      </c>
      <c r="CU54" s="2">
        <f t="shared" si="34"/>
        <v>0</v>
      </c>
      <c r="CV54" s="2">
        <f t="shared" si="35"/>
        <v>0</v>
      </c>
      <c r="CW54" s="2">
        <f t="shared" si="36"/>
        <v>0</v>
      </c>
      <c r="CX54" s="2">
        <f t="shared" si="37"/>
        <v>0</v>
      </c>
      <c r="CY54" s="2">
        <f>(ROUND((((S54+ROUND((ROUND(((EU54)*AV54*1),2)*BS54),2))*AT54)/100),2)+ROUND(((ROUND((ROUND(((AE54-(EU54))*AV54*1),2)*BS54),2)*AT54)/100),2))</f>
        <v>0</v>
      </c>
      <c r="CZ54" s="2">
        <f>(ROUND((((S54+ROUND((ROUND(((EU54)*AV54*1),2)*BS54),2))*AU54)/100),2)+ROUND(((ROUND((ROUND(((AE54-(EU54))*AV54*1),2)*BS54),2)*AU54)/100),2))</f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103</v>
      </c>
      <c r="DW54" s="2" t="s">
        <v>103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56938841</v>
      </c>
      <c r="EF54" s="2">
        <v>130</v>
      </c>
      <c r="EG54" s="2" t="s">
        <v>105</v>
      </c>
      <c r="EH54" s="2">
        <v>0</v>
      </c>
      <c r="EI54" s="2" t="s">
        <v>3</v>
      </c>
      <c r="EJ54" s="2">
        <v>3</v>
      </c>
      <c r="EK54" s="2">
        <v>746</v>
      </c>
      <c r="EL54" s="2" t="s">
        <v>106</v>
      </c>
      <c r="EM54" s="2" t="s">
        <v>107</v>
      </c>
      <c r="EN54" s="2"/>
      <c r="EO54" s="2" t="s">
        <v>108</v>
      </c>
      <c r="EP54" s="2"/>
      <c r="EQ54" s="2">
        <v>131072</v>
      </c>
      <c r="ER54" s="2">
        <v>0</v>
      </c>
      <c r="ES54" s="2">
        <v>199171.86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f>P54</f>
        <v>199171.86</v>
      </c>
      <c r="FS54" s="2">
        <v>0</v>
      </c>
      <c r="FT54" s="2"/>
      <c r="FU54" s="2"/>
      <c r="FV54" s="2"/>
      <c r="FW54" s="2"/>
      <c r="FX54" s="2">
        <v>0</v>
      </c>
      <c r="FY54" s="2">
        <v>0</v>
      </c>
      <c r="FZ54" s="2"/>
      <c r="GA54" s="2" t="s">
        <v>109</v>
      </c>
      <c r="GB54" s="2"/>
      <c r="GC54" s="2"/>
      <c r="GD54" s="2">
        <v>1</v>
      </c>
      <c r="GE54" s="2"/>
      <c r="GF54" s="2">
        <v>-1036281574</v>
      </c>
      <c r="GG54" s="2">
        <v>2</v>
      </c>
      <c r="GH54" s="2">
        <v>4</v>
      </c>
      <c r="GI54" s="2">
        <v>-2</v>
      </c>
      <c r="GJ54" s="2">
        <v>0</v>
      </c>
      <c r="GK54" s="2">
        <v>0</v>
      </c>
      <c r="GL54" s="2">
        <f t="shared" si="38"/>
        <v>0</v>
      </c>
      <c r="GM54" s="2">
        <f t="shared" si="39"/>
        <v>199171.86</v>
      </c>
      <c r="GN54" s="2">
        <f t="shared" si="40"/>
        <v>0</v>
      </c>
      <c r="GO54" s="2">
        <f t="shared" si="41"/>
        <v>0</v>
      </c>
      <c r="GP54" s="2">
        <f t="shared" si="42"/>
        <v>0</v>
      </c>
      <c r="GQ54" s="2"/>
      <c r="GR54" s="2">
        <v>0</v>
      </c>
      <c r="GS54" s="2">
        <v>2</v>
      </c>
      <c r="GT54" s="2">
        <v>0</v>
      </c>
      <c r="GU54" s="2" t="s">
        <v>3</v>
      </c>
      <c r="GV54" s="2">
        <f t="shared" si="43"/>
        <v>0</v>
      </c>
      <c r="GW54" s="2">
        <v>1</v>
      </c>
      <c r="GX54" s="2">
        <f t="shared" si="44"/>
        <v>0</v>
      </c>
      <c r="GY54" s="2"/>
      <c r="GZ54" s="2"/>
      <c r="HA54" s="2">
        <v>0</v>
      </c>
      <c r="HB54" s="2">
        <v>0</v>
      </c>
      <c r="HC54" s="2">
        <f t="shared" si="45"/>
        <v>0</v>
      </c>
      <c r="HD54" s="2"/>
      <c r="HE54" s="2" t="s">
        <v>72</v>
      </c>
      <c r="HF54" s="2" t="s">
        <v>110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E55" s="3" t="s">
        <v>100</v>
      </c>
      <c r="F55" s="3" t="s">
        <v>101</v>
      </c>
      <c r="G55" s="3" t="s">
        <v>102</v>
      </c>
      <c r="H55" s="3" t="s">
        <v>103</v>
      </c>
      <c r="I55" s="3">
        <v>1</v>
      </c>
      <c r="J55" s="3">
        <v>0</v>
      </c>
      <c r="K55" s="3">
        <v>1</v>
      </c>
      <c r="O55" s="3">
        <f t="shared" si="21"/>
        <v>1507730.98</v>
      </c>
      <c r="P55" s="3">
        <f>ROUND((ROUND((AC55*I55),2)*BC55),2)</f>
        <v>1507730.98</v>
      </c>
      <c r="Q55" s="3">
        <f>(ROUND((ROUND(((ET55)*AV55*I55),2)*BB55),2)+ROUND((ROUND(((AE55-(EU55))*AV55*I55),2)*BS55),2))</f>
        <v>0</v>
      </c>
      <c r="R55" s="3">
        <f>(ROUND((ROUND(((EU55)*AV55*I55),2)*BS55),2)+ROUND((ROUND(((AE55-(EU55))*AV55*I55),2)*BS55),2))</f>
        <v>0</v>
      </c>
      <c r="S55" s="3">
        <f t="shared" si="23"/>
        <v>0</v>
      </c>
      <c r="T55" s="3">
        <f t="shared" si="24"/>
        <v>0</v>
      </c>
      <c r="U55" s="3">
        <f t="shared" si="25"/>
        <v>0</v>
      </c>
      <c r="V55" s="3">
        <f t="shared" si="26"/>
        <v>0</v>
      </c>
      <c r="W55" s="3">
        <f t="shared" si="27"/>
        <v>0</v>
      </c>
      <c r="X55" s="3">
        <f>(ROUND((((S55+ROUND((ROUND(((EU55)*AV55*I55),2)*BS55),2))*AT55)/100),2)+ROUND(((ROUND((ROUND(((AE55-(EU55))*AV55*I55),2)*BS55),2)*AT55)/100),2))</f>
        <v>0</v>
      </c>
      <c r="Y55" s="3">
        <f>(ROUND((((S55+ROUND((ROUND(((EU55)*AV55*I55),2)*BS55),2))*AU55)/100),2)+ROUND(((ROUND((ROUND(((AE55-(EU55))*AV55*I55),2)*BS55),2)*AU55)/100),2))</f>
        <v>0</v>
      </c>
      <c r="AA55" s="3">
        <v>55747651</v>
      </c>
      <c r="AB55" s="3">
        <f t="shared" si="28"/>
        <v>199171.86</v>
      </c>
      <c r="AC55" s="3">
        <f>ROUND((ES55),6)</f>
        <v>199171.86</v>
      </c>
      <c r="AD55" s="3">
        <f>ROUND((((ET55)-(EU55))+AE55),6)</f>
        <v>0</v>
      </c>
      <c r="AE55" s="3">
        <f>ROUND((EU55),6)</f>
        <v>0</v>
      </c>
      <c r="AF55" s="3">
        <f>ROUND((EV55),6)</f>
        <v>0</v>
      </c>
      <c r="AG55" s="3">
        <f t="shared" si="29"/>
        <v>0</v>
      </c>
      <c r="AH55" s="3">
        <f>(EW55)</f>
        <v>0</v>
      </c>
      <c r="AI55" s="3">
        <f>(EX55)</f>
        <v>0</v>
      </c>
      <c r="AJ55" s="3">
        <f t="shared" si="30"/>
        <v>0</v>
      </c>
      <c r="AK55" s="3">
        <v>199171.86</v>
      </c>
      <c r="AL55" s="3">
        <v>199171.86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7.57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3</v>
      </c>
      <c r="BJ55" s="3" t="s">
        <v>3</v>
      </c>
      <c r="BM55" s="3">
        <v>746</v>
      </c>
      <c r="BN55" s="3">
        <v>0</v>
      </c>
      <c r="BO55" s="3" t="s">
        <v>3</v>
      </c>
      <c r="BP55" s="3">
        <v>0</v>
      </c>
      <c r="BQ55" s="3">
        <v>130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0</v>
      </c>
      <c r="CA55" s="3">
        <v>0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104</v>
      </c>
      <c r="CO55" s="3">
        <v>0</v>
      </c>
      <c r="CP55" s="3">
        <f t="shared" si="31"/>
        <v>1507730.98</v>
      </c>
      <c r="CQ55" s="3">
        <f>ROUND((ROUND((AC55*1),2)*BC55),2)</f>
        <v>1507730.98</v>
      </c>
      <c r="CR55" s="3">
        <f>(ROUND((ROUND(((ET55)*AV55*1),2)*BB55),2)+ROUND((ROUND(((AE55-(EU55))*AV55*1),2)*BS55),2))</f>
        <v>0</v>
      </c>
      <c r="CS55" s="3">
        <f>(ROUND((ROUND(((EU55)*AV55*1),2)*BS55),2)+ROUND((ROUND(((AE55-(EU55))*AV55*1),2)*BS55),2))</f>
        <v>0</v>
      </c>
      <c r="CT55" s="3">
        <f t="shared" si="33"/>
        <v>0</v>
      </c>
      <c r="CU55" s="3">
        <f t="shared" si="34"/>
        <v>0</v>
      </c>
      <c r="CV55" s="3">
        <f t="shared" si="35"/>
        <v>0</v>
      </c>
      <c r="CW55" s="3">
        <f t="shared" si="36"/>
        <v>0</v>
      </c>
      <c r="CX55" s="3">
        <f t="shared" si="37"/>
        <v>0</v>
      </c>
      <c r="CY55" s="3">
        <f>(ROUND((((S55+ROUND((ROUND(((EU55)*AV55*1),2)*BS55),2))*AT55)/100),2)+ROUND(((ROUND((ROUND(((AE55-(EU55))*AV55*1),2)*BS55),2)*AT55)/100),2))</f>
        <v>0</v>
      </c>
      <c r="CZ55" s="3">
        <f>(ROUND((((S55+ROUND((ROUND(((EU55)*AV55*1),2)*BS55),2))*AU55)/100),2)+ROUND(((ROUND((ROUND(((AE55-(EU55))*AV55*1),2)*BS55),2)*AU55)/100),2))</f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103</v>
      </c>
      <c r="DW55" s="3" t="s">
        <v>103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56938841</v>
      </c>
      <c r="EF55" s="3">
        <v>130</v>
      </c>
      <c r="EG55" s="3" t="s">
        <v>105</v>
      </c>
      <c r="EH55" s="3">
        <v>0</v>
      </c>
      <c r="EI55" s="3" t="s">
        <v>3</v>
      </c>
      <c r="EJ55" s="3">
        <v>3</v>
      </c>
      <c r="EK55" s="3">
        <v>746</v>
      </c>
      <c r="EL55" s="3" t="s">
        <v>106</v>
      </c>
      <c r="EM55" s="3" t="s">
        <v>107</v>
      </c>
      <c r="EO55" s="3" t="s">
        <v>108</v>
      </c>
      <c r="EQ55" s="3">
        <v>131072</v>
      </c>
      <c r="ER55" s="3">
        <v>199171.86</v>
      </c>
      <c r="ES55" s="3">
        <v>199171.86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5</v>
      </c>
      <c r="FC55" s="3">
        <v>1</v>
      </c>
      <c r="FD55" s="3">
        <v>18</v>
      </c>
      <c r="FF55" s="3">
        <v>1764680</v>
      </c>
      <c r="FQ55" s="3">
        <v>0</v>
      </c>
      <c r="FR55" s="3">
        <f>P55</f>
        <v>1507730.98</v>
      </c>
      <c r="FS55" s="3">
        <v>0</v>
      </c>
      <c r="FX55" s="3">
        <v>0</v>
      </c>
      <c r="FY55" s="3">
        <v>0</v>
      </c>
      <c r="GA55" s="3" t="s">
        <v>109</v>
      </c>
      <c r="GD55" s="3">
        <v>1</v>
      </c>
      <c r="GF55" s="3">
        <v>-1036281574</v>
      </c>
      <c r="GG55" s="3">
        <v>2</v>
      </c>
      <c r="GH55" s="3">
        <v>3</v>
      </c>
      <c r="GI55" s="3">
        <v>5</v>
      </c>
      <c r="GJ55" s="3">
        <v>0</v>
      </c>
      <c r="GK55" s="3">
        <v>0</v>
      </c>
      <c r="GL55" s="3">
        <f t="shared" si="38"/>
        <v>0</v>
      </c>
      <c r="GM55" s="3">
        <f t="shared" si="39"/>
        <v>1507730.98</v>
      </c>
      <c r="GN55" s="3">
        <f t="shared" si="40"/>
        <v>0</v>
      </c>
      <c r="GO55" s="3">
        <f t="shared" si="41"/>
        <v>0</v>
      </c>
      <c r="GP55" s="3">
        <f t="shared" si="42"/>
        <v>0</v>
      </c>
      <c r="GR55" s="3">
        <v>1</v>
      </c>
      <c r="GS55" s="3">
        <v>1</v>
      </c>
      <c r="GT55" s="3">
        <v>0</v>
      </c>
      <c r="GU55" s="3" t="s">
        <v>3</v>
      </c>
      <c r="GV55" s="3">
        <f t="shared" si="43"/>
        <v>0</v>
      </c>
      <c r="GW55" s="3">
        <v>1</v>
      </c>
      <c r="GX55" s="3">
        <f t="shared" si="44"/>
        <v>0</v>
      </c>
      <c r="HA55" s="3">
        <v>0</v>
      </c>
      <c r="HB55" s="3">
        <v>0</v>
      </c>
      <c r="HC55" s="3">
        <f t="shared" si="45"/>
        <v>0</v>
      </c>
      <c r="HE55" s="3" t="s">
        <v>72</v>
      </c>
      <c r="HF55" s="3" t="s">
        <v>110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ROW(SmtRes!A160)</f>
        <v>160</v>
      </c>
      <c r="D56" s="2">
        <f>ROW(EtalonRes!A201)</f>
        <v>201</v>
      </c>
      <c r="E56" s="2" t="s">
        <v>111</v>
      </c>
      <c r="F56" s="2" t="s">
        <v>112</v>
      </c>
      <c r="G56" s="2" t="s">
        <v>113</v>
      </c>
      <c r="H56" s="2" t="s">
        <v>25</v>
      </c>
      <c r="I56" s="2">
        <v>1</v>
      </c>
      <c r="J56" s="2">
        <v>0</v>
      </c>
      <c r="K56" s="2">
        <v>1</v>
      </c>
      <c r="L56" s="2"/>
      <c r="M56" s="2"/>
      <c r="N56" s="2"/>
      <c r="O56" s="2">
        <f t="shared" si="21"/>
        <v>102.49</v>
      </c>
      <c r="P56" s="2">
        <f>ROUND((ROUND((AC56*AW56*I56),2)*BC56),2)</f>
        <v>4.04</v>
      </c>
      <c r="Q56" s="2">
        <f>(ROUND((ROUND((((ET56*1.2))*AV56*I56),2)*BB56),2)+ROUND((ROUND(((AE56-((EU56*1.2)))*AV56*I56),2)*BS56),2))</f>
        <v>9.58</v>
      </c>
      <c r="R56" s="2">
        <f>(ROUND((ROUND((((EU56*1.2))*AV56*I56),2)*BS56),2)+ROUND((ROUND(((AE56-((EU56*1.2)))*AV56*I56),2)*BS56),2))</f>
        <v>1.46</v>
      </c>
      <c r="S56" s="2">
        <f t="shared" si="23"/>
        <v>88.87</v>
      </c>
      <c r="T56" s="2">
        <f t="shared" si="24"/>
        <v>0</v>
      </c>
      <c r="U56" s="2">
        <f t="shared" si="25"/>
        <v>7.0421999999999993</v>
      </c>
      <c r="V56" s="2">
        <f t="shared" si="26"/>
        <v>0</v>
      </c>
      <c r="W56" s="2">
        <f t="shared" si="27"/>
        <v>0</v>
      </c>
      <c r="X56" s="2">
        <f>(ROUND((((S56+ROUND((ROUND((((EU56*1.2))*AV56*I56),2)*BS56),2))*AT56)/100),2)+ROUND(((ROUND((ROUND(((AE56-((EU56*1.2)))*AV56*I56),2)*BS56),2)*AT56)/100),2))</f>
        <v>81.3</v>
      </c>
      <c r="Y56" s="2">
        <f>(ROUND((((S56+ROUND((ROUND((((EU56*1.2))*AV56*I56),2)*BS56),2))*AU56)/100),2)+ROUND(((ROUND((ROUND(((AE56-((EU56*1.2)))*AV56*I56),2)*BS56),2)*AU56)/100),2))</f>
        <v>41.55</v>
      </c>
      <c r="Z56" s="2"/>
      <c r="AA56" s="2">
        <v>55747649</v>
      </c>
      <c r="AB56" s="2">
        <f t="shared" si="28"/>
        <v>96.197999999999993</v>
      </c>
      <c r="AC56" s="2">
        <f>ROUND(((ES56*1)),6)</f>
        <v>3.93</v>
      </c>
      <c r="AD56" s="2">
        <f>ROUND(((((ET56*1.2))-((EU56*1.2)))+AE56),6)</f>
        <v>8.9760000000000009</v>
      </c>
      <c r="AE56" s="2">
        <f>ROUND(((EU56*1.2)),6)</f>
        <v>1.3680000000000001</v>
      </c>
      <c r="AF56" s="2">
        <f>ROUND(((EV56*1.2)),6)</f>
        <v>83.292000000000002</v>
      </c>
      <c r="AG56" s="2">
        <f t="shared" si="29"/>
        <v>0</v>
      </c>
      <c r="AH56" s="2">
        <f>((EW56*1.2))</f>
        <v>6.6</v>
      </c>
      <c r="AI56" s="2">
        <f>((EX56*1.2))</f>
        <v>0</v>
      </c>
      <c r="AJ56" s="2">
        <f t="shared" si="30"/>
        <v>0</v>
      </c>
      <c r="AK56" s="2">
        <v>80.819999999999993</v>
      </c>
      <c r="AL56" s="2">
        <v>3.93</v>
      </c>
      <c r="AM56" s="2">
        <v>7.48</v>
      </c>
      <c r="AN56" s="2">
        <v>1.1399999999999999</v>
      </c>
      <c r="AO56" s="2">
        <v>69.41</v>
      </c>
      <c r="AP56" s="2">
        <v>0</v>
      </c>
      <c r="AQ56" s="2">
        <v>5.5</v>
      </c>
      <c r="AR56" s="2">
        <v>0</v>
      </c>
      <c r="AS56" s="2">
        <v>0</v>
      </c>
      <c r="AT56" s="2">
        <v>90</v>
      </c>
      <c r="AU56" s="2">
        <v>46</v>
      </c>
      <c r="AV56" s="2">
        <v>1.0669999999999999</v>
      </c>
      <c r="AW56" s="2">
        <v>1.028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114</v>
      </c>
      <c r="BK56" s="2"/>
      <c r="BL56" s="2"/>
      <c r="BM56" s="2">
        <v>73</v>
      </c>
      <c r="BN56" s="2">
        <v>0</v>
      </c>
      <c r="BO56" s="2" t="s">
        <v>112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90</v>
      </c>
      <c r="CA56" s="2">
        <v>46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716</v>
      </c>
      <c r="CO56" s="2">
        <v>0</v>
      </c>
      <c r="CP56" s="2">
        <f t="shared" si="31"/>
        <v>102.49000000000001</v>
      </c>
      <c r="CQ56" s="2">
        <f>ROUND((ROUND((AC56*AW56*1),2)*BC56),2)</f>
        <v>4.04</v>
      </c>
      <c r="CR56" s="2">
        <f>(ROUND((ROUND((((ET56*1.2))*AV56*1),2)*BB56),2)+ROUND((ROUND(((AE56-((EU56*1.2)))*AV56*1),2)*BS56),2))</f>
        <v>9.58</v>
      </c>
      <c r="CS56" s="2">
        <f>(ROUND((ROUND((((EU56*1.2))*AV56*1),2)*BS56),2)+ROUND((ROUND(((AE56-((EU56*1.2)))*AV56*1),2)*BS56),2))</f>
        <v>1.46</v>
      </c>
      <c r="CT56" s="2">
        <f t="shared" si="33"/>
        <v>88.87</v>
      </c>
      <c r="CU56" s="2">
        <f t="shared" si="34"/>
        <v>0</v>
      </c>
      <c r="CV56" s="2">
        <f t="shared" si="35"/>
        <v>7.0421999999999993</v>
      </c>
      <c r="CW56" s="2">
        <f t="shared" si="36"/>
        <v>0</v>
      </c>
      <c r="CX56" s="2">
        <f t="shared" si="37"/>
        <v>0</v>
      </c>
      <c r="CY56" s="2">
        <f>(ROUND((((S56+ROUND((ROUND((((EU56*1.2))*AV56*1),2)*BS56),2))*AT56)/100),2)+ROUND(((ROUND((ROUND(((AE56-((EU56*1.2)))*AV56*1),2)*BS56),2)*AT56)/100),2))</f>
        <v>81.3</v>
      </c>
      <c r="CZ56" s="2">
        <f>(ROUND((((S56+ROUND((ROUND((((EU56*1.2))*AV56*1),2)*BS56),2))*AU56)/100),2)+ROUND(((ROUND((ROUND(((AE56-((EU56*1.2)))*AV56*1),2)*BS56),2)*AU56)/100),2))</f>
        <v>41.55</v>
      </c>
      <c r="DA56" s="2"/>
      <c r="DB56" s="2">
        <v>33</v>
      </c>
      <c r="DC56" s="2" t="s">
        <v>3</v>
      </c>
      <c r="DD56" s="2" t="s">
        <v>48</v>
      </c>
      <c r="DE56" s="2" t="s">
        <v>49</v>
      </c>
      <c r="DF56" s="2" t="s">
        <v>49</v>
      </c>
      <c r="DG56" s="2" t="s">
        <v>49</v>
      </c>
      <c r="DH56" s="2" t="s">
        <v>3</v>
      </c>
      <c r="DI56" s="2" t="s">
        <v>49</v>
      </c>
      <c r="DJ56" s="2" t="s">
        <v>49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25</v>
      </c>
      <c r="DW56" s="2" t="s">
        <v>25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56938740</v>
      </c>
      <c r="EF56" s="2">
        <v>40</v>
      </c>
      <c r="EG56" s="2" t="s">
        <v>29</v>
      </c>
      <c r="EH56" s="2">
        <v>0</v>
      </c>
      <c r="EI56" s="2" t="s">
        <v>3</v>
      </c>
      <c r="EJ56" s="2">
        <v>2</v>
      </c>
      <c r="EK56" s="2">
        <v>73</v>
      </c>
      <c r="EL56" s="2" t="s">
        <v>85</v>
      </c>
      <c r="EM56" s="2" t="s">
        <v>86</v>
      </c>
      <c r="EN56" s="2"/>
      <c r="EO56" s="2" t="s">
        <v>50</v>
      </c>
      <c r="EP56" s="2"/>
      <c r="EQ56" s="2">
        <v>131072</v>
      </c>
      <c r="ER56" s="2">
        <v>80.819999999999993</v>
      </c>
      <c r="ES56" s="2">
        <v>3.93</v>
      </c>
      <c r="ET56" s="2">
        <v>7.48</v>
      </c>
      <c r="EU56" s="2">
        <v>1.1399999999999999</v>
      </c>
      <c r="EV56" s="2">
        <v>69.41</v>
      </c>
      <c r="EW56" s="2">
        <v>5.5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2</v>
      </c>
      <c r="FT56" s="2"/>
      <c r="FU56" s="2"/>
      <c r="FV56" s="2"/>
      <c r="FW56" s="2"/>
      <c r="FX56" s="2">
        <v>90</v>
      </c>
      <c r="FY56" s="2">
        <v>46</v>
      </c>
      <c r="FZ56" s="2"/>
      <c r="GA56" s="2" t="s">
        <v>3</v>
      </c>
      <c r="GB56" s="2"/>
      <c r="GC56" s="2"/>
      <c r="GD56" s="2">
        <v>1</v>
      </c>
      <c r="GE56" s="2"/>
      <c r="GF56" s="2">
        <v>-355409604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38"/>
        <v>0</v>
      </c>
      <c r="GM56" s="2">
        <f t="shared" si="39"/>
        <v>225.34</v>
      </c>
      <c r="GN56" s="2">
        <f t="shared" si="40"/>
        <v>0</v>
      </c>
      <c r="GO56" s="2">
        <f t="shared" si="41"/>
        <v>225.34</v>
      </c>
      <c r="GP56" s="2">
        <f t="shared" si="42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3"/>
        <v>0</v>
      </c>
      <c r="GW56" s="2">
        <v>1</v>
      </c>
      <c r="GX56" s="2">
        <f t="shared" si="44"/>
        <v>0</v>
      </c>
      <c r="GY56" s="2"/>
      <c r="GZ56" s="2"/>
      <c r="HA56" s="2">
        <v>0</v>
      </c>
      <c r="HB56" s="2">
        <v>0</v>
      </c>
      <c r="HC56" s="2">
        <f t="shared" si="4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ROW(SmtRes!A164)</f>
        <v>164</v>
      </c>
      <c r="D57" s="3">
        <f>ROW(EtalonRes!A206)</f>
        <v>206</v>
      </c>
      <c r="E57" s="3" t="s">
        <v>111</v>
      </c>
      <c r="F57" s="3" t="s">
        <v>112</v>
      </c>
      <c r="G57" s="3" t="s">
        <v>113</v>
      </c>
      <c r="H57" s="3" t="s">
        <v>25</v>
      </c>
      <c r="I57" s="3">
        <v>1</v>
      </c>
      <c r="J57" s="3">
        <v>0</v>
      </c>
      <c r="K57" s="3">
        <v>1</v>
      </c>
      <c r="O57" s="3">
        <f t="shared" si="21"/>
        <v>5189.49</v>
      </c>
      <c r="P57" s="3">
        <f>ROUND((ROUND((AC57*AW57*I57),2)*BC57),2)</f>
        <v>18.14</v>
      </c>
      <c r="Q57" s="3">
        <f>(ROUND((ROUND((((ET57*1.2))*AV57*I57),2)*BB57),2)+ROUND((ROUND(((AE57-((EU57*1.2)))*AV57*I57),2)*BS57),2))</f>
        <v>163.53</v>
      </c>
      <c r="R57" s="3">
        <f>(ROUND((ROUND((((EU57*1.2))*AV57*I57),2)*BS57),2)+ROUND((ROUND(((AE57-((EU57*1.2)))*AV57*I57),2)*BS57),2))</f>
        <v>82.27</v>
      </c>
      <c r="S57" s="3">
        <f t="shared" si="23"/>
        <v>5007.82</v>
      </c>
      <c r="T57" s="3">
        <f t="shared" si="24"/>
        <v>0</v>
      </c>
      <c r="U57" s="3">
        <f t="shared" si="25"/>
        <v>7.0421999999999993</v>
      </c>
      <c r="V57" s="3">
        <f t="shared" si="26"/>
        <v>0</v>
      </c>
      <c r="W57" s="3">
        <f t="shared" si="27"/>
        <v>0</v>
      </c>
      <c r="X57" s="3">
        <f>(ROUND((((S57+ROUND((ROUND((((EU57*1.2))*AV57*I57),2)*BS57),2))*AT57)/100),2)+ROUND(((ROUND((ROUND(((AE57-((EU57*1.2)))*AV57*I57),2)*BS57),2)*AT57)/100),2))</f>
        <v>4581.08</v>
      </c>
      <c r="Y57" s="3">
        <f>(ROUND((((S57+ROUND((ROUND((((EU57*1.2))*AV57*I57),2)*BS57),2))*AU57)/100),2)+ROUND(((ROUND((ROUND(((AE57-((EU57*1.2)))*AV57*I57),2)*BS57),2)*AU57)/100),2))</f>
        <v>2341.44</v>
      </c>
      <c r="AA57" s="3">
        <v>55747651</v>
      </c>
      <c r="AB57" s="3">
        <f t="shared" si="28"/>
        <v>96.197999999999993</v>
      </c>
      <c r="AC57" s="3">
        <f>ROUND(((ES57*1)),6)</f>
        <v>3.93</v>
      </c>
      <c r="AD57" s="3">
        <f>ROUND(((((ET57*1.2))-((EU57*1.2)))+AE57),6)</f>
        <v>8.9760000000000009</v>
      </c>
      <c r="AE57" s="3">
        <f>ROUND(((EU57*1.2)),6)</f>
        <v>1.3680000000000001</v>
      </c>
      <c r="AF57" s="3">
        <f>ROUND(((EV57*1.2)),6)</f>
        <v>83.292000000000002</v>
      </c>
      <c r="AG57" s="3">
        <f t="shared" si="29"/>
        <v>0</v>
      </c>
      <c r="AH57" s="3">
        <f>((EW57*1.2))</f>
        <v>6.6</v>
      </c>
      <c r="AI57" s="3">
        <f>((EX57*1.2))</f>
        <v>0</v>
      </c>
      <c r="AJ57" s="3">
        <f t="shared" si="30"/>
        <v>0</v>
      </c>
      <c r="AK57" s="3">
        <v>80.819999999999993</v>
      </c>
      <c r="AL57" s="3">
        <v>3.93</v>
      </c>
      <c r="AM57" s="3">
        <v>7.48</v>
      </c>
      <c r="AN57" s="3">
        <v>1.1399999999999999</v>
      </c>
      <c r="AO57" s="3">
        <v>69.41</v>
      </c>
      <c r="AP57" s="3">
        <v>0</v>
      </c>
      <c r="AQ57" s="3">
        <v>5.5</v>
      </c>
      <c r="AR57" s="3">
        <v>0</v>
      </c>
      <c r="AS57" s="3">
        <v>0</v>
      </c>
      <c r="AT57" s="3">
        <v>90</v>
      </c>
      <c r="AU57" s="3">
        <v>46</v>
      </c>
      <c r="AV57" s="3">
        <v>1.0669999999999999</v>
      </c>
      <c r="AW57" s="3">
        <v>1.028</v>
      </c>
      <c r="AZ57" s="3">
        <v>1</v>
      </c>
      <c r="BA57" s="3">
        <v>56.35</v>
      </c>
      <c r="BB57" s="3">
        <v>17.07</v>
      </c>
      <c r="BC57" s="3">
        <v>4.49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114</v>
      </c>
      <c r="BM57" s="3">
        <v>73</v>
      </c>
      <c r="BN57" s="3">
        <v>0</v>
      </c>
      <c r="BO57" s="3" t="s">
        <v>112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90</v>
      </c>
      <c r="CA57" s="3">
        <v>46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716</v>
      </c>
      <c r="CO57" s="3">
        <v>0</v>
      </c>
      <c r="CP57" s="3">
        <f t="shared" si="31"/>
        <v>5189.49</v>
      </c>
      <c r="CQ57" s="3">
        <f>ROUND((ROUND((AC57*AW57*1),2)*BC57),2)</f>
        <v>18.14</v>
      </c>
      <c r="CR57" s="3">
        <f>(ROUND((ROUND((((ET57*1.2))*AV57*1),2)*BB57),2)+ROUND((ROUND(((AE57-((EU57*1.2)))*AV57*1),2)*BS57),2))</f>
        <v>163.53</v>
      </c>
      <c r="CS57" s="3">
        <f>(ROUND((ROUND((((EU57*1.2))*AV57*1),2)*BS57),2)+ROUND((ROUND(((AE57-((EU57*1.2)))*AV57*1),2)*BS57),2))</f>
        <v>82.27</v>
      </c>
      <c r="CT57" s="3">
        <f t="shared" si="33"/>
        <v>5007.82</v>
      </c>
      <c r="CU57" s="3">
        <f t="shared" si="34"/>
        <v>0</v>
      </c>
      <c r="CV57" s="3">
        <f t="shared" si="35"/>
        <v>7.0421999999999993</v>
      </c>
      <c r="CW57" s="3">
        <f t="shared" si="36"/>
        <v>0</v>
      </c>
      <c r="CX57" s="3">
        <f t="shared" si="37"/>
        <v>0</v>
      </c>
      <c r="CY57" s="3">
        <f>(ROUND((((S57+ROUND((ROUND((((EU57*1.2))*AV57*1),2)*BS57),2))*AT57)/100),2)+ROUND(((ROUND((ROUND(((AE57-((EU57*1.2)))*AV57*1),2)*BS57),2)*AT57)/100),2))</f>
        <v>4581.08</v>
      </c>
      <c r="CZ57" s="3">
        <f>(ROUND((((S57+ROUND((ROUND((((EU57*1.2))*AV57*1),2)*BS57),2))*AU57)/100),2)+ROUND(((ROUND((ROUND(((AE57-((EU57*1.2)))*AV57*1),2)*BS57),2)*AU57)/100),2))</f>
        <v>2341.44</v>
      </c>
      <c r="DB57" s="3">
        <v>34</v>
      </c>
      <c r="DC57" s="3" t="s">
        <v>3</v>
      </c>
      <c r="DD57" s="3" t="s">
        <v>48</v>
      </c>
      <c r="DE57" s="3" t="s">
        <v>49</v>
      </c>
      <c r="DF57" s="3" t="s">
        <v>49</v>
      </c>
      <c r="DG57" s="3" t="s">
        <v>49</v>
      </c>
      <c r="DH57" s="3" t="s">
        <v>3</v>
      </c>
      <c r="DI57" s="3" t="s">
        <v>49</v>
      </c>
      <c r="DJ57" s="3" t="s">
        <v>49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25</v>
      </c>
      <c r="DW57" s="3" t="s">
        <v>25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56938740</v>
      </c>
      <c r="EF57" s="3">
        <v>40</v>
      </c>
      <c r="EG57" s="3" t="s">
        <v>29</v>
      </c>
      <c r="EH57" s="3">
        <v>0</v>
      </c>
      <c r="EI57" s="3" t="s">
        <v>3</v>
      </c>
      <c r="EJ57" s="3">
        <v>2</v>
      </c>
      <c r="EK57" s="3">
        <v>73</v>
      </c>
      <c r="EL57" s="3" t="s">
        <v>85</v>
      </c>
      <c r="EM57" s="3" t="s">
        <v>86</v>
      </c>
      <c r="EO57" s="3" t="s">
        <v>50</v>
      </c>
      <c r="EQ57" s="3">
        <v>131072</v>
      </c>
      <c r="ER57" s="3">
        <v>80.819999999999993</v>
      </c>
      <c r="ES57" s="3">
        <v>3.93</v>
      </c>
      <c r="ET57" s="3">
        <v>7.48</v>
      </c>
      <c r="EU57" s="3">
        <v>1.1399999999999999</v>
      </c>
      <c r="EV57" s="3">
        <v>69.41</v>
      </c>
      <c r="EW57" s="3">
        <v>5.5</v>
      </c>
      <c r="EX57" s="3">
        <v>0</v>
      </c>
      <c r="EY57" s="3">
        <v>0</v>
      </c>
      <c r="FQ57" s="3">
        <v>0</v>
      </c>
      <c r="FR57" s="3">
        <v>0</v>
      </c>
      <c r="FS57" s="3">
        <v>2</v>
      </c>
      <c r="FX57" s="3">
        <v>90</v>
      </c>
      <c r="FY57" s="3">
        <v>46</v>
      </c>
      <c r="GA57" s="3" t="s">
        <v>3</v>
      </c>
      <c r="GD57" s="3">
        <v>1</v>
      </c>
      <c r="GF57" s="3">
        <v>-355409604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38"/>
        <v>0</v>
      </c>
      <c r="GM57" s="3">
        <f t="shared" si="39"/>
        <v>12112.01</v>
      </c>
      <c r="GN57" s="3">
        <f t="shared" si="40"/>
        <v>0</v>
      </c>
      <c r="GO57" s="3">
        <f t="shared" si="41"/>
        <v>12112.01</v>
      </c>
      <c r="GP57" s="3">
        <f t="shared" si="42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43"/>
        <v>0</v>
      </c>
      <c r="GW57" s="3">
        <v>1</v>
      </c>
      <c r="GX57" s="3">
        <f t="shared" si="44"/>
        <v>0</v>
      </c>
      <c r="HA57" s="3">
        <v>0</v>
      </c>
      <c r="HB57" s="3">
        <v>0</v>
      </c>
      <c r="HC57" s="3">
        <f t="shared" si="45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18</v>
      </c>
      <c r="B58" s="2">
        <v>1</v>
      </c>
      <c r="C58" s="2">
        <v>160</v>
      </c>
      <c r="D58" s="2"/>
      <c r="E58" s="2" t="s">
        <v>115</v>
      </c>
      <c r="F58" s="2" t="s">
        <v>116</v>
      </c>
      <c r="G58" s="2" t="s">
        <v>117</v>
      </c>
      <c r="H58" s="2" t="s">
        <v>118</v>
      </c>
      <c r="I58" s="2">
        <f>I56*J58</f>
        <v>1</v>
      </c>
      <c r="J58" s="2">
        <v>1</v>
      </c>
      <c r="K58" s="2">
        <v>1</v>
      </c>
      <c r="L58" s="2"/>
      <c r="M58" s="2"/>
      <c r="N58" s="2"/>
      <c r="O58" s="2">
        <f t="shared" si="21"/>
        <v>7821.6</v>
      </c>
      <c r="P58" s="2">
        <f>ROUND((ROUND((AC58*I58),2)*BC58),2)</f>
        <v>7821.6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55747649</v>
      </c>
      <c r="AB58" s="2">
        <f t="shared" si="28"/>
        <v>7821.6</v>
      </c>
      <c r="AC58" s="2">
        <f>ROUND((ES58),6)</f>
        <v>7821.6</v>
      </c>
      <c r="AD58" s="2">
        <f>ROUND((((ET58)-(EU58))+AE58),6)</f>
        <v>0</v>
      </c>
      <c r="AE58" s="2">
        <f>ROUND((EU58),6)</f>
        <v>0</v>
      </c>
      <c r="AF58" s="2">
        <f>ROUND((EV58),6)</f>
        <v>0</v>
      </c>
      <c r="AG58" s="2">
        <f t="shared" si="29"/>
        <v>0</v>
      </c>
      <c r="AH58" s="2">
        <f>(EW58)</f>
        <v>0</v>
      </c>
      <c r="AI58" s="2">
        <f>(EX58)</f>
        <v>0</v>
      </c>
      <c r="AJ58" s="2">
        <f t="shared" si="30"/>
        <v>0</v>
      </c>
      <c r="AK58" s="2">
        <v>7821.5999999999995</v>
      </c>
      <c r="AL58" s="2">
        <v>7821.5999999999995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3</v>
      </c>
      <c r="BJ58" s="2" t="s">
        <v>3</v>
      </c>
      <c r="BK58" s="2"/>
      <c r="BL58" s="2"/>
      <c r="BM58" s="2">
        <v>746</v>
      </c>
      <c r="BN58" s="2">
        <v>0</v>
      </c>
      <c r="BO58" s="2" t="s">
        <v>3</v>
      </c>
      <c r="BP58" s="2">
        <v>0</v>
      </c>
      <c r="BQ58" s="2">
        <v>130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90</v>
      </c>
      <c r="CA58" s="2">
        <v>46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1"/>
        <v>7821.6</v>
      </c>
      <c r="CQ58" s="2">
        <f>ROUND((ROUND((AC58*1),2)*BC58),2)</f>
        <v>7821.6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3"/>
        <v>0</v>
      </c>
      <c r="CU58" s="2">
        <f t="shared" si="34"/>
        <v>0</v>
      </c>
      <c r="CV58" s="2">
        <f t="shared" si="35"/>
        <v>0</v>
      </c>
      <c r="CW58" s="2">
        <f t="shared" si="36"/>
        <v>0</v>
      </c>
      <c r="CX58" s="2">
        <f t="shared" si="37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118</v>
      </c>
      <c r="DW58" s="2" t="s">
        <v>118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56938841</v>
      </c>
      <c r="EF58" s="2">
        <v>130</v>
      </c>
      <c r="EG58" s="2" t="s">
        <v>105</v>
      </c>
      <c r="EH58" s="2">
        <v>0</v>
      </c>
      <c r="EI58" s="2" t="s">
        <v>3</v>
      </c>
      <c r="EJ58" s="2">
        <v>3</v>
      </c>
      <c r="EK58" s="2">
        <v>746</v>
      </c>
      <c r="EL58" s="2" t="s">
        <v>106</v>
      </c>
      <c r="EM58" s="2" t="s">
        <v>107</v>
      </c>
      <c r="EN58" s="2"/>
      <c r="EO58" s="2" t="s">
        <v>3</v>
      </c>
      <c r="EP58" s="2"/>
      <c r="EQ58" s="2">
        <v>0</v>
      </c>
      <c r="ER58" s="2">
        <v>0</v>
      </c>
      <c r="ES58" s="2">
        <v>7821.5999999999995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f>P58</f>
        <v>7821.6</v>
      </c>
      <c r="FS58" s="2">
        <v>0</v>
      </c>
      <c r="FT58" s="2"/>
      <c r="FU58" s="2"/>
      <c r="FV58" s="2"/>
      <c r="FW58" s="2"/>
      <c r="FX58" s="2">
        <v>90</v>
      </c>
      <c r="FY58" s="2">
        <v>46</v>
      </c>
      <c r="FZ58" s="2"/>
      <c r="GA58" s="2" t="s">
        <v>119</v>
      </c>
      <c r="GB58" s="2"/>
      <c r="GC58" s="2"/>
      <c r="GD58" s="2">
        <v>1</v>
      </c>
      <c r="GE58" s="2"/>
      <c r="GF58" s="2">
        <v>-255262661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8"/>
        <v>0</v>
      </c>
      <c r="GM58" s="2">
        <f t="shared" si="39"/>
        <v>7821.6</v>
      </c>
      <c r="GN58" s="2">
        <f t="shared" si="40"/>
        <v>0</v>
      </c>
      <c r="GO58" s="2">
        <f t="shared" si="41"/>
        <v>0</v>
      </c>
      <c r="GP58" s="2">
        <f t="shared" si="42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3"/>
        <v>0</v>
      </c>
      <c r="GW58" s="2">
        <v>1</v>
      </c>
      <c r="GX58" s="2">
        <f t="shared" si="44"/>
        <v>0</v>
      </c>
      <c r="GY58" s="2"/>
      <c r="GZ58" s="2"/>
      <c r="HA58" s="2">
        <v>0</v>
      </c>
      <c r="HB58" s="2">
        <v>0</v>
      </c>
      <c r="HC58" s="2">
        <f t="shared" si="45"/>
        <v>0</v>
      </c>
      <c r="HD58" s="2"/>
      <c r="HE58" s="2" t="s">
        <v>72</v>
      </c>
      <c r="HF58" s="2" t="s">
        <v>110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18</v>
      </c>
      <c r="B59" s="3">
        <v>1</v>
      </c>
      <c r="C59" s="3">
        <v>164</v>
      </c>
      <c r="E59" s="3" t="s">
        <v>115</v>
      </c>
      <c r="F59" s="3" t="s">
        <v>116</v>
      </c>
      <c r="G59" s="3" t="s">
        <v>117</v>
      </c>
      <c r="H59" s="3" t="s">
        <v>118</v>
      </c>
      <c r="I59" s="3">
        <f>I57*J59</f>
        <v>1</v>
      </c>
      <c r="J59" s="3">
        <v>1</v>
      </c>
      <c r="K59" s="3">
        <v>1</v>
      </c>
      <c r="O59" s="3">
        <f t="shared" si="21"/>
        <v>59209.51</v>
      </c>
      <c r="P59" s="3">
        <f>ROUND((ROUND((AC59*I59),2)*BC59),2)</f>
        <v>59209.51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3"/>
        <v>0</v>
      </c>
      <c r="T59" s="3">
        <f t="shared" si="24"/>
        <v>0</v>
      </c>
      <c r="U59" s="3">
        <f t="shared" si="25"/>
        <v>0</v>
      </c>
      <c r="V59" s="3">
        <f t="shared" si="26"/>
        <v>0</v>
      </c>
      <c r="W59" s="3">
        <f t="shared" si="27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55747651</v>
      </c>
      <c r="AB59" s="3">
        <f t="shared" si="28"/>
        <v>7821.6</v>
      </c>
      <c r="AC59" s="3">
        <f>ROUND((ES59),6)</f>
        <v>7821.6</v>
      </c>
      <c r="AD59" s="3">
        <f>ROUND((((ET59)-(EU59))+AE59),6)</f>
        <v>0</v>
      </c>
      <c r="AE59" s="3">
        <f>ROUND((EU59),6)</f>
        <v>0</v>
      </c>
      <c r="AF59" s="3">
        <f>ROUND((EV59),6)</f>
        <v>0</v>
      </c>
      <c r="AG59" s="3">
        <f t="shared" si="29"/>
        <v>0</v>
      </c>
      <c r="AH59" s="3">
        <f>(EW59)</f>
        <v>0</v>
      </c>
      <c r="AI59" s="3">
        <f>(EX59)</f>
        <v>0</v>
      </c>
      <c r="AJ59" s="3">
        <f t="shared" si="30"/>
        <v>0</v>
      </c>
      <c r="AK59" s="3">
        <v>7821.5999999999995</v>
      </c>
      <c r="AL59" s="3">
        <v>7821.5999999999995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7.57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3</v>
      </c>
      <c r="BJ59" s="3" t="s">
        <v>3</v>
      </c>
      <c r="BM59" s="3">
        <v>746</v>
      </c>
      <c r="BN59" s="3">
        <v>0</v>
      </c>
      <c r="BO59" s="3" t="s">
        <v>3</v>
      </c>
      <c r="BP59" s="3">
        <v>0</v>
      </c>
      <c r="BQ59" s="3">
        <v>130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90</v>
      </c>
      <c r="CA59" s="3">
        <v>46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1"/>
        <v>59209.51</v>
      </c>
      <c r="CQ59" s="3">
        <f>ROUND((ROUND((AC59*1),2)*BC59),2)</f>
        <v>59209.51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3"/>
        <v>0</v>
      </c>
      <c r="CU59" s="3">
        <f t="shared" si="34"/>
        <v>0</v>
      </c>
      <c r="CV59" s="3">
        <f t="shared" si="35"/>
        <v>0</v>
      </c>
      <c r="CW59" s="3">
        <f t="shared" si="36"/>
        <v>0</v>
      </c>
      <c r="CX59" s="3">
        <f t="shared" si="37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118</v>
      </c>
      <c r="DW59" s="3" t="s">
        <v>118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56938841</v>
      </c>
      <c r="EF59" s="3">
        <v>130</v>
      </c>
      <c r="EG59" s="3" t="s">
        <v>105</v>
      </c>
      <c r="EH59" s="3">
        <v>0</v>
      </c>
      <c r="EI59" s="3" t="s">
        <v>3</v>
      </c>
      <c r="EJ59" s="3">
        <v>3</v>
      </c>
      <c r="EK59" s="3">
        <v>746</v>
      </c>
      <c r="EL59" s="3" t="s">
        <v>106</v>
      </c>
      <c r="EM59" s="3" t="s">
        <v>107</v>
      </c>
      <c r="EO59" s="3" t="s">
        <v>3</v>
      </c>
      <c r="EQ59" s="3">
        <v>0</v>
      </c>
      <c r="ER59" s="3">
        <v>7821.5999999999995</v>
      </c>
      <c r="ES59" s="3">
        <v>7821.5999999999995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Z59" s="3">
        <v>5</v>
      </c>
      <c r="FC59" s="3">
        <v>1</v>
      </c>
      <c r="FD59" s="3">
        <v>18</v>
      </c>
      <c r="FF59" s="3">
        <v>69300</v>
      </c>
      <c r="FQ59" s="3">
        <v>0</v>
      </c>
      <c r="FR59" s="3">
        <f>P59</f>
        <v>59209.51</v>
      </c>
      <c r="FS59" s="3">
        <v>0</v>
      </c>
      <c r="FX59" s="3">
        <v>90</v>
      </c>
      <c r="FY59" s="3">
        <v>46</v>
      </c>
      <c r="GA59" s="3" t="s">
        <v>119</v>
      </c>
      <c r="GD59" s="3">
        <v>1</v>
      </c>
      <c r="GF59" s="3">
        <v>-255262661</v>
      </c>
      <c r="GG59" s="3">
        <v>2</v>
      </c>
      <c r="GH59" s="3">
        <v>3</v>
      </c>
      <c r="GI59" s="3">
        <v>5</v>
      </c>
      <c r="GJ59" s="3">
        <v>0</v>
      </c>
      <c r="GK59" s="3">
        <v>0</v>
      </c>
      <c r="GL59" s="3">
        <f t="shared" si="38"/>
        <v>0</v>
      </c>
      <c r="GM59" s="3">
        <f t="shared" si="39"/>
        <v>59209.51</v>
      </c>
      <c r="GN59" s="3">
        <f t="shared" si="40"/>
        <v>0</v>
      </c>
      <c r="GO59" s="3">
        <f t="shared" si="41"/>
        <v>0</v>
      </c>
      <c r="GP59" s="3">
        <f t="shared" si="42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43"/>
        <v>0</v>
      </c>
      <c r="GW59" s="3">
        <v>1</v>
      </c>
      <c r="GX59" s="3">
        <f t="shared" si="44"/>
        <v>0</v>
      </c>
      <c r="HA59" s="3">
        <v>0</v>
      </c>
      <c r="HB59" s="3">
        <v>0</v>
      </c>
      <c r="HC59" s="3">
        <f t="shared" si="45"/>
        <v>0</v>
      </c>
      <c r="HE59" s="3" t="s">
        <v>72</v>
      </c>
      <c r="HF59" s="3" t="s">
        <v>110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17</v>
      </c>
      <c r="B60" s="2">
        <v>1</v>
      </c>
      <c r="C60" s="2">
        <f>ROW(SmtRes!A168)</f>
        <v>168</v>
      </c>
      <c r="D60" s="2">
        <f>ROW(EtalonRes!A211)</f>
        <v>211</v>
      </c>
      <c r="E60" s="2" t="s">
        <v>120</v>
      </c>
      <c r="F60" s="2" t="s">
        <v>121</v>
      </c>
      <c r="G60" s="2" t="s">
        <v>122</v>
      </c>
      <c r="H60" s="2" t="s">
        <v>25</v>
      </c>
      <c r="I60" s="2">
        <f>ROUND(9,9)</f>
        <v>9</v>
      </c>
      <c r="J60" s="2">
        <v>0</v>
      </c>
      <c r="K60" s="2">
        <f>ROUND(9,9)</f>
        <v>9</v>
      </c>
      <c r="L60" s="2"/>
      <c r="M60" s="2"/>
      <c r="N60" s="2"/>
      <c r="O60" s="2">
        <f t="shared" ref="O60:O91" si="60">ROUND(CP60,2)</f>
        <v>661.28</v>
      </c>
      <c r="P60" s="2">
        <f t="shared" ref="P60:P91" si="61">ROUND((ROUND((AC60*AW60*I60),2)*BC60),2)</f>
        <v>36.36</v>
      </c>
      <c r="Q60" s="2">
        <f>(ROUND((ROUND((((ET60*1.2))*AV60*I60),2)*BB60),2)+ROUND((ROUND(((AE60-((EU60*1.2)))*AV60*I60),2)*BS60),2))</f>
        <v>28.69</v>
      </c>
      <c r="R60" s="2">
        <f>(ROUND((ROUND((((EU60*1.2))*AV60*I60),2)*BS60),2)+ROUND((ROUND(((AE60-((EU60*1.2)))*AV60*I60),2)*BS60),2))</f>
        <v>4.38</v>
      </c>
      <c r="S60" s="2">
        <f t="shared" ref="S60:S91" si="62">ROUND((ROUND((AF60*AV60*I60),2)*BA60),2)</f>
        <v>596.23</v>
      </c>
      <c r="T60" s="2">
        <f t="shared" ref="T60:T91" si="63">ROUND(CU60*I60,2)</f>
        <v>0</v>
      </c>
      <c r="U60" s="2">
        <f t="shared" ref="U60:U91" si="64">CV60*I60</f>
        <v>47.246759999999988</v>
      </c>
      <c r="V60" s="2">
        <f t="shared" ref="V60:V91" si="65">CW60*I60</f>
        <v>0</v>
      </c>
      <c r="W60" s="2">
        <f t="shared" ref="W60:W91" si="66">ROUND(CX60*I60,2)</f>
        <v>0</v>
      </c>
      <c r="X60" s="2">
        <f>(ROUND((((S60+ROUND((ROUND((((EU60*1.2))*AV60*I60),2)*BS60),2))*AT60)/100),2)+ROUND(((ROUND((ROUND(((AE60-((EU60*1.2)))*AV60*I60),2)*BS60),2)*AT60)/100),2))</f>
        <v>540.54999999999995</v>
      </c>
      <c r="Y60" s="2">
        <f>(ROUND((((S60+ROUND((ROUND((((EU60*1.2))*AV60*I60),2)*BS60),2))*AU60)/100),2)+ROUND(((ROUND((ROUND(((AE60-((EU60*1.2)))*AV60*I60),2)*BS60),2)*AU60)/100),2))</f>
        <v>276.27999999999997</v>
      </c>
      <c r="Z60" s="2"/>
      <c r="AA60" s="2">
        <v>55747649</v>
      </c>
      <c r="AB60" s="2">
        <f t="shared" ref="AB60:AB91" si="67">ROUND((AC60+AD60+AF60),6)</f>
        <v>69.006</v>
      </c>
      <c r="AC60" s="2">
        <f>ROUND(((ES60*1)),6)</f>
        <v>3.93</v>
      </c>
      <c r="AD60" s="2">
        <f>ROUND(((((ET60*1.2))-((EU60*1.2)))+AE60),6)</f>
        <v>2.988</v>
      </c>
      <c r="AE60" s="2">
        <f>ROUND(((EU60*1.2)),6)</f>
        <v>0.45600000000000002</v>
      </c>
      <c r="AF60" s="2">
        <f>ROUND(((EV60*1.2)),6)</f>
        <v>62.088000000000001</v>
      </c>
      <c r="AG60" s="2">
        <f t="shared" ref="AG60:AG91" si="68">ROUND((AP60),6)</f>
        <v>0</v>
      </c>
      <c r="AH60" s="2">
        <f>((EW60*1.2))</f>
        <v>4.919999999999999</v>
      </c>
      <c r="AI60" s="2">
        <f>((EX60*1.2))</f>
        <v>0</v>
      </c>
      <c r="AJ60" s="2">
        <f t="shared" ref="AJ60:AJ91" si="69">(AS60)</f>
        <v>0</v>
      </c>
      <c r="AK60" s="2">
        <v>58.16</v>
      </c>
      <c r="AL60" s="2">
        <v>3.93</v>
      </c>
      <c r="AM60" s="2">
        <v>2.4900000000000002</v>
      </c>
      <c r="AN60" s="2">
        <v>0.38</v>
      </c>
      <c r="AO60" s="2">
        <v>51.74</v>
      </c>
      <c r="AP60" s="2">
        <v>0</v>
      </c>
      <c r="AQ60" s="2">
        <v>4.0999999999999996</v>
      </c>
      <c r="AR60" s="2">
        <v>0</v>
      </c>
      <c r="AS60" s="2">
        <v>0</v>
      </c>
      <c r="AT60" s="2">
        <v>90</v>
      </c>
      <c r="AU60" s="2">
        <v>46</v>
      </c>
      <c r="AV60" s="2">
        <v>1.0669999999999999</v>
      </c>
      <c r="AW60" s="2">
        <v>1.028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123</v>
      </c>
      <c r="BK60" s="2"/>
      <c r="BL60" s="2"/>
      <c r="BM60" s="2">
        <v>73</v>
      </c>
      <c r="BN60" s="2">
        <v>0</v>
      </c>
      <c r="BO60" s="2" t="s">
        <v>121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716</v>
      </c>
      <c r="CO60" s="2">
        <v>0</v>
      </c>
      <c r="CP60" s="2">
        <f t="shared" ref="CP60:CP91" si="70">(P60+Q60+S60)</f>
        <v>661.28</v>
      </c>
      <c r="CQ60" s="2">
        <f t="shared" ref="CQ60:CQ91" si="71">ROUND((ROUND((AC60*AW60*1),2)*BC60),2)</f>
        <v>4.04</v>
      </c>
      <c r="CR60" s="2">
        <f>(ROUND((ROUND((((ET60*1.2))*AV60*1),2)*BB60),2)+ROUND((ROUND(((AE60-((EU60*1.2)))*AV60*1),2)*BS60),2))</f>
        <v>3.19</v>
      </c>
      <c r="CS60" s="2">
        <f>(ROUND((ROUND((((EU60*1.2))*AV60*1),2)*BS60),2)+ROUND((ROUND(((AE60-((EU60*1.2)))*AV60*1),2)*BS60),2))</f>
        <v>0.49</v>
      </c>
      <c r="CT60" s="2">
        <f t="shared" ref="CT60:CT91" si="72">ROUND((ROUND((AF60*AV60*1),2)*BA60),2)</f>
        <v>66.25</v>
      </c>
      <c r="CU60" s="2">
        <f t="shared" ref="CU60:CU91" si="73">AG60</f>
        <v>0</v>
      </c>
      <c r="CV60" s="2">
        <f t="shared" ref="CV60:CV91" si="74">(AH60*AV60)</f>
        <v>5.2496399999999985</v>
      </c>
      <c r="CW60" s="2">
        <f t="shared" ref="CW60:CW91" si="75">AI60</f>
        <v>0</v>
      </c>
      <c r="CX60" s="2">
        <f t="shared" ref="CX60:CX91" si="76">AJ60</f>
        <v>0</v>
      </c>
      <c r="CY60" s="2">
        <f>(ROUND((((S60+ROUND((ROUND((((EU60*1.2))*AV60*1),2)*BS60),2))*AT60)/100),2)+ROUND(((ROUND((ROUND(((AE60-((EU60*1.2)))*AV60*1),2)*BS60),2)*AT60)/100),2))</f>
        <v>537.04999999999995</v>
      </c>
      <c r="CZ60" s="2">
        <f>(ROUND((((S60+ROUND((ROUND((((EU60*1.2))*AV60*1),2)*BS60),2))*AU60)/100),2)+ROUND(((ROUND((ROUND(((AE60-((EU60*1.2)))*AV60*1),2)*BS60),2)*AU60)/100),2))</f>
        <v>274.49</v>
      </c>
      <c r="DA60" s="2"/>
      <c r="DB60" s="2">
        <v>35</v>
      </c>
      <c r="DC60" s="2" t="s">
        <v>3</v>
      </c>
      <c r="DD60" s="2" t="s">
        <v>48</v>
      </c>
      <c r="DE60" s="2" t="s">
        <v>49</v>
      </c>
      <c r="DF60" s="2" t="s">
        <v>49</v>
      </c>
      <c r="DG60" s="2" t="s">
        <v>49</v>
      </c>
      <c r="DH60" s="2" t="s">
        <v>3</v>
      </c>
      <c r="DI60" s="2" t="s">
        <v>49</v>
      </c>
      <c r="DJ60" s="2" t="s">
        <v>49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25</v>
      </c>
      <c r="DW60" s="2" t="s">
        <v>25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56938740</v>
      </c>
      <c r="EF60" s="2">
        <v>40</v>
      </c>
      <c r="EG60" s="2" t="s">
        <v>29</v>
      </c>
      <c r="EH60" s="2">
        <v>0</v>
      </c>
      <c r="EI60" s="2" t="s">
        <v>3</v>
      </c>
      <c r="EJ60" s="2">
        <v>2</v>
      </c>
      <c r="EK60" s="2">
        <v>73</v>
      </c>
      <c r="EL60" s="2" t="s">
        <v>85</v>
      </c>
      <c r="EM60" s="2" t="s">
        <v>86</v>
      </c>
      <c r="EN60" s="2"/>
      <c r="EO60" s="2" t="s">
        <v>50</v>
      </c>
      <c r="EP60" s="2"/>
      <c r="EQ60" s="2">
        <v>131072</v>
      </c>
      <c r="ER60" s="2">
        <v>58.16</v>
      </c>
      <c r="ES60" s="2">
        <v>3.93</v>
      </c>
      <c r="ET60" s="2">
        <v>2.4900000000000002</v>
      </c>
      <c r="EU60" s="2">
        <v>0.38</v>
      </c>
      <c r="EV60" s="2">
        <v>51.74</v>
      </c>
      <c r="EW60" s="2">
        <v>4.0999999999999996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2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1723816868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ref="GL60:GL91" si="77">ROUND(IF(AND(BH60=3,BI60=3,FS60&lt;&gt;0),P60,0),2)</f>
        <v>0</v>
      </c>
      <c r="GM60" s="2">
        <f t="shared" ref="GM60:GM91" si="78">ROUND(O60+X60+Y60,2)+GX60</f>
        <v>1478.11</v>
      </c>
      <c r="GN60" s="2">
        <f t="shared" ref="GN60:GN91" si="79">IF(OR(BI60=0,BI60=1),GM60-GX60,0)</f>
        <v>0</v>
      </c>
      <c r="GO60" s="2">
        <f t="shared" ref="GO60:GO91" si="80">IF(BI60=2,GM60-GX60,0)</f>
        <v>1478.11</v>
      </c>
      <c r="GP60" s="2">
        <f t="shared" ref="GP60:GP91" si="81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91" si="82">ROUND((GT60),6)</f>
        <v>0</v>
      </c>
      <c r="GW60" s="2">
        <v>1</v>
      </c>
      <c r="GX60" s="2">
        <f t="shared" ref="GX60:GX91" si="83">ROUND(HC60*I60,2)</f>
        <v>0</v>
      </c>
      <c r="GY60" s="2"/>
      <c r="GZ60" s="2"/>
      <c r="HA60" s="2">
        <v>0</v>
      </c>
      <c r="HB60" s="2">
        <v>0</v>
      </c>
      <c r="HC60" s="2">
        <f t="shared" ref="HC60:HC91" si="84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17</v>
      </c>
      <c r="B61" s="3">
        <v>1</v>
      </c>
      <c r="C61" s="3">
        <f>ROW(SmtRes!A172)</f>
        <v>172</v>
      </c>
      <c r="D61" s="3">
        <f>ROW(EtalonRes!A216)</f>
        <v>216</v>
      </c>
      <c r="E61" s="3" t="s">
        <v>120</v>
      </c>
      <c r="F61" s="3" t="s">
        <v>121</v>
      </c>
      <c r="G61" s="3" t="s">
        <v>122</v>
      </c>
      <c r="H61" s="3" t="s">
        <v>25</v>
      </c>
      <c r="I61" s="3">
        <f>ROUND(9,9)</f>
        <v>9</v>
      </c>
      <c r="J61" s="3">
        <v>0</v>
      </c>
      <c r="K61" s="3">
        <f>ROUND(9,9)</f>
        <v>9</v>
      </c>
      <c r="O61" s="3">
        <f t="shared" si="60"/>
        <v>34251.129999999997</v>
      </c>
      <c r="P61" s="3">
        <f t="shared" si="61"/>
        <v>163.26</v>
      </c>
      <c r="Q61" s="3">
        <f>(ROUND((ROUND((((ET61*1.2))*AV61*I61),2)*BB61),2)+ROUND((ROUND(((AE61-((EU61*1.2)))*AV61*I61),2)*BS61),2))</f>
        <v>490.31</v>
      </c>
      <c r="R61" s="3">
        <f>(ROUND((ROUND((((EU61*1.2))*AV61*I61),2)*BS61),2)+ROUND((ROUND(((AE61-((EU61*1.2)))*AV61*I61),2)*BS61),2))</f>
        <v>246.81</v>
      </c>
      <c r="S61" s="3">
        <f t="shared" si="62"/>
        <v>33597.56</v>
      </c>
      <c r="T61" s="3">
        <f t="shared" si="63"/>
        <v>0</v>
      </c>
      <c r="U61" s="3">
        <f t="shared" si="64"/>
        <v>47.246759999999988</v>
      </c>
      <c r="V61" s="3">
        <f t="shared" si="65"/>
        <v>0</v>
      </c>
      <c r="W61" s="3">
        <f t="shared" si="66"/>
        <v>0</v>
      </c>
      <c r="X61" s="3">
        <f>(ROUND((((S61+ROUND((ROUND((((EU61*1.2))*AV61*I61),2)*BS61),2))*AT61)/100),2)+ROUND(((ROUND((ROUND(((AE61-((EU61*1.2)))*AV61*I61),2)*BS61),2)*AT61)/100),2))</f>
        <v>30459.93</v>
      </c>
      <c r="Y61" s="3">
        <f>(ROUND((((S61+ROUND((ROUND((((EU61*1.2))*AV61*I61),2)*BS61),2))*AU61)/100),2)+ROUND(((ROUND((ROUND(((AE61-((EU61*1.2)))*AV61*I61),2)*BS61),2)*AU61)/100),2))</f>
        <v>15568.41</v>
      </c>
      <c r="AA61" s="3">
        <v>55747651</v>
      </c>
      <c r="AB61" s="3">
        <f t="shared" si="67"/>
        <v>69.006</v>
      </c>
      <c r="AC61" s="3">
        <f>ROUND(((ES61*1)),6)</f>
        <v>3.93</v>
      </c>
      <c r="AD61" s="3">
        <f>ROUND(((((ET61*1.2))-((EU61*1.2)))+AE61),6)</f>
        <v>2.988</v>
      </c>
      <c r="AE61" s="3">
        <f>ROUND(((EU61*1.2)),6)</f>
        <v>0.45600000000000002</v>
      </c>
      <c r="AF61" s="3">
        <f>ROUND(((EV61*1.2)),6)</f>
        <v>62.088000000000001</v>
      </c>
      <c r="AG61" s="3">
        <f t="shared" si="68"/>
        <v>0</v>
      </c>
      <c r="AH61" s="3">
        <f>((EW61*1.2))</f>
        <v>4.919999999999999</v>
      </c>
      <c r="AI61" s="3">
        <f>((EX61*1.2))</f>
        <v>0</v>
      </c>
      <c r="AJ61" s="3">
        <f t="shared" si="69"/>
        <v>0</v>
      </c>
      <c r="AK61" s="3">
        <v>58.16</v>
      </c>
      <c r="AL61" s="3">
        <v>3.93</v>
      </c>
      <c r="AM61" s="3">
        <v>2.4900000000000002</v>
      </c>
      <c r="AN61" s="3">
        <v>0.38</v>
      </c>
      <c r="AO61" s="3">
        <v>51.74</v>
      </c>
      <c r="AP61" s="3">
        <v>0</v>
      </c>
      <c r="AQ61" s="3">
        <v>4.0999999999999996</v>
      </c>
      <c r="AR61" s="3">
        <v>0</v>
      </c>
      <c r="AS61" s="3">
        <v>0</v>
      </c>
      <c r="AT61" s="3">
        <v>90</v>
      </c>
      <c r="AU61" s="3">
        <v>46</v>
      </c>
      <c r="AV61" s="3">
        <v>1.0669999999999999</v>
      </c>
      <c r="AW61" s="3">
        <v>1.028</v>
      </c>
      <c r="AZ61" s="3">
        <v>1</v>
      </c>
      <c r="BA61" s="3">
        <v>56.35</v>
      </c>
      <c r="BB61" s="3">
        <v>17.09</v>
      </c>
      <c r="BC61" s="3">
        <v>4.49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123</v>
      </c>
      <c r="BM61" s="3">
        <v>73</v>
      </c>
      <c r="BN61" s="3">
        <v>0</v>
      </c>
      <c r="BO61" s="3" t="s">
        <v>121</v>
      </c>
      <c r="BP61" s="3">
        <v>1</v>
      </c>
      <c r="BQ61" s="3">
        <v>40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90</v>
      </c>
      <c r="CA61" s="3">
        <v>46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716</v>
      </c>
      <c r="CO61" s="3">
        <v>0</v>
      </c>
      <c r="CP61" s="3">
        <f t="shared" si="70"/>
        <v>34251.129999999997</v>
      </c>
      <c r="CQ61" s="3">
        <f t="shared" si="71"/>
        <v>18.14</v>
      </c>
      <c r="CR61" s="3">
        <f>(ROUND((ROUND((((ET61*1.2))*AV61*1),2)*BB61),2)+ROUND((ROUND(((AE61-((EU61*1.2)))*AV61*1),2)*BS61),2))</f>
        <v>54.52</v>
      </c>
      <c r="CS61" s="3">
        <f>(ROUND((ROUND((((EU61*1.2))*AV61*1),2)*BS61),2)+ROUND((ROUND(((AE61-((EU61*1.2)))*AV61*1),2)*BS61),2))</f>
        <v>27.61</v>
      </c>
      <c r="CT61" s="3">
        <f t="shared" si="72"/>
        <v>3733.19</v>
      </c>
      <c r="CU61" s="3">
        <f t="shared" si="73"/>
        <v>0</v>
      </c>
      <c r="CV61" s="3">
        <f t="shared" si="74"/>
        <v>5.2496399999999985</v>
      </c>
      <c r="CW61" s="3">
        <f t="shared" si="75"/>
        <v>0</v>
      </c>
      <c r="CX61" s="3">
        <f t="shared" si="76"/>
        <v>0</v>
      </c>
      <c r="CY61" s="3">
        <f>(ROUND((((S61+ROUND((ROUND((((EU61*1.2))*AV61*1),2)*BS61),2))*AT61)/100),2)+ROUND(((ROUND((ROUND(((AE61-((EU61*1.2)))*AV61*1),2)*BS61),2)*AT61)/100),2))</f>
        <v>30262.65</v>
      </c>
      <c r="CZ61" s="3">
        <f>(ROUND((((S61+ROUND((ROUND((((EU61*1.2))*AV61*1),2)*BS61),2))*AU61)/100),2)+ROUND(((ROUND((ROUND(((AE61-((EU61*1.2)))*AV61*1),2)*BS61),2)*AU61)/100),2))</f>
        <v>15467.58</v>
      </c>
      <c r="DB61" s="3">
        <v>36</v>
      </c>
      <c r="DC61" s="3" t="s">
        <v>3</v>
      </c>
      <c r="DD61" s="3" t="s">
        <v>48</v>
      </c>
      <c r="DE61" s="3" t="s">
        <v>49</v>
      </c>
      <c r="DF61" s="3" t="s">
        <v>49</v>
      </c>
      <c r="DG61" s="3" t="s">
        <v>49</v>
      </c>
      <c r="DH61" s="3" t="s">
        <v>3</v>
      </c>
      <c r="DI61" s="3" t="s">
        <v>49</v>
      </c>
      <c r="DJ61" s="3" t="s">
        <v>49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25</v>
      </c>
      <c r="DW61" s="3" t="s">
        <v>25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56938740</v>
      </c>
      <c r="EF61" s="3">
        <v>40</v>
      </c>
      <c r="EG61" s="3" t="s">
        <v>29</v>
      </c>
      <c r="EH61" s="3">
        <v>0</v>
      </c>
      <c r="EI61" s="3" t="s">
        <v>3</v>
      </c>
      <c r="EJ61" s="3">
        <v>2</v>
      </c>
      <c r="EK61" s="3">
        <v>73</v>
      </c>
      <c r="EL61" s="3" t="s">
        <v>85</v>
      </c>
      <c r="EM61" s="3" t="s">
        <v>86</v>
      </c>
      <c r="EO61" s="3" t="s">
        <v>50</v>
      </c>
      <c r="EQ61" s="3">
        <v>131072</v>
      </c>
      <c r="ER61" s="3">
        <v>58.16</v>
      </c>
      <c r="ES61" s="3">
        <v>3.93</v>
      </c>
      <c r="ET61" s="3">
        <v>2.4900000000000002</v>
      </c>
      <c r="EU61" s="3">
        <v>0.38</v>
      </c>
      <c r="EV61" s="3">
        <v>51.74</v>
      </c>
      <c r="EW61" s="3">
        <v>4.0999999999999996</v>
      </c>
      <c r="EX61" s="3">
        <v>0</v>
      </c>
      <c r="EY61" s="3">
        <v>0</v>
      </c>
      <c r="FQ61" s="3">
        <v>0</v>
      </c>
      <c r="FR61" s="3">
        <v>0</v>
      </c>
      <c r="FS61" s="3">
        <v>2</v>
      </c>
      <c r="FX61" s="3">
        <v>90</v>
      </c>
      <c r="FY61" s="3">
        <v>46</v>
      </c>
      <c r="GA61" s="3" t="s">
        <v>3</v>
      </c>
      <c r="GD61" s="3">
        <v>1</v>
      </c>
      <c r="GF61" s="3">
        <v>1723816868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77"/>
        <v>0</v>
      </c>
      <c r="GM61" s="3">
        <f t="shared" si="78"/>
        <v>80279.47</v>
      </c>
      <c r="GN61" s="3">
        <f t="shared" si="79"/>
        <v>0</v>
      </c>
      <c r="GO61" s="3">
        <f t="shared" si="80"/>
        <v>80279.47</v>
      </c>
      <c r="GP61" s="3">
        <f t="shared" si="81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82"/>
        <v>0</v>
      </c>
      <c r="GW61" s="3">
        <v>1</v>
      </c>
      <c r="GX61" s="3">
        <f t="shared" si="83"/>
        <v>0</v>
      </c>
      <c r="HA61" s="3">
        <v>0</v>
      </c>
      <c r="HB61" s="3">
        <v>0</v>
      </c>
      <c r="HC61" s="3">
        <f t="shared" si="84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18</v>
      </c>
      <c r="B62" s="2">
        <v>1</v>
      </c>
      <c r="C62" s="2">
        <v>168</v>
      </c>
      <c r="D62" s="2"/>
      <c r="E62" s="2" t="s">
        <v>124</v>
      </c>
      <c r="F62" s="2" t="s">
        <v>125</v>
      </c>
      <c r="G62" s="2" t="s">
        <v>126</v>
      </c>
      <c r="H62" s="2" t="s">
        <v>118</v>
      </c>
      <c r="I62" s="2">
        <f>I60*J62</f>
        <v>9</v>
      </c>
      <c r="J62" s="2">
        <v>1</v>
      </c>
      <c r="K62" s="2">
        <v>1</v>
      </c>
      <c r="L62" s="2"/>
      <c r="M62" s="2"/>
      <c r="N62" s="2"/>
      <c r="O62" s="2">
        <f t="shared" si="60"/>
        <v>19601.37</v>
      </c>
      <c r="P62" s="2">
        <f t="shared" si="61"/>
        <v>19601.37</v>
      </c>
      <c r="Q62" s="2">
        <f>(ROUND((ROUND(((ET62)*AV62*I62),2)*BB62),2)+ROUND((ROUND(((AE62-(EU62))*AV62*I62),2)*BS62),2))</f>
        <v>0</v>
      </c>
      <c r="R62" s="2">
        <f>(ROUND((ROUND(((EU62)*AV62*I62),2)*BS62),2)+ROUND((ROUND(((AE62-(EU62))*AV62*I62),2)*BS62),2))</f>
        <v>0</v>
      </c>
      <c r="S62" s="2">
        <f t="shared" si="62"/>
        <v>0</v>
      </c>
      <c r="T62" s="2">
        <f t="shared" si="63"/>
        <v>0</v>
      </c>
      <c r="U62" s="2">
        <f t="shared" si="64"/>
        <v>0</v>
      </c>
      <c r="V62" s="2">
        <f t="shared" si="65"/>
        <v>0</v>
      </c>
      <c r="W62" s="2">
        <f t="shared" si="66"/>
        <v>0</v>
      </c>
      <c r="X62" s="2">
        <f>(ROUND((((S62+ROUND((ROUND(((EU62)*AV62*I62),2)*BS62),2))*AT62)/100),2)+ROUND(((ROUND((ROUND(((AE62-(EU62))*AV62*I62),2)*BS62),2)*AT62)/100),2))</f>
        <v>0</v>
      </c>
      <c r="Y62" s="2">
        <f>(ROUND((((S62+ROUND((ROUND(((EU62)*AV62*I62),2)*BS62),2))*AU62)/100),2)+ROUND(((ROUND((ROUND(((AE62-(EU62))*AV62*I62),2)*BS62),2)*AU62)/100),2))</f>
        <v>0</v>
      </c>
      <c r="Z62" s="2"/>
      <c r="AA62" s="2">
        <v>55747649</v>
      </c>
      <c r="AB62" s="2">
        <f t="shared" si="67"/>
        <v>2177.9299999999998</v>
      </c>
      <c r="AC62" s="2">
        <f>ROUND((ES62),6)</f>
        <v>2177.9299999999998</v>
      </c>
      <c r="AD62" s="2">
        <f>ROUND((((ET62)-(EU62))+AE62),6)</f>
        <v>0</v>
      </c>
      <c r="AE62" s="2">
        <f t="shared" ref="AE62:AF65" si="85">ROUND((EU62),6)</f>
        <v>0</v>
      </c>
      <c r="AF62" s="2">
        <f t="shared" si="85"/>
        <v>0</v>
      </c>
      <c r="AG62" s="2">
        <f t="shared" si="68"/>
        <v>0</v>
      </c>
      <c r="AH62" s="2">
        <f t="shared" ref="AH62:AI65" si="86">(EW62)</f>
        <v>0</v>
      </c>
      <c r="AI62" s="2">
        <f t="shared" si="86"/>
        <v>0</v>
      </c>
      <c r="AJ62" s="2">
        <f t="shared" si="69"/>
        <v>0</v>
      </c>
      <c r="AK62" s="2">
        <v>2177.9299999999998</v>
      </c>
      <c r="AL62" s="2">
        <v>2177.9299999999998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90</v>
      </c>
      <c r="AU62" s="2">
        <v>46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2</v>
      </c>
      <c r="BJ62" s="2" t="s">
        <v>127</v>
      </c>
      <c r="BK62" s="2"/>
      <c r="BL62" s="2"/>
      <c r="BM62" s="2">
        <v>73</v>
      </c>
      <c r="BN62" s="2">
        <v>0</v>
      </c>
      <c r="BO62" s="2" t="s">
        <v>3</v>
      </c>
      <c r="BP62" s="2">
        <v>0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70"/>
        <v>19601.37</v>
      </c>
      <c r="CQ62" s="2">
        <f t="shared" si="71"/>
        <v>2177.9299999999998</v>
      </c>
      <c r="CR62" s="2">
        <f>(ROUND((ROUND(((ET62)*AV62*1),2)*BB62),2)+ROUND((ROUND(((AE62-(EU62))*AV62*1),2)*BS62),2))</f>
        <v>0</v>
      </c>
      <c r="CS62" s="2">
        <f>(ROUND((ROUND(((EU62)*AV62*1),2)*BS62),2)+ROUND((ROUND(((AE62-(EU62))*AV62*1),2)*BS62),2))</f>
        <v>0</v>
      </c>
      <c r="CT62" s="2">
        <f t="shared" si="72"/>
        <v>0</v>
      </c>
      <c r="CU62" s="2">
        <f t="shared" si="73"/>
        <v>0</v>
      </c>
      <c r="CV62" s="2">
        <f t="shared" si="74"/>
        <v>0</v>
      </c>
      <c r="CW62" s="2">
        <f t="shared" si="75"/>
        <v>0</v>
      </c>
      <c r="CX62" s="2">
        <f t="shared" si="76"/>
        <v>0</v>
      </c>
      <c r="CY62" s="2">
        <f>(ROUND((((S62+ROUND((ROUND(((EU62)*AV62*1),2)*BS62),2))*AT62)/100),2)+ROUND(((ROUND((ROUND(((AE62-(EU62))*AV62*1),2)*BS62),2)*AT62)/100),2))</f>
        <v>0</v>
      </c>
      <c r="CZ62" s="2">
        <f>(ROUND((((S62+ROUND((ROUND(((EU62)*AV62*1),2)*BS62),2))*AU62)/100),2)+ROUND(((ROUND((ROUND(((AE62-(EU62))*AV62*1),2)*BS62),2)*AU62)/100),2))</f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1010</v>
      </c>
      <c r="DV62" s="2" t="s">
        <v>118</v>
      </c>
      <c r="DW62" s="2" t="s">
        <v>118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56938740</v>
      </c>
      <c r="EF62" s="2">
        <v>40</v>
      </c>
      <c r="EG62" s="2" t="s">
        <v>29</v>
      </c>
      <c r="EH62" s="2">
        <v>0</v>
      </c>
      <c r="EI62" s="2" t="s">
        <v>3</v>
      </c>
      <c r="EJ62" s="2">
        <v>2</v>
      </c>
      <c r="EK62" s="2">
        <v>73</v>
      </c>
      <c r="EL62" s="2" t="s">
        <v>85</v>
      </c>
      <c r="EM62" s="2" t="s">
        <v>86</v>
      </c>
      <c r="EN62" s="2"/>
      <c r="EO62" s="2" t="s">
        <v>3</v>
      </c>
      <c r="EP62" s="2"/>
      <c r="EQ62" s="2">
        <v>0</v>
      </c>
      <c r="ER62" s="2">
        <v>2177.9299999999998</v>
      </c>
      <c r="ES62" s="2">
        <v>2177.9299999999998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873960273</v>
      </c>
      <c r="GG62" s="2">
        <v>2</v>
      </c>
      <c r="GH62" s="2">
        <v>1</v>
      </c>
      <c r="GI62" s="2">
        <v>-2</v>
      </c>
      <c r="GJ62" s="2">
        <v>0</v>
      </c>
      <c r="GK62" s="2">
        <v>0</v>
      </c>
      <c r="GL62" s="2">
        <f t="shared" si="77"/>
        <v>0</v>
      </c>
      <c r="GM62" s="2">
        <f t="shared" si="78"/>
        <v>19601.37</v>
      </c>
      <c r="GN62" s="2">
        <f t="shared" si="79"/>
        <v>0</v>
      </c>
      <c r="GO62" s="2">
        <f t="shared" si="80"/>
        <v>19601.37</v>
      </c>
      <c r="GP62" s="2">
        <f t="shared" si="81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82"/>
        <v>0</v>
      </c>
      <c r="GW62" s="2">
        <v>1</v>
      </c>
      <c r="GX62" s="2">
        <f t="shared" si="83"/>
        <v>0</v>
      </c>
      <c r="GY62" s="2"/>
      <c r="GZ62" s="2"/>
      <c r="HA62" s="2">
        <v>0</v>
      </c>
      <c r="HB62" s="2">
        <v>0</v>
      </c>
      <c r="HC62" s="2">
        <f t="shared" si="84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18</v>
      </c>
      <c r="B63" s="3">
        <v>1</v>
      </c>
      <c r="C63" s="3">
        <v>172</v>
      </c>
      <c r="E63" s="3" t="s">
        <v>124</v>
      </c>
      <c r="F63" s="3" t="s">
        <v>125</v>
      </c>
      <c r="G63" s="3" t="s">
        <v>126</v>
      </c>
      <c r="H63" s="3" t="s">
        <v>118</v>
      </c>
      <c r="I63" s="3">
        <f>I61*J63</f>
        <v>9</v>
      </c>
      <c r="J63" s="3">
        <v>1</v>
      </c>
      <c r="K63" s="3">
        <v>1</v>
      </c>
      <c r="O63" s="3">
        <f t="shared" si="60"/>
        <v>60960.26</v>
      </c>
      <c r="P63" s="3">
        <f t="shared" si="61"/>
        <v>60960.26</v>
      </c>
      <c r="Q63" s="3">
        <f>(ROUND((ROUND(((ET63)*AV63*I63),2)*BB63),2)+ROUND((ROUND(((AE63-(EU63))*AV63*I63),2)*BS63),2))</f>
        <v>0</v>
      </c>
      <c r="R63" s="3">
        <f>(ROUND((ROUND(((EU63)*AV63*I63),2)*BS63),2)+ROUND((ROUND(((AE63-(EU63))*AV63*I63),2)*BS63),2))</f>
        <v>0</v>
      </c>
      <c r="S63" s="3">
        <f t="shared" si="62"/>
        <v>0</v>
      </c>
      <c r="T63" s="3">
        <f t="shared" si="63"/>
        <v>0</v>
      </c>
      <c r="U63" s="3">
        <f t="shared" si="64"/>
        <v>0</v>
      </c>
      <c r="V63" s="3">
        <f t="shared" si="65"/>
        <v>0</v>
      </c>
      <c r="W63" s="3">
        <f t="shared" si="66"/>
        <v>0</v>
      </c>
      <c r="X63" s="3">
        <f>(ROUND((((S63+ROUND((ROUND(((EU63)*AV63*I63),2)*BS63),2))*AT63)/100),2)+ROUND(((ROUND((ROUND(((AE63-(EU63))*AV63*I63),2)*BS63),2)*AT63)/100),2))</f>
        <v>0</v>
      </c>
      <c r="Y63" s="3">
        <f>(ROUND((((S63+ROUND((ROUND(((EU63)*AV63*I63),2)*BS63),2))*AU63)/100),2)+ROUND(((ROUND((ROUND(((AE63-(EU63))*AV63*I63),2)*BS63),2)*AU63)/100),2))</f>
        <v>0</v>
      </c>
      <c r="AA63" s="3">
        <v>55747651</v>
      </c>
      <c r="AB63" s="3">
        <f t="shared" si="67"/>
        <v>2177.9299999999998</v>
      </c>
      <c r="AC63" s="3">
        <f>ROUND((ES63),6)</f>
        <v>2177.9299999999998</v>
      </c>
      <c r="AD63" s="3">
        <f>ROUND((((ET63)-(EU63))+AE63),6)</f>
        <v>0</v>
      </c>
      <c r="AE63" s="3">
        <f t="shared" si="85"/>
        <v>0</v>
      </c>
      <c r="AF63" s="3">
        <f t="shared" si="85"/>
        <v>0</v>
      </c>
      <c r="AG63" s="3">
        <f t="shared" si="68"/>
        <v>0</v>
      </c>
      <c r="AH63" s="3">
        <f t="shared" si="86"/>
        <v>0</v>
      </c>
      <c r="AI63" s="3">
        <f t="shared" si="86"/>
        <v>0</v>
      </c>
      <c r="AJ63" s="3">
        <f t="shared" si="69"/>
        <v>0</v>
      </c>
      <c r="AK63" s="3">
        <v>2177.9299999999998</v>
      </c>
      <c r="AL63" s="3">
        <v>2177.9299999999998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90</v>
      </c>
      <c r="AU63" s="3">
        <v>46</v>
      </c>
      <c r="AV63" s="3">
        <v>1</v>
      </c>
      <c r="AW63" s="3">
        <v>1</v>
      </c>
      <c r="AZ63" s="3">
        <v>1</v>
      </c>
      <c r="BA63" s="3">
        <v>1</v>
      </c>
      <c r="BB63" s="3">
        <v>1</v>
      </c>
      <c r="BC63" s="3">
        <v>3.11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3</v>
      </c>
      <c r="BI63" s="3">
        <v>2</v>
      </c>
      <c r="BJ63" s="3" t="s">
        <v>127</v>
      </c>
      <c r="BM63" s="3">
        <v>73</v>
      </c>
      <c r="BN63" s="3">
        <v>0</v>
      </c>
      <c r="BO63" s="3" t="s">
        <v>125</v>
      </c>
      <c r="BP63" s="3">
        <v>1</v>
      </c>
      <c r="BQ63" s="3">
        <v>40</v>
      </c>
      <c r="BR63" s="3">
        <v>0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90</v>
      </c>
      <c r="CA63" s="3">
        <v>46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3</v>
      </c>
      <c r="CO63" s="3">
        <v>0</v>
      </c>
      <c r="CP63" s="3">
        <f t="shared" si="70"/>
        <v>60960.26</v>
      </c>
      <c r="CQ63" s="3">
        <f t="shared" si="71"/>
        <v>6773.36</v>
      </c>
      <c r="CR63" s="3">
        <f>(ROUND((ROUND(((ET63)*AV63*1),2)*BB63),2)+ROUND((ROUND(((AE63-(EU63))*AV63*1),2)*BS63),2))</f>
        <v>0</v>
      </c>
      <c r="CS63" s="3">
        <f>(ROUND((ROUND(((EU63)*AV63*1),2)*BS63),2)+ROUND((ROUND(((AE63-(EU63))*AV63*1),2)*BS63),2))</f>
        <v>0</v>
      </c>
      <c r="CT63" s="3">
        <f t="shared" si="72"/>
        <v>0</v>
      </c>
      <c r="CU63" s="3">
        <f t="shared" si="73"/>
        <v>0</v>
      </c>
      <c r="CV63" s="3">
        <f t="shared" si="74"/>
        <v>0</v>
      </c>
      <c r="CW63" s="3">
        <f t="shared" si="75"/>
        <v>0</v>
      </c>
      <c r="CX63" s="3">
        <f t="shared" si="76"/>
        <v>0</v>
      </c>
      <c r="CY63" s="3">
        <f>(ROUND((((S63+ROUND((ROUND(((EU63)*AV63*1),2)*BS63),2))*AT63)/100),2)+ROUND(((ROUND((ROUND(((AE63-(EU63))*AV63*1),2)*BS63),2)*AT63)/100),2))</f>
        <v>0</v>
      </c>
      <c r="CZ63" s="3">
        <f>(ROUND((((S63+ROUND((ROUND(((EU63)*AV63*1),2)*BS63),2))*AU63)/100),2)+ROUND(((ROUND((ROUND(((AE63-(EU63))*AV63*1),2)*BS63),2)*AU63)/100),2))</f>
        <v>0</v>
      </c>
      <c r="DC63" s="3" t="s">
        <v>3</v>
      </c>
      <c r="DD63" s="3" t="s">
        <v>3</v>
      </c>
      <c r="DE63" s="3" t="s">
        <v>3</v>
      </c>
      <c r="DF63" s="3" t="s">
        <v>3</v>
      </c>
      <c r="DG63" s="3" t="s">
        <v>3</v>
      </c>
      <c r="DH63" s="3" t="s">
        <v>3</v>
      </c>
      <c r="DI63" s="3" t="s">
        <v>3</v>
      </c>
      <c r="DJ63" s="3" t="s">
        <v>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1010</v>
      </c>
      <c r="DV63" s="3" t="s">
        <v>118</v>
      </c>
      <c r="DW63" s="3" t="s">
        <v>118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56938740</v>
      </c>
      <c r="EF63" s="3">
        <v>40</v>
      </c>
      <c r="EG63" s="3" t="s">
        <v>29</v>
      </c>
      <c r="EH63" s="3">
        <v>0</v>
      </c>
      <c r="EI63" s="3" t="s">
        <v>3</v>
      </c>
      <c r="EJ63" s="3">
        <v>2</v>
      </c>
      <c r="EK63" s="3">
        <v>73</v>
      </c>
      <c r="EL63" s="3" t="s">
        <v>85</v>
      </c>
      <c r="EM63" s="3" t="s">
        <v>86</v>
      </c>
      <c r="EO63" s="3" t="s">
        <v>3</v>
      </c>
      <c r="EQ63" s="3">
        <v>0</v>
      </c>
      <c r="ER63" s="3">
        <v>2177.9299999999998</v>
      </c>
      <c r="ES63" s="3">
        <v>2177.9299999999998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FQ63" s="3">
        <v>0</v>
      </c>
      <c r="FR63" s="3">
        <v>0</v>
      </c>
      <c r="FS63" s="3">
        <v>0</v>
      </c>
      <c r="FX63" s="3">
        <v>90</v>
      </c>
      <c r="FY63" s="3">
        <v>46</v>
      </c>
      <c r="GA63" s="3" t="s">
        <v>3</v>
      </c>
      <c r="GD63" s="3">
        <v>1</v>
      </c>
      <c r="GF63" s="3">
        <v>873960273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77"/>
        <v>0</v>
      </c>
      <c r="GM63" s="3">
        <f t="shared" si="78"/>
        <v>60960.26</v>
      </c>
      <c r="GN63" s="3">
        <f t="shared" si="79"/>
        <v>0</v>
      </c>
      <c r="GO63" s="3">
        <f t="shared" si="80"/>
        <v>60960.26</v>
      </c>
      <c r="GP63" s="3">
        <f t="shared" si="81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82"/>
        <v>0</v>
      </c>
      <c r="GW63" s="3">
        <v>1</v>
      </c>
      <c r="GX63" s="3">
        <f t="shared" si="83"/>
        <v>0</v>
      </c>
      <c r="HA63" s="3">
        <v>0</v>
      </c>
      <c r="HB63" s="3">
        <v>0</v>
      </c>
      <c r="HC63" s="3">
        <f t="shared" si="84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">
      <c r="A64" s="2">
        <v>17</v>
      </c>
      <c r="B64" s="2">
        <v>1</v>
      </c>
      <c r="C64" s="2"/>
      <c r="D64" s="2"/>
      <c r="E64" s="2" t="s">
        <v>128</v>
      </c>
      <c r="F64" s="2" t="s">
        <v>129</v>
      </c>
      <c r="G64" s="2" t="s">
        <v>130</v>
      </c>
      <c r="H64" s="2" t="s">
        <v>118</v>
      </c>
      <c r="I64" s="2">
        <v>10</v>
      </c>
      <c r="J64" s="2">
        <v>0</v>
      </c>
      <c r="K64" s="2">
        <v>10</v>
      </c>
      <c r="L64" s="2"/>
      <c r="M64" s="2"/>
      <c r="N64" s="2"/>
      <c r="O64" s="2">
        <f t="shared" si="60"/>
        <v>1072.3</v>
      </c>
      <c r="P64" s="2">
        <f t="shared" si="61"/>
        <v>1072.3</v>
      </c>
      <c r="Q64" s="2">
        <f>(ROUND((ROUND(((ET64)*AV64*I64),2)*BB64),2)+ROUND((ROUND(((AE64-(EU64))*AV64*I64),2)*BS64),2))</f>
        <v>0</v>
      </c>
      <c r="R64" s="2">
        <f>(ROUND((ROUND(((EU64)*AV64*I64),2)*BS64),2)+ROUND((ROUND(((AE64-(EU64))*AV64*I64),2)*BS64),2))</f>
        <v>0</v>
      </c>
      <c r="S64" s="2">
        <f t="shared" si="62"/>
        <v>0</v>
      </c>
      <c r="T64" s="2">
        <f t="shared" si="63"/>
        <v>0</v>
      </c>
      <c r="U64" s="2">
        <f t="shared" si="64"/>
        <v>0</v>
      </c>
      <c r="V64" s="2">
        <f t="shared" si="65"/>
        <v>0</v>
      </c>
      <c r="W64" s="2">
        <f t="shared" si="66"/>
        <v>0</v>
      </c>
      <c r="X64" s="2">
        <f>(ROUND((((S64+ROUND((ROUND(((EU64)*AV64*I64),2)*BS64),2))*AT64)/100),2)+ROUND(((ROUND((ROUND(((AE64-(EU64))*AV64*I64),2)*BS64),2)*AT64)/100),2))</f>
        <v>0</v>
      </c>
      <c r="Y64" s="2">
        <f>(ROUND((((S64+ROUND((ROUND(((EU64)*AV64*I64),2)*BS64),2))*AU64)/100),2)+ROUND(((ROUND((ROUND(((AE64-(EU64))*AV64*I64),2)*BS64),2)*AU64)/100),2))</f>
        <v>0</v>
      </c>
      <c r="Z64" s="2"/>
      <c r="AA64" s="2">
        <v>55747649</v>
      </c>
      <c r="AB64" s="2">
        <f t="shared" si="67"/>
        <v>107.23</v>
      </c>
      <c r="AC64" s="2">
        <f>ROUND((ES64),6)</f>
        <v>107.23</v>
      </c>
      <c r="AD64" s="2">
        <f>ROUND((((ET64)-(EU64))+AE64),6)</f>
        <v>0</v>
      </c>
      <c r="AE64" s="2">
        <f t="shared" si="85"/>
        <v>0</v>
      </c>
      <c r="AF64" s="2">
        <f t="shared" si="85"/>
        <v>0</v>
      </c>
      <c r="AG64" s="2">
        <f t="shared" si="68"/>
        <v>0</v>
      </c>
      <c r="AH64" s="2">
        <f t="shared" si="86"/>
        <v>0</v>
      </c>
      <c r="AI64" s="2">
        <f t="shared" si="86"/>
        <v>0</v>
      </c>
      <c r="AJ64" s="2">
        <f t="shared" si="69"/>
        <v>0</v>
      </c>
      <c r="AK64" s="2">
        <v>107.23</v>
      </c>
      <c r="AL64" s="2">
        <v>107.23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1</v>
      </c>
      <c r="BJ64" s="2" t="s">
        <v>131</v>
      </c>
      <c r="BK64" s="2"/>
      <c r="BL64" s="2"/>
      <c r="BM64" s="2">
        <v>1617</v>
      </c>
      <c r="BN64" s="2">
        <v>0</v>
      </c>
      <c r="BO64" s="2" t="s">
        <v>3</v>
      </c>
      <c r="BP64" s="2">
        <v>0</v>
      </c>
      <c r="BQ64" s="2">
        <v>200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0</v>
      </c>
      <c r="CA64" s="2">
        <v>0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70"/>
        <v>1072.3</v>
      </c>
      <c r="CQ64" s="2">
        <f t="shared" si="71"/>
        <v>107.23</v>
      </c>
      <c r="CR64" s="2">
        <f>(ROUND((ROUND(((ET64)*AV64*1),2)*BB64),2)+ROUND((ROUND(((AE64-(EU64))*AV64*1),2)*BS64),2))</f>
        <v>0</v>
      </c>
      <c r="CS64" s="2">
        <f>(ROUND((ROUND(((EU64)*AV64*1),2)*BS64),2)+ROUND((ROUND(((AE64-(EU64))*AV64*1),2)*BS64),2))</f>
        <v>0</v>
      </c>
      <c r="CT64" s="2">
        <f t="shared" si="72"/>
        <v>0</v>
      </c>
      <c r="CU64" s="2">
        <f t="shared" si="73"/>
        <v>0</v>
      </c>
      <c r="CV64" s="2">
        <f t="shared" si="74"/>
        <v>0</v>
      </c>
      <c r="CW64" s="2">
        <f t="shared" si="75"/>
        <v>0</v>
      </c>
      <c r="CX64" s="2">
        <f t="shared" si="76"/>
        <v>0</v>
      </c>
      <c r="CY64" s="2">
        <f>(ROUND((((S64+ROUND((ROUND(((EU64)*AV64*1),2)*BS64),2))*AT64)/100),2)+ROUND(((ROUND((ROUND(((AE64-(EU64))*AV64*1),2)*BS64),2)*AT64)/100),2))</f>
        <v>0</v>
      </c>
      <c r="CZ64" s="2">
        <f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1010</v>
      </c>
      <c r="DV64" s="2" t="s">
        <v>118</v>
      </c>
      <c r="DW64" s="2" t="s">
        <v>118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56938763</v>
      </c>
      <c r="EF64" s="2">
        <v>200</v>
      </c>
      <c r="EG64" s="2" t="s">
        <v>132</v>
      </c>
      <c r="EH64" s="2">
        <v>0</v>
      </c>
      <c r="EI64" s="2" t="s">
        <v>3</v>
      </c>
      <c r="EJ64" s="2">
        <v>1</v>
      </c>
      <c r="EK64" s="2">
        <v>1617</v>
      </c>
      <c r="EL64" s="2" t="s">
        <v>133</v>
      </c>
      <c r="EM64" s="2" t="s">
        <v>134</v>
      </c>
      <c r="EN64" s="2"/>
      <c r="EO64" s="2" t="s">
        <v>3</v>
      </c>
      <c r="EP64" s="2"/>
      <c r="EQ64" s="2">
        <v>0</v>
      </c>
      <c r="ER64" s="2">
        <v>107.23</v>
      </c>
      <c r="ES64" s="2">
        <v>107.23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0</v>
      </c>
      <c r="FY64" s="2">
        <v>0</v>
      </c>
      <c r="FZ64" s="2"/>
      <c r="GA64" s="2" t="s">
        <v>3</v>
      </c>
      <c r="GB64" s="2"/>
      <c r="GC64" s="2"/>
      <c r="GD64" s="2">
        <v>1</v>
      </c>
      <c r="GE64" s="2"/>
      <c r="GF64" s="2">
        <v>235948314</v>
      </c>
      <c r="GG64" s="2">
        <v>2</v>
      </c>
      <c r="GH64" s="2">
        <v>1</v>
      </c>
      <c r="GI64" s="2">
        <v>-2</v>
      </c>
      <c r="GJ64" s="2">
        <v>0</v>
      </c>
      <c r="GK64" s="2">
        <v>0</v>
      </c>
      <c r="GL64" s="2">
        <f t="shared" si="77"/>
        <v>0</v>
      </c>
      <c r="GM64" s="2">
        <f t="shared" si="78"/>
        <v>1072.3</v>
      </c>
      <c r="GN64" s="2">
        <f t="shared" si="79"/>
        <v>1072.3</v>
      </c>
      <c r="GO64" s="2">
        <f t="shared" si="80"/>
        <v>0</v>
      </c>
      <c r="GP64" s="2">
        <f t="shared" si="81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82"/>
        <v>0</v>
      </c>
      <c r="GW64" s="2">
        <v>1</v>
      </c>
      <c r="GX64" s="2">
        <f t="shared" si="83"/>
        <v>0</v>
      </c>
      <c r="GY64" s="2"/>
      <c r="GZ64" s="2"/>
      <c r="HA64" s="2">
        <v>0</v>
      </c>
      <c r="HB64" s="2">
        <v>0</v>
      </c>
      <c r="HC64" s="2">
        <f t="shared" si="84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 s="3">
        <v>17</v>
      </c>
      <c r="B65" s="3">
        <v>1</v>
      </c>
      <c r="E65" s="3" t="s">
        <v>128</v>
      </c>
      <c r="F65" s="3" t="s">
        <v>129</v>
      </c>
      <c r="G65" s="3" t="s">
        <v>130</v>
      </c>
      <c r="H65" s="3" t="s">
        <v>118</v>
      </c>
      <c r="I65" s="3">
        <v>10</v>
      </c>
      <c r="J65" s="3">
        <v>0</v>
      </c>
      <c r="K65" s="3">
        <v>10</v>
      </c>
      <c r="O65" s="3">
        <f t="shared" si="60"/>
        <v>7441.76</v>
      </c>
      <c r="P65" s="3">
        <f t="shared" si="61"/>
        <v>7441.76</v>
      </c>
      <c r="Q65" s="3">
        <f>(ROUND((ROUND(((ET65)*AV65*I65),2)*BB65),2)+ROUND((ROUND(((AE65-(EU65))*AV65*I65),2)*BS65),2))</f>
        <v>0</v>
      </c>
      <c r="R65" s="3">
        <f>(ROUND((ROUND(((EU65)*AV65*I65),2)*BS65),2)+ROUND((ROUND(((AE65-(EU65))*AV65*I65),2)*BS65),2))</f>
        <v>0</v>
      </c>
      <c r="S65" s="3">
        <f t="shared" si="62"/>
        <v>0</v>
      </c>
      <c r="T65" s="3">
        <f t="shared" si="63"/>
        <v>0</v>
      </c>
      <c r="U65" s="3">
        <f t="shared" si="64"/>
        <v>0</v>
      </c>
      <c r="V65" s="3">
        <f t="shared" si="65"/>
        <v>0</v>
      </c>
      <c r="W65" s="3">
        <f t="shared" si="66"/>
        <v>0</v>
      </c>
      <c r="X65" s="3">
        <f>(ROUND((((S65+ROUND((ROUND(((EU65)*AV65*I65),2)*BS65),2))*AT65)/100),2)+ROUND(((ROUND((ROUND(((AE65-(EU65))*AV65*I65),2)*BS65),2)*AT65)/100),2))</f>
        <v>0</v>
      </c>
      <c r="Y65" s="3">
        <f>(ROUND((((S65+ROUND((ROUND(((EU65)*AV65*I65),2)*BS65),2))*AU65)/100),2)+ROUND(((ROUND((ROUND(((AE65-(EU65))*AV65*I65),2)*BS65),2)*AU65)/100),2))</f>
        <v>0</v>
      </c>
      <c r="AA65" s="3">
        <v>55747651</v>
      </c>
      <c r="AB65" s="3">
        <f t="shared" si="67"/>
        <v>107.23</v>
      </c>
      <c r="AC65" s="3">
        <f>ROUND((ES65),6)</f>
        <v>107.23</v>
      </c>
      <c r="AD65" s="3">
        <f>ROUND((((ET65)-(EU65))+AE65),6)</f>
        <v>0</v>
      </c>
      <c r="AE65" s="3">
        <f t="shared" si="85"/>
        <v>0</v>
      </c>
      <c r="AF65" s="3">
        <f t="shared" si="85"/>
        <v>0</v>
      </c>
      <c r="AG65" s="3">
        <f t="shared" si="68"/>
        <v>0</v>
      </c>
      <c r="AH65" s="3">
        <f t="shared" si="86"/>
        <v>0</v>
      </c>
      <c r="AI65" s="3">
        <f t="shared" si="86"/>
        <v>0</v>
      </c>
      <c r="AJ65" s="3">
        <f t="shared" si="69"/>
        <v>0</v>
      </c>
      <c r="AK65" s="3">
        <v>107.23</v>
      </c>
      <c r="AL65" s="3">
        <v>107.23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6.94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1</v>
      </c>
      <c r="BJ65" s="3" t="s">
        <v>131</v>
      </c>
      <c r="BM65" s="3">
        <v>1617</v>
      </c>
      <c r="BN65" s="3">
        <v>0</v>
      </c>
      <c r="BO65" s="3" t="s">
        <v>129</v>
      </c>
      <c r="BP65" s="3">
        <v>1</v>
      </c>
      <c r="BQ65" s="3">
        <v>200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0</v>
      </c>
      <c r="CA65" s="3">
        <v>0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70"/>
        <v>7441.76</v>
      </c>
      <c r="CQ65" s="3">
        <f t="shared" si="71"/>
        <v>744.18</v>
      </c>
      <c r="CR65" s="3">
        <f>(ROUND((ROUND(((ET65)*AV65*1),2)*BB65),2)+ROUND((ROUND(((AE65-(EU65))*AV65*1),2)*BS65),2))</f>
        <v>0</v>
      </c>
      <c r="CS65" s="3">
        <f>(ROUND((ROUND(((EU65)*AV65*1),2)*BS65),2)+ROUND((ROUND(((AE65-(EU65))*AV65*1),2)*BS65),2))</f>
        <v>0</v>
      </c>
      <c r="CT65" s="3">
        <f t="shared" si="72"/>
        <v>0</v>
      </c>
      <c r="CU65" s="3">
        <f t="shared" si="73"/>
        <v>0</v>
      </c>
      <c r="CV65" s="3">
        <f t="shared" si="74"/>
        <v>0</v>
      </c>
      <c r="CW65" s="3">
        <f t="shared" si="75"/>
        <v>0</v>
      </c>
      <c r="CX65" s="3">
        <f t="shared" si="76"/>
        <v>0</v>
      </c>
      <c r="CY65" s="3">
        <f>(ROUND((((S65+ROUND((ROUND(((EU65)*AV65*1),2)*BS65),2))*AT65)/100),2)+ROUND(((ROUND((ROUND(((AE65-(EU65))*AV65*1),2)*BS65),2)*AT65)/100),2))</f>
        <v>0</v>
      </c>
      <c r="CZ65" s="3">
        <f>(ROUND((((S65+ROUND((ROUND(((EU65)*AV65*1),2)*BS65),2))*AU65)/100),2)+ROUND(((ROUND((ROUND(((AE65-(EU65))*AV65*1),2)*BS65),2)*AU65)/100),2))</f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1010</v>
      </c>
      <c r="DV65" s="3" t="s">
        <v>118</v>
      </c>
      <c r="DW65" s="3" t="s">
        <v>118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56938763</v>
      </c>
      <c r="EF65" s="3">
        <v>200</v>
      </c>
      <c r="EG65" s="3" t="s">
        <v>132</v>
      </c>
      <c r="EH65" s="3">
        <v>0</v>
      </c>
      <c r="EI65" s="3" t="s">
        <v>3</v>
      </c>
      <c r="EJ65" s="3">
        <v>1</v>
      </c>
      <c r="EK65" s="3">
        <v>1617</v>
      </c>
      <c r="EL65" s="3" t="s">
        <v>133</v>
      </c>
      <c r="EM65" s="3" t="s">
        <v>134</v>
      </c>
      <c r="EO65" s="3" t="s">
        <v>3</v>
      </c>
      <c r="EQ65" s="3">
        <v>0</v>
      </c>
      <c r="ER65" s="3">
        <v>107.23</v>
      </c>
      <c r="ES65" s="3">
        <v>107.23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FQ65" s="3">
        <v>0</v>
      </c>
      <c r="FR65" s="3">
        <v>0</v>
      </c>
      <c r="FS65" s="3">
        <v>0</v>
      </c>
      <c r="FX65" s="3">
        <v>0</v>
      </c>
      <c r="FY65" s="3">
        <v>0</v>
      </c>
      <c r="GA65" s="3" t="s">
        <v>3</v>
      </c>
      <c r="GD65" s="3">
        <v>1</v>
      </c>
      <c r="GF65" s="3">
        <v>235948314</v>
      </c>
      <c r="GG65" s="3">
        <v>2</v>
      </c>
      <c r="GH65" s="3">
        <v>1</v>
      </c>
      <c r="GI65" s="3">
        <v>2</v>
      </c>
      <c r="GJ65" s="3">
        <v>0</v>
      </c>
      <c r="GK65" s="3">
        <v>0</v>
      </c>
      <c r="GL65" s="3">
        <f t="shared" si="77"/>
        <v>0</v>
      </c>
      <c r="GM65" s="3">
        <f t="shared" si="78"/>
        <v>7441.76</v>
      </c>
      <c r="GN65" s="3">
        <f t="shared" si="79"/>
        <v>7441.76</v>
      </c>
      <c r="GO65" s="3">
        <f t="shared" si="80"/>
        <v>0</v>
      </c>
      <c r="GP65" s="3">
        <f t="shared" si="81"/>
        <v>0</v>
      </c>
      <c r="GR65" s="3">
        <v>0</v>
      </c>
      <c r="GS65" s="3">
        <v>3</v>
      </c>
      <c r="GT65" s="3">
        <v>0</v>
      </c>
      <c r="GU65" s="3" t="s">
        <v>3</v>
      </c>
      <c r="GV65" s="3">
        <f t="shared" si="82"/>
        <v>0</v>
      </c>
      <c r="GW65" s="3">
        <v>1</v>
      </c>
      <c r="GX65" s="3">
        <f t="shared" si="83"/>
        <v>0</v>
      </c>
      <c r="HA65" s="3">
        <v>0</v>
      </c>
      <c r="HB65" s="3">
        <v>0</v>
      </c>
      <c r="HC65" s="3">
        <f t="shared" si="84"/>
        <v>0</v>
      </c>
      <c r="HE65" s="3" t="s">
        <v>3</v>
      </c>
      <c r="HF65" s="3" t="s">
        <v>3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">
      <c r="A66" s="2">
        <v>17</v>
      </c>
      <c r="B66" s="2">
        <v>1</v>
      </c>
      <c r="C66" s="2">
        <f>ROW(SmtRes!A177)</f>
        <v>177</v>
      </c>
      <c r="D66" s="2">
        <f>ROW(EtalonRes!A221)</f>
        <v>221</v>
      </c>
      <c r="E66" s="2" t="s">
        <v>135</v>
      </c>
      <c r="F66" s="2" t="s">
        <v>82</v>
      </c>
      <c r="G66" s="2" t="s">
        <v>136</v>
      </c>
      <c r="H66" s="2" t="s">
        <v>25</v>
      </c>
      <c r="I66" s="2">
        <f>ROUND(4+4,9)</f>
        <v>8</v>
      </c>
      <c r="J66" s="2">
        <v>0</v>
      </c>
      <c r="K66" s="2">
        <f>ROUND(4+4,9)</f>
        <v>8</v>
      </c>
      <c r="L66" s="2"/>
      <c r="M66" s="2"/>
      <c r="N66" s="2"/>
      <c r="O66" s="2">
        <f t="shared" si="60"/>
        <v>556.86</v>
      </c>
      <c r="P66" s="2">
        <f t="shared" si="61"/>
        <v>22.78</v>
      </c>
      <c r="Q66" s="2">
        <f>(ROUND((ROUND((((ET66*1.2))*AV66*I66),2)*BB66),2)+ROUND((ROUND(((AE66-((EU66*1.2)))*AV66*I66),2)*BS66),2))</f>
        <v>17</v>
      </c>
      <c r="R66" s="2">
        <f>(ROUND((ROUND((((EU66*1.2))*AV66*I66),2)*BS66),2)+ROUND((ROUND(((AE66-((EU66*1.2)))*AV66*I66),2)*BS66),2))</f>
        <v>2.56</v>
      </c>
      <c r="S66" s="2">
        <f t="shared" si="62"/>
        <v>517.08000000000004</v>
      </c>
      <c r="T66" s="2">
        <f t="shared" si="63"/>
        <v>0</v>
      </c>
      <c r="U66" s="2">
        <f t="shared" si="64"/>
        <v>40.972799999999999</v>
      </c>
      <c r="V66" s="2">
        <f t="shared" si="65"/>
        <v>0</v>
      </c>
      <c r="W66" s="2">
        <f t="shared" si="66"/>
        <v>0</v>
      </c>
      <c r="X66" s="2">
        <f>(ROUND((((S66+ROUND((ROUND((((EU66*1.2))*AV66*I66),2)*BS66),2))*AT66)/100),2)+ROUND(((ROUND((ROUND(((AE66-((EU66*1.2)))*AV66*I66),2)*BS66),2)*AT66)/100),2))</f>
        <v>467.68</v>
      </c>
      <c r="Y66" s="2">
        <f>(ROUND((((S66+ROUND((ROUND((((EU66*1.2))*AV66*I66),2)*BS66),2))*AU66)/100),2)+ROUND(((ROUND((ROUND(((AE66-((EU66*1.2)))*AV66*I66),2)*BS66),2)*AU66)/100),2))</f>
        <v>239.03</v>
      </c>
      <c r="Z66" s="2"/>
      <c r="AA66" s="2">
        <v>55747649</v>
      </c>
      <c r="AB66" s="2">
        <f t="shared" si="67"/>
        <v>65.337999999999994</v>
      </c>
      <c r="AC66" s="2">
        <f>ROUND(((ES66*1)),6)</f>
        <v>2.77</v>
      </c>
      <c r="AD66" s="2">
        <f>ROUND(((((ET66*1.2))-((EU66*1.2)))+AE66),6)</f>
        <v>1.992</v>
      </c>
      <c r="AE66" s="2">
        <f>ROUND(((EU66*1.2)),6)</f>
        <v>0.3</v>
      </c>
      <c r="AF66" s="2">
        <f>ROUND(((EV66*1.2)),6)</f>
        <v>60.576000000000001</v>
      </c>
      <c r="AG66" s="2">
        <f t="shared" si="68"/>
        <v>0</v>
      </c>
      <c r="AH66" s="2">
        <f>((EW66*1.2))</f>
        <v>4.8</v>
      </c>
      <c r="AI66" s="2">
        <f>((EX66*1.2))</f>
        <v>0</v>
      </c>
      <c r="AJ66" s="2">
        <f t="shared" si="69"/>
        <v>0</v>
      </c>
      <c r="AK66" s="2">
        <v>54.91</v>
      </c>
      <c r="AL66" s="2">
        <v>2.77</v>
      </c>
      <c r="AM66" s="2">
        <v>1.66</v>
      </c>
      <c r="AN66" s="2">
        <v>0.25</v>
      </c>
      <c r="AO66" s="2">
        <v>50.48</v>
      </c>
      <c r="AP66" s="2">
        <v>0</v>
      </c>
      <c r="AQ66" s="2">
        <v>4</v>
      </c>
      <c r="AR66" s="2">
        <v>0</v>
      </c>
      <c r="AS66" s="2">
        <v>0</v>
      </c>
      <c r="AT66" s="2">
        <v>90</v>
      </c>
      <c r="AU66" s="2">
        <v>46</v>
      </c>
      <c r="AV66" s="2">
        <v>1.0669999999999999</v>
      </c>
      <c r="AW66" s="2">
        <v>1.028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2</v>
      </c>
      <c r="BJ66" s="2" t="s">
        <v>84</v>
      </c>
      <c r="BK66" s="2"/>
      <c r="BL66" s="2"/>
      <c r="BM66" s="2">
        <v>73</v>
      </c>
      <c r="BN66" s="2">
        <v>0</v>
      </c>
      <c r="BO66" s="2" t="s">
        <v>82</v>
      </c>
      <c r="BP66" s="2">
        <v>1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90</v>
      </c>
      <c r="CA66" s="2">
        <v>46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716</v>
      </c>
      <c r="CO66" s="2">
        <v>0</v>
      </c>
      <c r="CP66" s="2">
        <f t="shared" si="70"/>
        <v>556.86</v>
      </c>
      <c r="CQ66" s="2">
        <f t="shared" si="71"/>
        <v>2.85</v>
      </c>
      <c r="CR66" s="2">
        <f>(ROUND((ROUND((((ET66*1.2))*AV66*1),2)*BB66),2)+ROUND((ROUND(((AE66-((EU66*1.2)))*AV66*1),2)*BS66),2))</f>
        <v>2.13</v>
      </c>
      <c r="CS66" s="2">
        <f>(ROUND((ROUND((((EU66*1.2))*AV66*1),2)*BS66),2)+ROUND((ROUND(((AE66-((EU66*1.2)))*AV66*1),2)*BS66),2))</f>
        <v>0.32</v>
      </c>
      <c r="CT66" s="2">
        <f t="shared" si="72"/>
        <v>64.63</v>
      </c>
      <c r="CU66" s="2">
        <f t="shared" si="73"/>
        <v>0</v>
      </c>
      <c r="CV66" s="2">
        <f t="shared" si="74"/>
        <v>5.1215999999999999</v>
      </c>
      <c r="CW66" s="2">
        <f t="shared" si="75"/>
        <v>0</v>
      </c>
      <c r="CX66" s="2">
        <f t="shared" si="76"/>
        <v>0</v>
      </c>
      <c r="CY66" s="2">
        <f>(ROUND((((S66+ROUND((ROUND((((EU66*1.2))*AV66*1),2)*BS66),2))*AT66)/100),2)+ROUND(((ROUND((ROUND(((AE66-((EU66*1.2)))*AV66*1),2)*BS66),2)*AT66)/100),2))</f>
        <v>465.66</v>
      </c>
      <c r="CZ66" s="2">
        <f>(ROUND((((S66+ROUND((ROUND((((EU66*1.2))*AV66*1),2)*BS66),2))*AU66)/100),2)+ROUND(((ROUND((ROUND(((AE66-((EU66*1.2)))*AV66*1),2)*BS66),2)*AU66)/100),2))</f>
        <v>238</v>
      </c>
      <c r="DA66" s="2"/>
      <c r="DB66" s="2">
        <v>37</v>
      </c>
      <c r="DC66" s="2" t="s">
        <v>3</v>
      </c>
      <c r="DD66" s="2" t="s">
        <v>48</v>
      </c>
      <c r="DE66" s="2" t="s">
        <v>49</v>
      </c>
      <c r="DF66" s="2" t="s">
        <v>49</v>
      </c>
      <c r="DG66" s="2" t="s">
        <v>49</v>
      </c>
      <c r="DH66" s="2" t="s">
        <v>3</v>
      </c>
      <c r="DI66" s="2" t="s">
        <v>49</v>
      </c>
      <c r="DJ66" s="2" t="s">
        <v>49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25</v>
      </c>
      <c r="DW66" s="2" t="s">
        <v>25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56938740</v>
      </c>
      <c r="EF66" s="2">
        <v>40</v>
      </c>
      <c r="EG66" s="2" t="s">
        <v>29</v>
      </c>
      <c r="EH66" s="2">
        <v>0</v>
      </c>
      <c r="EI66" s="2" t="s">
        <v>3</v>
      </c>
      <c r="EJ66" s="2">
        <v>2</v>
      </c>
      <c r="EK66" s="2">
        <v>73</v>
      </c>
      <c r="EL66" s="2" t="s">
        <v>85</v>
      </c>
      <c r="EM66" s="2" t="s">
        <v>86</v>
      </c>
      <c r="EN66" s="2"/>
      <c r="EO66" s="2" t="s">
        <v>50</v>
      </c>
      <c r="EP66" s="2"/>
      <c r="EQ66" s="2">
        <v>131072</v>
      </c>
      <c r="ER66" s="2">
        <v>54.91</v>
      </c>
      <c r="ES66" s="2">
        <v>2.77</v>
      </c>
      <c r="ET66" s="2">
        <v>1.66</v>
      </c>
      <c r="EU66" s="2">
        <v>0.25</v>
      </c>
      <c r="EV66" s="2">
        <v>50.48</v>
      </c>
      <c r="EW66" s="2">
        <v>4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2</v>
      </c>
      <c r="FT66" s="2"/>
      <c r="FU66" s="2"/>
      <c r="FV66" s="2"/>
      <c r="FW66" s="2"/>
      <c r="FX66" s="2">
        <v>90</v>
      </c>
      <c r="FY66" s="2">
        <v>46</v>
      </c>
      <c r="FZ66" s="2"/>
      <c r="GA66" s="2" t="s">
        <v>3</v>
      </c>
      <c r="GB66" s="2"/>
      <c r="GC66" s="2"/>
      <c r="GD66" s="2">
        <v>1</v>
      </c>
      <c r="GE66" s="2"/>
      <c r="GF66" s="2">
        <v>-202371068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77"/>
        <v>0</v>
      </c>
      <c r="GM66" s="2">
        <f t="shared" si="78"/>
        <v>1263.57</v>
      </c>
      <c r="GN66" s="2">
        <f t="shared" si="79"/>
        <v>0</v>
      </c>
      <c r="GO66" s="2">
        <f t="shared" si="80"/>
        <v>1263.57</v>
      </c>
      <c r="GP66" s="2">
        <f t="shared" si="81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82"/>
        <v>0</v>
      </c>
      <c r="GW66" s="2">
        <v>1</v>
      </c>
      <c r="GX66" s="2">
        <f t="shared" si="83"/>
        <v>0</v>
      </c>
      <c r="GY66" s="2"/>
      <c r="GZ66" s="2"/>
      <c r="HA66" s="2">
        <v>0</v>
      </c>
      <c r="HB66" s="2">
        <v>0</v>
      </c>
      <c r="HC66" s="2">
        <f t="shared" si="84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 s="3">
        <v>17</v>
      </c>
      <c r="B67" s="3">
        <v>1</v>
      </c>
      <c r="C67" s="3">
        <f>ROW(SmtRes!A182)</f>
        <v>182</v>
      </c>
      <c r="D67" s="3">
        <f>ROW(EtalonRes!A226)</f>
        <v>226</v>
      </c>
      <c r="E67" s="3" t="s">
        <v>135</v>
      </c>
      <c r="F67" s="3" t="s">
        <v>82</v>
      </c>
      <c r="G67" s="3" t="s">
        <v>136</v>
      </c>
      <c r="H67" s="3" t="s">
        <v>25</v>
      </c>
      <c r="I67" s="3">
        <f>ROUND(4+4,9)</f>
        <v>8</v>
      </c>
      <c r="J67" s="3">
        <v>0</v>
      </c>
      <c r="K67" s="3">
        <f>ROUND(4+4,9)</f>
        <v>8</v>
      </c>
      <c r="O67" s="3">
        <f t="shared" si="60"/>
        <v>29530.5</v>
      </c>
      <c r="P67" s="3">
        <f t="shared" si="61"/>
        <v>102.51</v>
      </c>
      <c r="Q67" s="3">
        <f>(ROUND((ROUND((((ET67*1.2))*AV67*I67),2)*BB67),2)+ROUND((ROUND(((AE67-((EU67*1.2)))*AV67*I67),2)*BS67),2))</f>
        <v>290.52999999999997</v>
      </c>
      <c r="R67" s="3">
        <f>(ROUND((ROUND((((EU67*1.2))*AV67*I67),2)*BS67),2)+ROUND((ROUND(((AE67-((EU67*1.2)))*AV67*I67),2)*BS67),2))</f>
        <v>144.26</v>
      </c>
      <c r="S67" s="3">
        <f t="shared" si="62"/>
        <v>29137.46</v>
      </c>
      <c r="T67" s="3">
        <f t="shared" si="63"/>
        <v>0</v>
      </c>
      <c r="U67" s="3">
        <f t="shared" si="64"/>
        <v>40.972799999999999</v>
      </c>
      <c r="V67" s="3">
        <f t="shared" si="65"/>
        <v>0</v>
      </c>
      <c r="W67" s="3">
        <f t="shared" si="66"/>
        <v>0</v>
      </c>
      <c r="X67" s="3">
        <f>(ROUND((((S67+ROUND((ROUND((((EU67*1.2))*AV67*I67),2)*BS67),2))*AT67)/100),2)+ROUND(((ROUND((ROUND(((AE67-((EU67*1.2)))*AV67*I67),2)*BS67),2)*AT67)/100),2))</f>
        <v>26353.55</v>
      </c>
      <c r="Y67" s="3">
        <f>(ROUND((((S67+ROUND((ROUND((((EU67*1.2))*AV67*I67),2)*BS67),2))*AU67)/100),2)+ROUND(((ROUND((ROUND(((AE67-((EU67*1.2)))*AV67*I67),2)*BS67),2)*AU67)/100),2))</f>
        <v>13469.59</v>
      </c>
      <c r="AA67" s="3">
        <v>55747651</v>
      </c>
      <c r="AB67" s="3">
        <f t="shared" si="67"/>
        <v>65.337999999999994</v>
      </c>
      <c r="AC67" s="3">
        <f>ROUND(((ES67*1)),6)</f>
        <v>2.77</v>
      </c>
      <c r="AD67" s="3">
        <f>ROUND(((((ET67*1.2))-((EU67*1.2)))+AE67),6)</f>
        <v>1.992</v>
      </c>
      <c r="AE67" s="3">
        <f>ROUND(((EU67*1.2)),6)</f>
        <v>0.3</v>
      </c>
      <c r="AF67" s="3">
        <f>ROUND(((EV67*1.2)),6)</f>
        <v>60.576000000000001</v>
      </c>
      <c r="AG67" s="3">
        <f t="shared" si="68"/>
        <v>0</v>
      </c>
      <c r="AH67" s="3">
        <f>((EW67*1.2))</f>
        <v>4.8</v>
      </c>
      <c r="AI67" s="3">
        <f>((EX67*1.2))</f>
        <v>0</v>
      </c>
      <c r="AJ67" s="3">
        <f t="shared" si="69"/>
        <v>0</v>
      </c>
      <c r="AK67" s="3">
        <v>54.91</v>
      </c>
      <c r="AL67" s="3">
        <v>2.77</v>
      </c>
      <c r="AM67" s="3">
        <v>1.66</v>
      </c>
      <c r="AN67" s="3">
        <v>0.25</v>
      </c>
      <c r="AO67" s="3">
        <v>50.48</v>
      </c>
      <c r="AP67" s="3">
        <v>0</v>
      </c>
      <c r="AQ67" s="3">
        <v>4</v>
      </c>
      <c r="AR67" s="3">
        <v>0</v>
      </c>
      <c r="AS67" s="3">
        <v>0</v>
      </c>
      <c r="AT67" s="3">
        <v>90</v>
      </c>
      <c r="AU67" s="3">
        <v>46</v>
      </c>
      <c r="AV67" s="3">
        <v>1.0669999999999999</v>
      </c>
      <c r="AW67" s="3">
        <v>1.028</v>
      </c>
      <c r="AZ67" s="3">
        <v>1</v>
      </c>
      <c r="BA67" s="3">
        <v>56.35</v>
      </c>
      <c r="BB67" s="3">
        <v>17.09</v>
      </c>
      <c r="BC67" s="3">
        <v>4.5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2</v>
      </c>
      <c r="BJ67" s="3" t="s">
        <v>84</v>
      </c>
      <c r="BM67" s="3">
        <v>73</v>
      </c>
      <c r="BN67" s="3">
        <v>0</v>
      </c>
      <c r="BO67" s="3" t="s">
        <v>82</v>
      </c>
      <c r="BP67" s="3">
        <v>1</v>
      </c>
      <c r="BQ67" s="3">
        <v>40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90</v>
      </c>
      <c r="CA67" s="3">
        <v>46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716</v>
      </c>
      <c r="CO67" s="3">
        <v>0</v>
      </c>
      <c r="CP67" s="3">
        <f t="shared" si="70"/>
        <v>29530.5</v>
      </c>
      <c r="CQ67" s="3">
        <f t="shared" si="71"/>
        <v>12.83</v>
      </c>
      <c r="CR67" s="3">
        <f>(ROUND((ROUND((((ET67*1.2))*AV67*1),2)*BB67),2)+ROUND((ROUND(((AE67-((EU67*1.2)))*AV67*1),2)*BS67),2))</f>
        <v>36.4</v>
      </c>
      <c r="CS67" s="3">
        <f>(ROUND((ROUND((((EU67*1.2))*AV67*1),2)*BS67),2)+ROUND((ROUND(((AE67-((EU67*1.2)))*AV67*1),2)*BS67),2))</f>
        <v>18.03</v>
      </c>
      <c r="CT67" s="3">
        <f t="shared" si="72"/>
        <v>3641.9</v>
      </c>
      <c r="CU67" s="3">
        <f t="shared" si="73"/>
        <v>0</v>
      </c>
      <c r="CV67" s="3">
        <f t="shared" si="74"/>
        <v>5.1215999999999999</v>
      </c>
      <c r="CW67" s="3">
        <f t="shared" si="75"/>
        <v>0</v>
      </c>
      <c r="CX67" s="3">
        <f t="shared" si="76"/>
        <v>0</v>
      </c>
      <c r="CY67" s="3">
        <f>(ROUND((((S67+ROUND((ROUND((((EU67*1.2))*AV67*1),2)*BS67),2))*AT67)/100),2)+ROUND(((ROUND((ROUND(((AE67-((EU67*1.2)))*AV67*1),2)*BS67),2)*AT67)/100),2))</f>
        <v>26239.94</v>
      </c>
      <c r="CZ67" s="3">
        <f>(ROUND((((S67+ROUND((ROUND((((EU67*1.2))*AV67*1),2)*BS67),2))*AU67)/100),2)+ROUND(((ROUND((ROUND(((AE67-((EU67*1.2)))*AV67*1),2)*BS67),2)*AU67)/100),2))</f>
        <v>13411.53</v>
      </c>
      <c r="DB67" s="3">
        <v>38</v>
      </c>
      <c r="DC67" s="3" t="s">
        <v>3</v>
      </c>
      <c r="DD67" s="3" t="s">
        <v>48</v>
      </c>
      <c r="DE67" s="3" t="s">
        <v>49</v>
      </c>
      <c r="DF67" s="3" t="s">
        <v>49</v>
      </c>
      <c r="DG67" s="3" t="s">
        <v>49</v>
      </c>
      <c r="DH67" s="3" t="s">
        <v>3</v>
      </c>
      <c r="DI67" s="3" t="s">
        <v>49</v>
      </c>
      <c r="DJ67" s="3" t="s">
        <v>49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25</v>
      </c>
      <c r="DW67" s="3" t="s">
        <v>25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56938740</v>
      </c>
      <c r="EF67" s="3">
        <v>40</v>
      </c>
      <c r="EG67" s="3" t="s">
        <v>29</v>
      </c>
      <c r="EH67" s="3">
        <v>0</v>
      </c>
      <c r="EI67" s="3" t="s">
        <v>3</v>
      </c>
      <c r="EJ67" s="3">
        <v>2</v>
      </c>
      <c r="EK67" s="3">
        <v>73</v>
      </c>
      <c r="EL67" s="3" t="s">
        <v>85</v>
      </c>
      <c r="EM67" s="3" t="s">
        <v>86</v>
      </c>
      <c r="EO67" s="3" t="s">
        <v>50</v>
      </c>
      <c r="EQ67" s="3">
        <v>131072</v>
      </c>
      <c r="ER67" s="3">
        <v>54.91</v>
      </c>
      <c r="ES67" s="3">
        <v>2.77</v>
      </c>
      <c r="ET67" s="3">
        <v>1.66</v>
      </c>
      <c r="EU67" s="3">
        <v>0.25</v>
      </c>
      <c r="EV67" s="3">
        <v>50.48</v>
      </c>
      <c r="EW67" s="3">
        <v>4</v>
      </c>
      <c r="EX67" s="3">
        <v>0</v>
      </c>
      <c r="EY67" s="3">
        <v>0</v>
      </c>
      <c r="FQ67" s="3">
        <v>0</v>
      </c>
      <c r="FR67" s="3">
        <v>0</v>
      </c>
      <c r="FS67" s="3">
        <v>2</v>
      </c>
      <c r="FX67" s="3">
        <v>90</v>
      </c>
      <c r="FY67" s="3">
        <v>46</v>
      </c>
      <c r="GA67" s="3" t="s">
        <v>3</v>
      </c>
      <c r="GD67" s="3">
        <v>1</v>
      </c>
      <c r="GF67" s="3">
        <v>-202371068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77"/>
        <v>0</v>
      </c>
      <c r="GM67" s="3">
        <f t="shared" si="78"/>
        <v>69353.64</v>
      </c>
      <c r="GN67" s="3">
        <f t="shared" si="79"/>
        <v>0</v>
      </c>
      <c r="GO67" s="3">
        <f t="shared" si="80"/>
        <v>69353.64</v>
      </c>
      <c r="GP67" s="3">
        <f t="shared" si="81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82"/>
        <v>0</v>
      </c>
      <c r="GW67" s="3">
        <v>1</v>
      </c>
      <c r="GX67" s="3">
        <f t="shared" si="83"/>
        <v>0</v>
      </c>
      <c r="HA67" s="3">
        <v>0</v>
      </c>
      <c r="HB67" s="3">
        <v>0</v>
      </c>
      <c r="HC67" s="3">
        <f t="shared" si="84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">
      <c r="A68" s="2">
        <v>18</v>
      </c>
      <c r="B68" s="2">
        <v>1</v>
      </c>
      <c r="C68" s="2">
        <v>176</v>
      </c>
      <c r="D68" s="2"/>
      <c r="E68" s="2" t="s">
        <v>137</v>
      </c>
      <c r="F68" s="2" t="s">
        <v>138</v>
      </c>
      <c r="G68" s="2" t="s">
        <v>139</v>
      </c>
      <c r="H68" s="2" t="s">
        <v>118</v>
      </c>
      <c r="I68" s="2">
        <f>I66*J68</f>
        <v>4</v>
      </c>
      <c r="J68" s="2">
        <v>0.5</v>
      </c>
      <c r="K68" s="2">
        <v>0.5</v>
      </c>
      <c r="L68" s="2"/>
      <c r="M68" s="2"/>
      <c r="N68" s="2"/>
      <c r="O68" s="2">
        <f t="shared" si="60"/>
        <v>12121.96</v>
      </c>
      <c r="P68" s="2">
        <f t="shared" si="61"/>
        <v>12121.96</v>
      </c>
      <c r="Q68" s="2">
        <f t="shared" ref="Q68:Q73" si="87">(ROUND((ROUND(((ET68)*AV68*I68),2)*BB68),2)+ROUND((ROUND(((AE68-(EU68))*AV68*I68),2)*BS68),2))</f>
        <v>0</v>
      </c>
      <c r="R68" s="2">
        <f t="shared" ref="R68:R73" si="88">(ROUND((ROUND(((EU68)*AV68*I68),2)*BS68),2)+ROUND((ROUND(((AE68-(EU68))*AV68*I68),2)*BS68),2))</f>
        <v>0</v>
      </c>
      <c r="S68" s="2">
        <f t="shared" si="62"/>
        <v>0</v>
      </c>
      <c r="T68" s="2">
        <f t="shared" si="63"/>
        <v>0</v>
      </c>
      <c r="U68" s="2">
        <f t="shared" si="64"/>
        <v>0</v>
      </c>
      <c r="V68" s="2">
        <f t="shared" si="65"/>
        <v>0</v>
      </c>
      <c r="W68" s="2">
        <f t="shared" si="66"/>
        <v>0</v>
      </c>
      <c r="X68" s="2">
        <f t="shared" ref="X68:X73" si="89">(ROUND((((S68+ROUND((ROUND(((EU68)*AV68*I68),2)*BS68),2))*AT68)/100),2)+ROUND(((ROUND((ROUND(((AE68-(EU68))*AV68*I68),2)*BS68),2)*AT68)/100),2))</f>
        <v>0</v>
      </c>
      <c r="Y68" s="2">
        <f t="shared" ref="Y68:Y73" si="90">(ROUND((((S68+ROUND((ROUND(((EU68)*AV68*I68),2)*BS68),2))*AU68)/100),2)+ROUND(((ROUND((ROUND(((AE68-(EU68))*AV68*I68),2)*BS68),2)*AU68)/100),2))</f>
        <v>0</v>
      </c>
      <c r="Z68" s="2"/>
      <c r="AA68" s="2">
        <v>55747649</v>
      </c>
      <c r="AB68" s="2">
        <f t="shared" si="67"/>
        <v>3030.49</v>
      </c>
      <c r="AC68" s="2">
        <f t="shared" ref="AC68:AC73" si="91">ROUND((ES68),6)</f>
        <v>3030.49</v>
      </c>
      <c r="AD68" s="2">
        <f t="shared" ref="AD68:AD73" si="92">ROUND((((ET68)-(EU68))+AE68),6)</f>
        <v>0</v>
      </c>
      <c r="AE68" s="2">
        <f t="shared" ref="AE68:AF73" si="93">ROUND((EU68),6)</f>
        <v>0</v>
      </c>
      <c r="AF68" s="2">
        <f t="shared" si="93"/>
        <v>0</v>
      </c>
      <c r="AG68" s="2">
        <f t="shared" si="68"/>
        <v>0</v>
      </c>
      <c r="AH68" s="2">
        <f t="shared" ref="AH68:AI73" si="94">(EW68)</f>
        <v>0</v>
      </c>
      <c r="AI68" s="2">
        <f t="shared" si="94"/>
        <v>0</v>
      </c>
      <c r="AJ68" s="2">
        <f t="shared" si="69"/>
        <v>0</v>
      </c>
      <c r="AK68" s="2">
        <v>3030.49</v>
      </c>
      <c r="AL68" s="2">
        <v>3030.49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90</v>
      </c>
      <c r="AU68" s="2">
        <v>46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2</v>
      </c>
      <c r="BJ68" s="2" t="s">
        <v>140</v>
      </c>
      <c r="BK68" s="2"/>
      <c r="BL68" s="2"/>
      <c r="BM68" s="2">
        <v>73</v>
      </c>
      <c r="BN68" s="2">
        <v>0</v>
      </c>
      <c r="BO68" s="2" t="s">
        <v>3</v>
      </c>
      <c r="BP68" s="2">
        <v>0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90</v>
      </c>
      <c r="CA68" s="2">
        <v>46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70"/>
        <v>12121.96</v>
      </c>
      <c r="CQ68" s="2">
        <f t="shared" si="71"/>
        <v>3030.49</v>
      </c>
      <c r="CR68" s="2">
        <f t="shared" ref="CR68:CR73" si="95">(ROUND((ROUND(((ET68)*AV68*1),2)*BB68),2)+ROUND((ROUND(((AE68-(EU68))*AV68*1),2)*BS68),2))</f>
        <v>0</v>
      </c>
      <c r="CS68" s="2">
        <f t="shared" ref="CS68:CS73" si="96">(ROUND((ROUND(((EU68)*AV68*1),2)*BS68),2)+ROUND((ROUND(((AE68-(EU68))*AV68*1),2)*BS68),2))</f>
        <v>0</v>
      </c>
      <c r="CT68" s="2">
        <f t="shared" si="72"/>
        <v>0</v>
      </c>
      <c r="CU68" s="2">
        <f t="shared" si="73"/>
        <v>0</v>
      </c>
      <c r="CV68" s="2">
        <f t="shared" si="74"/>
        <v>0</v>
      </c>
      <c r="CW68" s="2">
        <f t="shared" si="75"/>
        <v>0</v>
      </c>
      <c r="CX68" s="2">
        <f t="shared" si="76"/>
        <v>0</v>
      </c>
      <c r="CY68" s="2">
        <f t="shared" ref="CY68:CY73" si="97">(ROUND((((S68+ROUND((ROUND(((EU68)*AV68*1),2)*BS68),2))*AT68)/100),2)+ROUND(((ROUND((ROUND(((AE68-(EU68))*AV68*1),2)*BS68),2)*AT68)/100),2))</f>
        <v>0</v>
      </c>
      <c r="CZ68" s="2">
        <f t="shared" ref="CZ68:CZ73" si="98">(ROUND((((S68+ROUND((ROUND(((EU68)*AV68*1),2)*BS68),2))*AU68)/100),2)+ROUND(((ROUND((ROUND(((AE68-(EU68))*AV68*1),2)*BS68),2)*AU68)/100),2))</f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118</v>
      </c>
      <c r="DW68" s="2" t="s">
        <v>118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56938740</v>
      </c>
      <c r="EF68" s="2">
        <v>40</v>
      </c>
      <c r="EG68" s="2" t="s">
        <v>29</v>
      </c>
      <c r="EH68" s="2">
        <v>0</v>
      </c>
      <c r="EI68" s="2" t="s">
        <v>3</v>
      </c>
      <c r="EJ68" s="2">
        <v>2</v>
      </c>
      <c r="EK68" s="2">
        <v>73</v>
      </c>
      <c r="EL68" s="2" t="s">
        <v>85</v>
      </c>
      <c r="EM68" s="2" t="s">
        <v>86</v>
      </c>
      <c r="EN68" s="2"/>
      <c r="EO68" s="2" t="s">
        <v>3</v>
      </c>
      <c r="EP68" s="2"/>
      <c r="EQ68" s="2">
        <v>0</v>
      </c>
      <c r="ER68" s="2">
        <v>3030.49</v>
      </c>
      <c r="ES68" s="2">
        <v>3030.49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90</v>
      </c>
      <c r="FY68" s="2">
        <v>46</v>
      </c>
      <c r="FZ68" s="2"/>
      <c r="GA68" s="2" t="s">
        <v>3</v>
      </c>
      <c r="GB68" s="2"/>
      <c r="GC68" s="2"/>
      <c r="GD68" s="2">
        <v>1</v>
      </c>
      <c r="GE68" s="2"/>
      <c r="GF68" s="2">
        <v>-1962529768</v>
      </c>
      <c r="GG68" s="2">
        <v>2</v>
      </c>
      <c r="GH68" s="2">
        <v>1</v>
      </c>
      <c r="GI68" s="2">
        <v>-2</v>
      </c>
      <c r="GJ68" s="2">
        <v>0</v>
      </c>
      <c r="GK68" s="2">
        <v>0</v>
      </c>
      <c r="GL68" s="2">
        <f t="shared" si="77"/>
        <v>0</v>
      </c>
      <c r="GM68" s="2">
        <f t="shared" si="78"/>
        <v>12121.96</v>
      </c>
      <c r="GN68" s="2">
        <f t="shared" si="79"/>
        <v>0</v>
      </c>
      <c r="GO68" s="2">
        <f t="shared" si="80"/>
        <v>12121.96</v>
      </c>
      <c r="GP68" s="2">
        <f t="shared" si="81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82"/>
        <v>0</v>
      </c>
      <c r="GW68" s="2">
        <v>1</v>
      </c>
      <c r="GX68" s="2">
        <f t="shared" si="83"/>
        <v>0</v>
      </c>
      <c r="GY68" s="2"/>
      <c r="GZ68" s="2"/>
      <c r="HA68" s="2">
        <v>0</v>
      </c>
      <c r="HB68" s="2">
        <v>0</v>
      </c>
      <c r="HC68" s="2">
        <f t="shared" si="84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 s="3">
        <v>18</v>
      </c>
      <c r="B69" s="3">
        <v>1</v>
      </c>
      <c r="C69" s="3">
        <v>181</v>
      </c>
      <c r="E69" s="3" t="s">
        <v>137</v>
      </c>
      <c r="F69" s="3" t="s">
        <v>138</v>
      </c>
      <c r="G69" s="3" t="s">
        <v>139</v>
      </c>
      <c r="H69" s="3" t="s">
        <v>118</v>
      </c>
      <c r="I69" s="3">
        <f>I67*J69</f>
        <v>4</v>
      </c>
      <c r="J69" s="3">
        <v>0.5</v>
      </c>
      <c r="K69" s="3">
        <v>0.5</v>
      </c>
      <c r="O69" s="3">
        <f t="shared" si="60"/>
        <v>75762.25</v>
      </c>
      <c r="P69" s="3">
        <f t="shared" si="61"/>
        <v>75762.25</v>
      </c>
      <c r="Q69" s="3">
        <f t="shared" si="87"/>
        <v>0</v>
      </c>
      <c r="R69" s="3">
        <f t="shared" si="88"/>
        <v>0</v>
      </c>
      <c r="S69" s="3">
        <f t="shared" si="62"/>
        <v>0</v>
      </c>
      <c r="T69" s="3">
        <f t="shared" si="63"/>
        <v>0</v>
      </c>
      <c r="U69" s="3">
        <f t="shared" si="64"/>
        <v>0</v>
      </c>
      <c r="V69" s="3">
        <f t="shared" si="65"/>
        <v>0</v>
      </c>
      <c r="W69" s="3">
        <f t="shared" si="66"/>
        <v>0</v>
      </c>
      <c r="X69" s="3">
        <f t="shared" si="89"/>
        <v>0</v>
      </c>
      <c r="Y69" s="3">
        <f t="shared" si="90"/>
        <v>0</v>
      </c>
      <c r="AA69" s="3">
        <v>55747651</v>
      </c>
      <c r="AB69" s="3">
        <f t="shared" si="67"/>
        <v>3030.49</v>
      </c>
      <c r="AC69" s="3">
        <f t="shared" si="91"/>
        <v>3030.49</v>
      </c>
      <c r="AD69" s="3">
        <f t="shared" si="92"/>
        <v>0</v>
      </c>
      <c r="AE69" s="3">
        <f t="shared" si="93"/>
        <v>0</v>
      </c>
      <c r="AF69" s="3">
        <f t="shared" si="93"/>
        <v>0</v>
      </c>
      <c r="AG69" s="3">
        <f t="shared" si="68"/>
        <v>0</v>
      </c>
      <c r="AH69" s="3">
        <f t="shared" si="94"/>
        <v>0</v>
      </c>
      <c r="AI69" s="3">
        <f t="shared" si="94"/>
        <v>0</v>
      </c>
      <c r="AJ69" s="3">
        <f t="shared" si="69"/>
        <v>0</v>
      </c>
      <c r="AK69" s="3">
        <v>3030.49</v>
      </c>
      <c r="AL69" s="3">
        <v>3030.49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90</v>
      </c>
      <c r="AU69" s="3">
        <v>46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6.25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2</v>
      </c>
      <c r="BJ69" s="3" t="s">
        <v>140</v>
      </c>
      <c r="BM69" s="3">
        <v>73</v>
      </c>
      <c r="BN69" s="3">
        <v>0</v>
      </c>
      <c r="BO69" s="3" t="s">
        <v>138</v>
      </c>
      <c r="BP69" s="3">
        <v>1</v>
      </c>
      <c r="BQ69" s="3">
        <v>40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90</v>
      </c>
      <c r="CA69" s="3">
        <v>46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70"/>
        <v>75762.25</v>
      </c>
      <c r="CQ69" s="3">
        <f t="shared" si="71"/>
        <v>18940.560000000001</v>
      </c>
      <c r="CR69" s="3">
        <f t="shared" si="95"/>
        <v>0</v>
      </c>
      <c r="CS69" s="3">
        <f t="shared" si="96"/>
        <v>0</v>
      </c>
      <c r="CT69" s="3">
        <f t="shared" si="72"/>
        <v>0</v>
      </c>
      <c r="CU69" s="3">
        <f t="shared" si="73"/>
        <v>0</v>
      </c>
      <c r="CV69" s="3">
        <f t="shared" si="74"/>
        <v>0</v>
      </c>
      <c r="CW69" s="3">
        <f t="shared" si="75"/>
        <v>0</v>
      </c>
      <c r="CX69" s="3">
        <f t="shared" si="76"/>
        <v>0</v>
      </c>
      <c r="CY69" s="3">
        <f t="shared" si="97"/>
        <v>0</v>
      </c>
      <c r="CZ69" s="3">
        <f t="shared" si="98"/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1010</v>
      </c>
      <c r="DV69" s="3" t="s">
        <v>118</v>
      </c>
      <c r="DW69" s="3" t="s">
        <v>118</v>
      </c>
      <c r="DX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56938740</v>
      </c>
      <c r="EF69" s="3">
        <v>40</v>
      </c>
      <c r="EG69" s="3" t="s">
        <v>29</v>
      </c>
      <c r="EH69" s="3">
        <v>0</v>
      </c>
      <c r="EI69" s="3" t="s">
        <v>3</v>
      </c>
      <c r="EJ69" s="3">
        <v>2</v>
      </c>
      <c r="EK69" s="3">
        <v>73</v>
      </c>
      <c r="EL69" s="3" t="s">
        <v>85</v>
      </c>
      <c r="EM69" s="3" t="s">
        <v>86</v>
      </c>
      <c r="EO69" s="3" t="s">
        <v>3</v>
      </c>
      <c r="EQ69" s="3">
        <v>0</v>
      </c>
      <c r="ER69" s="3">
        <v>3030.49</v>
      </c>
      <c r="ES69" s="3">
        <v>3030.49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FQ69" s="3">
        <v>0</v>
      </c>
      <c r="FR69" s="3">
        <v>0</v>
      </c>
      <c r="FS69" s="3">
        <v>0</v>
      </c>
      <c r="FX69" s="3">
        <v>90</v>
      </c>
      <c r="FY69" s="3">
        <v>46</v>
      </c>
      <c r="GA69" s="3" t="s">
        <v>3</v>
      </c>
      <c r="GD69" s="3">
        <v>1</v>
      </c>
      <c r="GF69" s="3">
        <v>-1962529768</v>
      </c>
      <c r="GG69" s="3">
        <v>2</v>
      </c>
      <c r="GH69" s="3">
        <v>1</v>
      </c>
      <c r="GI69" s="3">
        <v>2</v>
      </c>
      <c r="GJ69" s="3">
        <v>0</v>
      </c>
      <c r="GK69" s="3">
        <v>0</v>
      </c>
      <c r="GL69" s="3">
        <f t="shared" si="77"/>
        <v>0</v>
      </c>
      <c r="GM69" s="3">
        <f t="shared" si="78"/>
        <v>75762.25</v>
      </c>
      <c r="GN69" s="3">
        <f t="shared" si="79"/>
        <v>0</v>
      </c>
      <c r="GO69" s="3">
        <f t="shared" si="80"/>
        <v>75762.25</v>
      </c>
      <c r="GP69" s="3">
        <f t="shared" si="81"/>
        <v>0</v>
      </c>
      <c r="GR69" s="3">
        <v>0</v>
      </c>
      <c r="GS69" s="3">
        <v>3</v>
      </c>
      <c r="GT69" s="3">
        <v>0</v>
      </c>
      <c r="GU69" s="3" t="s">
        <v>3</v>
      </c>
      <c r="GV69" s="3">
        <f t="shared" si="82"/>
        <v>0</v>
      </c>
      <c r="GW69" s="3">
        <v>1</v>
      </c>
      <c r="GX69" s="3">
        <f t="shared" si="83"/>
        <v>0</v>
      </c>
      <c r="HA69" s="3">
        <v>0</v>
      </c>
      <c r="HB69" s="3">
        <v>0</v>
      </c>
      <c r="HC69" s="3">
        <f t="shared" si="84"/>
        <v>0</v>
      </c>
      <c r="HE69" s="3" t="s">
        <v>3</v>
      </c>
      <c r="HF69" s="3" t="s">
        <v>3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">
      <c r="A70" s="2">
        <v>18</v>
      </c>
      <c r="B70" s="2">
        <v>1</v>
      </c>
      <c r="C70" s="2">
        <v>177</v>
      </c>
      <c r="D70" s="2"/>
      <c r="E70" s="2" t="s">
        <v>141</v>
      </c>
      <c r="F70" s="2" t="s">
        <v>142</v>
      </c>
      <c r="G70" s="2" t="s">
        <v>143</v>
      </c>
      <c r="H70" s="2" t="s">
        <v>118</v>
      </c>
      <c r="I70" s="2">
        <f>I66*J70</f>
        <v>4</v>
      </c>
      <c r="J70" s="2">
        <v>0.5</v>
      </c>
      <c r="K70" s="2">
        <v>0.5</v>
      </c>
      <c r="L70" s="2"/>
      <c r="M70" s="2"/>
      <c r="N70" s="2"/>
      <c r="O70" s="2">
        <f t="shared" si="60"/>
        <v>7897.72</v>
      </c>
      <c r="P70" s="2">
        <f t="shared" si="61"/>
        <v>7897.72</v>
      </c>
      <c r="Q70" s="2">
        <f t="shared" si="87"/>
        <v>0</v>
      </c>
      <c r="R70" s="2">
        <f t="shared" si="88"/>
        <v>0</v>
      </c>
      <c r="S70" s="2">
        <f t="shared" si="62"/>
        <v>0</v>
      </c>
      <c r="T70" s="2">
        <f t="shared" si="63"/>
        <v>0</v>
      </c>
      <c r="U70" s="2">
        <f t="shared" si="64"/>
        <v>0</v>
      </c>
      <c r="V70" s="2">
        <f t="shared" si="65"/>
        <v>0</v>
      </c>
      <c r="W70" s="2">
        <f t="shared" si="66"/>
        <v>0</v>
      </c>
      <c r="X70" s="2">
        <f t="shared" si="89"/>
        <v>0</v>
      </c>
      <c r="Y70" s="2">
        <f t="shared" si="90"/>
        <v>0</v>
      </c>
      <c r="Z70" s="2"/>
      <c r="AA70" s="2">
        <v>55747649</v>
      </c>
      <c r="AB70" s="2">
        <f t="shared" si="67"/>
        <v>1974.43</v>
      </c>
      <c r="AC70" s="2">
        <f t="shared" si="91"/>
        <v>1974.43</v>
      </c>
      <c r="AD70" s="2">
        <f t="shared" si="92"/>
        <v>0</v>
      </c>
      <c r="AE70" s="2">
        <f t="shared" si="93"/>
        <v>0</v>
      </c>
      <c r="AF70" s="2">
        <f t="shared" si="93"/>
        <v>0</v>
      </c>
      <c r="AG70" s="2">
        <f t="shared" si="68"/>
        <v>0</v>
      </c>
      <c r="AH70" s="2">
        <f t="shared" si="94"/>
        <v>0</v>
      </c>
      <c r="AI70" s="2">
        <f t="shared" si="94"/>
        <v>0</v>
      </c>
      <c r="AJ70" s="2">
        <f t="shared" si="69"/>
        <v>0</v>
      </c>
      <c r="AK70" s="2">
        <v>1974.43</v>
      </c>
      <c r="AL70" s="2">
        <v>1974.43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90</v>
      </c>
      <c r="AU70" s="2">
        <v>46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2</v>
      </c>
      <c r="BJ70" s="2" t="s">
        <v>144</v>
      </c>
      <c r="BK70" s="2"/>
      <c r="BL70" s="2"/>
      <c r="BM70" s="2">
        <v>73</v>
      </c>
      <c r="BN70" s="2">
        <v>0</v>
      </c>
      <c r="BO70" s="2" t="s">
        <v>3</v>
      </c>
      <c r="BP70" s="2">
        <v>0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90</v>
      </c>
      <c r="CA70" s="2">
        <v>46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70"/>
        <v>7897.72</v>
      </c>
      <c r="CQ70" s="2">
        <f t="shared" si="71"/>
        <v>1974.43</v>
      </c>
      <c r="CR70" s="2">
        <f t="shared" si="95"/>
        <v>0</v>
      </c>
      <c r="CS70" s="2">
        <f t="shared" si="96"/>
        <v>0</v>
      </c>
      <c r="CT70" s="2">
        <f t="shared" si="72"/>
        <v>0</v>
      </c>
      <c r="CU70" s="2">
        <f t="shared" si="73"/>
        <v>0</v>
      </c>
      <c r="CV70" s="2">
        <f t="shared" si="74"/>
        <v>0</v>
      </c>
      <c r="CW70" s="2">
        <f t="shared" si="75"/>
        <v>0</v>
      </c>
      <c r="CX70" s="2">
        <f t="shared" si="76"/>
        <v>0</v>
      </c>
      <c r="CY70" s="2">
        <f t="shared" si="97"/>
        <v>0</v>
      </c>
      <c r="CZ70" s="2">
        <f t="shared" si="98"/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1010</v>
      </c>
      <c r="DV70" s="2" t="s">
        <v>118</v>
      </c>
      <c r="DW70" s="2" t="s">
        <v>118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56938740</v>
      </c>
      <c r="EF70" s="2">
        <v>40</v>
      </c>
      <c r="EG70" s="2" t="s">
        <v>29</v>
      </c>
      <c r="EH70" s="2">
        <v>0</v>
      </c>
      <c r="EI70" s="2" t="s">
        <v>3</v>
      </c>
      <c r="EJ70" s="2">
        <v>2</v>
      </c>
      <c r="EK70" s="2">
        <v>73</v>
      </c>
      <c r="EL70" s="2" t="s">
        <v>85</v>
      </c>
      <c r="EM70" s="2" t="s">
        <v>86</v>
      </c>
      <c r="EN70" s="2"/>
      <c r="EO70" s="2" t="s">
        <v>3</v>
      </c>
      <c r="EP70" s="2"/>
      <c r="EQ70" s="2">
        <v>0</v>
      </c>
      <c r="ER70" s="2">
        <v>1974.43</v>
      </c>
      <c r="ES70" s="2">
        <v>1974.43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90</v>
      </c>
      <c r="FY70" s="2">
        <v>46</v>
      </c>
      <c r="FZ70" s="2"/>
      <c r="GA70" s="2" t="s">
        <v>3</v>
      </c>
      <c r="GB70" s="2"/>
      <c r="GC70" s="2"/>
      <c r="GD70" s="2">
        <v>1</v>
      </c>
      <c r="GE70" s="2"/>
      <c r="GF70" s="2">
        <v>-2105799508</v>
      </c>
      <c r="GG70" s="2">
        <v>2</v>
      </c>
      <c r="GH70" s="2">
        <v>1</v>
      </c>
      <c r="GI70" s="2">
        <v>-2</v>
      </c>
      <c r="GJ70" s="2">
        <v>0</v>
      </c>
      <c r="GK70" s="2">
        <v>0</v>
      </c>
      <c r="GL70" s="2">
        <f t="shared" si="77"/>
        <v>0</v>
      </c>
      <c r="GM70" s="2">
        <f t="shared" si="78"/>
        <v>7897.72</v>
      </c>
      <c r="GN70" s="2">
        <f t="shared" si="79"/>
        <v>0</v>
      </c>
      <c r="GO70" s="2">
        <f t="shared" si="80"/>
        <v>7897.72</v>
      </c>
      <c r="GP70" s="2">
        <f t="shared" si="81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82"/>
        <v>0</v>
      </c>
      <c r="GW70" s="2">
        <v>1</v>
      </c>
      <c r="GX70" s="2">
        <f t="shared" si="83"/>
        <v>0</v>
      </c>
      <c r="GY70" s="2"/>
      <c r="GZ70" s="2"/>
      <c r="HA70" s="2">
        <v>0</v>
      </c>
      <c r="HB70" s="2">
        <v>0</v>
      </c>
      <c r="HC70" s="2">
        <f t="shared" si="84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 s="3">
        <v>18</v>
      </c>
      <c r="B71" s="3">
        <v>1</v>
      </c>
      <c r="C71" s="3">
        <v>182</v>
      </c>
      <c r="E71" s="3" t="s">
        <v>141</v>
      </c>
      <c r="F71" s="3" t="s">
        <v>142</v>
      </c>
      <c r="G71" s="3" t="s">
        <v>143</v>
      </c>
      <c r="H71" s="3" t="s">
        <v>118</v>
      </c>
      <c r="I71" s="3">
        <f>I67*J71</f>
        <v>4</v>
      </c>
      <c r="J71" s="3">
        <v>0.5</v>
      </c>
      <c r="K71" s="3">
        <v>0.5</v>
      </c>
      <c r="O71" s="3">
        <f t="shared" si="60"/>
        <v>14057.94</v>
      </c>
      <c r="P71" s="3">
        <f t="shared" si="61"/>
        <v>14057.94</v>
      </c>
      <c r="Q71" s="3">
        <f t="shared" si="87"/>
        <v>0</v>
      </c>
      <c r="R71" s="3">
        <f t="shared" si="88"/>
        <v>0</v>
      </c>
      <c r="S71" s="3">
        <f t="shared" si="62"/>
        <v>0</v>
      </c>
      <c r="T71" s="3">
        <f t="shared" si="63"/>
        <v>0</v>
      </c>
      <c r="U71" s="3">
        <f t="shared" si="64"/>
        <v>0</v>
      </c>
      <c r="V71" s="3">
        <f t="shared" si="65"/>
        <v>0</v>
      </c>
      <c r="W71" s="3">
        <f t="shared" si="66"/>
        <v>0</v>
      </c>
      <c r="X71" s="3">
        <f t="shared" si="89"/>
        <v>0</v>
      </c>
      <c r="Y71" s="3">
        <f t="shared" si="90"/>
        <v>0</v>
      </c>
      <c r="AA71" s="3">
        <v>55747651</v>
      </c>
      <c r="AB71" s="3">
        <f t="shared" si="67"/>
        <v>1974.43</v>
      </c>
      <c r="AC71" s="3">
        <f t="shared" si="91"/>
        <v>1974.43</v>
      </c>
      <c r="AD71" s="3">
        <f t="shared" si="92"/>
        <v>0</v>
      </c>
      <c r="AE71" s="3">
        <f t="shared" si="93"/>
        <v>0</v>
      </c>
      <c r="AF71" s="3">
        <f t="shared" si="93"/>
        <v>0</v>
      </c>
      <c r="AG71" s="3">
        <f t="shared" si="68"/>
        <v>0</v>
      </c>
      <c r="AH71" s="3">
        <f t="shared" si="94"/>
        <v>0</v>
      </c>
      <c r="AI71" s="3">
        <f t="shared" si="94"/>
        <v>0</v>
      </c>
      <c r="AJ71" s="3">
        <f t="shared" si="69"/>
        <v>0</v>
      </c>
      <c r="AK71" s="3">
        <v>1974.43</v>
      </c>
      <c r="AL71" s="3">
        <v>1974.43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90</v>
      </c>
      <c r="AU71" s="3">
        <v>46</v>
      </c>
      <c r="AV71" s="3">
        <v>1</v>
      </c>
      <c r="AW71" s="3">
        <v>1</v>
      </c>
      <c r="AZ71" s="3">
        <v>1</v>
      </c>
      <c r="BA71" s="3">
        <v>1</v>
      </c>
      <c r="BB71" s="3">
        <v>1</v>
      </c>
      <c r="BC71" s="3">
        <v>1.78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3</v>
      </c>
      <c r="BI71" s="3">
        <v>2</v>
      </c>
      <c r="BJ71" s="3" t="s">
        <v>144</v>
      </c>
      <c r="BM71" s="3">
        <v>73</v>
      </c>
      <c r="BN71" s="3">
        <v>0</v>
      </c>
      <c r="BO71" s="3" t="s">
        <v>142</v>
      </c>
      <c r="BP71" s="3">
        <v>1</v>
      </c>
      <c r="BQ71" s="3">
        <v>40</v>
      </c>
      <c r="BR71" s="3">
        <v>0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90</v>
      </c>
      <c r="CA71" s="3">
        <v>46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3</v>
      </c>
      <c r="CO71" s="3">
        <v>0</v>
      </c>
      <c r="CP71" s="3">
        <f t="shared" si="70"/>
        <v>14057.94</v>
      </c>
      <c r="CQ71" s="3">
        <f t="shared" si="71"/>
        <v>3514.49</v>
      </c>
      <c r="CR71" s="3">
        <f t="shared" si="95"/>
        <v>0</v>
      </c>
      <c r="CS71" s="3">
        <f t="shared" si="96"/>
        <v>0</v>
      </c>
      <c r="CT71" s="3">
        <f t="shared" si="72"/>
        <v>0</v>
      </c>
      <c r="CU71" s="3">
        <f t="shared" si="73"/>
        <v>0</v>
      </c>
      <c r="CV71" s="3">
        <f t="shared" si="74"/>
        <v>0</v>
      </c>
      <c r="CW71" s="3">
        <f t="shared" si="75"/>
        <v>0</v>
      </c>
      <c r="CX71" s="3">
        <f t="shared" si="76"/>
        <v>0</v>
      </c>
      <c r="CY71" s="3">
        <f t="shared" si="97"/>
        <v>0</v>
      </c>
      <c r="CZ71" s="3">
        <f t="shared" si="98"/>
        <v>0</v>
      </c>
      <c r="DC71" s="3" t="s">
        <v>3</v>
      </c>
      <c r="DD71" s="3" t="s">
        <v>3</v>
      </c>
      <c r="DE71" s="3" t="s">
        <v>3</v>
      </c>
      <c r="DF71" s="3" t="s">
        <v>3</v>
      </c>
      <c r="DG71" s="3" t="s">
        <v>3</v>
      </c>
      <c r="DH71" s="3" t="s">
        <v>3</v>
      </c>
      <c r="DI71" s="3" t="s">
        <v>3</v>
      </c>
      <c r="DJ71" s="3" t="s">
        <v>3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1010</v>
      </c>
      <c r="DV71" s="3" t="s">
        <v>118</v>
      </c>
      <c r="DW71" s="3" t="s">
        <v>118</v>
      </c>
      <c r="DX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56938740</v>
      </c>
      <c r="EF71" s="3">
        <v>40</v>
      </c>
      <c r="EG71" s="3" t="s">
        <v>29</v>
      </c>
      <c r="EH71" s="3">
        <v>0</v>
      </c>
      <c r="EI71" s="3" t="s">
        <v>3</v>
      </c>
      <c r="EJ71" s="3">
        <v>2</v>
      </c>
      <c r="EK71" s="3">
        <v>73</v>
      </c>
      <c r="EL71" s="3" t="s">
        <v>85</v>
      </c>
      <c r="EM71" s="3" t="s">
        <v>86</v>
      </c>
      <c r="EO71" s="3" t="s">
        <v>3</v>
      </c>
      <c r="EQ71" s="3">
        <v>0</v>
      </c>
      <c r="ER71" s="3">
        <v>1974.43</v>
      </c>
      <c r="ES71" s="3">
        <v>1974.43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FQ71" s="3">
        <v>0</v>
      </c>
      <c r="FR71" s="3">
        <v>0</v>
      </c>
      <c r="FS71" s="3">
        <v>0</v>
      </c>
      <c r="FX71" s="3">
        <v>90</v>
      </c>
      <c r="FY71" s="3">
        <v>46</v>
      </c>
      <c r="GA71" s="3" t="s">
        <v>3</v>
      </c>
      <c r="GD71" s="3">
        <v>1</v>
      </c>
      <c r="GF71" s="3">
        <v>-2105799508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77"/>
        <v>0</v>
      </c>
      <c r="GM71" s="3">
        <f t="shared" si="78"/>
        <v>14057.94</v>
      </c>
      <c r="GN71" s="3">
        <f t="shared" si="79"/>
        <v>0</v>
      </c>
      <c r="GO71" s="3">
        <f t="shared" si="80"/>
        <v>14057.94</v>
      </c>
      <c r="GP71" s="3">
        <f t="shared" si="81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82"/>
        <v>0</v>
      </c>
      <c r="GW71" s="3">
        <v>1</v>
      </c>
      <c r="GX71" s="3">
        <f t="shared" si="83"/>
        <v>0</v>
      </c>
      <c r="HA71" s="3">
        <v>0</v>
      </c>
      <c r="HB71" s="3">
        <v>0</v>
      </c>
      <c r="HC71" s="3">
        <f t="shared" si="84"/>
        <v>0</v>
      </c>
      <c r="HE71" s="3" t="s">
        <v>3</v>
      </c>
      <c r="HF71" s="3" t="s">
        <v>3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">
      <c r="A72" s="2">
        <v>17</v>
      </c>
      <c r="B72" s="2">
        <v>1</v>
      </c>
      <c r="C72" s="2"/>
      <c r="D72" s="2"/>
      <c r="E72" s="2" t="s">
        <v>145</v>
      </c>
      <c r="F72" s="2" t="s">
        <v>146</v>
      </c>
      <c r="G72" s="2" t="s">
        <v>147</v>
      </c>
      <c r="H72" s="2" t="s">
        <v>118</v>
      </c>
      <c r="I72" s="2">
        <v>8</v>
      </c>
      <c r="J72" s="2">
        <v>0</v>
      </c>
      <c r="K72" s="2">
        <v>8</v>
      </c>
      <c r="L72" s="2"/>
      <c r="M72" s="2"/>
      <c r="N72" s="2"/>
      <c r="O72" s="2">
        <f t="shared" si="60"/>
        <v>639.36</v>
      </c>
      <c r="P72" s="2">
        <f t="shared" si="61"/>
        <v>639.36</v>
      </c>
      <c r="Q72" s="2">
        <f t="shared" si="87"/>
        <v>0</v>
      </c>
      <c r="R72" s="2">
        <f t="shared" si="88"/>
        <v>0</v>
      </c>
      <c r="S72" s="2">
        <f t="shared" si="62"/>
        <v>0</v>
      </c>
      <c r="T72" s="2">
        <f t="shared" si="63"/>
        <v>0</v>
      </c>
      <c r="U72" s="2">
        <f t="shared" si="64"/>
        <v>0</v>
      </c>
      <c r="V72" s="2">
        <f t="shared" si="65"/>
        <v>0</v>
      </c>
      <c r="W72" s="2">
        <f t="shared" si="66"/>
        <v>0</v>
      </c>
      <c r="X72" s="2">
        <f t="shared" si="89"/>
        <v>0</v>
      </c>
      <c r="Y72" s="2">
        <f t="shared" si="90"/>
        <v>0</v>
      </c>
      <c r="Z72" s="2"/>
      <c r="AA72" s="2">
        <v>55747649</v>
      </c>
      <c r="AB72" s="2">
        <f t="shared" si="67"/>
        <v>79.92</v>
      </c>
      <c r="AC72" s="2">
        <f t="shared" si="91"/>
        <v>79.92</v>
      </c>
      <c r="AD72" s="2">
        <f t="shared" si="92"/>
        <v>0</v>
      </c>
      <c r="AE72" s="2">
        <f t="shared" si="93"/>
        <v>0</v>
      </c>
      <c r="AF72" s="2">
        <f t="shared" si="93"/>
        <v>0</v>
      </c>
      <c r="AG72" s="2">
        <f t="shared" si="68"/>
        <v>0</v>
      </c>
      <c r="AH72" s="2">
        <f t="shared" si="94"/>
        <v>0</v>
      </c>
      <c r="AI72" s="2">
        <f t="shared" si="94"/>
        <v>0</v>
      </c>
      <c r="AJ72" s="2">
        <f t="shared" si="69"/>
        <v>0</v>
      </c>
      <c r="AK72" s="2">
        <v>79.92</v>
      </c>
      <c r="AL72" s="2">
        <v>79.92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1</v>
      </c>
      <c r="BJ72" s="2" t="s">
        <v>148</v>
      </c>
      <c r="BK72" s="2"/>
      <c r="BL72" s="2"/>
      <c r="BM72" s="2">
        <v>1617</v>
      </c>
      <c r="BN72" s="2">
        <v>0</v>
      </c>
      <c r="BO72" s="2" t="s">
        <v>3</v>
      </c>
      <c r="BP72" s="2">
        <v>0</v>
      </c>
      <c r="BQ72" s="2">
        <v>200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0</v>
      </c>
      <c r="CA72" s="2">
        <v>0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</v>
      </c>
      <c r="CO72" s="2">
        <v>0</v>
      </c>
      <c r="CP72" s="2">
        <f t="shared" si="70"/>
        <v>639.36</v>
      </c>
      <c r="CQ72" s="2">
        <f t="shared" si="71"/>
        <v>79.92</v>
      </c>
      <c r="CR72" s="2">
        <f t="shared" si="95"/>
        <v>0</v>
      </c>
      <c r="CS72" s="2">
        <f t="shared" si="96"/>
        <v>0</v>
      </c>
      <c r="CT72" s="2">
        <f t="shared" si="72"/>
        <v>0</v>
      </c>
      <c r="CU72" s="2">
        <f t="shared" si="73"/>
        <v>0</v>
      </c>
      <c r="CV72" s="2">
        <f t="shared" si="74"/>
        <v>0</v>
      </c>
      <c r="CW72" s="2">
        <f t="shared" si="75"/>
        <v>0</v>
      </c>
      <c r="CX72" s="2">
        <f t="shared" si="76"/>
        <v>0</v>
      </c>
      <c r="CY72" s="2">
        <f t="shared" si="97"/>
        <v>0</v>
      </c>
      <c r="CZ72" s="2">
        <f t="shared" si="98"/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1010</v>
      </c>
      <c r="DV72" s="2" t="s">
        <v>118</v>
      </c>
      <c r="DW72" s="2" t="s">
        <v>118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56938763</v>
      </c>
      <c r="EF72" s="2">
        <v>200</v>
      </c>
      <c r="EG72" s="2" t="s">
        <v>132</v>
      </c>
      <c r="EH72" s="2">
        <v>0</v>
      </c>
      <c r="EI72" s="2" t="s">
        <v>3</v>
      </c>
      <c r="EJ72" s="2">
        <v>1</v>
      </c>
      <c r="EK72" s="2">
        <v>1617</v>
      </c>
      <c r="EL72" s="2" t="s">
        <v>133</v>
      </c>
      <c r="EM72" s="2" t="s">
        <v>134</v>
      </c>
      <c r="EN72" s="2"/>
      <c r="EO72" s="2" t="s">
        <v>3</v>
      </c>
      <c r="EP72" s="2"/>
      <c r="EQ72" s="2">
        <v>0</v>
      </c>
      <c r="ER72" s="2">
        <v>79.92</v>
      </c>
      <c r="ES72" s="2">
        <v>79.92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0</v>
      </c>
      <c r="FY72" s="2">
        <v>0</v>
      </c>
      <c r="FZ72" s="2"/>
      <c r="GA72" s="2" t="s">
        <v>3</v>
      </c>
      <c r="GB72" s="2"/>
      <c r="GC72" s="2"/>
      <c r="GD72" s="2">
        <v>1</v>
      </c>
      <c r="GE72" s="2"/>
      <c r="GF72" s="2">
        <v>-2120180224</v>
      </c>
      <c r="GG72" s="2">
        <v>2</v>
      </c>
      <c r="GH72" s="2">
        <v>1</v>
      </c>
      <c r="GI72" s="2">
        <v>-2</v>
      </c>
      <c r="GJ72" s="2">
        <v>0</v>
      </c>
      <c r="GK72" s="2">
        <v>0</v>
      </c>
      <c r="GL72" s="2">
        <f t="shared" si="77"/>
        <v>0</v>
      </c>
      <c r="GM72" s="2">
        <f t="shared" si="78"/>
        <v>639.36</v>
      </c>
      <c r="GN72" s="2">
        <f t="shared" si="79"/>
        <v>639.36</v>
      </c>
      <c r="GO72" s="2">
        <f t="shared" si="80"/>
        <v>0</v>
      </c>
      <c r="GP72" s="2">
        <f t="shared" si="81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82"/>
        <v>0</v>
      </c>
      <c r="GW72" s="2">
        <v>1</v>
      </c>
      <c r="GX72" s="2">
        <f t="shared" si="83"/>
        <v>0</v>
      </c>
      <c r="GY72" s="2"/>
      <c r="GZ72" s="2"/>
      <c r="HA72" s="2">
        <v>0</v>
      </c>
      <c r="HB72" s="2">
        <v>0</v>
      </c>
      <c r="HC72" s="2">
        <f t="shared" si="84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 s="3">
        <v>17</v>
      </c>
      <c r="B73" s="3">
        <v>1</v>
      </c>
      <c r="E73" s="3" t="s">
        <v>145</v>
      </c>
      <c r="F73" s="3" t="s">
        <v>146</v>
      </c>
      <c r="G73" s="3" t="s">
        <v>147</v>
      </c>
      <c r="H73" s="3" t="s">
        <v>118</v>
      </c>
      <c r="I73" s="3">
        <v>8</v>
      </c>
      <c r="J73" s="3">
        <v>0</v>
      </c>
      <c r="K73" s="3">
        <v>8</v>
      </c>
      <c r="O73" s="3">
        <f t="shared" si="60"/>
        <v>4878.32</v>
      </c>
      <c r="P73" s="3">
        <f t="shared" si="61"/>
        <v>4878.32</v>
      </c>
      <c r="Q73" s="3">
        <f t="shared" si="87"/>
        <v>0</v>
      </c>
      <c r="R73" s="3">
        <f t="shared" si="88"/>
        <v>0</v>
      </c>
      <c r="S73" s="3">
        <f t="shared" si="62"/>
        <v>0</v>
      </c>
      <c r="T73" s="3">
        <f t="shared" si="63"/>
        <v>0</v>
      </c>
      <c r="U73" s="3">
        <f t="shared" si="64"/>
        <v>0</v>
      </c>
      <c r="V73" s="3">
        <f t="shared" si="65"/>
        <v>0</v>
      </c>
      <c r="W73" s="3">
        <f t="shared" si="66"/>
        <v>0</v>
      </c>
      <c r="X73" s="3">
        <f t="shared" si="89"/>
        <v>0</v>
      </c>
      <c r="Y73" s="3">
        <f t="shared" si="90"/>
        <v>0</v>
      </c>
      <c r="AA73" s="3">
        <v>55747651</v>
      </c>
      <c r="AB73" s="3">
        <f t="shared" si="67"/>
        <v>79.92</v>
      </c>
      <c r="AC73" s="3">
        <f t="shared" si="91"/>
        <v>79.92</v>
      </c>
      <c r="AD73" s="3">
        <f t="shared" si="92"/>
        <v>0</v>
      </c>
      <c r="AE73" s="3">
        <f t="shared" si="93"/>
        <v>0</v>
      </c>
      <c r="AF73" s="3">
        <f t="shared" si="93"/>
        <v>0</v>
      </c>
      <c r="AG73" s="3">
        <f t="shared" si="68"/>
        <v>0</v>
      </c>
      <c r="AH73" s="3">
        <f t="shared" si="94"/>
        <v>0</v>
      </c>
      <c r="AI73" s="3">
        <f t="shared" si="94"/>
        <v>0</v>
      </c>
      <c r="AJ73" s="3">
        <f t="shared" si="69"/>
        <v>0</v>
      </c>
      <c r="AK73" s="3">
        <v>79.92</v>
      </c>
      <c r="AL73" s="3">
        <v>79.92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1</v>
      </c>
      <c r="AW73" s="3">
        <v>1</v>
      </c>
      <c r="AZ73" s="3">
        <v>1</v>
      </c>
      <c r="BA73" s="3">
        <v>1</v>
      </c>
      <c r="BB73" s="3">
        <v>1</v>
      </c>
      <c r="BC73" s="3">
        <v>7.63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3</v>
      </c>
      <c r="BI73" s="3">
        <v>1</v>
      </c>
      <c r="BJ73" s="3" t="s">
        <v>148</v>
      </c>
      <c r="BM73" s="3">
        <v>1617</v>
      </c>
      <c r="BN73" s="3">
        <v>0</v>
      </c>
      <c r="BO73" s="3" t="s">
        <v>146</v>
      </c>
      <c r="BP73" s="3">
        <v>1</v>
      </c>
      <c r="BQ73" s="3">
        <v>200</v>
      </c>
      <c r="BR73" s="3">
        <v>0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0</v>
      </c>
      <c r="CA73" s="3">
        <v>0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3</v>
      </c>
      <c r="CO73" s="3">
        <v>0</v>
      </c>
      <c r="CP73" s="3">
        <f t="shared" si="70"/>
        <v>4878.32</v>
      </c>
      <c r="CQ73" s="3">
        <f t="shared" si="71"/>
        <v>609.79</v>
      </c>
      <c r="CR73" s="3">
        <f t="shared" si="95"/>
        <v>0</v>
      </c>
      <c r="CS73" s="3">
        <f t="shared" si="96"/>
        <v>0</v>
      </c>
      <c r="CT73" s="3">
        <f t="shared" si="72"/>
        <v>0</v>
      </c>
      <c r="CU73" s="3">
        <f t="shared" si="73"/>
        <v>0</v>
      </c>
      <c r="CV73" s="3">
        <f t="shared" si="74"/>
        <v>0</v>
      </c>
      <c r="CW73" s="3">
        <f t="shared" si="75"/>
        <v>0</v>
      </c>
      <c r="CX73" s="3">
        <f t="shared" si="76"/>
        <v>0</v>
      </c>
      <c r="CY73" s="3">
        <f t="shared" si="97"/>
        <v>0</v>
      </c>
      <c r="CZ73" s="3">
        <f t="shared" si="98"/>
        <v>0</v>
      </c>
      <c r="DC73" s="3" t="s">
        <v>3</v>
      </c>
      <c r="DD73" s="3" t="s">
        <v>3</v>
      </c>
      <c r="DE73" s="3" t="s">
        <v>3</v>
      </c>
      <c r="DF73" s="3" t="s">
        <v>3</v>
      </c>
      <c r="DG73" s="3" t="s">
        <v>3</v>
      </c>
      <c r="DH73" s="3" t="s">
        <v>3</v>
      </c>
      <c r="DI73" s="3" t="s">
        <v>3</v>
      </c>
      <c r="DJ73" s="3" t="s">
        <v>3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U73" s="3">
        <v>1010</v>
      </c>
      <c r="DV73" s="3" t="s">
        <v>118</v>
      </c>
      <c r="DW73" s="3" t="s">
        <v>118</v>
      </c>
      <c r="DX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56938763</v>
      </c>
      <c r="EF73" s="3">
        <v>200</v>
      </c>
      <c r="EG73" s="3" t="s">
        <v>132</v>
      </c>
      <c r="EH73" s="3">
        <v>0</v>
      </c>
      <c r="EI73" s="3" t="s">
        <v>3</v>
      </c>
      <c r="EJ73" s="3">
        <v>1</v>
      </c>
      <c r="EK73" s="3">
        <v>1617</v>
      </c>
      <c r="EL73" s="3" t="s">
        <v>133</v>
      </c>
      <c r="EM73" s="3" t="s">
        <v>134</v>
      </c>
      <c r="EO73" s="3" t="s">
        <v>3</v>
      </c>
      <c r="EQ73" s="3">
        <v>0</v>
      </c>
      <c r="ER73" s="3">
        <v>79.92</v>
      </c>
      <c r="ES73" s="3">
        <v>79.92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FQ73" s="3">
        <v>0</v>
      </c>
      <c r="FR73" s="3">
        <v>0</v>
      </c>
      <c r="FS73" s="3">
        <v>0</v>
      </c>
      <c r="FX73" s="3">
        <v>0</v>
      </c>
      <c r="FY73" s="3">
        <v>0</v>
      </c>
      <c r="GA73" s="3" t="s">
        <v>3</v>
      </c>
      <c r="GD73" s="3">
        <v>1</v>
      </c>
      <c r="GF73" s="3">
        <v>-2120180224</v>
      </c>
      <c r="GG73" s="3">
        <v>2</v>
      </c>
      <c r="GH73" s="3">
        <v>1</v>
      </c>
      <c r="GI73" s="3">
        <v>2</v>
      </c>
      <c r="GJ73" s="3">
        <v>0</v>
      </c>
      <c r="GK73" s="3">
        <v>0</v>
      </c>
      <c r="GL73" s="3">
        <f t="shared" si="77"/>
        <v>0</v>
      </c>
      <c r="GM73" s="3">
        <f t="shared" si="78"/>
        <v>4878.32</v>
      </c>
      <c r="GN73" s="3">
        <f t="shared" si="79"/>
        <v>4878.32</v>
      </c>
      <c r="GO73" s="3">
        <f t="shared" si="80"/>
        <v>0</v>
      </c>
      <c r="GP73" s="3">
        <f t="shared" si="81"/>
        <v>0</v>
      </c>
      <c r="GR73" s="3">
        <v>0</v>
      </c>
      <c r="GS73" s="3">
        <v>3</v>
      </c>
      <c r="GT73" s="3">
        <v>0</v>
      </c>
      <c r="GU73" s="3" t="s">
        <v>3</v>
      </c>
      <c r="GV73" s="3">
        <f t="shared" si="82"/>
        <v>0</v>
      </c>
      <c r="GW73" s="3">
        <v>1</v>
      </c>
      <c r="GX73" s="3">
        <f t="shared" si="83"/>
        <v>0</v>
      </c>
      <c r="HA73" s="3">
        <v>0</v>
      </c>
      <c r="HB73" s="3">
        <v>0</v>
      </c>
      <c r="HC73" s="3">
        <f t="shared" si="84"/>
        <v>0</v>
      </c>
      <c r="HE73" s="3" t="s">
        <v>3</v>
      </c>
      <c r="HF73" s="3" t="s">
        <v>3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">
      <c r="A74" s="2">
        <v>17</v>
      </c>
      <c r="B74" s="2">
        <v>1</v>
      </c>
      <c r="C74" s="2">
        <f>ROW(SmtRes!A189)</f>
        <v>189</v>
      </c>
      <c r="D74" s="2">
        <f>ROW(EtalonRes!A233)</f>
        <v>233</v>
      </c>
      <c r="E74" s="2" t="s">
        <v>3</v>
      </c>
      <c r="F74" s="2" t="s">
        <v>149</v>
      </c>
      <c r="G74" s="2" t="s">
        <v>150</v>
      </c>
      <c r="H74" s="2" t="s">
        <v>25</v>
      </c>
      <c r="I74" s="2">
        <v>4</v>
      </c>
      <c r="J74" s="2">
        <v>0</v>
      </c>
      <c r="K74" s="2">
        <v>4</v>
      </c>
      <c r="L74" s="2"/>
      <c r="M74" s="2"/>
      <c r="N74" s="2"/>
      <c r="O74" s="2">
        <f t="shared" si="60"/>
        <v>593.22</v>
      </c>
      <c r="P74" s="2">
        <f t="shared" si="61"/>
        <v>27.34</v>
      </c>
      <c r="Q74" s="2">
        <f>(ROUND((ROUND((((ET74*1.2))*AV74*I74),2)*BB74),2)+ROUND((ROUND(((AE74-((EU74*1.2)))*AV74*I74),2)*BS74),2))</f>
        <v>74.67</v>
      </c>
      <c r="R74" s="2">
        <f>(ROUND((ROUND((((EU74*1.2))*AV74*I74),2)*BS74),2)+ROUND((ROUND(((AE74-((EU74*1.2)))*AV74*I74),2)*BS74),2))</f>
        <v>1.95</v>
      </c>
      <c r="S74" s="2">
        <f t="shared" si="62"/>
        <v>491.21</v>
      </c>
      <c r="T74" s="2">
        <f t="shared" si="63"/>
        <v>0</v>
      </c>
      <c r="U74" s="2">
        <f t="shared" si="64"/>
        <v>38.924159999999993</v>
      </c>
      <c r="V74" s="2">
        <f t="shared" si="65"/>
        <v>0</v>
      </c>
      <c r="W74" s="2">
        <f t="shared" si="66"/>
        <v>0</v>
      </c>
      <c r="X74" s="2">
        <f>(ROUND((((S74+ROUND((ROUND((((EU74*1.2))*AV74*I74),2)*BS74),2))*AT74)/100),2)+ROUND(((ROUND((ROUND(((AE74-((EU74*1.2)))*AV74*I74),2)*BS74),2)*AT74)/100),2))</f>
        <v>443.84</v>
      </c>
      <c r="Y74" s="2">
        <f>(ROUND((((S74+ROUND((ROUND((((EU74*1.2))*AV74*I74),2)*BS74),2))*AU74)/100),2)+ROUND(((ROUND((ROUND(((AE74-((EU74*1.2)))*AV74*I74),2)*BS74),2)*AU74)/100),2))</f>
        <v>226.85</v>
      </c>
      <c r="Z74" s="2"/>
      <c r="AA74" s="2">
        <v>-1</v>
      </c>
      <c r="AB74" s="2">
        <f t="shared" si="67"/>
        <v>139.238</v>
      </c>
      <c r="AC74" s="2">
        <f>ROUND(((ES74*1)),6)</f>
        <v>6.65</v>
      </c>
      <c r="AD74" s="2">
        <f>ROUND(((((ET74*1.2))-((EU74*1.2)))+AE74),6)</f>
        <v>17.495999999999999</v>
      </c>
      <c r="AE74" s="2">
        <f>ROUND(((EU74*1.2)),6)</f>
        <v>0.45600000000000002</v>
      </c>
      <c r="AF74" s="2">
        <f>ROUND(((EV74*1.2)),6)</f>
        <v>115.092</v>
      </c>
      <c r="AG74" s="2">
        <f t="shared" si="68"/>
        <v>0</v>
      </c>
      <c r="AH74" s="2">
        <f>((EW74*1.2))</f>
        <v>9.1199999999999992</v>
      </c>
      <c r="AI74" s="2">
        <f>((EX74*1.2))</f>
        <v>0</v>
      </c>
      <c r="AJ74" s="2">
        <f t="shared" si="69"/>
        <v>0</v>
      </c>
      <c r="AK74" s="2">
        <v>117.14</v>
      </c>
      <c r="AL74" s="2">
        <v>6.65</v>
      </c>
      <c r="AM74" s="2">
        <v>14.58</v>
      </c>
      <c r="AN74" s="2">
        <v>0.38</v>
      </c>
      <c r="AO74" s="2">
        <v>95.91</v>
      </c>
      <c r="AP74" s="2">
        <v>0</v>
      </c>
      <c r="AQ74" s="2">
        <v>7.6</v>
      </c>
      <c r="AR74" s="2">
        <v>0</v>
      </c>
      <c r="AS74" s="2">
        <v>0</v>
      </c>
      <c r="AT74" s="2">
        <v>90</v>
      </c>
      <c r="AU74" s="2">
        <v>46</v>
      </c>
      <c r="AV74" s="2">
        <v>1.0669999999999999</v>
      </c>
      <c r="AW74" s="2">
        <v>1.028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0</v>
      </c>
      <c r="BI74" s="2">
        <v>2</v>
      </c>
      <c r="BJ74" s="2" t="s">
        <v>151</v>
      </c>
      <c r="BK74" s="2"/>
      <c r="BL74" s="2"/>
      <c r="BM74" s="2">
        <v>73</v>
      </c>
      <c r="BN74" s="2">
        <v>0</v>
      </c>
      <c r="BO74" s="2" t="s">
        <v>149</v>
      </c>
      <c r="BP74" s="2">
        <v>1</v>
      </c>
      <c r="BQ74" s="2">
        <v>40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90</v>
      </c>
      <c r="CA74" s="2">
        <v>46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716</v>
      </c>
      <c r="CO74" s="2">
        <v>0</v>
      </c>
      <c r="CP74" s="2">
        <f t="shared" si="70"/>
        <v>593.22</v>
      </c>
      <c r="CQ74" s="2">
        <f t="shared" si="71"/>
        <v>6.84</v>
      </c>
      <c r="CR74" s="2">
        <f>(ROUND((ROUND((((ET74*1.2))*AV74*1),2)*BB74),2)+ROUND((ROUND(((AE74-((EU74*1.2)))*AV74*1),2)*BS74),2))</f>
        <v>18.670000000000002</v>
      </c>
      <c r="CS74" s="2">
        <f>(ROUND((ROUND((((EU74*1.2))*AV74*1),2)*BS74),2)+ROUND((ROUND(((AE74-((EU74*1.2)))*AV74*1),2)*BS74),2))</f>
        <v>0.49</v>
      </c>
      <c r="CT74" s="2">
        <f t="shared" si="72"/>
        <v>122.8</v>
      </c>
      <c r="CU74" s="2">
        <f t="shared" si="73"/>
        <v>0</v>
      </c>
      <c r="CV74" s="2">
        <f t="shared" si="74"/>
        <v>9.7310399999999984</v>
      </c>
      <c r="CW74" s="2">
        <f t="shared" si="75"/>
        <v>0</v>
      </c>
      <c r="CX74" s="2">
        <f t="shared" si="76"/>
        <v>0</v>
      </c>
      <c r="CY74" s="2">
        <f>(ROUND((((S74+ROUND((ROUND((((EU74*1.2))*AV74*1),2)*BS74),2))*AT74)/100),2)+ROUND(((ROUND((ROUND(((AE74-((EU74*1.2)))*AV74*1),2)*BS74),2)*AT74)/100),2))</f>
        <v>442.53</v>
      </c>
      <c r="CZ74" s="2">
        <f>(ROUND((((S74+ROUND((ROUND((((EU74*1.2))*AV74*1),2)*BS74),2))*AU74)/100),2)+ROUND(((ROUND((ROUND(((AE74-((EU74*1.2)))*AV74*1),2)*BS74),2)*AU74)/100),2))</f>
        <v>226.18</v>
      </c>
      <c r="DA74" s="2"/>
      <c r="DB74" s="2">
        <v>39</v>
      </c>
      <c r="DC74" s="2" t="s">
        <v>3</v>
      </c>
      <c r="DD74" s="2" t="s">
        <v>48</v>
      </c>
      <c r="DE74" s="2" t="s">
        <v>49</v>
      </c>
      <c r="DF74" s="2" t="s">
        <v>49</v>
      </c>
      <c r="DG74" s="2" t="s">
        <v>49</v>
      </c>
      <c r="DH74" s="2" t="s">
        <v>3</v>
      </c>
      <c r="DI74" s="2" t="s">
        <v>49</v>
      </c>
      <c r="DJ74" s="2" t="s">
        <v>49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1013</v>
      </c>
      <c r="DV74" s="2" t="s">
        <v>25</v>
      </c>
      <c r="DW74" s="2" t="s">
        <v>25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56938740</v>
      </c>
      <c r="EF74" s="2">
        <v>40</v>
      </c>
      <c r="EG74" s="2" t="s">
        <v>29</v>
      </c>
      <c r="EH74" s="2">
        <v>0</v>
      </c>
      <c r="EI74" s="2" t="s">
        <v>3</v>
      </c>
      <c r="EJ74" s="2">
        <v>2</v>
      </c>
      <c r="EK74" s="2">
        <v>73</v>
      </c>
      <c r="EL74" s="2" t="s">
        <v>85</v>
      </c>
      <c r="EM74" s="2" t="s">
        <v>86</v>
      </c>
      <c r="EN74" s="2"/>
      <c r="EO74" s="2" t="s">
        <v>50</v>
      </c>
      <c r="EP74" s="2"/>
      <c r="EQ74" s="2">
        <v>132096</v>
      </c>
      <c r="ER74" s="2">
        <v>117.14</v>
      </c>
      <c r="ES74" s="2">
        <v>6.65</v>
      </c>
      <c r="ET74" s="2">
        <v>14.58</v>
      </c>
      <c r="EU74" s="2">
        <v>0.38</v>
      </c>
      <c r="EV74" s="2">
        <v>95.91</v>
      </c>
      <c r="EW74" s="2">
        <v>7.6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2</v>
      </c>
      <c r="FT74" s="2"/>
      <c r="FU74" s="2"/>
      <c r="FV74" s="2"/>
      <c r="FW74" s="2"/>
      <c r="FX74" s="2">
        <v>90</v>
      </c>
      <c r="FY74" s="2">
        <v>46</v>
      </c>
      <c r="FZ74" s="2"/>
      <c r="GA74" s="2" t="s">
        <v>3</v>
      </c>
      <c r="GB74" s="2"/>
      <c r="GC74" s="2"/>
      <c r="GD74" s="2">
        <v>1</v>
      </c>
      <c r="GE74" s="2"/>
      <c r="GF74" s="2">
        <v>295159665</v>
      </c>
      <c r="GG74" s="2">
        <v>2</v>
      </c>
      <c r="GH74" s="2">
        <v>1</v>
      </c>
      <c r="GI74" s="2">
        <v>2</v>
      </c>
      <c r="GJ74" s="2">
        <v>0</v>
      </c>
      <c r="GK74" s="2">
        <v>0</v>
      </c>
      <c r="GL74" s="2">
        <f t="shared" si="77"/>
        <v>0</v>
      </c>
      <c r="GM74" s="2">
        <f t="shared" si="78"/>
        <v>1263.9100000000001</v>
      </c>
      <c r="GN74" s="2">
        <f t="shared" si="79"/>
        <v>0</v>
      </c>
      <c r="GO74" s="2">
        <f t="shared" si="80"/>
        <v>1263.9100000000001</v>
      </c>
      <c r="GP74" s="2">
        <f t="shared" si="81"/>
        <v>0</v>
      </c>
      <c r="GQ74" s="2"/>
      <c r="GR74" s="2">
        <v>0</v>
      </c>
      <c r="GS74" s="2">
        <v>3</v>
      </c>
      <c r="GT74" s="2">
        <v>0</v>
      </c>
      <c r="GU74" s="2" t="s">
        <v>3</v>
      </c>
      <c r="GV74" s="2">
        <f t="shared" si="82"/>
        <v>0</v>
      </c>
      <c r="GW74" s="2">
        <v>1</v>
      </c>
      <c r="GX74" s="2">
        <f t="shared" si="83"/>
        <v>0</v>
      </c>
      <c r="GY74" s="2"/>
      <c r="GZ74" s="2"/>
      <c r="HA74" s="2">
        <v>0</v>
      </c>
      <c r="HB74" s="2">
        <v>0</v>
      </c>
      <c r="HC74" s="2">
        <f t="shared" si="84"/>
        <v>0</v>
      </c>
      <c r="HD74" s="2"/>
      <c r="HE74" s="2" t="s">
        <v>3</v>
      </c>
      <c r="HF74" s="2" t="s">
        <v>3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 s="3">
        <v>17</v>
      </c>
      <c r="B75" s="3">
        <v>1</v>
      </c>
      <c r="C75" s="3">
        <f>ROW(SmtRes!A196)</f>
        <v>196</v>
      </c>
      <c r="D75" s="3">
        <f>ROW(EtalonRes!A240)</f>
        <v>240</v>
      </c>
      <c r="E75" s="3" t="s">
        <v>3</v>
      </c>
      <c r="F75" s="3" t="s">
        <v>149</v>
      </c>
      <c r="G75" s="3" t="s">
        <v>150</v>
      </c>
      <c r="H75" s="3" t="s">
        <v>25</v>
      </c>
      <c r="I75" s="3">
        <v>4</v>
      </c>
      <c r="J75" s="3">
        <v>0</v>
      </c>
      <c r="K75" s="3">
        <v>4</v>
      </c>
      <c r="O75" s="3">
        <f t="shared" si="60"/>
        <v>29023.84</v>
      </c>
      <c r="P75" s="3">
        <f t="shared" si="61"/>
        <v>292.81</v>
      </c>
      <c r="Q75" s="3">
        <f>(ROUND((ROUND((((ET75*1.2))*AV75*I75),2)*BB75),2)+ROUND((ROUND(((AE75-((EU75*1.2)))*AV75*I75),2)*BS75),2))</f>
        <v>1051.3499999999999</v>
      </c>
      <c r="R75" s="3">
        <f>(ROUND((ROUND((((EU75*1.2))*AV75*I75),2)*BS75),2)+ROUND((ROUND(((AE75-((EU75*1.2)))*AV75*I75),2)*BS75),2))</f>
        <v>109.88</v>
      </c>
      <c r="S75" s="3">
        <f t="shared" si="62"/>
        <v>27679.68</v>
      </c>
      <c r="T75" s="3">
        <f t="shared" si="63"/>
        <v>0</v>
      </c>
      <c r="U75" s="3">
        <f t="shared" si="64"/>
        <v>38.924159999999993</v>
      </c>
      <c r="V75" s="3">
        <f t="shared" si="65"/>
        <v>0</v>
      </c>
      <c r="W75" s="3">
        <f t="shared" si="66"/>
        <v>0</v>
      </c>
      <c r="X75" s="3">
        <f>(ROUND((((S75+ROUND((ROUND((((EU75*1.2))*AV75*I75),2)*BS75),2))*AT75)/100),2)+ROUND(((ROUND((ROUND(((AE75-((EU75*1.2)))*AV75*I75),2)*BS75),2)*AT75)/100),2))</f>
        <v>25010.6</v>
      </c>
      <c r="Y75" s="3">
        <f>(ROUND((((S75+ROUND((ROUND((((EU75*1.2))*AV75*I75),2)*BS75),2))*AU75)/100),2)+ROUND(((ROUND((ROUND(((AE75-((EU75*1.2)))*AV75*I75),2)*BS75),2)*AU75)/100),2))</f>
        <v>12783.2</v>
      </c>
      <c r="AA75" s="3">
        <v>-1</v>
      </c>
      <c r="AB75" s="3">
        <f t="shared" si="67"/>
        <v>139.238</v>
      </c>
      <c r="AC75" s="3">
        <f>ROUND(((ES75*1)),6)</f>
        <v>6.65</v>
      </c>
      <c r="AD75" s="3">
        <f>ROUND(((((ET75*1.2))-((EU75*1.2)))+AE75),6)</f>
        <v>17.495999999999999</v>
      </c>
      <c r="AE75" s="3">
        <f>ROUND(((EU75*1.2)),6)</f>
        <v>0.45600000000000002</v>
      </c>
      <c r="AF75" s="3">
        <f>ROUND(((EV75*1.2)),6)</f>
        <v>115.092</v>
      </c>
      <c r="AG75" s="3">
        <f t="shared" si="68"/>
        <v>0</v>
      </c>
      <c r="AH75" s="3">
        <f>((EW75*1.2))</f>
        <v>9.1199999999999992</v>
      </c>
      <c r="AI75" s="3">
        <f>((EX75*1.2))</f>
        <v>0</v>
      </c>
      <c r="AJ75" s="3">
        <f t="shared" si="69"/>
        <v>0</v>
      </c>
      <c r="AK75" s="3">
        <v>117.14</v>
      </c>
      <c r="AL75" s="3">
        <v>6.65</v>
      </c>
      <c r="AM75" s="3">
        <v>14.58</v>
      </c>
      <c r="AN75" s="3">
        <v>0.38</v>
      </c>
      <c r="AO75" s="3">
        <v>95.91</v>
      </c>
      <c r="AP75" s="3">
        <v>0</v>
      </c>
      <c r="AQ75" s="3">
        <v>7.6</v>
      </c>
      <c r="AR75" s="3">
        <v>0</v>
      </c>
      <c r="AS75" s="3">
        <v>0</v>
      </c>
      <c r="AT75" s="3">
        <v>90</v>
      </c>
      <c r="AU75" s="3">
        <v>46</v>
      </c>
      <c r="AV75" s="3">
        <v>1.0669999999999999</v>
      </c>
      <c r="AW75" s="3">
        <v>1.028</v>
      </c>
      <c r="AZ75" s="3">
        <v>1</v>
      </c>
      <c r="BA75" s="3">
        <v>56.35</v>
      </c>
      <c r="BB75" s="3">
        <v>14.08</v>
      </c>
      <c r="BC75" s="3">
        <v>10.71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0</v>
      </c>
      <c r="BI75" s="3">
        <v>2</v>
      </c>
      <c r="BJ75" s="3" t="s">
        <v>151</v>
      </c>
      <c r="BM75" s="3">
        <v>73</v>
      </c>
      <c r="BN75" s="3">
        <v>0</v>
      </c>
      <c r="BO75" s="3" t="s">
        <v>149</v>
      </c>
      <c r="BP75" s="3">
        <v>1</v>
      </c>
      <c r="BQ75" s="3">
        <v>40</v>
      </c>
      <c r="BR75" s="3">
        <v>0</v>
      </c>
      <c r="BS75" s="3">
        <v>56.35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90</v>
      </c>
      <c r="CA75" s="3">
        <v>46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716</v>
      </c>
      <c r="CO75" s="3">
        <v>0</v>
      </c>
      <c r="CP75" s="3">
        <f t="shared" si="70"/>
        <v>29023.84</v>
      </c>
      <c r="CQ75" s="3">
        <f t="shared" si="71"/>
        <v>73.260000000000005</v>
      </c>
      <c r="CR75" s="3">
        <f>(ROUND((ROUND((((ET75*1.2))*AV75*1),2)*BB75),2)+ROUND((ROUND(((AE75-((EU75*1.2)))*AV75*1),2)*BS75),2))</f>
        <v>262.87</v>
      </c>
      <c r="CS75" s="3">
        <f>(ROUND((ROUND((((EU75*1.2))*AV75*1),2)*BS75),2)+ROUND((ROUND(((AE75-((EU75*1.2)))*AV75*1),2)*BS75),2))</f>
        <v>27.61</v>
      </c>
      <c r="CT75" s="3">
        <f t="shared" si="72"/>
        <v>6919.78</v>
      </c>
      <c r="CU75" s="3">
        <f t="shared" si="73"/>
        <v>0</v>
      </c>
      <c r="CV75" s="3">
        <f t="shared" si="74"/>
        <v>9.7310399999999984</v>
      </c>
      <c r="CW75" s="3">
        <f t="shared" si="75"/>
        <v>0</v>
      </c>
      <c r="CX75" s="3">
        <f t="shared" si="76"/>
        <v>0</v>
      </c>
      <c r="CY75" s="3">
        <f>(ROUND((((S75+ROUND((ROUND((((EU75*1.2))*AV75*1),2)*BS75),2))*AT75)/100),2)+ROUND(((ROUND((ROUND(((AE75-((EU75*1.2)))*AV75*1),2)*BS75),2)*AT75)/100),2))</f>
        <v>24936.560000000001</v>
      </c>
      <c r="CZ75" s="3">
        <f>(ROUND((((S75+ROUND((ROUND((((EU75*1.2))*AV75*1),2)*BS75),2))*AU75)/100),2)+ROUND(((ROUND((ROUND(((AE75-((EU75*1.2)))*AV75*1),2)*BS75),2)*AU75)/100),2))</f>
        <v>12745.35</v>
      </c>
      <c r="DB75" s="3">
        <v>40</v>
      </c>
      <c r="DC75" s="3" t="s">
        <v>3</v>
      </c>
      <c r="DD75" s="3" t="s">
        <v>48</v>
      </c>
      <c r="DE75" s="3" t="s">
        <v>49</v>
      </c>
      <c r="DF75" s="3" t="s">
        <v>49</v>
      </c>
      <c r="DG75" s="3" t="s">
        <v>49</v>
      </c>
      <c r="DH75" s="3" t="s">
        <v>3</v>
      </c>
      <c r="DI75" s="3" t="s">
        <v>49</v>
      </c>
      <c r="DJ75" s="3" t="s">
        <v>49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U75" s="3">
        <v>1013</v>
      </c>
      <c r="DV75" s="3" t="s">
        <v>25</v>
      </c>
      <c r="DW75" s="3" t="s">
        <v>25</v>
      </c>
      <c r="DX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56938740</v>
      </c>
      <c r="EF75" s="3">
        <v>40</v>
      </c>
      <c r="EG75" s="3" t="s">
        <v>29</v>
      </c>
      <c r="EH75" s="3">
        <v>0</v>
      </c>
      <c r="EI75" s="3" t="s">
        <v>3</v>
      </c>
      <c r="EJ75" s="3">
        <v>2</v>
      </c>
      <c r="EK75" s="3">
        <v>73</v>
      </c>
      <c r="EL75" s="3" t="s">
        <v>85</v>
      </c>
      <c r="EM75" s="3" t="s">
        <v>86</v>
      </c>
      <c r="EO75" s="3" t="s">
        <v>50</v>
      </c>
      <c r="EQ75" s="3">
        <v>132096</v>
      </c>
      <c r="ER75" s="3">
        <v>117.14</v>
      </c>
      <c r="ES75" s="3">
        <v>6.65</v>
      </c>
      <c r="ET75" s="3">
        <v>14.58</v>
      </c>
      <c r="EU75" s="3">
        <v>0.38</v>
      </c>
      <c r="EV75" s="3">
        <v>95.91</v>
      </c>
      <c r="EW75" s="3">
        <v>7.6</v>
      </c>
      <c r="EX75" s="3">
        <v>0</v>
      </c>
      <c r="EY75" s="3">
        <v>0</v>
      </c>
      <c r="FQ75" s="3">
        <v>0</v>
      </c>
      <c r="FR75" s="3">
        <v>0</v>
      </c>
      <c r="FS75" s="3">
        <v>2</v>
      </c>
      <c r="FX75" s="3">
        <v>90</v>
      </c>
      <c r="FY75" s="3">
        <v>46</v>
      </c>
      <c r="GA75" s="3" t="s">
        <v>3</v>
      </c>
      <c r="GD75" s="3">
        <v>1</v>
      </c>
      <c r="GF75" s="3">
        <v>295159665</v>
      </c>
      <c r="GG75" s="3">
        <v>2</v>
      </c>
      <c r="GH75" s="3">
        <v>1</v>
      </c>
      <c r="GI75" s="3">
        <v>2</v>
      </c>
      <c r="GJ75" s="3">
        <v>0</v>
      </c>
      <c r="GK75" s="3">
        <v>0</v>
      </c>
      <c r="GL75" s="3">
        <f t="shared" si="77"/>
        <v>0</v>
      </c>
      <c r="GM75" s="3">
        <f t="shared" si="78"/>
        <v>66817.64</v>
      </c>
      <c r="GN75" s="3">
        <f t="shared" si="79"/>
        <v>0</v>
      </c>
      <c r="GO75" s="3">
        <f t="shared" si="80"/>
        <v>66817.64</v>
      </c>
      <c r="GP75" s="3">
        <f t="shared" si="81"/>
        <v>0</v>
      </c>
      <c r="GR75" s="3">
        <v>0</v>
      </c>
      <c r="GS75" s="3">
        <v>3</v>
      </c>
      <c r="GT75" s="3">
        <v>0</v>
      </c>
      <c r="GU75" s="3" t="s">
        <v>3</v>
      </c>
      <c r="GV75" s="3">
        <f t="shared" si="82"/>
        <v>0</v>
      </c>
      <c r="GW75" s="3">
        <v>1</v>
      </c>
      <c r="GX75" s="3">
        <f t="shared" si="83"/>
        <v>0</v>
      </c>
      <c r="HA75" s="3">
        <v>0</v>
      </c>
      <c r="HB75" s="3">
        <v>0</v>
      </c>
      <c r="HC75" s="3">
        <f t="shared" si="84"/>
        <v>0</v>
      </c>
      <c r="HE75" s="3" t="s">
        <v>3</v>
      </c>
      <c r="HF75" s="3" t="s">
        <v>3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">
      <c r="A76" s="2">
        <v>18</v>
      </c>
      <c r="B76" s="2">
        <v>1</v>
      </c>
      <c r="C76" s="2">
        <v>189</v>
      </c>
      <c r="D76" s="2"/>
      <c r="E76" s="2" t="s">
        <v>3</v>
      </c>
      <c r="F76" s="2" t="s">
        <v>152</v>
      </c>
      <c r="G76" s="2" t="s">
        <v>153</v>
      </c>
      <c r="H76" s="2" t="s">
        <v>118</v>
      </c>
      <c r="I76" s="2">
        <f>I74*J76</f>
        <v>4</v>
      </c>
      <c r="J76" s="2">
        <v>1</v>
      </c>
      <c r="K76" s="2">
        <v>1</v>
      </c>
      <c r="L76" s="2"/>
      <c r="M76" s="2"/>
      <c r="N76" s="2"/>
      <c r="O76" s="2">
        <f t="shared" si="60"/>
        <v>1361.64</v>
      </c>
      <c r="P76" s="2">
        <f t="shared" si="61"/>
        <v>1361.64</v>
      </c>
      <c r="Q76" s="2">
        <f>(ROUND((ROUND(((ET76)*AV76*I76),2)*BB76),2)+ROUND((ROUND(((AE76-(EU76))*AV76*I76),2)*BS76),2))</f>
        <v>0</v>
      </c>
      <c r="R76" s="2">
        <f>(ROUND((ROUND(((EU76)*AV76*I76),2)*BS76),2)+ROUND((ROUND(((AE76-(EU76))*AV76*I76),2)*BS76),2))</f>
        <v>0</v>
      </c>
      <c r="S76" s="2">
        <f t="shared" si="62"/>
        <v>0</v>
      </c>
      <c r="T76" s="2">
        <f t="shared" si="63"/>
        <v>0</v>
      </c>
      <c r="U76" s="2">
        <f t="shared" si="64"/>
        <v>0</v>
      </c>
      <c r="V76" s="2">
        <f t="shared" si="65"/>
        <v>0</v>
      </c>
      <c r="W76" s="2">
        <f t="shared" si="66"/>
        <v>0</v>
      </c>
      <c r="X76" s="2">
        <f>(ROUND((((S76+ROUND((ROUND(((EU76)*AV76*I76),2)*BS76),2))*AT76)/100),2)+ROUND(((ROUND((ROUND(((AE76-(EU76))*AV76*I76),2)*BS76),2)*AT76)/100),2))</f>
        <v>0</v>
      </c>
      <c r="Y76" s="2">
        <f>(ROUND((((S76+ROUND((ROUND(((EU76)*AV76*I76),2)*BS76),2))*AU76)/100),2)+ROUND(((ROUND((ROUND(((AE76-(EU76))*AV76*I76),2)*BS76),2)*AU76)/100),2))</f>
        <v>0</v>
      </c>
      <c r="Z76" s="2"/>
      <c r="AA76" s="2">
        <v>-1</v>
      </c>
      <c r="AB76" s="2">
        <f t="shared" si="67"/>
        <v>340.41</v>
      </c>
      <c r="AC76" s="2">
        <f>ROUND((ES76),6)</f>
        <v>340.41</v>
      </c>
      <c r="AD76" s="2">
        <f>ROUND((((ET76)-(EU76))+AE76),6)</f>
        <v>0</v>
      </c>
      <c r="AE76" s="2">
        <f>ROUND((EU76),6)</f>
        <v>0</v>
      </c>
      <c r="AF76" s="2">
        <f>ROUND((EV76),6)</f>
        <v>0</v>
      </c>
      <c r="AG76" s="2">
        <f t="shared" si="68"/>
        <v>0</v>
      </c>
      <c r="AH76" s="2">
        <f>(EW76)</f>
        <v>0</v>
      </c>
      <c r="AI76" s="2">
        <f>(EX76)</f>
        <v>0</v>
      </c>
      <c r="AJ76" s="2">
        <f t="shared" si="69"/>
        <v>0</v>
      </c>
      <c r="AK76" s="2">
        <v>340.41</v>
      </c>
      <c r="AL76" s="2">
        <v>340.41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90</v>
      </c>
      <c r="AU76" s="2">
        <v>46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2</v>
      </c>
      <c r="BJ76" s="2" t="s">
        <v>154</v>
      </c>
      <c r="BK76" s="2"/>
      <c r="BL76" s="2"/>
      <c r="BM76" s="2">
        <v>73</v>
      </c>
      <c r="BN76" s="2">
        <v>0</v>
      </c>
      <c r="BO76" s="2" t="s">
        <v>3</v>
      </c>
      <c r="BP76" s="2">
        <v>0</v>
      </c>
      <c r="BQ76" s="2">
        <v>40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718</v>
      </c>
      <c r="CO76" s="2">
        <v>0</v>
      </c>
      <c r="CP76" s="2">
        <f t="shared" si="70"/>
        <v>1361.64</v>
      </c>
      <c r="CQ76" s="2">
        <f t="shared" si="71"/>
        <v>340.41</v>
      </c>
      <c r="CR76" s="2">
        <f>(ROUND((ROUND(((ET76)*AV76*1),2)*BB76),2)+ROUND((ROUND(((AE76-(EU76))*AV76*1),2)*BS76),2))</f>
        <v>0</v>
      </c>
      <c r="CS76" s="2">
        <f>(ROUND((ROUND(((EU76)*AV76*1),2)*BS76),2)+ROUND((ROUND(((AE76-(EU76))*AV76*1),2)*BS76),2))</f>
        <v>0</v>
      </c>
      <c r="CT76" s="2">
        <f t="shared" si="72"/>
        <v>0</v>
      </c>
      <c r="CU76" s="2">
        <f t="shared" si="73"/>
        <v>0</v>
      </c>
      <c r="CV76" s="2">
        <f t="shared" si="74"/>
        <v>0</v>
      </c>
      <c r="CW76" s="2">
        <f t="shared" si="75"/>
        <v>0</v>
      </c>
      <c r="CX76" s="2">
        <f t="shared" si="76"/>
        <v>0</v>
      </c>
      <c r="CY76" s="2">
        <f>(ROUND((((S76+ROUND((ROUND(((EU76)*AV76*1),2)*BS76),2))*AT76)/100),2)+ROUND(((ROUND((ROUND(((AE76-(EU76))*AV76*1),2)*BS76),2)*AT76)/100),2))</f>
        <v>0</v>
      </c>
      <c r="CZ76" s="2">
        <f>(ROUND((((S76+ROUND((ROUND(((EU76)*AV76*1),2)*BS76),2))*AU76)/100),2)+ROUND(((ROUND((ROUND(((AE76-(EU76))*AV76*1),2)*BS76),2)*AU76)/100),2))</f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1010</v>
      </c>
      <c r="DV76" s="2" t="s">
        <v>118</v>
      </c>
      <c r="DW76" s="2" t="s">
        <v>118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56938740</v>
      </c>
      <c r="EF76" s="2">
        <v>40</v>
      </c>
      <c r="EG76" s="2" t="s">
        <v>29</v>
      </c>
      <c r="EH76" s="2">
        <v>0</v>
      </c>
      <c r="EI76" s="2" t="s">
        <v>3</v>
      </c>
      <c r="EJ76" s="2">
        <v>2</v>
      </c>
      <c r="EK76" s="2">
        <v>73</v>
      </c>
      <c r="EL76" s="2" t="s">
        <v>85</v>
      </c>
      <c r="EM76" s="2" t="s">
        <v>86</v>
      </c>
      <c r="EN76" s="2"/>
      <c r="EO76" s="2" t="s">
        <v>50</v>
      </c>
      <c r="EP76" s="2"/>
      <c r="EQ76" s="2">
        <v>1024</v>
      </c>
      <c r="ER76" s="2">
        <v>340.41</v>
      </c>
      <c r="ES76" s="2">
        <v>340.41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3</v>
      </c>
      <c r="GB76" s="2"/>
      <c r="GC76" s="2"/>
      <c r="GD76" s="2">
        <v>1</v>
      </c>
      <c r="GE76" s="2"/>
      <c r="GF76" s="2">
        <v>774186860</v>
      </c>
      <c r="GG76" s="2">
        <v>2</v>
      </c>
      <c r="GH76" s="2">
        <v>1</v>
      </c>
      <c r="GI76" s="2">
        <v>-2</v>
      </c>
      <c r="GJ76" s="2">
        <v>0</v>
      </c>
      <c r="GK76" s="2">
        <v>0</v>
      </c>
      <c r="GL76" s="2">
        <f t="shared" si="77"/>
        <v>0</v>
      </c>
      <c r="GM76" s="2">
        <f t="shared" si="78"/>
        <v>1361.64</v>
      </c>
      <c r="GN76" s="2">
        <f t="shared" si="79"/>
        <v>0</v>
      </c>
      <c r="GO76" s="2">
        <f t="shared" si="80"/>
        <v>1361.64</v>
      </c>
      <c r="GP76" s="2">
        <f t="shared" si="81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82"/>
        <v>0</v>
      </c>
      <c r="GW76" s="2">
        <v>1</v>
      </c>
      <c r="GX76" s="2">
        <f t="shared" si="83"/>
        <v>0</v>
      </c>
      <c r="GY76" s="2"/>
      <c r="GZ76" s="2"/>
      <c r="HA76" s="2">
        <v>0</v>
      </c>
      <c r="HB76" s="2">
        <v>0</v>
      </c>
      <c r="HC76" s="2">
        <f t="shared" si="84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48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 s="3">
        <v>18</v>
      </c>
      <c r="B77" s="3">
        <v>1</v>
      </c>
      <c r="C77" s="3">
        <v>196</v>
      </c>
      <c r="E77" s="3" t="s">
        <v>3</v>
      </c>
      <c r="F77" s="3" t="s">
        <v>152</v>
      </c>
      <c r="G77" s="3" t="s">
        <v>153</v>
      </c>
      <c r="H77" s="3" t="s">
        <v>118</v>
      </c>
      <c r="I77" s="3">
        <f>I75*J77</f>
        <v>4</v>
      </c>
      <c r="J77" s="3">
        <v>1</v>
      </c>
      <c r="K77" s="3">
        <v>1</v>
      </c>
      <c r="O77" s="3">
        <f t="shared" si="60"/>
        <v>6127.38</v>
      </c>
      <c r="P77" s="3">
        <f t="shared" si="61"/>
        <v>6127.38</v>
      </c>
      <c r="Q77" s="3">
        <f>(ROUND((ROUND(((ET77)*AV77*I77),2)*BB77),2)+ROUND((ROUND(((AE77-(EU77))*AV77*I77),2)*BS77),2))</f>
        <v>0</v>
      </c>
      <c r="R77" s="3">
        <f>(ROUND((ROUND(((EU77)*AV77*I77),2)*BS77),2)+ROUND((ROUND(((AE77-(EU77))*AV77*I77),2)*BS77),2))</f>
        <v>0</v>
      </c>
      <c r="S77" s="3">
        <f t="shared" si="62"/>
        <v>0</v>
      </c>
      <c r="T77" s="3">
        <f t="shared" si="63"/>
        <v>0</v>
      </c>
      <c r="U77" s="3">
        <f t="shared" si="64"/>
        <v>0</v>
      </c>
      <c r="V77" s="3">
        <f t="shared" si="65"/>
        <v>0</v>
      </c>
      <c r="W77" s="3">
        <f t="shared" si="66"/>
        <v>0</v>
      </c>
      <c r="X77" s="3">
        <f>(ROUND((((S77+ROUND((ROUND(((EU77)*AV77*I77),2)*BS77),2))*AT77)/100),2)+ROUND(((ROUND((ROUND(((AE77-(EU77))*AV77*I77),2)*BS77),2)*AT77)/100),2))</f>
        <v>0</v>
      </c>
      <c r="Y77" s="3">
        <f>(ROUND((((S77+ROUND((ROUND(((EU77)*AV77*I77),2)*BS77),2))*AU77)/100),2)+ROUND(((ROUND((ROUND(((AE77-(EU77))*AV77*I77),2)*BS77),2)*AU77)/100),2))</f>
        <v>0</v>
      </c>
      <c r="AA77" s="3">
        <v>-1</v>
      </c>
      <c r="AB77" s="3">
        <f t="shared" si="67"/>
        <v>340.41</v>
      </c>
      <c r="AC77" s="3">
        <f>ROUND((ES77),6)</f>
        <v>340.41</v>
      </c>
      <c r="AD77" s="3">
        <f>ROUND((((ET77)-(EU77))+AE77),6)</f>
        <v>0</v>
      </c>
      <c r="AE77" s="3">
        <f>ROUND((EU77),6)</f>
        <v>0</v>
      </c>
      <c r="AF77" s="3">
        <f>ROUND((EV77),6)</f>
        <v>0</v>
      </c>
      <c r="AG77" s="3">
        <f t="shared" si="68"/>
        <v>0</v>
      </c>
      <c r="AH77" s="3">
        <f>(EW77)</f>
        <v>0</v>
      </c>
      <c r="AI77" s="3">
        <f>(EX77)</f>
        <v>0</v>
      </c>
      <c r="AJ77" s="3">
        <f t="shared" si="69"/>
        <v>0</v>
      </c>
      <c r="AK77" s="3">
        <v>340.41</v>
      </c>
      <c r="AL77" s="3">
        <v>340.41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90</v>
      </c>
      <c r="AU77" s="3">
        <v>46</v>
      </c>
      <c r="AV77" s="3">
        <v>1</v>
      </c>
      <c r="AW77" s="3">
        <v>1</v>
      </c>
      <c r="AZ77" s="3">
        <v>1</v>
      </c>
      <c r="BA77" s="3">
        <v>1</v>
      </c>
      <c r="BB77" s="3">
        <v>1</v>
      </c>
      <c r="BC77" s="3">
        <v>4.5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3</v>
      </c>
      <c r="BI77" s="3">
        <v>2</v>
      </c>
      <c r="BJ77" s="3" t="s">
        <v>154</v>
      </c>
      <c r="BM77" s="3">
        <v>73</v>
      </c>
      <c r="BN77" s="3">
        <v>0</v>
      </c>
      <c r="BO77" s="3" t="s">
        <v>152</v>
      </c>
      <c r="BP77" s="3">
        <v>1</v>
      </c>
      <c r="BQ77" s="3">
        <v>40</v>
      </c>
      <c r="BR77" s="3">
        <v>0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90</v>
      </c>
      <c r="CA77" s="3">
        <v>46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718</v>
      </c>
      <c r="CO77" s="3">
        <v>0</v>
      </c>
      <c r="CP77" s="3">
        <f t="shared" si="70"/>
        <v>6127.38</v>
      </c>
      <c r="CQ77" s="3">
        <f t="shared" si="71"/>
        <v>1531.85</v>
      </c>
      <c r="CR77" s="3">
        <f>(ROUND((ROUND(((ET77)*AV77*1),2)*BB77),2)+ROUND((ROUND(((AE77-(EU77))*AV77*1),2)*BS77),2))</f>
        <v>0</v>
      </c>
      <c r="CS77" s="3">
        <f>(ROUND((ROUND(((EU77)*AV77*1),2)*BS77),2)+ROUND((ROUND(((AE77-(EU77))*AV77*1),2)*BS77),2))</f>
        <v>0</v>
      </c>
      <c r="CT77" s="3">
        <f t="shared" si="72"/>
        <v>0</v>
      </c>
      <c r="CU77" s="3">
        <f t="shared" si="73"/>
        <v>0</v>
      </c>
      <c r="CV77" s="3">
        <f t="shared" si="74"/>
        <v>0</v>
      </c>
      <c r="CW77" s="3">
        <f t="shared" si="75"/>
        <v>0</v>
      </c>
      <c r="CX77" s="3">
        <f t="shared" si="76"/>
        <v>0</v>
      </c>
      <c r="CY77" s="3">
        <f>(ROUND((((S77+ROUND((ROUND(((EU77)*AV77*1),2)*BS77),2))*AT77)/100),2)+ROUND(((ROUND((ROUND(((AE77-(EU77))*AV77*1),2)*BS77),2)*AT77)/100),2))</f>
        <v>0</v>
      </c>
      <c r="CZ77" s="3">
        <f>(ROUND((((S77+ROUND((ROUND(((EU77)*AV77*1),2)*BS77),2))*AU77)/100),2)+ROUND(((ROUND((ROUND(((AE77-(EU77))*AV77*1),2)*BS77),2)*AU77)/100),2))</f>
        <v>0</v>
      </c>
      <c r="DC77" s="3" t="s">
        <v>3</v>
      </c>
      <c r="DD77" s="3" t="s">
        <v>3</v>
      </c>
      <c r="DE77" s="3" t="s">
        <v>3</v>
      </c>
      <c r="DF77" s="3" t="s">
        <v>3</v>
      </c>
      <c r="DG77" s="3" t="s">
        <v>3</v>
      </c>
      <c r="DH77" s="3" t="s">
        <v>3</v>
      </c>
      <c r="DI77" s="3" t="s">
        <v>3</v>
      </c>
      <c r="DJ77" s="3" t="s">
        <v>3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U77" s="3">
        <v>1010</v>
      </c>
      <c r="DV77" s="3" t="s">
        <v>118</v>
      </c>
      <c r="DW77" s="3" t="s">
        <v>118</v>
      </c>
      <c r="DX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56938740</v>
      </c>
      <c r="EF77" s="3">
        <v>40</v>
      </c>
      <c r="EG77" s="3" t="s">
        <v>29</v>
      </c>
      <c r="EH77" s="3">
        <v>0</v>
      </c>
      <c r="EI77" s="3" t="s">
        <v>3</v>
      </c>
      <c r="EJ77" s="3">
        <v>2</v>
      </c>
      <c r="EK77" s="3">
        <v>73</v>
      </c>
      <c r="EL77" s="3" t="s">
        <v>85</v>
      </c>
      <c r="EM77" s="3" t="s">
        <v>86</v>
      </c>
      <c r="EO77" s="3" t="s">
        <v>50</v>
      </c>
      <c r="EQ77" s="3">
        <v>1024</v>
      </c>
      <c r="ER77" s="3">
        <v>340.41</v>
      </c>
      <c r="ES77" s="3">
        <v>340.41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FQ77" s="3">
        <v>0</v>
      </c>
      <c r="FR77" s="3">
        <v>0</v>
      </c>
      <c r="FS77" s="3">
        <v>0</v>
      </c>
      <c r="FX77" s="3">
        <v>90</v>
      </c>
      <c r="FY77" s="3">
        <v>46</v>
      </c>
      <c r="GA77" s="3" t="s">
        <v>3</v>
      </c>
      <c r="GD77" s="3">
        <v>1</v>
      </c>
      <c r="GF77" s="3">
        <v>774186860</v>
      </c>
      <c r="GG77" s="3">
        <v>2</v>
      </c>
      <c r="GH77" s="3">
        <v>1</v>
      </c>
      <c r="GI77" s="3">
        <v>2</v>
      </c>
      <c r="GJ77" s="3">
        <v>0</v>
      </c>
      <c r="GK77" s="3">
        <v>0</v>
      </c>
      <c r="GL77" s="3">
        <f t="shared" si="77"/>
        <v>0</v>
      </c>
      <c r="GM77" s="3">
        <f t="shared" si="78"/>
        <v>6127.38</v>
      </c>
      <c r="GN77" s="3">
        <f t="shared" si="79"/>
        <v>0</v>
      </c>
      <c r="GO77" s="3">
        <f t="shared" si="80"/>
        <v>6127.38</v>
      </c>
      <c r="GP77" s="3">
        <f t="shared" si="81"/>
        <v>0</v>
      </c>
      <c r="GR77" s="3">
        <v>0</v>
      </c>
      <c r="GS77" s="3">
        <v>3</v>
      </c>
      <c r="GT77" s="3">
        <v>0</v>
      </c>
      <c r="GU77" s="3" t="s">
        <v>3</v>
      </c>
      <c r="GV77" s="3">
        <f t="shared" si="82"/>
        <v>0</v>
      </c>
      <c r="GW77" s="3">
        <v>1</v>
      </c>
      <c r="GX77" s="3">
        <f t="shared" si="83"/>
        <v>0</v>
      </c>
      <c r="HA77" s="3">
        <v>0</v>
      </c>
      <c r="HB77" s="3">
        <v>0</v>
      </c>
      <c r="HC77" s="3">
        <f t="shared" si="84"/>
        <v>0</v>
      </c>
      <c r="HE77" s="3" t="s">
        <v>3</v>
      </c>
      <c r="HF77" s="3" t="s">
        <v>3</v>
      </c>
      <c r="HM77" s="3" t="s">
        <v>48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">
      <c r="A78" s="2">
        <v>17</v>
      </c>
      <c r="B78" s="2">
        <v>1</v>
      </c>
      <c r="C78" s="2">
        <f>ROW(SmtRes!A204)</f>
        <v>204</v>
      </c>
      <c r="D78" s="2">
        <f>ROW(EtalonRes!A247)</f>
        <v>247</v>
      </c>
      <c r="E78" s="2" t="s">
        <v>3</v>
      </c>
      <c r="F78" s="2" t="s">
        <v>155</v>
      </c>
      <c r="G78" s="2" t="s">
        <v>156</v>
      </c>
      <c r="H78" s="2" t="s">
        <v>25</v>
      </c>
      <c r="I78" s="2">
        <f>ROUND(1+9+6,9)</f>
        <v>16</v>
      </c>
      <c r="J78" s="2">
        <v>0</v>
      </c>
      <c r="K78" s="2">
        <f>ROUND(1+9+6,9)</f>
        <v>16</v>
      </c>
      <c r="L78" s="2"/>
      <c r="M78" s="2"/>
      <c r="N78" s="2"/>
      <c r="O78" s="2">
        <f t="shared" si="60"/>
        <v>1632.49</v>
      </c>
      <c r="P78" s="2">
        <f t="shared" si="61"/>
        <v>71.22</v>
      </c>
      <c r="Q78" s="2">
        <f>(ROUND((ROUND((((ET78*1.2))*AV78*I78),2)*BB78),2)+ROUND((ROUND(((AE78-((EU78*1.2)))*AV78*I78),2)*BS78),2))</f>
        <v>165.12</v>
      </c>
      <c r="R78" s="2">
        <f>(ROUND((ROUND((((EU78*1.2))*AV78*I78),2)*BS78),2)+ROUND((ROUND(((AE78-((EU78*1.2)))*AV78*I78),2)*BS78),2))</f>
        <v>5.12</v>
      </c>
      <c r="S78" s="2">
        <f t="shared" si="62"/>
        <v>1396.15</v>
      </c>
      <c r="T78" s="2">
        <f t="shared" si="63"/>
        <v>0</v>
      </c>
      <c r="U78" s="2">
        <f t="shared" si="64"/>
        <v>110.62656</v>
      </c>
      <c r="V78" s="2">
        <f t="shared" si="65"/>
        <v>0</v>
      </c>
      <c r="W78" s="2">
        <f t="shared" si="66"/>
        <v>0</v>
      </c>
      <c r="X78" s="2">
        <f>(ROUND((((S78+ROUND((ROUND((((EU78*1.2))*AV78*I78),2)*BS78),2))*AT78)/100),2)+ROUND(((ROUND((ROUND(((AE78-((EU78*1.2)))*AV78*I78),2)*BS78),2)*AT78)/100),2))</f>
        <v>1261.1400000000001</v>
      </c>
      <c r="Y78" s="2">
        <f>(ROUND((((S78+ROUND((ROUND((((EU78*1.2))*AV78*I78),2)*BS78),2))*AU78)/100),2)+ROUND(((ROUND((ROUND(((AE78-((EU78*1.2)))*AV78*I78),2)*BS78),2)*AU78)/100),2))</f>
        <v>644.58000000000004</v>
      </c>
      <c r="Z78" s="2"/>
      <c r="AA78" s="2">
        <v>-1</v>
      </c>
      <c r="AB78" s="2">
        <f t="shared" si="67"/>
        <v>95.781999999999996</v>
      </c>
      <c r="AC78" s="2">
        <f>ROUND(((ES78*1)),6)</f>
        <v>4.33</v>
      </c>
      <c r="AD78" s="2">
        <f>ROUND(((((ET78*1.2))-((EU78*1.2)))+AE78),6)</f>
        <v>9.6720000000000006</v>
      </c>
      <c r="AE78" s="2">
        <f>ROUND(((EU78*1.2)),6)</f>
        <v>0.3</v>
      </c>
      <c r="AF78" s="2">
        <f>ROUND(((EV78*1.2)),6)</f>
        <v>81.78</v>
      </c>
      <c r="AG78" s="2">
        <f t="shared" si="68"/>
        <v>0</v>
      </c>
      <c r="AH78" s="2">
        <f>((EW78*1.2))</f>
        <v>6.48</v>
      </c>
      <c r="AI78" s="2">
        <f>((EX78*1.2))</f>
        <v>0</v>
      </c>
      <c r="AJ78" s="2">
        <f t="shared" si="69"/>
        <v>0</v>
      </c>
      <c r="AK78" s="2">
        <v>80.540000000000006</v>
      </c>
      <c r="AL78" s="2">
        <v>4.33</v>
      </c>
      <c r="AM78" s="2">
        <v>8.06</v>
      </c>
      <c r="AN78" s="2">
        <v>0.25</v>
      </c>
      <c r="AO78" s="2">
        <v>68.150000000000006</v>
      </c>
      <c r="AP78" s="2">
        <v>0</v>
      </c>
      <c r="AQ78" s="2">
        <v>5.4</v>
      </c>
      <c r="AR78" s="2">
        <v>0</v>
      </c>
      <c r="AS78" s="2">
        <v>0</v>
      </c>
      <c r="AT78" s="2">
        <v>90</v>
      </c>
      <c r="AU78" s="2">
        <v>46</v>
      </c>
      <c r="AV78" s="2">
        <v>1.0669999999999999</v>
      </c>
      <c r="AW78" s="2">
        <v>1.028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0</v>
      </c>
      <c r="BI78" s="2">
        <v>2</v>
      </c>
      <c r="BJ78" s="2" t="s">
        <v>157</v>
      </c>
      <c r="BK78" s="2"/>
      <c r="BL78" s="2"/>
      <c r="BM78" s="2">
        <v>73</v>
      </c>
      <c r="BN78" s="2">
        <v>0</v>
      </c>
      <c r="BO78" s="2" t="s">
        <v>155</v>
      </c>
      <c r="BP78" s="2">
        <v>1</v>
      </c>
      <c r="BQ78" s="2">
        <v>40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90</v>
      </c>
      <c r="CA78" s="2">
        <v>46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716</v>
      </c>
      <c r="CO78" s="2">
        <v>0</v>
      </c>
      <c r="CP78" s="2">
        <f t="shared" si="70"/>
        <v>1632.49</v>
      </c>
      <c r="CQ78" s="2">
        <f t="shared" si="71"/>
        <v>4.45</v>
      </c>
      <c r="CR78" s="2">
        <f>(ROUND((ROUND((((ET78*1.2))*AV78*1),2)*BB78),2)+ROUND((ROUND(((AE78-((EU78*1.2)))*AV78*1),2)*BS78),2))</f>
        <v>10.32</v>
      </c>
      <c r="CS78" s="2">
        <f>(ROUND((ROUND((((EU78*1.2))*AV78*1),2)*BS78),2)+ROUND((ROUND(((AE78-((EU78*1.2)))*AV78*1),2)*BS78),2))</f>
        <v>0.32</v>
      </c>
      <c r="CT78" s="2">
        <f t="shared" si="72"/>
        <v>87.26</v>
      </c>
      <c r="CU78" s="2">
        <f t="shared" si="73"/>
        <v>0</v>
      </c>
      <c r="CV78" s="2">
        <f t="shared" si="74"/>
        <v>6.9141599999999999</v>
      </c>
      <c r="CW78" s="2">
        <f t="shared" si="75"/>
        <v>0</v>
      </c>
      <c r="CX78" s="2">
        <f t="shared" si="76"/>
        <v>0</v>
      </c>
      <c r="CY78" s="2">
        <f>(ROUND((((S78+ROUND((ROUND((((EU78*1.2))*AV78*1),2)*BS78),2))*AT78)/100),2)+ROUND(((ROUND((ROUND(((AE78-((EU78*1.2)))*AV78*1),2)*BS78),2)*AT78)/100),2))</f>
        <v>1256.82</v>
      </c>
      <c r="CZ78" s="2">
        <f>(ROUND((((S78+ROUND((ROUND((((EU78*1.2))*AV78*1),2)*BS78),2))*AU78)/100),2)+ROUND(((ROUND((ROUND(((AE78-((EU78*1.2)))*AV78*1),2)*BS78),2)*AU78)/100),2))</f>
        <v>642.38</v>
      </c>
      <c r="DA78" s="2"/>
      <c r="DB78" s="2">
        <v>41</v>
      </c>
      <c r="DC78" s="2" t="s">
        <v>3</v>
      </c>
      <c r="DD78" s="2" t="s">
        <v>48</v>
      </c>
      <c r="DE78" s="2" t="s">
        <v>49</v>
      </c>
      <c r="DF78" s="2" t="s">
        <v>49</v>
      </c>
      <c r="DG78" s="2" t="s">
        <v>49</v>
      </c>
      <c r="DH78" s="2" t="s">
        <v>3</v>
      </c>
      <c r="DI78" s="2" t="s">
        <v>49</v>
      </c>
      <c r="DJ78" s="2" t="s">
        <v>49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1013</v>
      </c>
      <c r="DV78" s="2" t="s">
        <v>25</v>
      </c>
      <c r="DW78" s="2" t="s">
        <v>25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56938740</v>
      </c>
      <c r="EF78" s="2">
        <v>40</v>
      </c>
      <c r="EG78" s="2" t="s">
        <v>29</v>
      </c>
      <c r="EH78" s="2">
        <v>0</v>
      </c>
      <c r="EI78" s="2" t="s">
        <v>3</v>
      </c>
      <c r="EJ78" s="2">
        <v>2</v>
      </c>
      <c r="EK78" s="2">
        <v>73</v>
      </c>
      <c r="EL78" s="2" t="s">
        <v>85</v>
      </c>
      <c r="EM78" s="2" t="s">
        <v>86</v>
      </c>
      <c r="EN78" s="2"/>
      <c r="EO78" s="2" t="s">
        <v>50</v>
      </c>
      <c r="EP78" s="2"/>
      <c r="EQ78" s="2">
        <v>132096</v>
      </c>
      <c r="ER78" s="2">
        <v>80.540000000000006</v>
      </c>
      <c r="ES78" s="2">
        <v>4.33</v>
      </c>
      <c r="ET78" s="2">
        <v>8.06</v>
      </c>
      <c r="EU78" s="2">
        <v>0.25</v>
      </c>
      <c r="EV78" s="2">
        <v>68.150000000000006</v>
      </c>
      <c r="EW78" s="2">
        <v>5.4</v>
      </c>
      <c r="EX78" s="2">
        <v>0</v>
      </c>
      <c r="EY78" s="2">
        <v>0</v>
      </c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2</v>
      </c>
      <c r="FT78" s="2"/>
      <c r="FU78" s="2"/>
      <c r="FV78" s="2"/>
      <c r="FW78" s="2"/>
      <c r="FX78" s="2">
        <v>90</v>
      </c>
      <c r="FY78" s="2">
        <v>46</v>
      </c>
      <c r="FZ78" s="2"/>
      <c r="GA78" s="2" t="s">
        <v>3</v>
      </c>
      <c r="GB78" s="2"/>
      <c r="GC78" s="2"/>
      <c r="GD78" s="2">
        <v>1</v>
      </c>
      <c r="GE78" s="2"/>
      <c r="GF78" s="2">
        <v>-914769333</v>
      </c>
      <c r="GG78" s="2">
        <v>2</v>
      </c>
      <c r="GH78" s="2">
        <v>1</v>
      </c>
      <c r="GI78" s="2">
        <v>2</v>
      </c>
      <c r="GJ78" s="2">
        <v>0</v>
      </c>
      <c r="GK78" s="2">
        <v>0</v>
      </c>
      <c r="GL78" s="2">
        <f t="shared" si="77"/>
        <v>0</v>
      </c>
      <c r="GM78" s="2">
        <f t="shared" si="78"/>
        <v>3538.21</v>
      </c>
      <c r="GN78" s="2">
        <f t="shared" si="79"/>
        <v>0</v>
      </c>
      <c r="GO78" s="2">
        <f t="shared" si="80"/>
        <v>3538.21</v>
      </c>
      <c r="GP78" s="2">
        <f t="shared" si="81"/>
        <v>0</v>
      </c>
      <c r="GQ78" s="2"/>
      <c r="GR78" s="2">
        <v>0</v>
      </c>
      <c r="GS78" s="2">
        <v>3</v>
      </c>
      <c r="GT78" s="2">
        <v>0</v>
      </c>
      <c r="GU78" s="2" t="s">
        <v>3</v>
      </c>
      <c r="GV78" s="2">
        <f t="shared" si="82"/>
        <v>0</v>
      </c>
      <c r="GW78" s="2">
        <v>1</v>
      </c>
      <c r="GX78" s="2">
        <f t="shared" si="83"/>
        <v>0</v>
      </c>
      <c r="GY78" s="2"/>
      <c r="GZ78" s="2"/>
      <c r="HA78" s="2">
        <v>0</v>
      </c>
      <c r="HB78" s="2">
        <v>0</v>
      </c>
      <c r="HC78" s="2">
        <f t="shared" si="84"/>
        <v>0</v>
      </c>
      <c r="HD78" s="2"/>
      <c r="HE78" s="2" t="s">
        <v>3</v>
      </c>
      <c r="HF78" s="2" t="s">
        <v>3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 s="3">
        <v>17</v>
      </c>
      <c r="B79" s="3">
        <v>1</v>
      </c>
      <c r="C79" s="3">
        <f>ROW(SmtRes!A212)</f>
        <v>212</v>
      </c>
      <c r="D79" s="3">
        <f>ROW(EtalonRes!A254)</f>
        <v>254</v>
      </c>
      <c r="E79" s="3" t="s">
        <v>3</v>
      </c>
      <c r="F79" s="3" t="s">
        <v>155</v>
      </c>
      <c r="G79" s="3" t="s">
        <v>156</v>
      </c>
      <c r="H79" s="3" t="s">
        <v>25</v>
      </c>
      <c r="I79" s="3">
        <f>ROUND(1+9+6,9)</f>
        <v>16</v>
      </c>
      <c r="J79" s="3">
        <v>0</v>
      </c>
      <c r="K79" s="3">
        <f>ROUND(1+9+6,9)</f>
        <v>16</v>
      </c>
      <c r="O79" s="3">
        <f t="shared" si="60"/>
        <v>81773.63</v>
      </c>
      <c r="P79" s="3">
        <f t="shared" si="61"/>
        <v>754.22</v>
      </c>
      <c r="Q79" s="3">
        <f>(ROUND((ROUND((((ET79*1.2))*AV79*I79),2)*BB79),2)+ROUND((ROUND(((AE79-((EU79*1.2)))*AV79*I79),2)*BS79),2))</f>
        <v>2346.36</v>
      </c>
      <c r="R79" s="3">
        <f>(ROUND((ROUND((((EU79*1.2))*AV79*I79),2)*BS79),2)+ROUND((ROUND(((AE79-((EU79*1.2)))*AV79*I79),2)*BS79),2))</f>
        <v>288.51</v>
      </c>
      <c r="S79" s="3">
        <f t="shared" si="62"/>
        <v>78673.05</v>
      </c>
      <c r="T79" s="3">
        <f t="shared" si="63"/>
        <v>0</v>
      </c>
      <c r="U79" s="3">
        <f t="shared" si="64"/>
        <v>110.62656</v>
      </c>
      <c r="V79" s="3">
        <f t="shared" si="65"/>
        <v>0</v>
      </c>
      <c r="W79" s="3">
        <f t="shared" si="66"/>
        <v>0</v>
      </c>
      <c r="X79" s="3">
        <f>(ROUND((((S79+ROUND((ROUND((((EU79*1.2))*AV79*I79),2)*BS79),2))*AT79)/100),2)+ROUND(((ROUND((ROUND(((AE79-((EU79*1.2)))*AV79*I79),2)*BS79),2)*AT79)/100),2))</f>
        <v>71065.399999999994</v>
      </c>
      <c r="Y79" s="3">
        <f>(ROUND((((S79+ROUND((ROUND((((EU79*1.2))*AV79*I79),2)*BS79),2))*AU79)/100),2)+ROUND(((ROUND((ROUND(((AE79-((EU79*1.2)))*AV79*I79),2)*BS79),2)*AU79)/100),2))</f>
        <v>36322.32</v>
      </c>
      <c r="AA79" s="3">
        <v>-1</v>
      </c>
      <c r="AB79" s="3">
        <f t="shared" si="67"/>
        <v>95.781999999999996</v>
      </c>
      <c r="AC79" s="3">
        <f>ROUND(((ES79*1)),6)</f>
        <v>4.33</v>
      </c>
      <c r="AD79" s="3">
        <f>ROUND(((((ET79*1.2))-((EU79*1.2)))+AE79),6)</f>
        <v>9.6720000000000006</v>
      </c>
      <c r="AE79" s="3">
        <f>ROUND(((EU79*1.2)),6)</f>
        <v>0.3</v>
      </c>
      <c r="AF79" s="3">
        <f>ROUND(((EV79*1.2)),6)</f>
        <v>81.78</v>
      </c>
      <c r="AG79" s="3">
        <f t="shared" si="68"/>
        <v>0</v>
      </c>
      <c r="AH79" s="3">
        <f>((EW79*1.2))</f>
        <v>6.48</v>
      </c>
      <c r="AI79" s="3">
        <f>((EX79*1.2))</f>
        <v>0</v>
      </c>
      <c r="AJ79" s="3">
        <f t="shared" si="69"/>
        <v>0</v>
      </c>
      <c r="AK79" s="3">
        <v>80.540000000000006</v>
      </c>
      <c r="AL79" s="3">
        <v>4.33</v>
      </c>
      <c r="AM79" s="3">
        <v>8.06</v>
      </c>
      <c r="AN79" s="3">
        <v>0.25</v>
      </c>
      <c r="AO79" s="3">
        <v>68.150000000000006</v>
      </c>
      <c r="AP79" s="3">
        <v>0</v>
      </c>
      <c r="AQ79" s="3">
        <v>5.4</v>
      </c>
      <c r="AR79" s="3">
        <v>0</v>
      </c>
      <c r="AS79" s="3">
        <v>0</v>
      </c>
      <c r="AT79" s="3">
        <v>90</v>
      </c>
      <c r="AU79" s="3">
        <v>46</v>
      </c>
      <c r="AV79" s="3">
        <v>1.0669999999999999</v>
      </c>
      <c r="AW79" s="3">
        <v>1.028</v>
      </c>
      <c r="AZ79" s="3">
        <v>1</v>
      </c>
      <c r="BA79" s="3">
        <v>56.35</v>
      </c>
      <c r="BB79" s="3">
        <v>14.21</v>
      </c>
      <c r="BC79" s="3">
        <v>10.59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0</v>
      </c>
      <c r="BI79" s="3">
        <v>2</v>
      </c>
      <c r="BJ79" s="3" t="s">
        <v>157</v>
      </c>
      <c r="BM79" s="3">
        <v>73</v>
      </c>
      <c r="BN79" s="3">
        <v>0</v>
      </c>
      <c r="BO79" s="3" t="s">
        <v>155</v>
      </c>
      <c r="BP79" s="3">
        <v>1</v>
      </c>
      <c r="BQ79" s="3">
        <v>40</v>
      </c>
      <c r="BR79" s="3">
        <v>0</v>
      </c>
      <c r="BS79" s="3">
        <v>56.35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90</v>
      </c>
      <c r="CA79" s="3">
        <v>46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716</v>
      </c>
      <c r="CO79" s="3">
        <v>0</v>
      </c>
      <c r="CP79" s="3">
        <f t="shared" si="70"/>
        <v>81773.63</v>
      </c>
      <c r="CQ79" s="3">
        <f t="shared" si="71"/>
        <v>47.13</v>
      </c>
      <c r="CR79" s="3">
        <f>(ROUND((ROUND((((ET79*1.2))*AV79*1),2)*BB79),2)+ROUND((ROUND(((AE79-((EU79*1.2)))*AV79*1),2)*BS79),2))</f>
        <v>146.65</v>
      </c>
      <c r="CS79" s="3">
        <f>(ROUND((ROUND((((EU79*1.2))*AV79*1),2)*BS79),2)+ROUND((ROUND(((AE79-((EU79*1.2)))*AV79*1),2)*BS79),2))</f>
        <v>18.03</v>
      </c>
      <c r="CT79" s="3">
        <f t="shared" si="72"/>
        <v>4917.1000000000004</v>
      </c>
      <c r="CU79" s="3">
        <f t="shared" si="73"/>
        <v>0</v>
      </c>
      <c r="CV79" s="3">
        <f t="shared" si="74"/>
        <v>6.9141599999999999</v>
      </c>
      <c r="CW79" s="3">
        <f t="shared" si="75"/>
        <v>0</v>
      </c>
      <c r="CX79" s="3">
        <f t="shared" si="76"/>
        <v>0</v>
      </c>
      <c r="CY79" s="3">
        <f>(ROUND((((S79+ROUND((ROUND((((EU79*1.2))*AV79*1),2)*BS79),2))*AT79)/100),2)+ROUND(((ROUND((ROUND(((AE79-((EU79*1.2)))*AV79*1),2)*BS79),2)*AT79)/100),2))</f>
        <v>70821.97</v>
      </c>
      <c r="CZ79" s="3">
        <f>(ROUND((((S79+ROUND((ROUND((((EU79*1.2))*AV79*1),2)*BS79),2))*AU79)/100),2)+ROUND(((ROUND((ROUND(((AE79-((EU79*1.2)))*AV79*1),2)*BS79),2)*AU79)/100),2))</f>
        <v>36197.9</v>
      </c>
      <c r="DB79" s="3">
        <v>42</v>
      </c>
      <c r="DC79" s="3" t="s">
        <v>3</v>
      </c>
      <c r="DD79" s="3" t="s">
        <v>48</v>
      </c>
      <c r="DE79" s="3" t="s">
        <v>49</v>
      </c>
      <c r="DF79" s="3" t="s">
        <v>49</v>
      </c>
      <c r="DG79" s="3" t="s">
        <v>49</v>
      </c>
      <c r="DH79" s="3" t="s">
        <v>3</v>
      </c>
      <c r="DI79" s="3" t="s">
        <v>49</v>
      </c>
      <c r="DJ79" s="3" t="s">
        <v>49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U79" s="3">
        <v>1013</v>
      </c>
      <c r="DV79" s="3" t="s">
        <v>25</v>
      </c>
      <c r="DW79" s="3" t="s">
        <v>25</v>
      </c>
      <c r="DX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56938740</v>
      </c>
      <c r="EF79" s="3">
        <v>40</v>
      </c>
      <c r="EG79" s="3" t="s">
        <v>29</v>
      </c>
      <c r="EH79" s="3">
        <v>0</v>
      </c>
      <c r="EI79" s="3" t="s">
        <v>3</v>
      </c>
      <c r="EJ79" s="3">
        <v>2</v>
      </c>
      <c r="EK79" s="3">
        <v>73</v>
      </c>
      <c r="EL79" s="3" t="s">
        <v>85</v>
      </c>
      <c r="EM79" s="3" t="s">
        <v>86</v>
      </c>
      <c r="EO79" s="3" t="s">
        <v>50</v>
      </c>
      <c r="EQ79" s="3">
        <v>132096</v>
      </c>
      <c r="ER79" s="3">
        <v>80.540000000000006</v>
      </c>
      <c r="ES79" s="3">
        <v>4.33</v>
      </c>
      <c r="ET79" s="3">
        <v>8.06</v>
      </c>
      <c r="EU79" s="3">
        <v>0.25</v>
      </c>
      <c r="EV79" s="3">
        <v>68.150000000000006</v>
      </c>
      <c r="EW79" s="3">
        <v>5.4</v>
      </c>
      <c r="EX79" s="3">
        <v>0</v>
      </c>
      <c r="EY79" s="3">
        <v>0</v>
      </c>
      <c r="FQ79" s="3">
        <v>0</v>
      </c>
      <c r="FR79" s="3">
        <v>0</v>
      </c>
      <c r="FS79" s="3">
        <v>2</v>
      </c>
      <c r="FX79" s="3">
        <v>90</v>
      </c>
      <c r="FY79" s="3">
        <v>46</v>
      </c>
      <c r="GA79" s="3" t="s">
        <v>3</v>
      </c>
      <c r="GD79" s="3">
        <v>1</v>
      </c>
      <c r="GF79" s="3">
        <v>-914769333</v>
      </c>
      <c r="GG79" s="3">
        <v>2</v>
      </c>
      <c r="GH79" s="3">
        <v>1</v>
      </c>
      <c r="GI79" s="3">
        <v>2</v>
      </c>
      <c r="GJ79" s="3">
        <v>0</v>
      </c>
      <c r="GK79" s="3">
        <v>0</v>
      </c>
      <c r="GL79" s="3">
        <f t="shared" si="77"/>
        <v>0</v>
      </c>
      <c r="GM79" s="3">
        <f t="shared" si="78"/>
        <v>189161.35</v>
      </c>
      <c r="GN79" s="3">
        <f t="shared" si="79"/>
        <v>0</v>
      </c>
      <c r="GO79" s="3">
        <f t="shared" si="80"/>
        <v>189161.35</v>
      </c>
      <c r="GP79" s="3">
        <f t="shared" si="81"/>
        <v>0</v>
      </c>
      <c r="GR79" s="3">
        <v>0</v>
      </c>
      <c r="GS79" s="3">
        <v>3</v>
      </c>
      <c r="GT79" s="3">
        <v>0</v>
      </c>
      <c r="GU79" s="3" t="s">
        <v>3</v>
      </c>
      <c r="GV79" s="3">
        <f t="shared" si="82"/>
        <v>0</v>
      </c>
      <c r="GW79" s="3">
        <v>1</v>
      </c>
      <c r="GX79" s="3">
        <f t="shared" si="83"/>
        <v>0</v>
      </c>
      <c r="HA79" s="3">
        <v>0</v>
      </c>
      <c r="HB79" s="3">
        <v>0</v>
      </c>
      <c r="HC79" s="3">
        <f t="shared" si="84"/>
        <v>0</v>
      </c>
      <c r="HE79" s="3" t="s">
        <v>3</v>
      </c>
      <c r="HF79" s="3" t="s">
        <v>3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">
      <c r="A80" s="2">
        <v>18</v>
      </c>
      <c r="B80" s="2">
        <v>1</v>
      </c>
      <c r="C80" s="2">
        <v>204</v>
      </c>
      <c r="D80" s="2"/>
      <c r="E80" s="2" t="s">
        <v>3</v>
      </c>
      <c r="F80" s="2" t="s">
        <v>129</v>
      </c>
      <c r="G80" s="2" t="s">
        <v>130</v>
      </c>
      <c r="H80" s="2" t="s">
        <v>118</v>
      </c>
      <c r="I80" s="2">
        <f>I78*J80</f>
        <v>20</v>
      </c>
      <c r="J80" s="2">
        <v>1.25</v>
      </c>
      <c r="K80" s="2">
        <v>1.25</v>
      </c>
      <c r="L80" s="2"/>
      <c r="M80" s="2"/>
      <c r="N80" s="2"/>
      <c r="O80" s="2">
        <f t="shared" si="60"/>
        <v>2144.6</v>
      </c>
      <c r="P80" s="2">
        <f t="shared" si="61"/>
        <v>2144.6</v>
      </c>
      <c r="Q80" s="2">
        <f>(ROUND((ROUND(((ET80)*AV80*I80),2)*BB80),2)+ROUND((ROUND(((AE80-(EU80))*AV80*I80),2)*BS80),2))</f>
        <v>0</v>
      </c>
      <c r="R80" s="2">
        <f>(ROUND((ROUND(((EU80)*AV80*I80),2)*BS80),2)+ROUND((ROUND(((AE80-(EU80))*AV80*I80),2)*BS80),2))</f>
        <v>0</v>
      </c>
      <c r="S80" s="2">
        <f t="shared" si="62"/>
        <v>0</v>
      </c>
      <c r="T80" s="2">
        <f t="shared" si="63"/>
        <v>0</v>
      </c>
      <c r="U80" s="2">
        <f t="shared" si="64"/>
        <v>0</v>
      </c>
      <c r="V80" s="2">
        <f t="shared" si="65"/>
        <v>0</v>
      </c>
      <c r="W80" s="2">
        <f t="shared" si="66"/>
        <v>0</v>
      </c>
      <c r="X80" s="2">
        <f>(ROUND((((S80+ROUND((ROUND(((EU80)*AV80*I80),2)*BS80),2))*AT80)/100),2)+ROUND(((ROUND((ROUND(((AE80-(EU80))*AV80*I80),2)*BS80),2)*AT80)/100),2))</f>
        <v>0</v>
      </c>
      <c r="Y80" s="2">
        <f>(ROUND((((S80+ROUND((ROUND(((EU80)*AV80*I80),2)*BS80),2))*AU80)/100),2)+ROUND(((ROUND((ROUND(((AE80-(EU80))*AV80*I80),2)*BS80),2)*AU80)/100),2))</f>
        <v>0</v>
      </c>
      <c r="Z80" s="2"/>
      <c r="AA80" s="2">
        <v>-1</v>
      </c>
      <c r="AB80" s="2">
        <f t="shared" si="67"/>
        <v>107.23</v>
      </c>
      <c r="AC80" s="2">
        <f>ROUND((ES80),6)</f>
        <v>107.23</v>
      </c>
      <c r="AD80" s="2">
        <f>ROUND((((ET80)-(EU80))+AE80),6)</f>
        <v>0</v>
      </c>
      <c r="AE80" s="2">
        <f t="shared" ref="AE80:AF83" si="99">ROUND((EU80),6)</f>
        <v>0</v>
      </c>
      <c r="AF80" s="2">
        <f t="shared" si="99"/>
        <v>0</v>
      </c>
      <c r="AG80" s="2">
        <f t="shared" si="68"/>
        <v>0</v>
      </c>
      <c r="AH80" s="2">
        <f t="shared" ref="AH80:AI83" si="100">(EW80)</f>
        <v>0</v>
      </c>
      <c r="AI80" s="2">
        <f t="shared" si="100"/>
        <v>0</v>
      </c>
      <c r="AJ80" s="2">
        <f t="shared" si="69"/>
        <v>0</v>
      </c>
      <c r="AK80" s="2">
        <v>107.23</v>
      </c>
      <c r="AL80" s="2">
        <v>107.23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90</v>
      </c>
      <c r="AU80" s="2">
        <v>46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2</v>
      </c>
      <c r="BJ80" s="2" t="s">
        <v>131</v>
      </c>
      <c r="BK80" s="2"/>
      <c r="BL80" s="2"/>
      <c r="BM80" s="2">
        <v>73</v>
      </c>
      <c r="BN80" s="2">
        <v>0</v>
      </c>
      <c r="BO80" s="2" t="s">
        <v>3</v>
      </c>
      <c r="BP80" s="2">
        <v>0</v>
      </c>
      <c r="BQ80" s="2">
        <v>40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90</v>
      </c>
      <c r="CA80" s="2">
        <v>46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718</v>
      </c>
      <c r="CO80" s="2">
        <v>0</v>
      </c>
      <c r="CP80" s="2">
        <f t="shared" si="70"/>
        <v>2144.6</v>
      </c>
      <c r="CQ80" s="2">
        <f t="shared" si="71"/>
        <v>107.23</v>
      </c>
      <c r="CR80" s="2">
        <f>(ROUND((ROUND(((ET80)*AV80*1),2)*BB80),2)+ROUND((ROUND(((AE80-(EU80))*AV80*1),2)*BS80),2))</f>
        <v>0</v>
      </c>
      <c r="CS80" s="2">
        <f>(ROUND((ROUND(((EU80)*AV80*1),2)*BS80),2)+ROUND((ROUND(((AE80-(EU80))*AV80*1),2)*BS80),2))</f>
        <v>0</v>
      </c>
      <c r="CT80" s="2">
        <f t="shared" si="72"/>
        <v>0</v>
      </c>
      <c r="CU80" s="2">
        <f t="shared" si="73"/>
        <v>0</v>
      </c>
      <c r="CV80" s="2">
        <f t="shared" si="74"/>
        <v>0</v>
      </c>
      <c r="CW80" s="2">
        <f t="shared" si="75"/>
        <v>0</v>
      </c>
      <c r="CX80" s="2">
        <f t="shared" si="76"/>
        <v>0</v>
      </c>
      <c r="CY80" s="2">
        <f>(ROUND((((S80+ROUND((ROUND(((EU80)*AV80*1),2)*BS80),2))*AT80)/100),2)+ROUND(((ROUND((ROUND(((AE80-(EU80))*AV80*1),2)*BS80),2)*AT80)/100),2))</f>
        <v>0</v>
      </c>
      <c r="CZ80" s="2">
        <f>(ROUND((((S80+ROUND((ROUND(((EU80)*AV80*1),2)*BS80),2))*AU80)/100),2)+ROUND(((ROUND((ROUND(((AE80-(EU80))*AV80*1),2)*BS80),2)*AU80)/100),2))</f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1010</v>
      </c>
      <c r="DV80" s="2" t="s">
        <v>118</v>
      </c>
      <c r="DW80" s="2" t="s">
        <v>118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56938740</v>
      </c>
      <c r="EF80" s="2">
        <v>40</v>
      </c>
      <c r="EG80" s="2" t="s">
        <v>29</v>
      </c>
      <c r="EH80" s="2">
        <v>0</v>
      </c>
      <c r="EI80" s="2" t="s">
        <v>3</v>
      </c>
      <c r="EJ80" s="2">
        <v>2</v>
      </c>
      <c r="EK80" s="2">
        <v>73</v>
      </c>
      <c r="EL80" s="2" t="s">
        <v>85</v>
      </c>
      <c r="EM80" s="2" t="s">
        <v>86</v>
      </c>
      <c r="EN80" s="2"/>
      <c r="EO80" s="2" t="s">
        <v>50</v>
      </c>
      <c r="EP80" s="2"/>
      <c r="EQ80" s="2">
        <v>1024</v>
      </c>
      <c r="ER80" s="2">
        <v>107.23</v>
      </c>
      <c r="ES80" s="2">
        <v>107.23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90</v>
      </c>
      <c r="FY80" s="2">
        <v>46</v>
      </c>
      <c r="FZ80" s="2"/>
      <c r="GA80" s="2" t="s">
        <v>3</v>
      </c>
      <c r="GB80" s="2"/>
      <c r="GC80" s="2"/>
      <c r="GD80" s="2">
        <v>1</v>
      </c>
      <c r="GE80" s="2"/>
      <c r="GF80" s="2">
        <v>235948314</v>
      </c>
      <c r="GG80" s="2">
        <v>2</v>
      </c>
      <c r="GH80" s="2">
        <v>1</v>
      </c>
      <c r="GI80" s="2">
        <v>-2</v>
      </c>
      <c r="GJ80" s="2">
        <v>0</v>
      </c>
      <c r="GK80" s="2">
        <v>0</v>
      </c>
      <c r="GL80" s="2">
        <f t="shared" si="77"/>
        <v>0</v>
      </c>
      <c r="GM80" s="2">
        <f t="shared" si="78"/>
        <v>2144.6</v>
      </c>
      <c r="GN80" s="2">
        <f t="shared" si="79"/>
        <v>0</v>
      </c>
      <c r="GO80" s="2">
        <f t="shared" si="80"/>
        <v>2144.6</v>
      </c>
      <c r="GP80" s="2">
        <f t="shared" si="81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82"/>
        <v>0</v>
      </c>
      <c r="GW80" s="2">
        <v>1</v>
      </c>
      <c r="GX80" s="2">
        <f t="shared" si="83"/>
        <v>0</v>
      </c>
      <c r="GY80" s="2"/>
      <c r="GZ80" s="2"/>
      <c r="HA80" s="2">
        <v>0</v>
      </c>
      <c r="HB80" s="2">
        <v>0</v>
      </c>
      <c r="HC80" s="2">
        <f t="shared" si="84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48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 s="3">
        <v>18</v>
      </c>
      <c r="B81" s="3">
        <v>1</v>
      </c>
      <c r="C81" s="3">
        <v>212</v>
      </c>
      <c r="E81" s="3" t="s">
        <v>3</v>
      </c>
      <c r="F81" s="3" t="s">
        <v>129</v>
      </c>
      <c r="G81" s="3" t="s">
        <v>130</v>
      </c>
      <c r="H81" s="3" t="s">
        <v>118</v>
      </c>
      <c r="I81" s="3">
        <f>I79*J81</f>
        <v>20</v>
      </c>
      <c r="J81" s="3">
        <v>1.25</v>
      </c>
      <c r="K81" s="3">
        <v>1.25</v>
      </c>
      <c r="O81" s="3">
        <f t="shared" si="60"/>
        <v>14883.52</v>
      </c>
      <c r="P81" s="3">
        <f t="shared" si="61"/>
        <v>14883.52</v>
      </c>
      <c r="Q81" s="3">
        <f>(ROUND((ROUND(((ET81)*AV81*I81),2)*BB81),2)+ROUND((ROUND(((AE81-(EU81))*AV81*I81),2)*BS81),2))</f>
        <v>0</v>
      </c>
      <c r="R81" s="3">
        <f>(ROUND((ROUND(((EU81)*AV81*I81),2)*BS81),2)+ROUND((ROUND(((AE81-(EU81))*AV81*I81),2)*BS81),2))</f>
        <v>0</v>
      </c>
      <c r="S81" s="3">
        <f t="shared" si="62"/>
        <v>0</v>
      </c>
      <c r="T81" s="3">
        <f t="shared" si="63"/>
        <v>0</v>
      </c>
      <c r="U81" s="3">
        <f t="shared" si="64"/>
        <v>0</v>
      </c>
      <c r="V81" s="3">
        <f t="shared" si="65"/>
        <v>0</v>
      </c>
      <c r="W81" s="3">
        <f t="shared" si="66"/>
        <v>0</v>
      </c>
      <c r="X81" s="3">
        <f>(ROUND((((S81+ROUND((ROUND(((EU81)*AV81*I81),2)*BS81),2))*AT81)/100),2)+ROUND(((ROUND((ROUND(((AE81-(EU81))*AV81*I81),2)*BS81),2)*AT81)/100),2))</f>
        <v>0</v>
      </c>
      <c r="Y81" s="3">
        <f>(ROUND((((S81+ROUND((ROUND(((EU81)*AV81*I81),2)*BS81),2))*AU81)/100),2)+ROUND(((ROUND((ROUND(((AE81-(EU81))*AV81*I81),2)*BS81),2)*AU81)/100),2))</f>
        <v>0</v>
      </c>
      <c r="AA81" s="3">
        <v>-1</v>
      </c>
      <c r="AB81" s="3">
        <f t="shared" si="67"/>
        <v>107.23</v>
      </c>
      <c r="AC81" s="3">
        <f>ROUND((ES81),6)</f>
        <v>107.23</v>
      </c>
      <c r="AD81" s="3">
        <f>ROUND((((ET81)-(EU81))+AE81),6)</f>
        <v>0</v>
      </c>
      <c r="AE81" s="3">
        <f t="shared" si="99"/>
        <v>0</v>
      </c>
      <c r="AF81" s="3">
        <f t="shared" si="99"/>
        <v>0</v>
      </c>
      <c r="AG81" s="3">
        <f t="shared" si="68"/>
        <v>0</v>
      </c>
      <c r="AH81" s="3">
        <f t="shared" si="100"/>
        <v>0</v>
      </c>
      <c r="AI81" s="3">
        <f t="shared" si="100"/>
        <v>0</v>
      </c>
      <c r="AJ81" s="3">
        <f t="shared" si="69"/>
        <v>0</v>
      </c>
      <c r="AK81" s="3">
        <v>107.23</v>
      </c>
      <c r="AL81" s="3">
        <v>107.23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90</v>
      </c>
      <c r="AU81" s="3">
        <v>46</v>
      </c>
      <c r="AV81" s="3">
        <v>1</v>
      </c>
      <c r="AW81" s="3">
        <v>1</v>
      </c>
      <c r="AZ81" s="3">
        <v>1</v>
      </c>
      <c r="BA81" s="3">
        <v>1</v>
      </c>
      <c r="BB81" s="3">
        <v>1</v>
      </c>
      <c r="BC81" s="3">
        <v>6.94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3</v>
      </c>
      <c r="BI81" s="3">
        <v>2</v>
      </c>
      <c r="BJ81" s="3" t="s">
        <v>131</v>
      </c>
      <c r="BM81" s="3">
        <v>73</v>
      </c>
      <c r="BN81" s="3">
        <v>0</v>
      </c>
      <c r="BO81" s="3" t="s">
        <v>129</v>
      </c>
      <c r="BP81" s="3">
        <v>1</v>
      </c>
      <c r="BQ81" s="3">
        <v>40</v>
      </c>
      <c r="BR81" s="3">
        <v>0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90</v>
      </c>
      <c r="CA81" s="3">
        <v>46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718</v>
      </c>
      <c r="CO81" s="3">
        <v>0</v>
      </c>
      <c r="CP81" s="3">
        <f t="shared" si="70"/>
        <v>14883.52</v>
      </c>
      <c r="CQ81" s="3">
        <f t="shared" si="71"/>
        <v>744.18</v>
      </c>
      <c r="CR81" s="3">
        <f>(ROUND((ROUND(((ET81)*AV81*1),2)*BB81),2)+ROUND((ROUND(((AE81-(EU81))*AV81*1),2)*BS81),2))</f>
        <v>0</v>
      </c>
      <c r="CS81" s="3">
        <f>(ROUND((ROUND(((EU81)*AV81*1),2)*BS81),2)+ROUND((ROUND(((AE81-(EU81))*AV81*1),2)*BS81),2))</f>
        <v>0</v>
      </c>
      <c r="CT81" s="3">
        <f t="shared" si="72"/>
        <v>0</v>
      </c>
      <c r="CU81" s="3">
        <f t="shared" si="73"/>
        <v>0</v>
      </c>
      <c r="CV81" s="3">
        <f t="shared" si="74"/>
        <v>0</v>
      </c>
      <c r="CW81" s="3">
        <f t="shared" si="75"/>
        <v>0</v>
      </c>
      <c r="CX81" s="3">
        <f t="shared" si="76"/>
        <v>0</v>
      </c>
      <c r="CY81" s="3">
        <f>(ROUND((((S81+ROUND((ROUND(((EU81)*AV81*1),2)*BS81),2))*AT81)/100),2)+ROUND(((ROUND((ROUND(((AE81-(EU81))*AV81*1),2)*BS81),2)*AT81)/100),2))</f>
        <v>0</v>
      </c>
      <c r="CZ81" s="3">
        <f>(ROUND((((S81+ROUND((ROUND(((EU81)*AV81*1),2)*BS81),2))*AU81)/100),2)+ROUND(((ROUND((ROUND(((AE81-(EU81))*AV81*1),2)*BS81),2)*AU81)/100),2))</f>
        <v>0</v>
      </c>
      <c r="DC81" s="3" t="s">
        <v>3</v>
      </c>
      <c r="DD81" s="3" t="s">
        <v>3</v>
      </c>
      <c r="DE81" s="3" t="s">
        <v>3</v>
      </c>
      <c r="DF81" s="3" t="s">
        <v>3</v>
      </c>
      <c r="DG81" s="3" t="s">
        <v>3</v>
      </c>
      <c r="DH81" s="3" t="s">
        <v>3</v>
      </c>
      <c r="DI81" s="3" t="s">
        <v>3</v>
      </c>
      <c r="DJ81" s="3" t="s">
        <v>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U81" s="3">
        <v>1010</v>
      </c>
      <c r="DV81" s="3" t="s">
        <v>118</v>
      </c>
      <c r="DW81" s="3" t="s">
        <v>118</v>
      </c>
      <c r="DX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56938740</v>
      </c>
      <c r="EF81" s="3">
        <v>40</v>
      </c>
      <c r="EG81" s="3" t="s">
        <v>29</v>
      </c>
      <c r="EH81" s="3">
        <v>0</v>
      </c>
      <c r="EI81" s="3" t="s">
        <v>3</v>
      </c>
      <c r="EJ81" s="3">
        <v>2</v>
      </c>
      <c r="EK81" s="3">
        <v>73</v>
      </c>
      <c r="EL81" s="3" t="s">
        <v>85</v>
      </c>
      <c r="EM81" s="3" t="s">
        <v>86</v>
      </c>
      <c r="EO81" s="3" t="s">
        <v>50</v>
      </c>
      <c r="EQ81" s="3">
        <v>1024</v>
      </c>
      <c r="ER81" s="3">
        <v>107.23</v>
      </c>
      <c r="ES81" s="3">
        <v>107.23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FQ81" s="3">
        <v>0</v>
      </c>
      <c r="FR81" s="3">
        <v>0</v>
      </c>
      <c r="FS81" s="3">
        <v>0</v>
      </c>
      <c r="FX81" s="3">
        <v>90</v>
      </c>
      <c r="FY81" s="3">
        <v>46</v>
      </c>
      <c r="GA81" s="3" t="s">
        <v>3</v>
      </c>
      <c r="GD81" s="3">
        <v>1</v>
      </c>
      <c r="GF81" s="3">
        <v>235948314</v>
      </c>
      <c r="GG81" s="3">
        <v>2</v>
      </c>
      <c r="GH81" s="3">
        <v>1</v>
      </c>
      <c r="GI81" s="3">
        <v>2</v>
      </c>
      <c r="GJ81" s="3">
        <v>0</v>
      </c>
      <c r="GK81" s="3">
        <v>0</v>
      </c>
      <c r="GL81" s="3">
        <f t="shared" si="77"/>
        <v>0</v>
      </c>
      <c r="GM81" s="3">
        <f t="shared" si="78"/>
        <v>14883.52</v>
      </c>
      <c r="GN81" s="3">
        <f t="shared" si="79"/>
        <v>0</v>
      </c>
      <c r="GO81" s="3">
        <f t="shared" si="80"/>
        <v>14883.52</v>
      </c>
      <c r="GP81" s="3">
        <f t="shared" si="81"/>
        <v>0</v>
      </c>
      <c r="GR81" s="3">
        <v>0</v>
      </c>
      <c r="GS81" s="3">
        <v>3</v>
      </c>
      <c r="GT81" s="3">
        <v>0</v>
      </c>
      <c r="GU81" s="3" t="s">
        <v>3</v>
      </c>
      <c r="GV81" s="3">
        <f t="shared" si="82"/>
        <v>0</v>
      </c>
      <c r="GW81" s="3">
        <v>1</v>
      </c>
      <c r="GX81" s="3">
        <f t="shared" si="83"/>
        <v>0</v>
      </c>
      <c r="HA81" s="3">
        <v>0</v>
      </c>
      <c r="HB81" s="3">
        <v>0</v>
      </c>
      <c r="HC81" s="3">
        <f t="shared" si="84"/>
        <v>0</v>
      </c>
      <c r="HE81" s="3" t="s">
        <v>3</v>
      </c>
      <c r="HF81" s="3" t="s">
        <v>3</v>
      </c>
      <c r="HM81" s="3" t="s">
        <v>48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">
      <c r="A82" s="2">
        <v>18</v>
      </c>
      <c r="B82" s="2">
        <v>1</v>
      </c>
      <c r="C82" s="2">
        <v>203</v>
      </c>
      <c r="D82" s="2"/>
      <c r="E82" s="2" t="s">
        <v>3</v>
      </c>
      <c r="F82" s="2" t="s">
        <v>158</v>
      </c>
      <c r="G82" s="2" t="s">
        <v>159</v>
      </c>
      <c r="H82" s="2" t="s">
        <v>118</v>
      </c>
      <c r="I82" s="2">
        <f>I78*J82</f>
        <v>6</v>
      </c>
      <c r="J82" s="2">
        <v>0.375</v>
      </c>
      <c r="K82" s="2">
        <v>0.375</v>
      </c>
      <c r="L82" s="2"/>
      <c r="M82" s="2"/>
      <c r="N82" s="2"/>
      <c r="O82" s="2">
        <f t="shared" si="60"/>
        <v>780.42</v>
      </c>
      <c r="P82" s="2">
        <f t="shared" si="61"/>
        <v>780.42</v>
      </c>
      <c r="Q82" s="2">
        <f>(ROUND((ROUND(((ET82)*AV82*I82),2)*BB82),2)+ROUND((ROUND(((AE82-(EU82))*AV82*I82),2)*BS82),2))</f>
        <v>0</v>
      </c>
      <c r="R82" s="2">
        <f>(ROUND((ROUND(((EU82)*AV82*I82),2)*BS82),2)+ROUND((ROUND(((AE82-(EU82))*AV82*I82),2)*BS82),2))</f>
        <v>0</v>
      </c>
      <c r="S82" s="2">
        <f t="shared" si="62"/>
        <v>0</v>
      </c>
      <c r="T82" s="2">
        <f t="shared" si="63"/>
        <v>0</v>
      </c>
      <c r="U82" s="2">
        <f t="shared" si="64"/>
        <v>0</v>
      </c>
      <c r="V82" s="2">
        <f t="shared" si="65"/>
        <v>0</v>
      </c>
      <c r="W82" s="2">
        <f t="shared" si="66"/>
        <v>0</v>
      </c>
      <c r="X82" s="2">
        <f>(ROUND((((S82+ROUND((ROUND(((EU82)*AV82*I82),2)*BS82),2))*AT82)/100),2)+ROUND(((ROUND((ROUND(((AE82-(EU82))*AV82*I82),2)*BS82),2)*AT82)/100),2))</f>
        <v>0</v>
      </c>
      <c r="Y82" s="2">
        <f>(ROUND((((S82+ROUND((ROUND(((EU82)*AV82*I82),2)*BS82),2))*AU82)/100),2)+ROUND(((ROUND((ROUND(((AE82-(EU82))*AV82*I82),2)*BS82),2)*AU82)/100),2))</f>
        <v>0</v>
      </c>
      <c r="Z82" s="2"/>
      <c r="AA82" s="2">
        <v>-1</v>
      </c>
      <c r="AB82" s="2">
        <f t="shared" si="67"/>
        <v>130.07</v>
      </c>
      <c r="AC82" s="2">
        <f>ROUND((ES82),6)</f>
        <v>130.07</v>
      </c>
      <c r="AD82" s="2">
        <f>ROUND((((ET82)-(EU82))+AE82),6)</f>
        <v>0</v>
      </c>
      <c r="AE82" s="2">
        <f t="shared" si="99"/>
        <v>0</v>
      </c>
      <c r="AF82" s="2">
        <f t="shared" si="99"/>
        <v>0</v>
      </c>
      <c r="AG82" s="2">
        <f t="shared" si="68"/>
        <v>0</v>
      </c>
      <c r="AH82" s="2">
        <f t="shared" si="100"/>
        <v>0</v>
      </c>
      <c r="AI82" s="2">
        <f t="shared" si="100"/>
        <v>0</v>
      </c>
      <c r="AJ82" s="2">
        <f t="shared" si="69"/>
        <v>0</v>
      </c>
      <c r="AK82" s="2">
        <v>130.07</v>
      </c>
      <c r="AL82" s="2">
        <v>130.07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90</v>
      </c>
      <c r="AU82" s="2">
        <v>46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2</v>
      </c>
      <c r="BJ82" s="2" t="s">
        <v>160</v>
      </c>
      <c r="BK82" s="2"/>
      <c r="BL82" s="2"/>
      <c r="BM82" s="2">
        <v>73</v>
      </c>
      <c r="BN82" s="2">
        <v>0</v>
      </c>
      <c r="BO82" s="2" t="s">
        <v>3</v>
      </c>
      <c r="BP82" s="2">
        <v>0</v>
      </c>
      <c r="BQ82" s="2">
        <v>40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90</v>
      </c>
      <c r="CA82" s="2">
        <v>46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718</v>
      </c>
      <c r="CO82" s="2">
        <v>0</v>
      </c>
      <c r="CP82" s="2">
        <f t="shared" si="70"/>
        <v>780.42</v>
      </c>
      <c r="CQ82" s="2">
        <f t="shared" si="71"/>
        <v>130.07</v>
      </c>
      <c r="CR82" s="2">
        <f>(ROUND((ROUND(((ET82)*AV82*1),2)*BB82),2)+ROUND((ROUND(((AE82-(EU82))*AV82*1),2)*BS82),2))</f>
        <v>0</v>
      </c>
      <c r="CS82" s="2">
        <f>(ROUND((ROUND(((EU82)*AV82*1),2)*BS82),2)+ROUND((ROUND(((AE82-(EU82))*AV82*1),2)*BS82),2))</f>
        <v>0</v>
      </c>
      <c r="CT82" s="2">
        <f t="shared" si="72"/>
        <v>0</v>
      </c>
      <c r="CU82" s="2">
        <f t="shared" si="73"/>
        <v>0</v>
      </c>
      <c r="CV82" s="2">
        <f t="shared" si="74"/>
        <v>0</v>
      </c>
      <c r="CW82" s="2">
        <f t="shared" si="75"/>
        <v>0</v>
      </c>
      <c r="CX82" s="2">
        <f t="shared" si="76"/>
        <v>0</v>
      </c>
      <c r="CY82" s="2">
        <f>(ROUND((((S82+ROUND((ROUND(((EU82)*AV82*1),2)*BS82),2))*AT82)/100),2)+ROUND(((ROUND((ROUND(((AE82-(EU82))*AV82*1),2)*BS82),2)*AT82)/100),2))</f>
        <v>0</v>
      </c>
      <c r="CZ82" s="2">
        <f>(ROUND((((S82+ROUND((ROUND(((EU82)*AV82*1),2)*BS82),2))*AU82)/100),2)+ROUND(((ROUND((ROUND(((AE82-(EU82))*AV82*1),2)*BS82),2)*AU82)/100),2))</f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1010</v>
      </c>
      <c r="DV82" s="2" t="s">
        <v>118</v>
      </c>
      <c r="DW82" s="2" t="s">
        <v>118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56938740</v>
      </c>
      <c r="EF82" s="2">
        <v>40</v>
      </c>
      <c r="EG82" s="2" t="s">
        <v>29</v>
      </c>
      <c r="EH82" s="2">
        <v>0</v>
      </c>
      <c r="EI82" s="2" t="s">
        <v>3</v>
      </c>
      <c r="EJ82" s="2">
        <v>2</v>
      </c>
      <c r="EK82" s="2">
        <v>73</v>
      </c>
      <c r="EL82" s="2" t="s">
        <v>85</v>
      </c>
      <c r="EM82" s="2" t="s">
        <v>86</v>
      </c>
      <c r="EN82" s="2"/>
      <c r="EO82" s="2" t="s">
        <v>50</v>
      </c>
      <c r="EP82" s="2"/>
      <c r="EQ82" s="2">
        <v>1024</v>
      </c>
      <c r="ER82" s="2">
        <v>130.07</v>
      </c>
      <c r="ES82" s="2">
        <v>130.07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90</v>
      </c>
      <c r="FY82" s="2">
        <v>46</v>
      </c>
      <c r="FZ82" s="2"/>
      <c r="GA82" s="2" t="s">
        <v>3</v>
      </c>
      <c r="GB82" s="2"/>
      <c r="GC82" s="2"/>
      <c r="GD82" s="2">
        <v>1</v>
      </c>
      <c r="GE82" s="2"/>
      <c r="GF82" s="2">
        <v>-1214401210</v>
      </c>
      <c r="GG82" s="2">
        <v>2</v>
      </c>
      <c r="GH82" s="2">
        <v>1</v>
      </c>
      <c r="GI82" s="2">
        <v>-2</v>
      </c>
      <c r="GJ82" s="2">
        <v>0</v>
      </c>
      <c r="GK82" s="2">
        <v>0</v>
      </c>
      <c r="GL82" s="2">
        <f t="shared" si="77"/>
        <v>0</v>
      </c>
      <c r="GM82" s="2">
        <f t="shared" si="78"/>
        <v>780.42</v>
      </c>
      <c r="GN82" s="2">
        <f t="shared" si="79"/>
        <v>0</v>
      </c>
      <c r="GO82" s="2">
        <f t="shared" si="80"/>
        <v>780.42</v>
      </c>
      <c r="GP82" s="2">
        <f t="shared" si="81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82"/>
        <v>0</v>
      </c>
      <c r="GW82" s="2">
        <v>1</v>
      </c>
      <c r="GX82" s="2">
        <f t="shared" si="83"/>
        <v>0</v>
      </c>
      <c r="GY82" s="2"/>
      <c r="GZ82" s="2"/>
      <c r="HA82" s="2">
        <v>0</v>
      </c>
      <c r="HB82" s="2">
        <v>0</v>
      </c>
      <c r="HC82" s="2">
        <f t="shared" si="84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48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 s="3">
        <v>18</v>
      </c>
      <c r="B83" s="3">
        <v>1</v>
      </c>
      <c r="C83" s="3">
        <v>211</v>
      </c>
      <c r="E83" s="3" t="s">
        <v>3</v>
      </c>
      <c r="F83" s="3" t="s">
        <v>158</v>
      </c>
      <c r="G83" s="3" t="s">
        <v>159</v>
      </c>
      <c r="H83" s="3" t="s">
        <v>118</v>
      </c>
      <c r="I83" s="3">
        <f>I79*J83</f>
        <v>6</v>
      </c>
      <c r="J83" s="3">
        <v>0.375</v>
      </c>
      <c r="K83" s="3">
        <v>0.375</v>
      </c>
      <c r="O83" s="3">
        <f t="shared" si="60"/>
        <v>3761.62</v>
      </c>
      <c r="P83" s="3">
        <f t="shared" si="61"/>
        <v>3761.62</v>
      </c>
      <c r="Q83" s="3">
        <f>(ROUND((ROUND(((ET83)*AV83*I83),2)*BB83),2)+ROUND((ROUND(((AE83-(EU83))*AV83*I83),2)*BS83),2))</f>
        <v>0</v>
      </c>
      <c r="R83" s="3">
        <f>(ROUND((ROUND(((EU83)*AV83*I83),2)*BS83),2)+ROUND((ROUND(((AE83-(EU83))*AV83*I83),2)*BS83),2))</f>
        <v>0</v>
      </c>
      <c r="S83" s="3">
        <f t="shared" si="62"/>
        <v>0</v>
      </c>
      <c r="T83" s="3">
        <f t="shared" si="63"/>
        <v>0</v>
      </c>
      <c r="U83" s="3">
        <f t="shared" si="64"/>
        <v>0</v>
      </c>
      <c r="V83" s="3">
        <f t="shared" si="65"/>
        <v>0</v>
      </c>
      <c r="W83" s="3">
        <f t="shared" si="66"/>
        <v>0</v>
      </c>
      <c r="X83" s="3">
        <f>(ROUND((((S83+ROUND((ROUND(((EU83)*AV83*I83),2)*BS83),2))*AT83)/100),2)+ROUND(((ROUND((ROUND(((AE83-(EU83))*AV83*I83),2)*BS83),2)*AT83)/100),2))</f>
        <v>0</v>
      </c>
      <c r="Y83" s="3">
        <f>(ROUND((((S83+ROUND((ROUND(((EU83)*AV83*I83),2)*BS83),2))*AU83)/100),2)+ROUND(((ROUND((ROUND(((AE83-(EU83))*AV83*I83),2)*BS83),2)*AU83)/100),2))</f>
        <v>0</v>
      </c>
      <c r="AA83" s="3">
        <v>-1</v>
      </c>
      <c r="AB83" s="3">
        <f t="shared" si="67"/>
        <v>130.07</v>
      </c>
      <c r="AC83" s="3">
        <f>ROUND((ES83),6)</f>
        <v>130.07</v>
      </c>
      <c r="AD83" s="3">
        <f>ROUND((((ET83)-(EU83))+AE83),6)</f>
        <v>0</v>
      </c>
      <c r="AE83" s="3">
        <f t="shared" si="99"/>
        <v>0</v>
      </c>
      <c r="AF83" s="3">
        <f t="shared" si="99"/>
        <v>0</v>
      </c>
      <c r="AG83" s="3">
        <f t="shared" si="68"/>
        <v>0</v>
      </c>
      <c r="AH83" s="3">
        <f t="shared" si="100"/>
        <v>0</v>
      </c>
      <c r="AI83" s="3">
        <f t="shared" si="100"/>
        <v>0</v>
      </c>
      <c r="AJ83" s="3">
        <f t="shared" si="69"/>
        <v>0</v>
      </c>
      <c r="AK83" s="3">
        <v>130.07</v>
      </c>
      <c r="AL83" s="3">
        <v>130.07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90</v>
      </c>
      <c r="AU83" s="3">
        <v>46</v>
      </c>
      <c r="AV83" s="3">
        <v>1</v>
      </c>
      <c r="AW83" s="3">
        <v>1</v>
      </c>
      <c r="AZ83" s="3">
        <v>1</v>
      </c>
      <c r="BA83" s="3">
        <v>1</v>
      </c>
      <c r="BB83" s="3">
        <v>1</v>
      </c>
      <c r="BC83" s="3">
        <v>4.82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3</v>
      </c>
      <c r="BI83" s="3">
        <v>2</v>
      </c>
      <c r="BJ83" s="3" t="s">
        <v>160</v>
      </c>
      <c r="BM83" s="3">
        <v>73</v>
      </c>
      <c r="BN83" s="3">
        <v>0</v>
      </c>
      <c r="BO83" s="3" t="s">
        <v>158</v>
      </c>
      <c r="BP83" s="3">
        <v>1</v>
      </c>
      <c r="BQ83" s="3">
        <v>40</v>
      </c>
      <c r="BR83" s="3">
        <v>0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90</v>
      </c>
      <c r="CA83" s="3">
        <v>46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718</v>
      </c>
      <c r="CO83" s="3">
        <v>0</v>
      </c>
      <c r="CP83" s="3">
        <f t="shared" si="70"/>
        <v>3761.62</v>
      </c>
      <c r="CQ83" s="3">
        <f t="shared" si="71"/>
        <v>626.94000000000005</v>
      </c>
      <c r="CR83" s="3">
        <f>(ROUND((ROUND(((ET83)*AV83*1),2)*BB83),2)+ROUND((ROUND(((AE83-(EU83))*AV83*1),2)*BS83),2))</f>
        <v>0</v>
      </c>
      <c r="CS83" s="3">
        <f>(ROUND((ROUND(((EU83)*AV83*1),2)*BS83),2)+ROUND((ROUND(((AE83-(EU83))*AV83*1),2)*BS83),2))</f>
        <v>0</v>
      </c>
      <c r="CT83" s="3">
        <f t="shared" si="72"/>
        <v>0</v>
      </c>
      <c r="CU83" s="3">
        <f t="shared" si="73"/>
        <v>0</v>
      </c>
      <c r="CV83" s="3">
        <f t="shared" si="74"/>
        <v>0</v>
      </c>
      <c r="CW83" s="3">
        <f t="shared" si="75"/>
        <v>0</v>
      </c>
      <c r="CX83" s="3">
        <f t="shared" si="76"/>
        <v>0</v>
      </c>
      <c r="CY83" s="3">
        <f>(ROUND((((S83+ROUND((ROUND(((EU83)*AV83*1),2)*BS83),2))*AT83)/100),2)+ROUND(((ROUND((ROUND(((AE83-(EU83))*AV83*1),2)*BS83),2)*AT83)/100),2))</f>
        <v>0</v>
      </c>
      <c r="CZ83" s="3">
        <f>(ROUND((((S83+ROUND((ROUND(((EU83)*AV83*1),2)*BS83),2))*AU83)/100),2)+ROUND(((ROUND((ROUND(((AE83-(EU83))*AV83*1),2)*BS83),2)*AU83)/100),2))</f>
        <v>0</v>
      </c>
      <c r="DC83" s="3" t="s">
        <v>3</v>
      </c>
      <c r="DD83" s="3" t="s">
        <v>3</v>
      </c>
      <c r="DE83" s="3" t="s">
        <v>3</v>
      </c>
      <c r="DF83" s="3" t="s">
        <v>3</v>
      </c>
      <c r="DG83" s="3" t="s">
        <v>3</v>
      </c>
      <c r="DH83" s="3" t="s">
        <v>3</v>
      </c>
      <c r="DI83" s="3" t="s">
        <v>3</v>
      </c>
      <c r="DJ83" s="3" t="s">
        <v>3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U83" s="3">
        <v>1010</v>
      </c>
      <c r="DV83" s="3" t="s">
        <v>118</v>
      </c>
      <c r="DW83" s="3" t="s">
        <v>118</v>
      </c>
      <c r="DX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56938740</v>
      </c>
      <c r="EF83" s="3">
        <v>40</v>
      </c>
      <c r="EG83" s="3" t="s">
        <v>29</v>
      </c>
      <c r="EH83" s="3">
        <v>0</v>
      </c>
      <c r="EI83" s="3" t="s">
        <v>3</v>
      </c>
      <c r="EJ83" s="3">
        <v>2</v>
      </c>
      <c r="EK83" s="3">
        <v>73</v>
      </c>
      <c r="EL83" s="3" t="s">
        <v>85</v>
      </c>
      <c r="EM83" s="3" t="s">
        <v>86</v>
      </c>
      <c r="EO83" s="3" t="s">
        <v>50</v>
      </c>
      <c r="EQ83" s="3">
        <v>1024</v>
      </c>
      <c r="ER83" s="3">
        <v>130.07</v>
      </c>
      <c r="ES83" s="3">
        <v>130.07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FQ83" s="3">
        <v>0</v>
      </c>
      <c r="FR83" s="3">
        <v>0</v>
      </c>
      <c r="FS83" s="3">
        <v>0</v>
      </c>
      <c r="FX83" s="3">
        <v>90</v>
      </c>
      <c r="FY83" s="3">
        <v>46</v>
      </c>
      <c r="GA83" s="3" t="s">
        <v>3</v>
      </c>
      <c r="GD83" s="3">
        <v>1</v>
      </c>
      <c r="GF83" s="3">
        <v>-1214401210</v>
      </c>
      <c r="GG83" s="3">
        <v>2</v>
      </c>
      <c r="GH83" s="3">
        <v>1</v>
      </c>
      <c r="GI83" s="3">
        <v>2</v>
      </c>
      <c r="GJ83" s="3">
        <v>0</v>
      </c>
      <c r="GK83" s="3">
        <v>0</v>
      </c>
      <c r="GL83" s="3">
        <f t="shared" si="77"/>
        <v>0</v>
      </c>
      <c r="GM83" s="3">
        <f t="shared" si="78"/>
        <v>3761.62</v>
      </c>
      <c r="GN83" s="3">
        <f t="shared" si="79"/>
        <v>0</v>
      </c>
      <c r="GO83" s="3">
        <f t="shared" si="80"/>
        <v>3761.62</v>
      </c>
      <c r="GP83" s="3">
        <f t="shared" si="81"/>
        <v>0</v>
      </c>
      <c r="GR83" s="3">
        <v>0</v>
      </c>
      <c r="GS83" s="3">
        <v>3</v>
      </c>
      <c r="GT83" s="3">
        <v>0</v>
      </c>
      <c r="GU83" s="3" t="s">
        <v>3</v>
      </c>
      <c r="GV83" s="3">
        <f t="shared" si="82"/>
        <v>0</v>
      </c>
      <c r="GW83" s="3">
        <v>1</v>
      </c>
      <c r="GX83" s="3">
        <f t="shared" si="83"/>
        <v>0</v>
      </c>
      <c r="HA83" s="3">
        <v>0</v>
      </c>
      <c r="HB83" s="3">
        <v>0</v>
      </c>
      <c r="HC83" s="3">
        <f t="shared" si="84"/>
        <v>0</v>
      </c>
      <c r="HE83" s="3" t="s">
        <v>3</v>
      </c>
      <c r="HF83" s="3" t="s">
        <v>3</v>
      </c>
      <c r="HM83" s="3" t="s">
        <v>48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">
      <c r="A84" s="2">
        <v>17</v>
      </c>
      <c r="B84" s="2">
        <v>1</v>
      </c>
      <c r="C84" s="2">
        <f>ROW(SmtRes!A219)</f>
        <v>219</v>
      </c>
      <c r="D84" s="2">
        <f>ROW(EtalonRes!A261)</f>
        <v>261</v>
      </c>
      <c r="E84" s="2" t="s">
        <v>3</v>
      </c>
      <c r="F84" s="2" t="s">
        <v>161</v>
      </c>
      <c r="G84" s="2" t="s">
        <v>162</v>
      </c>
      <c r="H84" s="2" t="s">
        <v>25</v>
      </c>
      <c r="I84" s="2">
        <f>ROUND(4+4+8,9)</f>
        <v>16</v>
      </c>
      <c r="J84" s="2">
        <v>0</v>
      </c>
      <c r="K84" s="2">
        <f>ROUND(4+4+8,9)</f>
        <v>16</v>
      </c>
      <c r="L84" s="2"/>
      <c r="M84" s="2"/>
      <c r="N84" s="2"/>
      <c r="O84" s="2">
        <f t="shared" si="60"/>
        <v>1471.74</v>
      </c>
      <c r="P84" s="2">
        <f t="shared" si="61"/>
        <v>57.57</v>
      </c>
      <c r="Q84" s="2">
        <f>(ROUND((ROUND((((ET84*1.2))*AV84*I84),2)*BB84),2)+ROUND((ROUND(((AE84-((EU84*1.2)))*AV84*I84),2)*BS84),2))</f>
        <v>121.48</v>
      </c>
      <c r="R84" s="2">
        <f>(ROUND((ROUND((((EU84*1.2))*AV84*I84),2)*BS84),2)+ROUND((ROUND(((AE84-((EU84*1.2)))*AV84*I84),2)*BS84),2))</f>
        <v>5.12</v>
      </c>
      <c r="S84" s="2">
        <f t="shared" si="62"/>
        <v>1292.69</v>
      </c>
      <c r="T84" s="2">
        <f t="shared" si="63"/>
        <v>0</v>
      </c>
      <c r="U84" s="2">
        <f t="shared" si="64"/>
        <v>102.43199999999999</v>
      </c>
      <c r="V84" s="2">
        <f t="shared" si="65"/>
        <v>0</v>
      </c>
      <c r="W84" s="2">
        <f t="shared" si="66"/>
        <v>0</v>
      </c>
      <c r="X84" s="2">
        <f>(ROUND((((S84+ROUND((ROUND((((EU84*1.2))*AV84*I84),2)*BS84),2))*AT84)/100),2)+ROUND(((ROUND((ROUND(((AE84-((EU84*1.2)))*AV84*I84),2)*BS84),2)*AT84)/100),2))</f>
        <v>1168.03</v>
      </c>
      <c r="Y84" s="2">
        <f>(ROUND((((S84+ROUND((ROUND((((EU84*1.2))*AV84*I84),2)*BS84),2))*AU84)/100),2)+ROUND(((ROUND((ROUND(((AE84-((EU84*1.2)))*AV84*I84),2)*BS84),2)*AU84)/100),2))</f>
        <v>596.99</v>
      </c>
      <c r="Z84" s="2"/>
      <c r="AA84" s="2">
        <v>-1</v>
      </c>
      <c r="AB84" s="2">
        <f t="shared" si="67"/>
        <v>86.335999999999999</v>
      </c>
      <c r="AC84" s="2">
        <f>ROUND(((ES84*1)),6)</f>
        <v>3.5</v>
      </c>
      <c r="AD84" s="2">
        <f>ROUND(((((ET84*1.2))-((EU84*1.2)))+AE84),6)</f>
        <v>7.1159999999999997</v>
      </c>
      <c r="AE84" s="2">
        <f>ROUND(((EU84*1.2)),6)</f>
        <v>0.3</v>
      </c>
      <c r="AF84" s="2">
        <f>ROUND(((EV84*1.2)),6)</f>
        <v>75.72</v>
      </c>
      <c r="AG84" s="2">
        <f t="shared" si="68"/>
        <v>0</v>
      </c>
      <c r="AH84" s="2">
        <f>((EW84*1.2))</f>
        <v>6</v>
      </c>
      <c r="AI84" s="2">
        <f>((EX84*1.2))</f>
        <v>0</v>
      </c>
      <c r="AJ84" s="2">
        <f t="shared" si="69"/>
        <v>0</v>
      </c>
      <c r="AK84" s="2">
        <v>72.53</v>
      </c>
      <c r="AL84" s="2">
        <v>3.5</v>
      </c>
      <c r="AM84" s="2">
        <v>5.93</v>
      </c>
      <c r="AN84" s="2">
        <v>0.25</v>
      </c>
      <c r="AO84" s="2">
        <v>63.1</v>
      </c>
      <c r="AP84" s="2">
        <v>0</v>
      </c>
      <c r="AQ84" s="2">
        <v>5</v>
      </c>
      <c r="AR84" s="2">
        <v>0</v>
      </c>
      <c r="AS84" s="2">
        <v>0</v>
      </c>
      <c r="AT84" s="2">
        <v>90</v>
      </c>
      <c r="AU84" s="2">
        <v>46</v>
      </c>
      <c r="AV84" s="2">
        <v>1.0669999999999999</v>
      </c>
      <c r="AW84" s="2">
        <v>1.028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0</v>
      </c>
      <c r="BI84" s="2">
        <v>2</v>
      </c>
      <c r="BJ84" s="2" t="s">
        <v>163</v>
      </c>
      <c r="BK84" s="2"/>
      <c r="BL84" s="2"/>
      <c r="BM84" s="2">
        <v>73</v>
      </c>
      <c r="BN84" s="2">
        <v>0</v>
      </c>
      <c r="BO84" s="2" t="s">
        <v>161</v>
      </c>
      <c r="BP84" s="2">
        <v>1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90</v>
      </c>
      <c r="CA84" s="2">
        <v>46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716</v>
      </c>
      <c r="CO84" s="2">
        <v>0</v>
      </c>
      <c r="CP84" s="2">
        <f t="shared" si="70"/>
        <v>1471.74</v>
      </c>
      <c r="CQ84" s="2">
        <f t="shared" si="71"/>
        <v>3.6</v>
      </c>
      <c r="CR84" s="2">
        <f>(ROUND((ROUND((((ET84*1.2))*AV84*1),2)*BB84),2)+ROUND((ROUND(((AE84-((EU84*1.2)))*AV84*1),2)*BS84),2))</f>
        <v>7.59</v>
      </c>
      <c r="CS84" s="2">
        <f>(ROUND((ROUND((((EU84*1.2))*AV84*1),2)*BS84),2)+ROUND((ROUND(((AE84-((EU84*1.2)))*AV84*1),2)*BS84),2))</f>
        <v>0.32</v>
      </c>
      <c r="CT84" s="2">
        <f t="shared" si="72"/>
        <v>80.790000000000006</v>
      </c>
      <c r="CU84" s="2">
        <f t="shared" si="73"/>
        <v>0</v>
      </c>
      <c r="CV84" s="2">
        <f t="shared" si="74"/>
        <v>6.4019999999999992</v>
      </c>
      <c r="CW84" s="2">
        <f t="shared" si="75"/>
        <v>0</v>
      </c>
      <c r="CX84" s="2">
        <f t="shared" si="76"/>
        <v>0</v>
      </c>
      <c r="CY84" s="2">
        <f>(ROUND((((S84+ROUND((ROUND((((EU84*1.2))*AV84*1),2)*BS84),2))*AT84)/100),2)+ROUND(((ROUND((ROUND(((AE84-((EU84*1.2)))*AV84*1),2)*BS84),2)*AT84)/100),2))</f>
        <v>1163.71</v>
      </c>
      <c r="CZ84" s="2">
        <f>(ROUND((((S84+ROUND((ROUND((((EU84*1.2))*AV84*1),2)*BS84),2))*AU84)/100),2)+ROUND(((ROUND((ROUND(((AE84-((EU84*1.2)))*AV84*1),2)*BS84),2)*AU84)/100),2))</f>
        <v>594.78</v>
      </c>
      <c r="DA84" s="2"/>
      <c r="DB84" s="2">
        <v>43</v>
      </c>
      <c r="DC84" s="2" t="s">
        <v>3</v>
      </c>
      <c r="DD84" s="2" t="s">
        <v>48</v>
      </c>
      <c r="DE84" s="2" t="s">
        <v>49</v>
      </c>
      <c r="DF84" s="2" t="s">
        <v>49</v>
      </c>
      <c r="DG84" s="2" t="s">
        <v>49</v>
      </c>
      <c r="DH84" s="2" t="s">
        <v>3</v>
      </c>
      <c r="DI84" s="2" t="s">
        <v>49</v>
      </c>
      <c r="DJ84" s="2" t="s">
        <v>49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1013</v>
      </c>
      <c r="DV84" s="2" t="s">
        <v>25</v>
      </c>
      <c r="DW84" s="2" t="s">
        <v>25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56938740</v>
      </c>
      <c r="EF84" s="2">
        <v>40</v>
      </c>
      <c r="EG84" s="2" t="s">
        <v>29</v>
      </c>
      <c r="EH84" s="2">
        <v>0</v>
      </c>
      <c r="EI84" s="2" t="s">
        <v>3</v>
      </c>
      <c r="EJ84" s="2">
        <v>2</v>
      </c>
      <c r="EK84" s="2">
        <v>73</v>
      </c>
      <c r="EL84" s="2" t="s">
        <v>85</v>
      </c>
      <c r="EM84" s="2" t="s">
        <v>86</v>
      </c>
      <c r="EN84" s="2"/>
      <c r="EO84" s="2" t="s">
        <v>50</v>
      </c>
      <c r="EP84" s="2"/>
      <c r="EQ84" s="2">
        <v>132096</v>
      </c>
      <c r="ER84" s="2">
        <v>72.53</v>
      </c>
      <c r="ES84" s="2">
        <v>3.5</v>
      </c>
      <c r="ET84" s="2">
        <v>5.93</v>
      </c>
      <c r="EU84" s="2">
        <v>0.25</v>
      </c>
      <c r="EV84" s="2">
        <v>63.1</v>
      </c>
      <c r="EW84" s="2">
        <v>5</v>
      </c>
      <c r="EX84" s="2">
        <v>0</v>
      </c>
      <c r="EY84" s="2">
        <v>0</v>
      </c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2</v>
      </c>
      <c r="FT84" s="2"/>
      <c r="FU84" s="2"/>
      <c r="FV84" s="2"/>
      <c r="FW84" s="2"/>
      <c r="FX84" s="2">
        <v>90</v>
      </c>
      <c r="FY84" s="2">
        <v>46</v>
      </c>
      <c r="FZ84" s="2"/>
      <c r="GA84" s="2" t="s">
        <v>3</v>
      </c>
      <c r="GB84" s="2"/>
      <c r="GC84" s="2"/>
      <c r="GD84" s="2">
        <v>1</v>
      </c>
      <c r="GE84" s="2"/>
      <c r="GF84" s="2">
        <v>212044751</v>
      </c>
      <c r="GG84" s="2">
        <v>2</v>
      </c>
      <c r="GH84" s="2">
        <v>1</v>
      </c>
      <c r="GI84" s="2">
        <v>2</v>
      </c>
      <c r="GJ84" s="2">
        <v>0</v>
      </c>
      <c r="GK84" s="2">
        <v>0</v>
      </c>
      <c r="GL84" s="2">
        <f t="shared" si="77"/>
        <v>0</v>
      </c>
      <c r="GM84" s="2">
        <f t="shared" si="78"/>
        <v>3236.76</v>
      </c>
      <c r="GN84" s="2">
        <f t="shared" si="79"/>
        <v>0</v>
      </c>
      <c r="GO84" s="2">
        <f t="shared" si="80"/>
        <v>3236.76</v>
      </c>
      <c r="GP84" s="2">
        <f t="shared" si="81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82"/>
        <v>0</v>
      </c>
      <c r="GW84" s="2">
        <v>1</v>
      </c>
      <c r="GX84" s="2">
        <f t="shared" si="83"/>
        <v>0</v>
      </c>
      <c r="GY84" s="2"/>
      <c r="GZ84" s="2"/>
      <c r="HA84" s="2">
        <v>0</v>
      </c>
      <c r="HB84" s="2">
        <v>0</v>
      </c>
      <c r="HC84" s="2">
        <f t="shared" si="84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 s="3">
        <v>17</v>
      </c>
      <c r="B85" s="3">
        <v>1</v>
      </c>
      <c r="C85" s="3">
        <f>ROW(SmtRes!A226)</f>
        <v>226</v>
      </c>
      <c r="D85" s="3">
        <f>ROW(EtalonRes!A268)</f>
        <v>268</v>
      </c>
      <c r="E85" s="3" t="s">
        <v>3</v>
      </c>
      <c r="F85" s="3" t="s">
        <v>161</v>
      </c>
      <c r="G85" s="3" t="s">
        <v>162</v>
      </c>
      <c r="H85" s="3" t="s">
        <v>25</v>
      </c>
      <c r="I85" s="3">
        <f>ROUND(4+4+8,9)</f>
        <v>16</v>
      </c>
      <c r="J85" s="3">
        <v>0</v>
      </c>
      <c r="K85" s="3">
        <f>ROUND(4+4+8,9)</f>
        <v>16</v>
      </c>
      <c r="O85" s="3">
        <f t="shared" si="60"/>
        <v>75205.960000000006</v>
      </c>
      <c r="P85" s="3">
        <f t="shared" si="61"/>
        <v>605.05999999999995</v>
      </c>
      <c r="Q85" s="3">
        <f>(ROUND((ROUND((((ET85*1.2))*AV85*I85),2)*BB85),2)+ROUND((ROUND(((AE85-((EU85*1.2)))*AV85*I85),2)*BS85),2))</f>
        <v>1757.82</v>
      </c>
      <c r="R85" s="3">
        <f>(ROUND((ROUND((((EU85*1.2))*AV85*I85),2)*BS85),2)+ROUND((ROUND(((AE85-((EU85*1.2)))*AV85*I85),2)*BS85),2))</f>
        <v>288.51</v>
      </c>
      <c r="S85" s="3">
        <f t="shared" si="62"/>
        <v>72843.08</v>
      </c>
      <c r="T85" s="3">
        <f t="shared" si="63"/>
        <v>0</v>
      </c>
      <c r="U85" s="3">
        <f t="shared" si="64"/>
        <v>102.43199999999999</v>
      </c>
      <c r="V85" s="3">
        <f t="shared" si="65"/>
        <v>0</v>
      </c>
      <c r="W85" s="3">
        <f t="shared" si="66"/>
        <v>0</v>
      </c>
      <c r="X85" s="3">
        <f>(ROUND((((S85+ROUND((ROUND((((EU85*1.2))*AV85*I85),2)*BS85),2))*AT85)/100),2)+ROUND(((ROUND((ROUND(((AE85-((EU85*1.2)))*AV85*I85),2)*BS85),2)*AT85)/100),2))</f>
        <v>65818.429999999993</v>
      </c>
      <c r="Y85" s="3">
        <f>(ROUND((((S85+ROUND((ROUND((((EU85*1.2))*AV85*I85),2)*BS85),2))*AU85)/100),2)+ROUND(((ROUND((ROUND(((AE85-((EU85*1.2)))*AV85*I85),2)*BS85),2)*AU85)/100),2))</f>
        <v>33640.53</v>
      </c>
      <c r="AA85" s="3">
        <v>-1</v>
      </c>
      <c r="AB85" s="3">
        <f t="shared" si="67"/>
        <v>86.335999999999999</v>
      </c>
      <c r="AC85" s="3">
        <f>ROUND(((ES85*1)),6)</f>
        <v>3.5</v>
      </c>
      <c r="AD85" s="3">
        <f>ROUND(((((ET85*1.2))-((EU85*1.2)))+AE85),6)</f>
        <v>7.1159999999999997</v>
      </c>
      <c r="AE85" s="3">
        <f>ROUND(((EU85*1.2)),6)</f>
        <v>0.3</v>
      </c>
      <c r="AF85" s="3">
        <f>ROUND(((EV85*1.2)),6)</f>
        <v>75.72</v>
      </c>
      <c r="AG85" s="3">
        <f t="shared" si="68"/>
        <v>0</v>
      </c>
      <c r="AH85" s="3">
        <f>((EW85*1.2))</f>
        <v>6</v>
      </c>
      <c r="AI85" s="3">
        <f>((EX85*1.2))</f>
        <v>0</v>
      </c>
      <c r="AJ85" s="3">
        <f t="shared" si="69"/>
        <v>0</v>
      </c>
      <c r="AK85" s="3">
        <v>72.53</v>
      </c>
      <c r="AL85" s="3">
        <v>3.5</v>
      </c>
      <c r="AM85" s="3">
        <v>5.93</v>
      </c>
      <c r="AN85" s="3">
        <v>0.25</v>
      </c>
      <c r="AO85" s="3">
        <v>63.1</v>
      </c>
      <c r="AP85" s="3">
        <v>0</v>
      </c>
      <c r="AQ85" s="3">
        <v>5</v>
      </c>
      <c r="AR85" s="3">
        <v>0</v>
      </c>
      <c r="AS85" s="3">
        <v>0</v>
      </c>
      <c r="AT85" s="3">
        <v>90</v>
      </c>
      <c r="AU85" s="3">
        <v>46</v>
      </c>
      <c r="AV85" s="3">
        <v>1.0669999999999999</v>
      </c>
      <c r="AW85" s="3">
        <v>1.028</v>
      </c>
      <c r="AZ85" s="3">
        <v>1</v>
      </c>
      <c r="BA85" s="3">
        <v>56.35</v>
      </c>
      <c r="BB85" s="3">
        <v>14.47</v>
      </c>
      <c r="BC85" s="3">
        <v>10.51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0</v>
      </c>
      <c r="BI85" s="3">
        <v>2</v>
      </c>
      <c r="BJ85" s="3" t="s">
        <v>163</v>
      </c>
      <c r="BM85" s="3">
        <v>73</v>
      </c>
      <c r="BN85" s="3">
        <v>0</v>
      </c>
      <c r="BO85" s="3" t="s">
        <v>161</v>
      </c>
      <c r="BP85" s="3">
        <v>1</v>
      </c>
      <c r="BQ85" s="3">
        <v>40</v>
      </c>
      <c r="BR85" s="3">
        <v>0</v>
      </c>
      <c r="BS85" s="3">
        <v>56.35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90</v>
      </c>
      <c r="CA85" s="3">
        <v>46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716</v>
      </c>
      <c r="CO85" s="3">
        <v>0</v>
      </c>
      <c r="CP85" s="3">
        <f t="shared" si="70"/>
        <v>75205.960000000006</v>
      </c>
      <c r="CQ85" s="3">
        <f t="shared" si="71"/>
        <v>37.840000000000003</v>
      </c>
      <c r="CR85" s="3">
        <f>(ROUND((ROUND((((ET85*1.2))*AV85*1),2)*BB85),2)+ROUND((ROUND(((AE85-((EU85*1.2)))*AV85*1),2)*BS85),2))</f>
        <v>109.83</v>
      </c>
      <c r="CS85" s="3">
        <f>(ROUND((ROUND((((EU85*1.2))*AV85*1),2)*BS85),2)+ROUND((ROUND(((AE85-((EU85*1.2)))*AV85*1),2)*BS85),2))</f>
        <v>18.03</v>
      </c>
      <c r="CT85" s="3">
        <f t="shared" si="72"/>
        <v>4552.5200000000004</v>
      </c>
      <c r="CU85" s="3">
        <f t="shared" si="73"/>
        <v>0</v>
      </c>
      <c r="CV85" s="3">
        <f t="shared" si="74"/>
        <v>6.4019999999999992</v>
      </c>
      <c r="CW85" s="3">
        <f t="shared" si="75"/>
        <v>0</v>
      </c>
      <c r="CX85" s="3">
        <f t="shared" si="76"/>
        <v>0</v>
      </c>
      <c r="CY85" s="3">
        <f>(ROUND((((S85+ROUND((ROUND((((EU85*1.2))*AV85*1),2)*BS85),2))*AT85)/100),2)+ROUND(((ROUND((ROUND(((AE85-((EU85*1.2)))*AV85*1),2)*BS85),2)*AT85)/100),2))</f>
        <v>65575</v>
      </c>
      <c r="CZ85" s="3">
        <f>(ROUND((((S85+ROUND((ROUND((((EU85*1.2))*AV85*1),2)*BS85),2))*AU85)/100),2)+ROUND(((ROUND((ROUND(((AE85-((EU85*1.2)))*AV85*1),2)*BS85),2)*AU85)/100),2))</f>
        <v>33516.11</v>
      </c>
      <c r="DB85" s="3">
        <v>44</v>
      </c>
      <c r="DC85" s="3" t="s">
        <v>3</v>
      </c>
      <c r="DD85" s="3" t="s">
        <v>48</v>
      </c>
      <c r="DE85" s="3" t="s">
        <v>49</v>
      </c>
      <c r="DF85" s="3" t="s">
        <v>49</v>
      </c>
      <c r="DG85" s="3" t="s">
        <v>49</v>
      </c>
      <c r="DH85" s="3" t="s">
        <v>3</v>
      </c>
      <c r="DI85" s="3" t="s">
        <v>49</v>
      </c>
      <c r="DJ85" s="3" t="s">
        <v>49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U85" s="3">
        <v>1013</v>
      </c>
      <c r="DV85" s="3" t="s">
        <v>25</v>
      </c>
      <c r="DW85" s="3" t="s">
        <v>25</v>
      </c>
      <c r="DX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56938740</v>
      </c>
      <c r="EF85" s="3">
        <v>40</v>
      </c>
      <c r="EG85" s="3" t="s">
        <v>29</v>
      </c>
      <c r="EH85" s="3">
        <v>0</v>
      </c>
      <c r="EI85" s="3" t="s">
        <v>3</v>
      </c>
      <c r="EJ85" s="3">
        <v>2</v>
      </c>
      <c r="EK85" s="3">
        <v>73</v>
      </c>
      <c r="EL85" s="3" t="s">
        <v>85</v>
      </c>
      <c r="EM85" s="3" t="s">
        <v>86</v>
      </c>
      <c r="EO85" s="3" t="s">
        <v>50</v>
      </c>
      <c r="EQ85" s="3">
        <v>132096</v>
      </c>
      <c r="ER85" s="3">
        <v>72.53</v>
      </c>
      <c r="ES85" s="3">
        <v>3.5</v>
      </c>
      <c r="ET85" s="3">
        <v>5.93</v>
      </c>
      <c r="EU85" s="3">
        <v>0.25</v>
      </c>
      <c r="EV85" s="3">
        <v>63.1</v>
      </c>
      <c r="EW85" s="3">
        <v>5</v>
      </c>
      <c r="EX85" s="3">
        <v>0</v>
      </c>
      <c r="EY85" s="3">
        <v>0</v>
      </c>
      <c r="FQ85" s="3">
        <v>0</v>
      </c>
      <c r="FR85" s="3">
        <v>0</v>
      </c>
      <c r="FS85" s="3">
        <v>2</v>
      </c>
      <c r="FX85" s="3">
        <v>90</v>
      </c>
      <c r="FY85" s="3">
        <v>46</v>
      </c>
      <c r="GA85" s="3" t="s">
        <v>3</v>
      </c>
      <c r="GD85" s="3">
        <v>1</v>
      </c>
      <c r="GF85" s="3">
        <v>212044751</v>
      </c>
      <c r="GG85" s="3">
        <v>2</v>
      </c>
      <c r="GH85" s="3">
        <v>1</v>
      </c>
      <c r="GI85" s="3">
        <v>2</v>
      </c>
      <c r="GJ85" s="3">
        <v>0</v>
      </c>
      <c r="GK85" s="3">
        <v>0</v>
      </c>
      <c r="GL85" s="3">
        <f t="shared" si="77"/>
        <v>0</v>
      </c>
      <c r="GM85" s="3">
        <f t="shared" si="78"/>
        <v>174664.92</v>
      </c>
      <c r="GN85" s="3">
        <f t="shared" si="79"/>
        <v>0</v>
      </c>
      <c r="GO85" s="3">
        <f t="shared" si="80"/>
        <v>174664.92</v>
      </c>
      <c r="GP85" s="3">
        <f t="shared" si="81"/>
        <v>0</v>
      </c>
      <c r="GR85" s="3">
        <v>0</v>
      </c>
      <c r="GS85" s="3">
        <v>3</v>
      </c>
      <c r="GT85" s="3">
        <v>0</v>
      </c>
      <c r="GU85" s="3" t="s">
        <v>3</v>
      </c>
      <c r="GV85" s="3">
        <f t="shared" si="82"/>
        <v>0</v>
      </c>
      <c r="GW85" s="3">
        <v>1</v>
      </c>
      <c r="GX85" s="3">
        <f t="shared" si="83"/>
        <v>0</v>
      </c>
      <c r="HA85" s="3">
        <v>0</v>
      </c>
      <c r="HB85" s="3">
        <v>0</v>
      </c>
      <c r="HC85" s="3">
        <f t="shared" si="84"/>
        <v>0</v>
      </c>
      <c r="HE85" s="3" t="s">
        <v>3</v>
      </c>
      <c r="HF85" s="3" t="s">
        <v>3</v>
      </c>
      <c r="HM85" s="3" t="s">
        <v>3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">
      <c r="A86" s="2">
        <v>18</v>
      </c>
      <c r="B86" s="2">
        <v>1</v>
      </c>
      <c r="C86" s="2">
        <v>219</v>
      </c>
      <c r="D86" s="2"/>
      <c r="E86" s="2" t="s">
        <v>3</v>
      </c>
      <c r="F86" s="2" t="s">
        <v>146</v>
      </c>
      <c r="G86" s="2" t="s">
        <v>147</v>
      </c>
      <c r="H86" s="2" t="s">
        <v>118</v>
      </c>
      <c r="I86" s="2">
        <f>I84*J86</f>
        <v>16</v>
      </c>
      <c r="J86" s="2">
        <v>1</v>
      </c>
      <c r="K86" s="2">
        <v>1</v>
      </c>
      <c r="L86" s="2"/>
      <c r="M86" s="2"/>
      <c r="N86" s="2"/>
      <c r="O86" s="2">
        <f t="shared" si="60"/>
        <v>1278.72</v>
      </c>
      <c r="P86" s="2">
        <f t="shared" si="61"/>
        <v>1278.72</v>
      </c>
      <c r="Q86" s="2">
        <f>(ROUND((ROUND(((ET86)*AV86*I86),2)*BB86),2)+ROUND((ROUND(((AE86-(EU86))*AV86*I86),2)*BS86),2))</f>
        <v>0</v>
      </c>
      <c r="R86" s="2">
        <f>(ROUND((ROUND(((EU86)*AV86*I86),2)*BS86),2)+ROUND((ROUND(((AE86-(EU86))*AV86*I86),2)*BS86),2))</f>
        <v>0</v>
      </c>
      <c r="S86" s="2">
        <f t="shared" si="62"/>
        <v>0</v>
      </c>
      <c r="T86" s="2">
        <f t="shared" si="63"/>
        <v>0</v>
      </c>
      <c r="U86" s="2">
        <f t="shared" si="64"/>
        <v>0</v>
      </c>
      <c r="V86" s="2">
        <f t="shared" si="65"/>
        <v>0</v>
      </c>
      <c r="W86" s="2">
        <f t="shared" si="66"/>
        <v>0</v>
      </c>
      <c r="X86" s="2">
        <f>(ROUND((((S86+ROUND((ROUND(((EU86)*AV86*I86),2)*BS86),2))*AT86)/100),2)+ROUND(((ROUND((ROUND(((AE86-(EU86))*AV86*I86),2)*BS86),2)*AT86)/100),2))</f>
        <v>0</v>
      </c>
      <c r="Y86" s="2">
        <f>(ROUND((((S86+ROUND((ROUND(((EU86)*AV86*I86),2)*BS86),2))*AU86)/100),2)+ROUND(((ROUND((ROUND(((AE86-(EU86))*AV86*I86),2)*BS86),2)*AU86)/100),2))</f>
        <v>0</v>
      </c>
      <c r="Z86" s="2"/>
      <c r="AA86" s="2">
        <v>-1</v>
      </c>
      <c r="AB86" s="2">
        <f t="shared" si="67"/>
        <v>79.92</v>
      </c>
      <c r="AC86" s="2">
        <f>ROUND((ES86),6)</f>
        <v>79.92</v>
      </c>
      <c r="AD86" s="2">
        <f>ROUND((((ET86)-(EU86))+AE86),6)</f>
        <v>0</v>
      </c>
      <c r="AE86" s="2">
        <f>ROUND((EU86),6)</f>
        <v>0</v>
      </c>
      <c r="AF86" s="2">
        <f>ROUND((EV86),6)</f>
        <v>0</v>
      </c>
      <c r="AG86" s="2">
        <f t="shared" si="68"/>
        <v>0</v>
      </c>
      <c r="AH86" s="2">
        <f>(EW86)</f>
        <v>0</v>
      </c>
      <c r="AI86" s="2">
        <f>(EX86)</f>
        <v>0</v>
      </c>
      <c r="AJ86" s="2">
        <f t="shared" si="69"/>
        <v>0</v>
      </c>
      <c r="AK86" s="2">
        <v>79.92</v>
      </c>
      <c r="AL86" s="2">
        <v>79.92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90</v>
      </c>
      <c r="AU86" s="2">
        <v>46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2</v>
      </c>
      <c r="BJ86" s="2" t="s">
        <v>148</v>
      </c>
      <c r="BK86" s="2"/>
      <c r="BL86" s="2"/>
      <c r="BM86" s="2">
        <v>73</v>
      </c>
      <c r="BN86" s="2">
        <v>0</v>
      </c>
      <c r="BO86" s="2" t="s">
        <v>3</v>
      </c>
      <c r="BP86" s="2">
        <v>0</v>
      </c>
      <c r="BQ86" s="2">
        <v>40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90</v>
      </c>
      <c r="CA86" s="2">
        <v>46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718</v>
      </c>
      <c r="CO86" s="2">
        <v>0</v>
      </c>
      <c r="CP86" s="2">
        <f t="shared" si="70"/>
        <v>1278.72</v>
      </c>
      <c r="CQ86" s="2">
        <f t="shared" si="71"/>
        <v>79.92</v>
      </c>
      <c r="CR86" s="2">
        <f>(ROUND((ROUND(((ET86)*AV86*1),2)*BB86),2)+ROUND((ROUND(((AE86-(EU86))*AV86*1),2)*BS86),2))</f>
        <v>0</v>
      </c>
      <c r="CS86" s="2">
        <f>(ROUND((ROUND(((EU86)*AV86*1),2)*BS86),2)+ROUND((ROUND(((AE86-(EU86))*AV86*1),2)*BS86),2))</f>
        <v>0</v>
      </c>
      <c r="CT86" s="2">
        <f t="shared" si="72"/>
        <v>0</v>
      </c>
      <c r="CU86" s="2">
        <f t="shared" si="73"/>
        <v>0</v>
      </c>
      <c r="CV86" s="2">
        <f t="shared" si="74"/>
        <v>0</v>
      </c>
      <c r="CW86" s="2">
        <f t="shared" si="75"/>
        <v>0</v>
      </c>
      <c r="CX86" s="2">
        <f t="shared" si="76"/>
        <v>0</v>
      </c>
      <c r="CY86" s="2">
        <f>(ROUND((((S86+ROUND((ROUND(((EU86)*AV86*1),2)*BS86),2))*AT86)/100),2)+ROUND(((ROUND((ROUND(((AE86-(EU86))*AV86*1),2)*BS86),2)*AT86)/100),2))</f>
        <v>0</v>
      </c>
      <c r="CZ86" s="2">
        <f>(ROUND((((S86+ROUND((ROUND(((EU86)*AV86*1),2)*BS86),2))*AU86)/100),2)+ROUND(((ROUND((ROUND(((AE86-(EU86))*AV86*1),2)*BS86),2)*AU86)/100),2))</f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1010</v>
      </c>
      <c r="DV86" s="2" t="s">
        <v>118</v>
      </c>
      <c r="DW86" s="2" t="s">
        <v>118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56938740</v>
      </c>
      <c r="EF86" s="2">
        <v>40</v>
      </c>
      <c r="EG86" s="2" t="s">
        <v>29</v>
      </c>
      <c r="EH86" s="2">
        <v>0</v>
      </c>
      <c r="EI86" s="2" t="s">
        <v>3</v>
      </c>
      <c r="EJ86" s="2">
        <v>2</v>
      </c>
      <c r="EK86" s="2">
        <v>73</v>
      </c>
      <c r="EL86" s="2" t="s">
        <v>85</v>
      </c>
      <c r="EM86" s="2" t="s">
        <v>86</v>
      </c>
      <c r="EN86" s="2"/>
      <c r="EO86" s="2" t="s">
        <v>50</v>
      </c>
      <c r="EP86" s="2"/>
      <c r="EQ86" s="2">
        <v>1024</v>
      </c>
      <c r="ER86" s="2">
        <v>79.92</v>
      </c>
      <c r="ES86" s="2">
        <v>79.92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90</v>
      </c>
      <c r="FY86" s="2">
        <v>46</v>
      </c>
      <c r="FZ86" s="2"/>
      <c r="GA86" s="2" t="s">
        <v>3</v>
      </c>
      <c r="GB86" s="2"/>
      <c r="GC86" s="2"/>
      <c r="GD86" s="2">
        <v>1</v>
      </c>
      <c r="GE86" s="2"/>
      <c r="GF86" s="2">
        <v>-2120180224</v>
      </c>
      <c r="GG86" s="2">
        <v>2</v>
      </c>
      <c r="GH86" s="2">
        <v>1</v>
      </c>
      <c r="GI86" s="2">
        <v>-2</v>
      </c>
      <c r="GJ86" s="2">
        <v>0</v>
      </c>
      <c r="GK86" s="2">
        <v>0</v>
      </c>
      <c r="GL86" s="2">
        <f t="shared" si="77"/>
        <v>0</v>
      </c>
      <c r="GM86" s="2">
        <f t="shared" si="78"/>
        <v>1278.72</v>
      </c>
      <c r="GN86" s="2">
        <f t="shared" si="79"/>
        <v>0</v>
      </c>
      <c r="GO86" s="2">
        <f t="shared" si="80"/>
        <v>1278.72</v>
      </c>
      <c r="GP86" s="2">
        <f t="shared" si="81"/>
        <v>0</v>
      </c>
      <c r="GQ86" s="2"/>
      <c r="GR86" s="2">
        <v>0</v>
      </c>
      <c r="GS86" s="2">
        <v>3</v>
      </c>
      <c r="GT86" s="2">
        <v>0</v>
      </c>
      <c r="GU86" s="2" t="s">
        <v>3</v>
      </c>
      <c r="GV86" s="2">
        <f t="shared" si="82"/>
        <v>0</v>
      </c>
      <c r="GW86" s="2">
        <v>1</v>
      </c>
      <c r="GX86" s="2">
        <f t="shared" si="83"/>
        <v>0</v>
      </c>
      <c r="GY86" s="2"/>
      <c r="GZ86" s="2"/>
      <c r="HA86" s="2">
        <v>0</v>
      </c>
      <c r="HB86" s="2">
        <v>0</v>
      </c>
      <c r="HC86" s="2">
        <f t="shared" si="84"/>
        <v>0</v>
      </c>
      <c r="HD86" s="2"/>
      <c r="HE86" s="2" t="s">
        <v>3</v>
      </c>
      <c r="HF86" s="2" t="s">
        <v>3</v>
      </c>
      <c r="HG86" s="2"/>
      <c r="HH86" s="2"/>
      <c r="HI86" s="2"/>
      <c r="HJ86" s="2"/>
      <c r="HK86" s="2"/>
      <c r="HL86" s="2"/>
      <c r="HM86" s="2" t="s">
        <v>48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 s="3">
        <v>18</v>
      </c>
      <c r="B87" s="3">
        <v>1</v>
      </c>
      <c r="C87" s="3">
        <v>226</v>
      </c>
      <c r="E87" s="3" t="s">
        <v>3</v>
      </c>
      <c r="F87" s="3" t="s">
        <v>146</v>
      </c>
      <c r="G87" s="3" t="s">
        <v>147</v>
      </c>
      <c r="H87" s="3" t="s">
        <v>118</v>
      </c>
      <c r="I87" s="3">
        <f>I85*J87</f>
        <v>16</v>
      </c>
      <c r="J87" s="3">
        <v>1</v>
      </c>
      <c r="K87" s="3">
        <v>1</v>
      </c>
      <c r="O87" s="3">
        <f t="shared" si="60"/>
        <v>9756.6299999999992</v>
      </c>
      <c r="P87" s="3">
        <f t="shared" si="61"/>
        <v>9756.6299999999992</v>
      </c>
      <c r="Q87" s="3">
        <f>(ROUND((ROUND(((ET87)*AV87*I87),2)*BB87),2)+ROUND((ROUND(((AE87-(EU87))*AV87*I87),2)*BS87),2))</f>
        <v>0</v>
      </c>
      <c r="R87" s="3">
        <f>(ROUND((ROUND(((EU87)*AV87*I87),2)*BS87),2)+ROUND((ROUND(((AE87-(EU87))*AV87*I87),2)*BS87),2))</f>
        <v>0</v>
      </c>
      <c r="S87" s="3">
        <f t="shared" si="62"/>
        <v>0</v>
      </c>
      <c r="T87" s="3">
        <f t="shared" si="63"/>
        <v>0</v>
      </c>
      <c r="U87" s="3">
        <f t="shared" si="64"/>
        <v>0</v>
      </c>
      <c r="V87" s="3">
        <f t="shared" si="65"/>
        <v>0</v>
      </c>
      <c r="W87" s="3">
        <f t="shared" si="66"/>
        <v>0</v>
      </c>
      <c r="X87" s="3">
        <f>(ROUND((((S87+ROUND((ROUND(((EU87)*AV87*I87),2)*BS87),2))*AT87)/100),2)+ROUND(((ROUND((ROUND(((AE87-(EU87))*AV87*I87),2)*BS87),2)*AT87)/100),2))</f>
        <v>0</v>
      </c>
      <c r="Y87" s="3">
        <f>(ROUND((((S87+ROUND((ROUND(((EU87)*AV87*I87),2)*BS87),2))*AU87)/100),2)+ROUND(((ROUND((ROUND(((AE87-(EU87))*AV87*I87),2)*BS87),2)*AU87)/100),2))</f>
        <v>0</v>
      </c>
      <c r="AA87" s="3">
        <v>-1</v>
      </c>
      <c r="AB87" s="3">
        <f t="shared" si="67"/>
        <v>79.92</v>
      </c>
      <c r="AC87" s="3">
        <f>ROUND((ES87),6)</f>
        <v>79.92</v>
      </c>
      <c r="AD87" s="3">
        <f>ROUND((((ET87)-(EU87))+AE87),6)</f>
        <v>0</v>
      </c>
      <c r="AE87" s="3">
        <f>ROUND((EU87),6)</f>
        <v>0</v>
      </c>
      <c r="AF87" s="3">
        <f>ROUND((EV87),6)</f>
        <v>0</v>
      </c>
      <c r="AG87" s="3">
        <f t="shared" si="68"/>
        <v>0</v>
      </c>
      <c r="AH87" s="3">
        <f>(EW87)</f>
        <v>0</v>
      </c>
      <c r="AI87" s="3">
        <f>(EX87)</f>
        <v>0</v>
      </c>
      <c r="AJ87" s="3">
        <f t="shared" si="69"/>
        <v>0</v>
      </c>
      <c r="AK87" s="3">
        <v>79.92</v>
      </c>
      <c r="AL87" s="3">
        <v>79.92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90</v>
      </c>
      <c r="AU87" s="3">
        <v>46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7.63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2</v>
      </c>
      <c r="BJ87" s="3" t="s">
        <v>148</v>
      </c>
      <c r="BM87" s="3">
        <v>73</v>
      </c>
      <c r="BN87" s="3">
        <v>0</v>
      </c>
      <c r="BO87" s="3" t="s">
        <v>146</v>
      </c>
      <c r="BP87" s="3">
        <v>1</v>
      </c>
      <c r="BQ87" s="3">
        <v>40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90</v>
      </c>
      <c r="CA87" s="3">
        <v>46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718</v>
      </c>
      <c r="CO87" s="3">
        <v>0</v>
      </c>
      <c r="CP87" s="3">
        <f t="shared" si="70"/>
        <v>9756.6299999999992</v>
      </c>
      <c r="CQ87" s="3">
        <f t="shared" si="71"/>
        <v>609.79</v>
      </c>
      <c r="CR87" s="3">
        <f>(ROUND((ROUND(((ET87)*AV87*1),2)*BB87),2)+ROUND((ROUND(((AE87-(EU87))*AV87*1),2)*BS87),2))</f>
        <v>0</v>
      </c>
      <c r="CS87" s="3">
        <f>(ROUND((ROUND(((EU87)*AV87*1),2)*BS87),2)+ROUND((ROUND(((AE87-(EU87))*AV87*1),2)*BS87),2))</f>
        <v>0</v>
      </c>
      <c r="CT87" s="3">
        <f t="shared" si="72"/>
        <v>0</v>
      </c>
      <c r="CU87" s="3">
        <f t="shared" si="73"/>
        <v>0</v>
      </c>
      <c r="CV87" s="3">
        <f t="shared" si="74"/>
        <v>0</v>
      </c>
      <c r="CW87" s="3">
        <f t="shared" si="75"/>
        <v>0</v>
      </c>
      <c r="CX87" s="3">
        <f t="shared" si="76"/>
        <v>0</v>
      </c>
      <c r="CY87" s="3">
        <f>(ROUND((((S87+ROUND((ROUND(((EU87)*AV87*1),2)*BS87),2))*AT87)/100),2)+ROUND(((ROUND((ROUND(((AE87-(EU87))*AV87*1),2)*BS87),2)*AT87)/100),2))</f>
        <v>0</v>
      </c>
      <c r="CZ87" s="3">
        <f>(ROUND((((S87+ROUND((ROUND(((EU87)*AV87*1),2)*BS87),2))*AU87)/100),2)+ROUND(((ROUND((ROUND(((AE87-(EU87))*AV87*1),2)*BS87),2)*AU87)/100),2))</f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U87" s="3">
        <v>1010</v>
      </c>
      <c r="DV87" s="3" t="s">
        <v>118</v>
      </c>
      <c r="DW87" s="3" t="s">
        <v>118</v>
      </c>
      <c r="DX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56938740</v>
      </c>
      <c r="EF87" s="3">
        <v>40</v>
      </c>
      <c r="EG87" s="3" t="s">
        <v>29</v>
      </c>
      <c r="EH87" s="3">
        <v>0</v>
      </c>
      <c r="EI87" s="3" t="s">
        <v>3</v>
      </c>
      <c r="EJ87" s="3">
        <v>2</v>
      </c>
      <c r="EK87" s="3">
        <v>73</v>
      </c>
      <c r="EL87" s="3" t="s">
        <v>85</v>
      </c>
      <c r="EM87" s="3" t="s">
        <v>86</v>
      </c>
      <c r="EO87" s="3" t="s">
        <v>50</v>
      </c>
      <c r="EQ87" s="3">
        <v>1024</v>
      </c>
      <c r="ER87" s="3">
        <v>79.92</v>
      </c>
      <c r="ES87" s="3">
        <v>79.92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FQ87" s="3">
        <v>0</v>
      </c>
      <c r="FR87" s="3">
        <v>0</v>
      </c>
      <c r="FS87" s="3">
        <v>0</v>
      </c>
      <c r="FX87" s="3">
        <v>90</v>
      </c>
      <c r="FY87" s="3">
        <v>46</v>
      </c>
      <c r="GA87" s="3" t="s">
        <v>3</v>
      </c>
      <c r="GD87" s="3">
        <v>1</v>
      </c>
      <c r="GF87" s="3">
        <v>-2120180224</v>
      </c>
      <c r="GG87" s="3">
        <v>2</v>
      </c>
      <c r="GH87" s="3">
        <v>1</v>
      </c>
      <c r="GI87" s="3">
        <v>2</v>
      </c>
      <c r="GJ87" s="3">
        <v>0</v>
      </c>
      <c r="GK87" s="3">
        <v>0</v>
      </c>
      <c r="GL87" s="3">
        <f t="shared" si="77"/>
        <v>0</v>
      </c>
      <c r="GM87" s="3">
        <f t="shared" si="78"/>
        <v>9756.6299999999992</v>
      </c>
      <c r="GN87" s="3">
        <f t="shared" si="79"/>
        <v>0</v>
      </c>
      <c r="GO87" s="3">
        <f t="shared" si="80"/>
        <v>9756.6299999999992</v>
      </c>
      <c r="GP87" s="3">
        <f t="shared" si="81"/>
        <v>0</v>
      </c>
      <c r="GR87" s="3">
        <v>0</v>
      </c>
      <c r="GS87" s="3">
        <v>3</v>
      </c>
      <c r="GT87" s="3">
        <v>0</v>
      </c>
      <c r="GU87" s="3" t="s">
        <v>3</v>
      </c>
      <c r="GV87" s="3">
        <f t="shared" si="82"/>
        <v>0</v>
      </c>
      <c r="GW87" s="3">
        <v>1</v>
      </c>
      <c r="GX87" s="3">
        <f t="shared" si="83"/>
        <v>0</v>
      </c>
      <c r="HA87" s="3">
        <v>0</v>
      </c>
      <c r="HB87" s="3">
        <v>0</v>
      </c>
      <c r="HC87" s="3">
        <f t="shared" si="84"/>
        <v>0</v>
      </c>
      <c r="HE87" s="3" t="s">
        <v>3</v>
      </c>
      <c r="HF87" s="3" t="s">
        <v>3</v>
      </c>
      <c r="HM87" s="3" t="s">
        <v>48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">
      <c r="A88" s="2">
        <v>17</v>
      </c>
      <c r="B88" s="2">
        <v>1</v>
      </c>
      <c r="C88" s="2">
        <f>ROW(SmtRes!A233)</f>
        <v>233</v>
      </c>
      <c r="D88" s="2">
        <f>ROW(EtalonRes!A275)</f>
        <v>275</v>
      </c>
      <c r="E88" s="2" t="s">
        <v>3</v>
      </c>
      <c r="F88" s="2" t="s">
        <v>164</v>
      </c>
      <c r="G88" s="2" t="s">
        <v>165</v>
      </c>
      <c r="H88" s="2" t="s">
        <v>25</v>
      </c>
      <c r="I88" s="2">
        <f>ROUND(2,9)</f>
        <v>2</v>
      </c>
      <c r="J88" s="2">
        <v>0</v>
      </c>
      <c r="K88" s="2">
        <f>ROUND(2,9)</f>
        <v>2</v>
      </c>
      <c r="L88" s="2"/>
      <c r="M88" s="2"/>
      <c r="N88" s="2"/>
      <c r="O88" s="2">
        <f t="shared" si="60"/>
        <v>273.14</v>
      </c>
      <c r="P88" s="2">
        <f t="shared" si="61"/>
        <v>7.2</v>
      </c>
      <c r="Q88" s="2">
        <f>(ROUND((ROUND((((ET88*1.2))*AV88*I88),2)*BB88),2)+ROUND((ROUND(((AE88-((EU88*1.2)))*AV88*I88),2)*BS88),2))</f>
        <v>20.329999999999998</v>
      </c>
      <c r="R88" s="2">
        <f>(ROUND((ROUND((((EU88*1.2))*AV88*I88),2)*BS88),2)+ROUND((ROUND(((AE88-((EU88*1.2)))*AV88*I88),2)*BS88),2))</f>
        <v>0.33</v>
      </c>
      <c r="S88" s="2">
        <f t="shared" si="62"/>
        <v>245.61</v>
      </c>
      <c r="T88" s="2">
        <f t="shared" si="63"/>
        <v>0</v>
      </c>
      <c r="U88" s="2">
        <f t="shared" si="64"/>
        <v>19.462079999999997</v>
      </c>
      <c r="V88" s="2">
        <f t="shared" si="65"/>
        <v>0</v>
      </c>
      <c r="W88" s="2">
        <f t="shared" si="66"/>
        <v>0</v>
      </c>
      <c r="X88" s="2">
        <f>(ROUND((((S88+ROUND((ROUND((((EU88*1.2))*AV88*I88),2)*BS88),2))*AT88)/100),2)+ROUND(((ROUND((ROUND(((AE88-((EU88*1.2)))*AV88*I88),2)*BS88),2)*AT88)/100),2))</f>
        <v>221.35</v>
      </c>
      <c r="Y88" s="2">
        <f>(ROUND((((S88+ROUND((ROUND((((EU88*1.2))*AV88*I88),2)*BS88),2))*AU88)/100),2)+ROUND(((ROUND((ROUND(((AE88-((EU88*1.2)))*AV88*I88),2)*BS88),2)*AU88)/100),2))</f>
        <v>113.13</v>
      </c>
      <c r="Z88" s="2"/>
      <c r="AA88" s="2">
        <v>-1</v>
      </c>
      <c r="AB88" s="2">
        <f t="shared" si="67"/>
        <v>128.12</v>
      </c>
      <c r="AC88" s="2">
        <f>ROUND(((ES88*1)),6)</f>
        <v>3.5</v>
      </c>
      <c r="AD88" s="2">
        <f>ROUND(((((ET88*1.2))-((EU88*1.2)))+AE88),6)</f>
        <v>9.5280000000000005</v>
      </c>
      <c r="AE88" s="2">
        <f>ROUND(((EU88*1.2)),6)</f>
        <v>0.156</v>
      </c>
      <c r="AF88" s="2">
        <f>ROUND(((EV88*1.2)),6)</f>
        <v>115.092</v>
      </c>
      <c r="AG88" s="2">
        <f t="shared" si="68"/>
        <v>0</v>
      </c>
      <c r="AH88" s="2">
        <f>((EW88*1.2))</f>
        <v>9.1199999999999992</v>
      </c>
      <c r="AI88" s="2">
        <f>((EX88*1.2))</f>
        <v>0</v>
      </c>
      <c r="AJ88" s="2">
        <f t="shared" si="69"/>
        <v>0</v>
      </c>
      <c r="AK88" s="2">
        <v>107.35</v>
      </c>
      <c r="AL88" s="2">
        <v>3.5</v>
      </c>
      <c r="AM88" s="2">
        <v>7.94</v>
      </c>
      <c r="AN88" s="2">
        <v>0.13</v>
      </c>
      <c r="AO88" s="2">
        <v>95.91</v>
      </c>
      <c r="AP88" s="2">
        <v>0</v>
      </c>
      <c r="AQ88" s="2">
        <v>7.6</v>
      </c>
      <c r="AR88" s="2">
        <v>0</v>
      </c>
      <c r="AS88" s="2">
        <v>0</v>
      </c>
      <c r="AT88" s="2">
        <v>90</v>
      </c>
      <c r="AU88" s="2">
        <v>46</v>
      </c>
      <c r="AV88" s="2">
        <v>1.0669999999999999</v>
      </c>
      <c r="AW88" s="2">
        <v>1.028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2</v>
      </c>
      <c r="BJ88" s="2" t="s">
        <v>166</v>
      </c>
      <c r="BK88" s="2"/>
      <c r="BL88" s="2"/>
      <c r="BM88" s="2">
        <v>73</v>
      </c>
      <c r="BN88" s="2">
        <v>0</v>
      </c>
      <c r="BO88" s="2" t="s">
        <v>164</v>
      </c>
      <c r="BP88" s="2">
        <v>1</v>
      </c>
      <c r="BQ88" s="2">
        <v>40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90</v>
      </c>
      <c r="CA88" s="2">
        <v>46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716</v>
      </c>
      <c r="CO88" s="2">
        <v>0</v>
      </c>
      <c r="CP88" s="2">
        <f t="shared" si="70"/>
        <v>273.14</v>
      </c>
      <c r="CQ88" s="2">
        <f t="shared" si="71"/>
        <v>3.6</v>
      </c>
      <c r="CR88" s="2">
        <f>(ROUND((ROUND((((ET88*1.2))*AV88*1),2)*BB88),2)+ROUND((ROUND(((AE88-((EU88*1.2)))*AV88*1),2)*BS88),2))</f>
        <v>10.17</v>
      </c>
      <c r="CS88" s="2">
        <f>(ROUND((ROUND((((EU88*1.2))*AV88*1),2)*BS88),2)+ROUND((ROUND(((AE88-((EU88*1.2)))*AV88*1),2)*BS88),2))</f>
        <v>0.17</v>
      </c>
      <c r="CT88" s="2">
        <f t="shared" si="72"/>
        <v>122.8</v>
      </c>
      <c r="CU88" s="2">
        <f t="shared" si="73"/>
        <v>0</v>
      </c>
      <c r="CV88" s="2">
        <f t="shared" si="74"/>
        <v>9.7310399999999984</v>
      </c>
      <c r="CW88" s="2">
        <f t="shared" si="75"/>
        <v>0</v>
      </c>
      <c r="CX88" s="2">
        <f t="shared" si="76"/>
        <v>0</v>
      </c>
      <c r="CY88" s="2">
        <f>(ROUND((((S88+ROUND((ROUND((((EU88*1.2))*AV88*1),2)*BS88),2))*AT88)/100),2)+ROUND(((ROUND((ROUND(((AE88-((EU88*1.2)))*AV88*1),2)*BS88),2)*AT88)/100),2))</f>
        <v>221.2</v>
      </c>
      <c r="CZ88" s="2">
        <f>(ROUND((((S88+ROUND((ROUND((((EU88*1.2))*AV88*1),2)*BS88),2))*AU88)/100),2)+ROUND(((ROUND((ROUND(((AE88-((EU88*1.2)))*AV88*1),2)*BS88),2)*AU88)/100),2))</f>
        <v>113.06</v>
      </c>
      <c r="DA88" s="2"/>
      <c r="DB88" s="2">
        <v>45</v>
      </c>
      <c r="DC88" s="2" t="s">
        <v>3</v>
      </c>
      <c r="DD88" s="2" t="s">
        <v>48</v>
      </c>
      <c r="DE88" s="2" t="s">
        <v>49</v>
      </c>
      <c r="DF88" s="2" t="s">
        <v>49</v>
      </c>
      <c r="DG88" s="2" t="s">
        <v>49</v>
      </c>
      <c r="DH88" s="2" t="s">
        <v>3</v>
      </c>
      <c r="DI88" s="2" t="s">
        <v>49</v>
      </c>
      <c r="DJ88" s="2" t="s">
        <v>49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1013</v>
      </c>
      <c r="DV88" s="2" t="s">
        <v>25</v>
      </c>
      <c r="DW88" s="2" t="s">
        <v>25</v>
      </c>
      <c r="DX88" s="2">
        <v>1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56938740</v>
      </c>
      <c r="EF88" s="2">
        <v>40</v>
      </c>
      <c r="EG88" s="2" t="s">
        <v>29</v>
      </c>
      <c r="EH88" s="2">
        <v>0</v>
      </c>
      <c r="EI88" s="2" t="s">
        <v>3</v>
      </c>
      <c r="EJ88" s="2">
        <v>2</v>
      </c>
      <c r="EK88" s="2">
        <v>73</v>
      </c>
      <c r="EL88" s="2" t="s">
        <v>85</v>
      </c>
      <c r="EM88" s="2" t="s">
        <v>86</v>
      </c>
      <c r="EN88" s="2"/>
      <c r="EO88" s="2" t="s">
        <v>50</v>
      </c>
      <c r="EP88" s="2"/>
      <c r="EQ88" s="2">
        <v>132096</v>
      </c>
      <c r="ER88" s="2">
        <v>107.35</v>
      </c>
      <c r="ES88" s="2">
        <v>3.5</v>
      </c>
      <c r="ET88" s="2">
        <v>7.94</v>
      </c>
      <c r="EU88" s="2">
        <v>0.13</v>
      </c>
      <c r="EV88" s="2">
        <v>95.91</v>
      </c>
      <c r="EW88" s="2">
        <v>7.6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2</v>
      </c>
      <c r="FT88" s="2"/>
      <c r="FU88" s="2"/>
      <c r="FV88" s="2"/>
      <c r="FW88" s="2"/>
      <c r="FX88" s="2">
        <v>90</v>
      </c>
      <c r="FY88" s="2">
        <v>46</v>
      </c>
      <c r="FZ88" s="2"/>
      <c r="GA88" s="2" t="s">
        <v>3</v>
      </c>
      <c r="GB88" s="2"/>
      <c r="GC88" s="2"/>
      <c r="GD88" s="2">
        <v>1</v>
      </c>
      <c r="GE88" s="2"/>
      <c r="GF88" s="2">
        <v>-1524769397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77"/>
        <v>0</v>
      </c>
      <c r="GM88" s="2">
        <f t="shared" si="78"/>
        <v>607.62</v>
      </c>
      <c r="GN88" s="2">
        <f t="shared" si="79"/>
        <v>0</v>
      </c>
      <c r="GO88" s="2">
        <f t="shared" si="80"/>
        <v>607.62</v>
      </c>
      <c r="GP88" s="2">
        <f t="shared" si="81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82"/>
        <v>0</v>
      </c>
      <c r="GW88" s="2">
        <v>1</v>
      </c>
      <c r="GX88" s="2">
        <f t="shared" si="83"/>
        <v>0</v>
      </c>
      <c r="GY88" s="2"/>
      <c r="GZ88" s="2"/>
      <c r="HA88" s="2">
        <v>0</v>
      </c>
      <c r="HB88" s="2">
        <v>0</v>
      </c>
      <c r="HC88" s="2">
        <f t="shared" si="84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 s="3">
        <v>17</v>
      </c>
      <c r="B89" s="3">
        <v>1</v>
      </c>
      <c r="C89" s="3">
        <f>ROW(SmtRes!A240)</f>
        <v>240</v>
      </c>
      <c r="D89" s="3">
        <f>ROW(EtalonRes!A282)</f>
        <v>282</v>
      </c>
      <c r="E89" s="3" t="s">
        <v>3</v>
      </c>
      <c r="F89" s="3" t="s">
        <v>164</v>
      </c>
      <c r="G89" s="3" t="s">
        <v>165</v>
      </c>
      <c r="H89" s="3" t="s">
        <v>25</v>
      </c>
      <c r="I89" s="3">
        <f>ROUND(2,9)</f>
        <v>2</v>
      </c>
      <c r="J89" s="3">
        <v>0</v>
      </c>
      <c r="K89" s="3">
        <f>ROUND(2,9)</f>
        <v>2</v>
      </c>
      <c r="O89" s="3">
        <f t="shared" si="60"/>
        <v>14197.16</v>
      </c>
      <c r="P89" s="3">
        <f t="shared" si="61"/>
        <v>75.67</v>
      </c>
      <c r="Q89" s="3">
        <f>(ROUND((ROUND((((ET89*1.2))*AV89*I89),2)*BB89),2)+ROUND((ROUND(((AE89-((EU89*1.2)))*AV89*I89),2)*BS89),2))</f>
        <v>281.37</v>
      </c>
      <c r="R89" s="3">
        <f>(ROUND((ROUND((((EU89*1.2))*AV89*I89),2)*BS89),2)+ROUND((ROUND(((AE89-((EU89*1.2)))*AV89*I89),2)*BS89),2))</f>
        <v>18.600000000000001</v>
      </c>
      <c r="S89" s="3">
        <f t="shared" si="62"/>
        <v>13840.12</v>
      </c>
      <c r="T89" s="3">
        <f t="shared" si="63"/>
        <v>0</v>
      </c>
      <c r="U89" s="3">
        <f t="shared" si="64"/>
        <v>19.462079999999997</v>
      </c>
      <c r="V89" s="3">
        <f t="shared" si="65"/>
        <v>0</v>
      </c>
      <c r="W89" s="3">
        <f t="shared" si="66"/>
        <v>0</v>
      </c>
      <c r="X89" s="3">
        <f>(ROUND((((S89+ROUND((ROUND((((EU89*1.2))*AV89*I89),2)*BS89),2))*AT89)/100),2)+ROUND(((ROUND((ROUND(((AE89-((EU89*1.2)))*AV89*I89),2)*BS89),2)*AT89)/100),2))</f>
        <v>12472.85</v>
      </c>
      <c r="Y89" s="3">
        <f>(ROUND((((S89+ROUND((ROUND((((EU89*1.2))*AV89*I89),2)*BS89),2))*AU89)/100),2)+ROUND(((ROUND((ROUND(((AE89-((EU89*1.2)))*AV89*I89),2)*BS89),2)*AU89)/100),2))</f>
        <v>6375.01</v>
      </c>
      <c r="AA89" s="3">
        <v>-1</v>
      </c>
      <c r="AB89" s="3">
        <f t="shared" si="67"/>
        <v>128.12</v>
      </c>
      <c r="AC89" s="3">
        <f>ROUND(((ES89*1)),6)</f>
        <v>3.5</v>
      </c>
      <c r="AD89" s="3">
        <f>ROUND(((((ET89*1.2))-((EU89*1.2)))+AE89),6)</f>
        <v>9.5280000000000005</v>
      </c>
      <c r="AE89" s="3">
        <f>ROUND(((EU89*1.2)),6)</f>
        <v>0.156</v>
      </c>
      <c r="AF89" s="3">
        <f>ROUND(((EV89*1.2)),6)</f>
        <v>115.092</v>
      </c>
      <c r="AG89" s="3">
        <f t="shared" si="68"/>
        <v>0</v>
      </c>
      <c r="AH89" s="3">
        <f>((EW89*1.2))</f>
        <v>9.1199999999999992</v>
      </c>
      <c r="AI89" s="3">
        <f>((EX89*1.2))</f>
        <v>0</v>
      </c>
      <c r="AJ89" s="3">
        <f t="shared" si="69"/>
        <v>0</v>
      </c>
      <c r="AK89" s="3">
        <v>107.35</v>
      </c>
      <c r="AL89" s="3">
        <v>3.5</v>
      </c>
      <c r="AM89" s="3">
        <v>7.94</v>
      </c>
      <c r="AN89" s="3">
        <v>0.13</v>
      </c>
      <c r="AO89" s="3">
        <v>95.91</v>
      </c>
      <c r="AP89" s="3">
        <v>0</v>
      </c>
      <c r="AQ89" s="3">
        <v>7.6</v>
      </c>
      <c r="AR89" s="3">
        <v>0</v>
      </c>
      <c r="AS89" s="3">
        <v>0</v>
      </c>
      <c r="AT89" s="3">
        <v>90</v>
      </c>
      <c r="AU89" s="3">
        <v>46</v>
      </c>
      <c r="AV89" s="3">
        <v>1.0669999999999999</v>
      </c>
      <c r="AW89" s="3">
        <v>1.028</v>
      </c>
      <c r="AZ89" s="3">
        <v>1</v>
      </c>
      <c r="BA89" s="3">
        <v>56.35</v>
      </c>
      <c r="BB89" s="3">
        <v>13.84</v>
      </c>
      <c r="BC89" s="3">
        <v>10.51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0</v>
      </c>
      <c r="BI89" s="3">
        <v>2</v>
      </c>
      <c r="BJ89" s="3" t="s">
        <v>166</v>
      </c>
      <c r="BM89" s="3">
        <v>73</v>
      </c>
      <c r="BN89" s="3">
        <v>0</v>
      </c>
      <c r="BO89" s="3" t="s">
        <v>164</v>
      </c>
      <c r="BP89" s="3">
        <v>1</v>
      </c>
      <c r="BQ89" s="3">
        <v>40</v>
      </c>
      <c r="BR89" s="3">
        <v>0</v>
      </c>
      <c r="BS89" s="3">
        <v>56.35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90</v>
      </c>
      <c r="CA89" s="3">
        <v>46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716</v>
      </c>
      <c r="CO89" s="3">
        <v>0</v>
      </c>
      <c r="CP89" s="3">
        <f t="shared" si="70"/>
        <v>14197.160000000002</v>
      </c>
      <c r="CQ89" s="3">
        <f t="shared" si="71"/>
        <v>37.840000000000003</v>
      </c>
      <c r="CR89" s="3">
        <f>(ROUND((ROUND((((ET89*1.2))*AV89*1),2)*BB89),2)+ROUND((ROUND(((AE89-((EU89*1.2)))*AV89*1),2)*BS89),2))</f>
        <v>140.75</v>
      </c>
      <c r="CS89" s="3">
        <f>(ROUND((ROUND((((EU89*1.2))*AV89*1),2)*BS89),2)+ROUND((ROUND(((AE89-((EU89*1.2)))*AV89*1),2)*BS89),2))</f>
        <v>9.58</v>
      </c>
      <c r="CT89" s="3">
        <f t="shared" si="72"/>
        <v>6919.78</v>
      </c>
      <c r="CU89" s="3">
        <f t="shared" si="73"/>
        <v>0</v>
      </c>
      <c r="CV89" s="3">
        <f t="shared" si="74"/>
        <v>9.7310399999999984</v>
      </c>
      <c r="CW89" s="3">
        <f t="shared" si="75"/>
        <v>0</v>
      </c>
      <c r="CX89" s="3">
        <f t="shared" si="76"/>
        <v>0</v>
      </c>
      <c r="CY89" s="3">
        <f>(ROUND((((S89+ROUND((ROUND((((EU89*1.2))*AV89*1),2)*BS89),2))*AT89)/100),2)+ROUND(((ROUND((ROUND(((AE89-((EU89*1.2)))*AV89*1),2)*BS89),2)*AT89)/100),2))</f>
        <v>12464.73</v>
      </c>
      <c r="CZ89" s="3">
        <f>(ROUND((((S89+ROUND((ROUND((((EU89*1.2))*AV89*1),2)*BS89),2))*AU89)/100),2)+ROUND(((ROUND((ROUND(((AE89-((EU89*1.2)))*AV89*1),2)*BS89),2)*AU89)/100),2))</f>
        <v>6370.86</v>
      </c>
      <c r="DB89" s="3">
        <v>46</v>
      </c>
      <c r="DC89" s="3" t="s">
        <v>3</v>
      </c>
      <c r="DD89" s="3" t="s">
        <v>48</v>
      </c>
      <c r="DE89" s="3" t="s">
        <v>49</v>
      </c>
      <c r="DF89" s="3" t="s">
        <v>49</v>
      </c>
      <c r="DG89" s="3" t="s">
        <v>49</v>
      </c>
      <c r="DH89" s="3" t="s">
        <v>3</v>
      </c>
      <c r="DI89" s="3" t="s">
        <v>49</v>
      </c>
      <c r="DJ89" s="3" t="s">
        <v>49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1013</v>
      </c>
      <c r="DV89" s="3" t="s">
        <v>25</v>
      </c>
      <c r="DW89" s="3" t="s">
        <v>25</v>
      </c>
      <c r="DX89" s="3">
        <v>1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56938740</v>
      </c>
      <c r="EF89" s="3">
        <v>40</v>
      </c>
      <c r="EG89" s="3" t="s">
        <v>29</v>
      </c>
      <c r="EH89" s="3">
        <v>0</v>
      </c>
      <c r="EI89" s="3" t="s">
        <v>3</v>
      </c>
      <c r="EJ89" s="3">
        <v>2</v>
      </c>
      <c r="EK89" s="3">
        <v>73</v>
      </c>
      <c r="EL89" s="3" t="s">
        <v>85</v>
      </c>
      <c r="EM89" s="3" t="s">
        <v>86</v>
      </c>
      <c r="EO89" s="3" t="s">
        <v>50</v>
      </c>
      <c r="EQ89" s="3">
        <v>132096</v>
      </c>
      <c r="ER89" s="3">
        <v>107.35</v>
      </c>
      <c r="ES89" s="3">
        <v>3.5</v>
      </c>
      <c r="ET89" s="3">
        <v>7.94</v>
      </c>
      <c r="EU89" s="3">
        <v>0.13</v>
      </c>
      <c r="EV89" s="3">
        <v>95.91</v>
      </c>
      <c r="EW89" s="3">
        <v>7.6</v>
      </c>
      <c r="EX89" s="3">
        <v>0</v>
      </c>
      <c r="EY89" s="3">
        <v>0</v>
      </c>
      <c r="FQ89" s="3">
        <v>0</v>
      </c>
      <c r="FR89" s="3">
        <v>0</v>
      </c>
      <c r="FS89" s="3">
        <v>2</v>
      </c>
      <c r="FX89" s="3">
        <v>90</v>
      </c>
      <c r="FY89" s="3">
        <v>46</v>
      </c>
      <c r="GA89" s="3" t="s">
        <v>3</v>
      </c>
      <c r="GD89" s="3">
        <v>1</v>
      </c>
      <c r="GF89" s="3">
        <v>-1524769397</v>
      </c>
      <c r="GG89" s="3">
        <v>2</v>
      </c>
      <c r="GH89" s="3">
        <v>1</v>
      </c>
      <c r="GI89" s="3">
        <v>2</v>
      </c>
      <c r="GJ89" s="3">
        <v>0</v>
      </c>
      <c r="GK89" s="3">
        <v>0</v>
      </c>
      <c r="GL89" s="3">
        <f t="shared" si="77"/>
        <v>0</v>
      </c>
      <c r="GM89" s="3">
        <f t="shared" si="78"/>
        <v>33045.019999999997</v>
      </c>
      <c r="GN89" s="3">
        <f t="shared" si="79"/>
        <v>0</v>
      </c>
      <c r="GO89" s="3">
        <f t="shared" si="80"/>
        <v>33045.019999999997</v>
      </c>
      <c r="GP89" s="3">
        <f t="shared" si="81"/>
        <v>0</v>
      </c>
      <c r="GR89" s="3">
        <v>0</v>
      </c>
      <c r="GS89" s="3">
        <v>3</v>
      </c>
      <c r="GT89" s="3">
        <v>0</v>
      </c>
      <c r="GU89" s="3" t="s">
        <v>3</v>
      </c>
      <c r="GV89" s="3">
        <f t="shared" si="82"/>
        <v>0</v>
      </c>
      <c r="GW89" s="3">
        <v>1</v>
      </c>
      <c r="GX89" s="3">
        <f t="shared" si="83"/>
        <v>0</v>
      </c>
      <c r="HA89" s="3">
        <v>0</v>
      </c>
      <c r="HB89" s="3">
        <v>0</v>
      </c>
      <c r="HC89" s="3">
        <f t="shared" si="84"/>
        <v>0</v>
      </c>
      <c r="HE89" s="3" t="s">
        <v>3</v>
      </c>
      <c r="HF89" s="3" t="s">
        <v>3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">
      <c r="A90" s="2">
        <v>18</v>
      </c>
      <c r="B90" s="2">
        <v>1</v>
      </c>
      <c r="C90" s="2">
        <v>233</v>
      </c>
      <c r="D90" s="2"/>
      <c r="E90" s="2" t="s">
        <v>3</v>
      </c>
      <c r="F90" s="2" t="s">
        <v>167</v>
      </c>
      <c r="G90" s="2" t="s">
        <v>168</v>
      </c>
      <c r="H90" s="2" t="s">
        <v>118</v>
      </c>
      <c r="I90" s="2">
        <f>I88*J90</f>
        <v>2</v>
      </c>
      <c r="J90" s="2">
        <v>1</v>
      </c>
      <c r="K90" s="2">
        <v>1</v>
      </c>
      <c r="L90" s="2"/>
      <c r="M90" s="2"/>
      <c r="N90" s="2"/>
      <c r="O90" s="2">
        <f t="shared" si="60"/>
        <v>77.260000000000005</v>
      </c>
      <c r="P90" s="2">
        <f t="shared" si="61"/>
        <v>77.260000000000005</v>
      </c>
      <c r="Q90" s="2">
        <f>(ROUND((ROUND(((ET90)*AV90*I90),2)*BB90),2)+ROUND((ROUND(((AE90-(EU90))*AV90*I90),2)*BS90),2))</f>
        <v>0</v>
      </c>
      <c r="R90" s="2">
        <f>(ROUND((ROUND(((EU90)*AV90*I90),2)*BS90),2)+ROUND((ROUND(((AE90-(EU90))*AV90*I90),2)*BS90),2))</f>
        <v>0</v>
      </c>
      <c r="S90" s="2">
        <f t="shared" si="62"/>
        <v>0</v>
      </c>
      <c r="T90" s="2">
        <f t="shared" si="63"/>
        <v>0</v>
      </c>
      <c r="U90" s="2">
        <f t="shared" si="64"/>
        <v>0</v>
      </c>
      <c r="V90" s="2">
        <f t="shared" si="65"/>
        <v>0</v>
      </c>
      <c r="W90" s="2">
        <f t="shared" si="66"/>
        <v>0</v>
      </c>
      <c r="X90" s="2">
        <f>(ROUND((((S90+ROUND((ROUND(((EU90)*AV90*I90),2)*BS90),2))*AT90)/100),2)+ROUND(((ROUND((ROUND(((AE90-(EU90))*AV90*I90),2)*BS90),2)*AT90)/100),2))</f>
        <v>0</v>
      </c>
      <c r="Y90" s="2">
        <f>(ROUND((((S90+ROUND((ROUND(((EU90)*AV90*I90),2)*BS90),2))*AU90)/100),2)+ROUND(((ROUND((ROUND(((AE90-(EU90))*AV90*I90),2)*BS90),2)*AU90)/100),2))</f>
        <v>0</v>
      </c>
      <c r="Z90" s="2"/>
      <c r="AA90" s="2">
        <v>-1</v>
      </c>
      <c r="AB90" s="2">
        <f t="shared" si="67"/>
        <v>38.630000000000003</v>
      </c>
      <c r="AC90" s="2">
        <f>ROUND((ES90),6)</f>
        <v>38.630000000000003</v>
      </c>
      <c r="AD90" s="2">
        <f>ROUND((((ET90)-(EU90))+AE90),6)</f>
        <v>0</v>
      </c>
      <c r="AE90" s="2">
        <f t="shared" ref="AE90:AF93" si="101">ROUND((EU90),6)</f>
        <v>0</v>
      </c>
      <c r="AF90" s="2">
        <f t="shared" si="101"/>
        <v>0</v>
      </c>
      <c r="AG90" s="2">
        <f t="shared" si="68"/>
        <v>0</v>
      </c>
      <c r="AH90" s="2">
        <f t="shared" ref="AH90:AI93" si="102">(EW90)</f>
        <v>0</v>
      </c>
      <c r="AI90" s="2">
        <f t="shared" si="102"/>
        <v>0</v>
      </c>
      <c r="AJ90" s="2">
        <f t="shared" si="69"/>
        <v>0</v>
      </c>
      <c r="AK90" s="2">
        <v>38.630000000000003</v>
      </c>
      <c r="AL90" s="2">
        <v>38.630000000000003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90</v>
      </c>
      <c r="AU90" s="2">
        <v>46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2</v>
      </c>
      <c r="BJ90" s="2" t="s">
        <v>169</v>
      </c>
      <c r="BK90" s="2"/>
      <c r="BL90" s="2"/>
      <c r="BM90" s="2">
        <v>73</v>
      </c>
      <c r="BN90" s="2">
        <v>0</v>
      </c>
      <c r="BO90" s="2" t="s">
        <v>3</v>
      </c>
      <c r="BP90" s="2">
        <v>0</v>
      </c>
      <c r="BQ90" s="2">
        <v>40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90</v>
      </c>
      <c r="CA90" s="2">
        <v>46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718</v>
      </c>
      <c r="CO90" s="2">
        <v>0</v>
      </c>
      <c r="CP90" s="2">
        <f t="shared" si="70"/>
        <v>77.260000000000005</v>
      </c>
      <c r="CQ90" s="2">
        <f t="shared" si="71"/>
        <v>38.630000000000003</v>
      </c>
      <c r="CR90" s="2">
        <f>(ROUND((ROUND(((ET90)*AV90*1),2)*BB90),2)+ROUND((ROUND(((AE90-(EU90))*AV90*1),2)*BS90),2))</f>
        <v>0</v>
      </c>
      <c r="CS90" s="2">
        <f>(ROUND((ROUND(((EU90)*AV90*1),2)*BS90),2)+ROUND((ROUND(((AE90-(EU90))*AV90*1),2)*BS90),2))</f>
        <v>0</v>
      </c>
      <c r="CT90" s="2">
        <f t="shared" si="72"/>
        <v>0</v>
      </c>
      <c r="CU90" s="2">
        <f t="shared" si="73"/>
        <v>0</v>
      </c>
      <c r="CV90" s="2">
        <f t="shared" si="74"/>
        <v>0</v>
      </c>
      <c r="CW90" s="2">
        <f t="shared" si="75"/>
        <v>0</v>
      </c>
      <c r="CX90" s="2">
        <f t="shared" si="76"/>
        <v>0</v>
      </c>
      <c r="CY90" s="2">
        <f>(ROUND((((S90+ROUND((ROUND(((EU90)*AV90*1),2)*BS90),2))*AT90)/100),2)+ROUND(((ROUND((ROUND(((AE90-(EU90))*AV90*1),2)*BS90),2)*AT90)/100),2))</f>
        <v>0</v>
      </c>
      <c r="CZ90" s="2">
        <f>(ROUND((((S90+ROUND((ROUND(((EU90)*AV90*1),2)*BS90),2))*AU90)/100),2)+ROUND(((ROUND((ROUND(((AE90-(EU90))*AV90*1),2)*BS90),2)*AU90)/100),2))</f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118</v>
      </c>
      <c r="DW90" s="2" t="s">
        <v>118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56938740</v>
      </c>
      <c r="EF90" s="2">
        <v>40</v>
      </c>
      <c r="EG90" s="2" t="s">
        <v>29</v>
      </c>
      <c r="EH90" s="2">
        <v>0</v>
      </c>
      <c r="EI90" s="2" t="s">
        <v>3</v>
      </c>
      <c r="EJ90" s="2">
        <v>2</v>
      </c>
      <c r="EK90" s="2">
        <v>73</v>
      </c>
      <c r="EL90" s="2" t="s">
        <v>85</v>
      </c>
      <c r="EM90" s="2" t="s">
        <v>86</v>
      </c>
      <c r="EN90" s="2"/>
      <c r="EO90" s="2" t="s">
        <v>50</v>
      </c>
      <c r="EP90" s="2"/>
      <c r="EQ90" s="2">
        <v>1024</v>
      </c>
      <c r="ER90" s="2">
        <v>38.630000000000003</v>
      </c>
      <c r="ES90" s="2">
        <v>38.630000000000003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v>0</v>
      </c>
      <c r="FS90" s="2">
        <v>0</v>
      </c>
      <c r="FT90" s="2"/>
      <c r="FU90" s="2"/>
      <c r="FV90" s="2"/>
      <c r="FW90" s="2"/>
      <c r="FX90" s="2">
        <v>90</v>
      </c>
      <c r="FY90" s="2">
        <v>46</v>
      </c>
      <c r="FZ90" s="2"/>
      <c r="GA90" s="2" t="s">
        <v>3</v>
      </c>
      <c r="GB90" s="2"/>
      <c r="GC90" s="2"/>
      <c r="GD90" s="2">
        <v>1</v>
      </c>
      <c r="GE90" s="2"/>
      <c r="GF90" s="2">
        <v>-637601952</v>
      </c>
      <c r="GG90" s="2">
        <v>2</v>
      </c>
      <c r="GH90" s="2">
        <v>1</v>
      </c>
      <c r="GI90" s="2">
        <v>-2</v>
      </c>
      <c r="GJ90" s="2">
        <v>0</v>
      </c>
      <c r="GK90" s="2">
        <v>0</v>
      </c>
      <c r="GL90" s="2">
        <f t="shared" si="77"/>
        <v>0</v>
      </c>
      <c r="GM90" s="2">
        <f t="shared" si="78"/>
        <v>77.260000000000005</v>
      </c>
      <c r="GN90" s="2">
        <f t="shared" si="79"/>
        <v>0</v>
      </c>
      <c r="GO90" s="2">
        <f t="shared" si="80"/>
        <v>77.260000000000005</v>
      </c>
      <c r="GP90" s="2">
        <f t="shared" si="81"/>
        <v>0</v>
      </c>
      <c r="GQ90" s="2"/>
      <c r="GR90" s="2">
        <v>0</v>
      </c>
      <c r="GS90" s="2">
        <v>3</v>
      </c>
      <c r="GT90" s="2">
        <v>0</v>
      </c>
      <c r="GU90" s="2" t="s">
        <v>3</v>
      </c>
      <c r="GV90" s="2">
        <f t="shared" si="82"/>
        <v>0</v>
      </c>
      <c r="GW90" s="2">
        <v>1</v>
      </c>
      <c r="GX90" s="2">
        <f t="shared" si="83"/>
        <v>0</v>
      </c>
      <c r="GY90" s="2"/>
      <c r="GZ90" s="2"/>
      <c r="HA90" s="2">
        <v>0</v>
      </c>
      <c r="HB90" s="2">
        <v>0</v>
      </c>
      <c r="HC90" s="2">
        <f t="shared" si="84"/>
        <v>0</v>
      </c>
      <c r="HD90" s="2"/>
      <c r="HE90" s="2" t="s">
        <v>3</v>
      </c>
      <c r="HF90" s="2" t="s">
        <v>3</v>
      </c>
      <c r="HG90" s="2"/>
      <c r="HH90" s="2"/>
      <c r="HI90" s="2"/>
      <c r="HJ90" s="2"/>
      <c r="HK90" s="2"/>
      <c r="HL90" s="2"/>
      <c r="HM90" s="2" t="s">
        <v>48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 s="3">
        <v>18</v>
      </c>
      <c r="B91" s="3">
        <v>1</v>
      </c>
      <c r="C91" s="3">
        <v>240</v>
      </c>
      <c r="E91" s="3" t="s">
        <v>3</v>
      </c>
      <c r="F91" s="3" t="s">
        <v>167</v>
      </c>
      <c r="G91" s="3" t="s">
        <v>168</v>
      </c>
      <c r="H91" s="3" t="s">
        <v>118</v>
      </c>
      <c r="I91" s="3">
        <f>I89*J91</f>
        <v>2</v>
      </c>
      <c r="J91" s="3">
        <v>1</v>
      </c>
      <c r="K91" s="3">
        <v>1</v>
      </c>
      <c r="O91" s="3">
        <f t="shared" si="60"/>
        <v>355.4</v>
      </c>
      <c r="P91" s="3">
        <f t="shared" si="61"/>
        <v>355.4</v>
      </c>
      <c r="Q91" s="3">
        <f>(ROUND((ROUND(((ET91)*AV91*I91),2)*BB91),2)+ROUND((ROUND(((AE91-(EU91))*AV91*I91),2)*BS91),2))</f>
        <v>0</v>
      </c>
      <c r="R91" s="3">
        <f>(ROUND((ROUND(((EU91)*AV91*I91),2)*BS91),2)+ROUND((ROUND(((AE91-(EU91))*AV91*I91),2)*BS91),2))</f>
        <v>0</v>
      </c>
      <c r="S91" s="3">
        <f t="shared" si="62"/>
        <v>0</v>
      </c>
      <c r="T91" s="3">
        <f t="shared" si="63"/>
        <v>0</v>
      </c>
      <c r="U91" s="3">
        <f t="shared" si="64"/>
        <v>0</v>
      </c>
      <c r="V91" s="3">
        <f t="shared" si="65"/>
        <v>0</v>
      </c>
      <c r="W91" s="3">
        <f t="shared" si="66"/>
        <v>0</v>
      </c>
      <c r="X91" s="3">
        <f>(ROUND((((S91+ROUND((ROUND(((EU91)*AV91*I91),2)*BS91),2))*AT91)/100),2)+ROUND(((ROUND((ROUND(((AE91-(EU91))*AV91*I91),2)*BS91),2)*AT91)/100),2))</f>
        <v>0</v>
      </c>
      <c r="Y91" s="3">
        <f>(ROUND((((S91+ROUND((ROUND(((EU91)*AV91*I91),2)*BS91),2))*AU91)/100),2)+ROUND(((ROUND((ROUND(((AE91-(EU91))*AV91*I91),2)*BS91),2)*AU91)/100),2))</f>
        <v>0</v>
      </c>
      <c r="AA91" s="3">
        <v>-1</v>
      </c>
      <c r="AB91" s="3">
        <f t="shared" si="67"/>
        <v>38.630000000000003</v>
      </c>
      <c r="AC91" s="3">
        <f>ROUND((ES91),6)</f>
        <v>38.630000000000003</v>
      </c>
      <c r="AD91" s="3">
        <f>ROUND((((ET91)-(EU91))+AE91),6)</f>
        <v>0</v>
      </c>
      <c r="AE91" s="3">
        <f t="shared" si="101"/>
        <v>0</v>
      </c>
      <c r="AF91" s="3">
        <f t="shared" si="101"/>
        <v>0</v>
      </c>
      <c r="AG91" s="3">
        <f t="shared" si="68"/>
        <v>0</v>
      </c>
      <c r="AH91" s="3">
        <f t="shared" si="102"/>
        <v>0</v>
      </c>
      <c r="AI91" s="3">
        <f t="shared" si="102"/>
        <v>0</v>
      </c>
      <c r="AJ91" s="3">
        <f t="shared" si="69"/>
        <v>0</v>
      </c>
      <c r="AK91" s="3">
        <v>38.630000000000003</v>
      </c>
      <c r="AL91" s="3">
        <v>38.630000000000003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90</v>
      </c>
      <c r="AU91" s="3">
        <v>46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4.5999999999999996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2</v>
      </c>
      <c r="BJ91" s="3" t="s">
        <v>169</v>
      </c>
      <c r="BM91" s="3">
        <v>73</v>
      </c>
      <c r="BN91" s="3">
        <v>0</v>
      </c>
      <c r="BO91" s="3" t="s">
        <v>167</v>
      </c>
      <c r="BP91" s="3">
        <v>1</v>
      </c>
      <c r="BQ91" s="3">
        <v>40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90</v>
      </c>
      <c r="CA91" s="3">
        <v>46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718</v>
      </c>
      <c r="CO91" s="3">
        <v>0</v>
      </c>
      <c r="CP91" s="3">
        <f t="shared" si="70"/>
        <v>355.4</v>
      </c>
      <c r="CQ91" s="3">
        <f t="shared" si="71"/>
        <v>177.7</v>
      </c>
      <c r="CR91" s="3">
        <f>(ROUND((ROUND(((ET91)*AV91*1),2)*BB91),2)+ROUND((ROUND(((AE91-(EU91))*AV91*1),2)*BS91),2))</f>
        <v>0</v>
      </c>
      <c r="CS91" s="3">
        <f>(ROUND((ROUND(((EU91)*AV91*1),2)*BS91),2)+ROUND((ROUND(((AE91-(EU91))*AV91*1),2)*BS91),2))</f>
        <v>0</v>
      </c>
      <c r="CT91" s="3">
        <f t="shared" si="72"/>
        <v>0</v>
      </c>
      <c r="CU91" s="3">
        <f t="shared" si="73"/>
        <v>0</v>
      </c>
      <c r="CV91" s="3">
        <f t="shared" si="74"/>
        <v>0</v>
      </c>
      <c r="CW91" s="3">
        <f t="shared" si="75"/>
        <v>0</v>
      </c>
      <c r="CX91" s="3">
        <f t="shared" si="76"/>
        <v>0</v>
      </c>
      <c r="CY91" s="3">
        <f>(ROUND((((S91+ROUND((ROUND(((EU91)*AV91*1),2)*BS91),2))*AT91)/100),2)+ROUND(((ROUND((ROUND(((AE91-(EU91))*AV91*1),2)*BS91),2)*AT91)/100),2))</f>
        <v>0</v>
      </c>
      <c r="CZ91" s="3">
        <f>(ROUND((((S91+ROUND((ROUND(((EU91)*AV91*1),2)*BS91),2))*AU91)/100),2)+ROUND(((ROUND((ROUND(((AE91-(EU91))*AV91*1),2)*BS91),2)*AU91)/100),2))</f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1010</v>
      </c>
      <c r="DV91" s="3" t="s">
        <v>118</v>
      </c>
      <c r="DW91" s="3" t="s">
        <v>118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56938740</v>
      </c>
      <c r="EF91" s="3">
        <v>40</v>
      </c>
      <c r="EG91" s="3" t="s">
        <v>29</v>
      </c>
      <c r="EH91" s="3">
        <v>0</v>
      </c>
      <c r="EI91" s="3" t="s">
        <v>3</v>
      </c>
      <c r="EJ91" s="3">
        <v>2</v>
      </c>
      <c r="EK91" s="3">
        <v>73</v>
      </c>
      <c r="EL91" s="3" t="s">
        <v>85</v>
      </c>
      <c r="EM91" s="3" t="s">
        <v>86</v>
      </c>
      <c r="EO91" s="3" t="s">
        <v>50</v>
      </c>
      <c r="EQ91" s="3">
        <v>1024</v>
      </c>
      <c r="ER91" s="3">
        <v>38.630000000000003</v>
      </c>
      <c r="ES91" s="3">
        <v>38.630000000000003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FQ91" s="3">
        <v>0</v>
      </c>
      <c r="FR91" s="3">
        <v>0</v>
      </c>
      <c r="FS91" s="3">
        <v>0</v>
      </c>
      <c r="FX91" s="3">
        <v>90</v>
      </c>
      <c r="FY91" s="3">
        <v>46</v>
      </c>
      <c r="GA91" s="3" t="s">
        <v>3</v>
      </c>
      <c r="GD91" s="3">
        <v>1</v>
      </c>
      <c r="GF91" s="3">
        <v>-637601952</v>
      </c>
      <c r="GG91" s="3">
        <v>2</v>
      </c>
      <c r="GH91" s="3">
        <v>1</v>
      </c>
      <c r="GI91" s="3">
        <v>2</v>
      </c>
      <c r="GJ91" s="3">
        <v>0</v>
      </c>
      <c r="GK91" s="3">
        <v>0</v>
      </c>
      <c r="GL91" s="3">
        <f t="shared" si="77"/>
        <v>0</v>
      </c>
      <c r="GM91" s="3">
        <f t="shared" si="78"/>
        <v>355.4</v>
      </c>
      <c r="GN91" s="3">
        <f t="shared" si="79"/>
        <v>0</v>
      </c>
      <c r="GO91" s="3">
        <f t="shared" si="80"/>
        <v>355.4</v>
      </c>
      <c r="GP91" s="3">
        <f t="shared" si="81"/>
        <v>0</v>
      </c>
      <c r="GR91" s="3">
        <v>0</v>
      </c>
      <c r="GS91" s="3">
        <v>3</v>
      </c>
      <c r="GT91" s="3">
        <v>0</v>
      </c>
      <c r="GU91" s="3" t="s">
        <v>3</v>
      </c>
      <c r="GV91" s="3">
        <f t="shared" si="82"/>
        <v>0</v>
      </c>
      <c r="GW91" s="3">
        <v>1</v>
      </c>
      <c r="GX91" s="3">
        <f t="shared" si="83"/>
        <v>0</v>
      </c>
      <c r="HA91" s="3">
        <v>0</v>
      </c>
      <c r="HB91" s="3">
        <v>0</v>
      </c>
      <c r="HC91" s="3">
        <f t="shared" si="84"/>
        <v>0</v>
      </c>
      <c r="HE91" s="3" t="s">
        <v>3</v>
      </c>
      <c r="HF91" s="3" t="s">
        <v>3</v>
      </c>
      <c r="HM91" s="3" t="s">
        <v>48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2" spans="1:255" x14ac:dyDescent="0.2">
      <c r="A92" s="2">
        <v>17</v>
      </c>
      <c r="B92" s="2">
        <v>1</v>
      </c>
      <c r="C92" s="2"/>
      <c r="D92" s="2"/>
      <c r="E92" s="2" t="s">
        <v>170</v>
      </c>
      <c r="F92" s="2" t="s">
        <v>167</v>
      </c>
      <c r="G92" s="2" t="s">
        <v>168</v>
      </c>
      <c r="H92" s="2" t="s">
        <v>118</v>
      </c>
      <c r="I92" s="2">
        <v>2</v>
      </c>
      <c r="J92" s="2">
        <v>0</v>
      </c>
      <c r="K92" s="2">
        <v>2</v>
      </c>
      <c r="L92" s="2"/>
      <c r="M92" s="2"/>
      <c r="N92" s="2"/>
      <c r="O92" s="2">
        <f t="shared" ref="O92:O123" si="103">ROUND(CP92,2)</f>
        <v>77.260000000000005</v>
      </c>
      <c r="P92" s="2">
        <f t="shared" ref="P92:P123" si="104">ROUND((ROUND((AC92*AW92*I92),2)*BC92),2)</f>
        <v>77.260000000000005</v>
      </c>
      <c r="Q92" s="2">
        <f>(ROUND((ROUND(((ET92)*AV92*I92),2)*BB92),2)+ROUND((ROUND(((AE92-(EU92))*AV92*I92),2)*BS92),2))</f>
        <v>0</v>
      </c>
      <c r="R92" s="2">
        <f>(ROUND((ROUND(((EU92)*AV92*I92),2)*BS92),2)+ROUND((ROUND(((AE92-(EU92))*AV92*I92),2)*BS92),2))</f>
        <v>0</v>
      </c>
      <c r="S92" s="2">
        <f t="shared" ref="S92:S123" si="105">ROUND((ROUND((AF92*AV92*I92),2)*BA92),2)</f>
        <v>0</v>
      </c>
      <c r="T92" s="2">
        <f t="shared" ref="T92:T123" si="106">ROUND(CU92*I92,2)</f>
        <v>0</v>
      </c>
      <c r="U92" s="2">
        <f t="shared" ref="U92:U123" si="107">CV92*I92</f>
        <v>0</v>
      </c>
      <c r="V92" s="2">
        <f t="shared" ref="V92:V123" si="108">CW92*I92</f>
        <v>0</v>
      </c>
      <c r="W92" s="2">
        <f t="shared" ref="W92:W123" si="109">ROUND(CX92*I92,2)</f>
        <v>0</v>
      </c>
      <c r="X92" s="2">
        <f>(ROUND((((S92+ROUND((ROUND(((EU92)*AV92*I92),2)*BS92),2))*AT92)/100),2)+ROUND(((ROUND((ROUND(((AE92-(EU92))*AV92*I92),2)*BS92),2)*AT92)/100),2))</f>
        <v>0</v>
      </c>
      <c r="Y92" s="2">
        <f>(ROUND((((S92+ROUND((ROUND(((EU92)*AV92*I92),2)*BS92),2))*AU92)/100),2)+ROUND(((ROUND((ROUND(((AE92-(EU92))*AV92*I92),2)*BS92),2)*AU92)/100),2))</f>
        <v>0</v>
      </c>
      <c r="Z92" s="2"/>
      <c r="AA92" s="2">
        <v>55747649</v>
      </c>
      <c r="AB92" s="2">
        <f t="shared" ref="AB92:AB123" si="110">ROUND((AC92+AD92+AF92),6)</f>
        <v>38.630000000000003</v>
      </c>
      <c r="AC92" s="2">
        <f>ROUND((ES92),6)</f>
        <v>38.630000000000003</v>
      </c>
      <c r="AD92" s="2">
        <f>ROUND((((ET92)-(EU92))+AE92),6)</f>
        <v>0</v>
      </c>
      <c r="AE92" s="2">
        <f t="shared" si="101"/>
        <v>0</v>
      </c>
      <c r="AF92" s="2">
        <f t="shared" si="101"/>
        <v>0</v>
      </c>
      <c r="AG92" s="2">
        <f t="shared" ref="AG92:AG123" si="111">ROUND((AP92),6)</f>
        <v>0</v>
      </c>
      <c r="AH92" s="2">
        <f t="shared" si="102"/>
        <v>0</v>
      </c>
      <c r="AI92" s="2">
        <f t="shared" si="102"/>
        <v>0</v>
      </c>
      <c r="AJ92" s="2">
        <f t="shared" ref="AJ92:AJ123" si="112">(AS92)</f>
        <v>0</v>
      </c>
      <c r="AK92" s="2">
        <v>38.630000000000003</v>
      </c>
      <c r="AL92" s="2">
        <v>38.630000000000003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90</v>
      </c>
      <c r="AU92" s="2">
        <v>46</v>
      </c>
      <c r="AV92" s="2">
        <v>1</v>
      </c>
      <c r="AW92" s="2">
        <v>1</v>
      </c>
      <c r="AX92" s="2"/>
      <c r="AY92" s="2"/>
      <c r="AZ92" s="2">
        <v>1</v>
      </c>
      <c r="BA92" s="2">
        <v>1</v>
      </c>
      <c r="BB92" s="2">
        <v>1</v>
      </c>
      <c r="BC92" s="2">
        <v>1</v>
      </c>
      <c r="BD92" s="2" t="s">
        <v>3</v>
      </c>
      <c r="BE92" s="2" t="s">
        <v>3</v>
      </c>
      <c r="BF92" s="2" t="s">
        <v>3</v>
      </c>
      <c r="BG92" s="2" t="s">
        <v>3</v>
      </c>
      <c r="BH92" s="2">
        <v>3</v>
      </c>
      <c r="BI92" s="2">
        <v>2</v>
      </c>
      <c r="BJ92" s="2" t="s">
        <v>169</v>
      </c>
      <c r="BK92" s="2"/>
      <c r="BL92" s="2"/>
      <c r="BM92" s="2">
        <v>73</v>
      </c>
      <c r="BN92" s="2">
        <v>0</v>
      </c>
      <c r="BO92" s="2" t="s">
        <v>3</v>
      </c>
      <c r="BP92" s="2">
        <v>0</v>
      </c>
      <c r="BQ92" s="2">
        <v>40</v>
      </c>
      <c r="BR92" s="2">
        <v>0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 t="s">
        <v>3</v>
      </c>
      <c r="BZ92" s="2">
        <v>90</v>
      </c>
      <c r="CA92" s="2">
        <v>46</v>
      </c>
      <c r="CB92" s="2" t="s">
        <v>3</v>
      </c>
      <c r="CC92" s="2"/>
      <c r="CD92" s="2"/>
      <c r="CE92" s="2">
        <v>1566</v>
      </c>
      <c r="CF92" s="2">
        <v>0</v>
      </c>
      <c r="CG92" s="2">
        <v>0</v>
      </c>
      <c r="CH92" s="2"/>
      <c r="CI92" s="2"/>
      <c r="CJ92" s="2"/>
      <c r="CK92" s="2"/>
      <c r="CL92" s="2"/>
      <c r="CM92" s="2">
        <v>0</v>
      </c>
      <c r="CN92" s="2" t="s">
        <v>3</v>
      </c>
      <c r="CO92" s="2">
        <v>0</v>
      </c>
      <c r="CP92" s="2">
        <f t="shared" ref="CP92:CP123" si="113">(P92+Q92+S92)</f>
        <v>77.260000000000005</v>
      </c>
      <c r="CQ92" s="2">
        <f t="shared" ref="CQ92:CQ123" si="114">ROUND((ROUND((AC92*AW92*1),2)*BC92),2)</f>
        <v>38.630000000000003</v>
      </c>
      <c r="CR92" s="2">
        <f>(ROUND((ROUND(((ET92)*AV92*1),2)*BB92),2)+ROUND((ROUND(((AE92-(EU92))*AV92*1),2)*BS92),2))</f>
        <v>0</v>
      </c>
      <c r="CS92" s="2">
        <f>(ROUND((ROUND(((EU92)*AV92*1),2)*BS92),2)+ROUND((ROUND(((AE92-(EU92))*AV92*1),2)*BS92),2))</f>
        <v>0</v>
      </c>
      <c r="CT92" s="2">
        <f t="shared" ref="CT92:CT123" si="115">ROUND((ROUND((AF92*AV92*1),2)*BA92),2)</f>
        <v>0</v>
      </c>
      <c r="CU92" s="2">
        <f t="shared" ref="CU92:CU123" si="116">AG92</f>
        <v>0</v>
      </c>
      <c r="CV92" s="2">
        <f t="shared" ref="CV92:CV123" si="117">(AH92*AV92)</f>
        <v>0</v>
      </c>
      <c r="CW92" s="2">
        <f t="shared" ref="CW92:CW123" si="118">AI92</f>
        <v>0</v>
      </c>
      <c r="CX92" s="2">
        <f t="shared" ref="CX92:CX123" si="119">AJ92</f>
        <v>0</v>
      </c>
      <c r="CY92" s="2">
        <f>(ROUND((((S92+ROUND((ROUND(((EU92)*AV92*1),2)*BS92),2))*AT92)/100),2)+ROUND(((ROUND((ROUND(((AE92-(EU92))*AV92*1),2)*BS92),2)*AT92)/100),2))</f>
        <v>0</v>
      </c>
      <c r="CZ92" s="2">
        <f>(ROUND((((S92+ROUND((ROUND(((EU92)*AV92*1),2)*BS92),2))*AU92)/100),2)+ROUND(((ROUND((ROUND(((AE92-(EU92))*AV92*1),2)*BS92),2)*AU92)/100),2))</f>
        <v>0</v>
      </c>
      <c r="DA92" s="2"/>
      <c r="DB92" s="2"/>
      <c r="DC92" s="2" t="s">
        <v>3</v>
      </c>
      <c r="DD92" s="2" t="s">
        <v>3</v>
      </c>
      <c r="DE92" s="2" t="s">
        <v>3</v>
      </c>
      <c r="DF92" s="2" t="s">
        <v>3</v>
      </c>
      <c r="DG92" s="2" t="s">
        <v>3</v>
      </c>
      <c r="DH92" s="2" t="s">
        <v>3</v>
      </c>
      <c r="DI92" s="2" t="s">
        <v>3</v>
      </c>
      <c r="DJ92" s="2" t="s">
        <v>3</v>
      </c>
      <c r="DK92" s="2" t="s">
        <v>3</v>
      </c>
      <c r="DL92" s="2" t="s">
        <v>3</v>
      </c>
      <c r="DM92" s="2" t="s">
        <v>3</v>
      </c>
      <c r="DN92" s="2">
        <v>0</v>
      </c>
      <c r="DO92" s="2">
        <v>0</v>
      </c>
      <c r="DP92" s="2">
        <v>1</v>
      </c>
      <c r="DQ92" s="2">
        <v>1</v>
      </c>
      <c r="DR92" s="2"/>
      <c r="DS92" s="2"/>
      <c r="DT92" s="2"/>
      <c r="DU92" s="2">
        <v>1010</v>
      </c>
      <c r="DV92" s="2" t="s">
        <v>118</v>
      </c>
      <c r="DW92" s="2" t="s">
        <v>118</v>
      </c>
      <c r="DX92" s="2">
        <v>1</v>
      </c>
      <c r="DY92" s="2"/>
      <c r="DZ92" s="2" t="s">
        <v>3</v>
      </c>
      <c r="EA92" s="2" t="s">
        <v>3</v>
      </c>
      <c r="EB92" s="2" t="s">
        <v>3</v>
      </c>
      <c r="EC92" s="2" t="s">
        <v>3</v>
      </c>
      <c r="ED92" s="2"/>
      <c r="EE92" s="2">
        <v>56938740</v>
      </c>
      <c r="EF92" s="2">
        <v>40</v>
      </c>
      <c r="EG92" s="2" t="s">
        <v>29</v>
      </c>
      <c r="EH92" s="2">
        <v>0</v>
      </c>
      <c r="EI92" s="2" t="s">
        <v>3</v>
      </c>
      <c r="EJ92" s="2">
        <v>2</v>
      </c>
      <c r="EK92" s="2">
        <v>73</v>
      </c>
      <c r="EL92" s="2" t="s">
        <v>85</v>
      </c>
      <c r="EM92" s="2" t="s">
        <v>86</v>
      </c>
      <c r="EN92" s="2"/>
      <c r="EO92" s="2" t="s">
        <v>3</v>
      </c>
      <c r="EP92" s="2"/>
      <c r="EQ92" s="2">
        <v>0</v>
      </c>
      <c r="ER92" s="2">
        <v>38.630000000000003</v>
      </c>
      <c r="ES92" s="2">
        <v>38.630000000000003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>
        <v>0</v>
      </c>
      <c r="FR92" s="2">
        <v>0</v>
      </c>
      <c r="FS92" s="2">
        <v>0</v>
      </c>
      <c r="FT92" s="2"/>
      <c r="FU92" s="2"/>
      <c r="FV92" s="2"/>
      <c r="FW92" s="2"/>
      <c r="FX92" s="2">
        <v>90</v>
      </c>
      <c r="FY92" s="2">
        <v>46</v>
      </c>
      <c r="FZ92" s="2"/>
      <c r="GA92" s="2" t="s">
        <v>3</v>
      </c>
      <c r="GB92" s="2"/>
      <c r="GC92" s="2"/>
      <c r="GD92" s="2">
        <v>1</v>
      </c>
      <c r="GE92" s="2"/>
      <c r="GF92" s="2">
        <v>-637601952</v>
      </c>
      <c r="GG92" s="2">
        <v>2</v>
      </c>
      <c r="GH92" s="2">
        <v>1</v>
      </c>
      <c r="GI92" s="2">
        <v>-2</v>
      </c>
      <c r="GJ92" s="2">
        <v>0</v>
      </c>
      <c r="GK92" s="2">
        <v>0</v>
      </c>
      <c r="GL92" s="2">
        <f t="shared" ref="GL92:GL123" si="120">ROUND(IF(AND(BH92=3,BI92=3,FS92&lt;&gt;0),P92,0),2)</f>
        <v>0</v>
      </c>
      <c r="GM92" s="2">
        <f t="shared" ref="GM92:GM123" si="121">ROUND(O92+X92+Y92,2)+GX92</f>
        <v>77.260000000000005</v>
      </c>
      <c r="GN92" s="2">
        <f t="shared" ref="GN92:GN123" si="122">IF(OR(BI92=0,BI92=1),GM92-GX92,0)</f>
        <v>0</v>
      </c>
      <c r="GO92" s="2">
        <f t="shared" ref="GO92:GO123" si="123">IF(BI92=2,GM92-GX92,0)</f>
        <v>77.260000000000005</v>
      </c>
      <c r="GP92" s="2">
        <f t="shared" ref="GP92:GP123" si="124">IF(BI92=4,GM92-GX92,0)</f>
        <v>0</v>
      </c>
      <c r="GQ92" s="2"/>
      <c r="GR92" s="2">
        <v>0</v>
      </c>
      <c r="GS92" s="2">
        <v>3</v>
      </c>
      <c r="GT92" s="2">
        <v>0</v>
      </c>
      <c r="GU92" s="2" t="s">
        <v>3</v>
      </c>
      <c r="GV92" s="2">
        <f t="shared" ref="GV92:GV123" si="125">ROUND((GT92),6)</f>
        <v>0</v>
      </c>
      <c r="GW92" s="2">
        <v>1</v>
      </c>
      <c r="GX92" s="2">
        <f t="shared" ref="GX92:GX123" si="126">ROUND(HC92*I92,2)</f>
        <v>0</v>
      </c>
      <c r="GY92" s="2"/>
      <c r="GZ92" s="2"/>
      <c r="HA92" s="2">
        <v>0</v>
      </c>
      <c r="HB92" s="2">
        <v>0</v>
      </c>
      <c r="HC92" s="2">
        <f t="shared" ref="HC92:HC123" si="127">GV92*GW92</f>
        <v>0</v>
      </c>
      <c r="HD92" s="2"/>
      <c r="HE92" s="2" t="s">
        <v>3</v>
      </c>
      <c r="HF92" s="2" t="s">
        <v>3</v>
      </c>
      <c r="HG92" s="2"/>
      <c r="HH92" s="2"/>
      <c r="HI92" s="2"/>
      <c r="HJ92" s="2"/>
      <c r="HK92" s="2"/>
      <c r="HL92" s="2"/>
      <c r="HM92" s="2" t="s">
        <v>3</v>
      </c>
      <c r="HN92" s="2" t="s">
        <v>3</v>
      </c>
      <c r="HO92" s="2" t="s">
        <v>3</v>
      </c>
      <c r="HP92" s="2" t="s">
        <v>3</v>
      </c>
      <c r="HQ92" s="2" t="s">
        <v>3</v>
      </c>
      <c r="HR92" s="2"/>
      <c r="HS92" s="2">
        <v>0</v>
      </c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>
        <v>0</v>
      </c>
      <c r="IL92" s="2"/>
      <c r="IM92" s="2"/>
      <c r="IN92" s="2"/>
      <c r="IO92" s="2"/>
      <c r="IP92" s="2"/>
      <c r="IQ92" s="2"/>
      <c r="IR92" s="2"/>
      <c r="IS92" s="2"/>
      <c r="IT92" s="2"/>
      <c r="IU92" s="2"/>
    </row>
    <row r="93" spans="1:255" x14ac:dyDescent="0.2">
      <c r="A93" s="3">
        <v>17</v>
      </c>
      <c r="B93" s="3">
        <v>1</v>
      </c>
      <c r="E93" s="3" t="s">
        <v>170</v>
      </c>
      <c r="F93" s="3" t="s">
        <v>167</v>
      </c>
      <c r="G93" s="3" t="s">
        <v>168</v>
      </c>
      <c r="H93" s="3" t="s">
        <v>118</v>
      </c>
      <c r="I93" s="3">
        <v>2</v>
      </c>
      <c r="J93" s="3">
        <v>0</v>
      </c>
      <c r="K93" s="3">
        <v>2</v>
      </c>
      <c r="O93" s="3">
        <f t="shared" si="103"/>
        <v>355.4</v>
      </c>
      <c r="P93" s="3">
        <f t="shared" si="104"/>
        <v>355.4</v>
      </c>
      <c r="Q93" s="3">
        <f>(ROUND((ROUND(((ET93)*AV93*I93),2)*BB93),2)+ROUND((ROUND(((AE93-(EU93))*AV93*I93),2)*BS93),2))</f>
        <v>0</v>
      </c>
      <c r="R93" s="3">
        <f>(ROUND((ROUND(((EU93)*AV93*I93),2)*BS93),2)+ROUND((ROUND(((AE93-(EU93))*AV93*I93),2)*BS93),2))</f>
        <v>0</v>
      </c>
      <c r="S93" s="3">
        <f t="shared" si="105"/>
        <v>0</v>
      </c>
      <c r="T93" s="3">
        <f t="shared" si="106"/>
        <v>0</v>
      </c>
      <c r="U93" s="3">
        <f t="shared" si="107"/>
        <v>0</v>
      </c>
      <c r="V93" s="3">
        <f t="shared" si="108"/>
        <v>0</v>
      </c>
      <c r="W93" s="3">
        <f t="shared" si="109"/>
        <v>0</v>
      </c>
      <c r="X93" s="3">
        <f>(ROUND((((S93+ROUND((ROUND(((EU93)*AV93*I93),2)*BS93),2))*AT93)/100),2)+ROUND(((ROUND((ROUND(((AE93-(EU93))*AV93*I93),2)*BS93),2)*AT93)/100),2))</f>
        <v>0</v>
      </c>
      <c r="Y93" s="3">
        <f>(ROUND((((S93+ROUND((ROUND(((EU93)*AV93*I93),2)*BS93),2))*AU93)/100),2)+ROUND(((ROUND((ROUND(((AE93-(EU93))*AV93*I93),2)*BS93),2)*AU93)/100),2))</f>
        <v>0</v>
      </c>
      <c r="AA93" s="3">
        <v>55747651</v>
      </c>
      <c r="AB93" s="3">
        <f t="shared" si="110"/>
        <v>38.630000000000003</v>
      </c>
      <c r="AC93" s="3">
        <f>ROUND((ES93),6)</f>
        <v>38.630000000000003</v>
      </c>
      <c r="AD93" s="3">
        <f>ROUND((((ET93)-(EU93))+AE93),6)</f>
        <v>0</v>
      </c>
      <c r="AE93" s="3">
        <f t="shared" si="101"/>
        <v>0</v>
      </c>
      <c r="AF93" s="3">
        <f t="shared" si="101"/>
        <v>0</v>
      </c>
      <c r="AG93" s="3">
        <f t="shared" si="111"/>
        <v>0</v>
      </c>
      <c r="AH93" s="3">
        <f t="shared" si="102"/>
        <v>0</v>
      </c>
      <c r="AI93" s="3">
        <f t="shared" si="102"/>
        <v>0</v>
      </c>
      <c r="AJ93" s="3">
        <f t="shared" si="112"/>
        <v>0</v>
      </c>
      <c r="AK93" s="3">
        <v>38.630000000000003</v>
      </c>
      <c r="AL93" s="3">
        <v>38.630000000000003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90</v>
      </c>
      <c r="AU93" s="3">
        <v>46</v>
      </c>
      <c r="AV93" s="3">
        <v>1</v>
      </c>
      <c r="AW93" s="3">
        <v>1</v>
      </c>
      <c r="AZ93" s="3">
        <v>1</v>
      </c>
      <c r="BA93" s="3">
        <v>1</v>
      </c>
      <c r="BB93" s="3">
        <v>1</v>
      </c>
      <c r="BC93" s="3">
        <v>4.5999999999999996</v>
      </c>
      <c r="BD93" s="3" t="s">
        <v>3</v>
      </c>
      <c r="BE93" s="3" t="s">
        <v>3</v>
      </c>
      <c r="BF93" s="3" t="s">
        <v>3</v>
      </c>
      <c r="BG93" s="3" t="s">
        <v>3</v>
      </c>
      <c r="BH93" s="3">
        <v>3</v>
      </c>
      <c r="BI93" s="3">
        <v>2</v>
      </c>
      <c r="BJ93" s="3" t="s">
        <v>169</v>
      </c>
      <c r="BM93" s="3">
        <v>73</v>
      </c>
      <c r="BN93" s="3">
        <v>0</v>
      </c>
      <c r="BO93" s="3" t="s">
        <v>167</v>
      </c>
      <c r="BP93" s="3">
        <v>1</v>
      </c>
      <c r="BQ93" s="3">
        <v>40</v>
      </c>
      <c r="BR93" s="3">
        <v>0</v>
      </c>
      <c r="BS93" s="3">
        <v>1</v>
      </c>
      <c r="BT93" s="3">
        <v>1</v>
      </c>
      <c r="BU93" s="3">
        <v>1</v>
      </c>
      <c r="BV93" s="3">
        <v>1</v>
      </c>
      <c r="BW93" s="3">
        <v>1</v>
      </c>
      <c r="BX93" s="3">
        <v>1</v>
      </c>
      <c r="BY93" s="3" t="s">
        <v>3</v>
      </c>
      <c r="BZ93" s="3">
        <v>90</v>
      </c>
      <c r="CA93" s="3">
        <v>46</v>
      </c>
      <c r="CB93" s="3" t="s">
        <v>3</v>
      </c>
      <c r="CE93" s="3">
        <v>1566</v>
      </c>
      <c r="CF93" s="3">
        <v>0</v>
      </c>
      <c r="CG93" s="3">
        <v>0</v>
      </c>
      <c r="CM93" s="3">
        <v>0</v>
      </c>
      <c r="CN93" s="3" t="s">
        <v>3</v>
      </c>
      <c r="CO93" s="3">
        <v>0</v>
      </c>
      <c r="CP93" s="3">
        <f t="shared" si="113"/>
        <v>355.4</v>
      </c>
      <c r="CQ93" s="3">
        <f t="shared" si="114"/>
        <v>177.7</v>
      </c>
      <c r="CR93" s="3">
        <f>(ROUND((ROUND(((ET93)*AV93*1),2)*BB93),2)+ROUND((ROUND(((AE93-(EU93))*AV93*1),2)*BS93),2))</f>
        <v>0</v>
      </c>
      <c r="CS93" s="3">
        <f>(ROUND((ROUND(((EU93)*AV93*1),2)*BS93),2)+ROUND((ROUND(((AE93-(EU93))*AV93*1),2)*BS93),2))</f>
        <v>0</v>
      </c>
      <c r="CT93" s="3">
        <f t="shared" si="115"/>
        <v>0</v>
      </c>
      <c r="CU93" s="3">
        <f t="shared" si="116"/>
        <v>0</v>
      </c>
      <c r="CV93" s="3">
        <f t="shared" si="117"/>
        <v>0</v>
      </c>
      <c r="CW93" s="3">
        <f t="shared" si="118"/>
        <v>0</v>
      </c>
      <c r="CX93" s="3">
        <f t="shared" si="119"/>
        <v>0</v>
      </c>
      <c r="CY93" s="3">
        <f>(ROUND((((S93+ROUND((ROUND(((EU93)*AV93*1),2)*BS93),2))*AT93)/100),2)+ROUND(((ROUND((ROUND(((AE93-(EU93))*AV93*1),2)*BS93),2)*AT93)/100),2))</f>
        <v>0</v>
      </c>
      <c r="CZ93" s="3">
        <f>(ROUND((((S93+ROUND((ROUND(((EU93)*AV93*1),2)*BS93),2))*AU93)/100),2)+ROUND(((ROUND((ROUND(((AE93-(EU93))*AV93*1),2)*BS93),2)*AU93)/100),2))</f>
        <v>0</v>
      </c>
      <c r="DC93" s="3" t="s">
        <v>3</v>
      </c>
      <c r="DD93" s="3" t="s">
        <v>3</v>
      </c>
      <c r="DE93" s="3" t="s">
        <v>3</v>
      </c>
      <c r="DF93" s="3" t="s">
        <v>3</v>
      </c>
      <c r="DG93" s="3" t="s">
        <v>3</v>
      </c>
      <c r="DH93" s="3" t="s">
        <v>3</v>
      </c>
      <c r="DI93" s="3" t="s">
        <v>3</v>
      </c>
      <c r="DJ93" s="3" t="s">
        <v>3</v>
      </c>
      <c r="DK93" s="3" t="s">
        <v>3</v>
      </c>
      <c r="DL93" s="3" t="s">
        <v>3</v>
      </c>
      <c r="DM93" s="3" t="s">
        <v>3</v>
      </c>
      <c r="DN93" s="3">
        <v>0</v>
      </c>
      <c r="DO93" s="3">
        <v>0</v>
      </c>
      <c r="DP93" s="3">
        <v>1</v>
      </c>
      <c r="DQ93" s="3">
        <v>1</v>
      </c>
      <c r="DU93" s="3">
        <v>1010</v>
      </c>
      <c r="DV93" s="3" t="s">
        <v>118</v>
      </c>
      <c r="DW93" s="3" t="s">
        <v>118</v>
      </c>
      <c r="DX93" s="3">
        <v>1</v>
      </c>
      <c r="DZ93" s="3" t="s">
        <v>3</v>
      </c>
      <c r="EA93" s="3" t="s">
        <v>3</v>
      </c>
      <c r="EB93" s="3" t="s">
        <v>3</v>
      </c>
      <c r="EC93" s="3" t="s">
        <v>3</v>
      </c>
      <c r="EE93" s="3">
        <v>56938740</v>
      </c>
      <c r="EF93" s="3">
        <v>40</v>
      </c>
      <c r="EG93" s="3" t="s">
        <v>29</v>
      </c>
      <c r="EH93" s="3">
        <v>0</v>
      </c>
      <c r="EI93" s="3" t="s">
        <v>3</v>
      </c>
      <c r="EJ93" s="3">
        <v>2</v>
      </c>
      <c r="EK93" s="3">
        <v>73</v>
      </c>
      <c r="EL93" s="3" t="s">
        <v>85</v>
      </c>
      <c r="EM93" s="3" t="s">
        <v>86</v>
      </c>
      <c r="EO93" s="3" t="s">
        <v>3</v>
      </c>
      <c r="EQ93" s="3">
        <v>0</v>
      </c>
      <c r="ER93" s="3">
        <v>38.630000000000003</v>
      </c>
      <c r="ES93" s="3">
        <v>38.630000000000003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FQ93" s="3">
        <v>0</v>
      </c>
      <c r="FR93" s="3">
        <v>0</v>
      </c>
      <c r="FS93" s="3">
        <v>0</v>
      </c>
      <c r="FX93" s="3">
        <v>90</v>
      </c>
      <c r="FY93" s="3">
        <v>46</v>
      </c>
      <c r="GA93" s="3" t="s">
        <v>3</v>
      </c>
      <c r="GD93" s="3">
        <v>1</v>
      </c>
      <c r="GF93" s="3">
        <v>-637601952</v>
      </c>
      <c r="GG93" s="3">
        <v>2</v>
      </c>
      <c r="GH93" s="3">
        <v>1</v>
      </c>
      <c r="GI93" s="3">
        <v>2</v>
      </c>
      <c r="GJ93" s="3">
        <v>0</v>
      </c>
      <c r="GK93" s="3">
        <v>0</v>
      </c>
      <c r="GL93" s="3">
        <f t="shared" si="120"/>
        <v>0</v>
      </c>
      <c r="GM93" s="3">
        <f t="shared" si="121"/>
        <v>355.4</v>
      </c>
      <c r="GN93" s="3">
        <f t="shared" si="122"/>
        <v>0</v>
      </c>
      <c r="GO93" s="3">
        <f t="shared" si="123"/>
        <v>355.4</v>
      </c>
      <c r="GP93" s="3">
        <f t="shared" si="124"/>
        <v>0</v>
      </c>
      <c r="GR93" s="3">
        <v>0</v>
      </c>
      <c r="GS93" s="3">
        <v>3</v>
      </c>
      <c r="GT93" s="3">
        <v>0</v>
      </c>
      <c r="GU93" s="3" t="s">
        <v>3</v>
      </c>
      <c r="GV93" s="3">
        <f t="shared" si="125"/>
        <v>0</v>
      </c>
      <c r="GW93" s="3">
        <v>1</v>
      </c>
      <c r="GX93" s="3">
        <f t="shared" si="126"/>
        <v>0</v>
      </c>
      <c r="HA93" s="3">
        <v>0</v>
      </c>
      <c r="HB93" s="3">
        <v>0</v>
      </c>
      <c r="HC93" s="3">
        <f t="shared" si="127"/>
        <v>0</v>
      </c>
      <c r="HE93" s="3" t="s">
        <v>3</v>
      </c>
      <c r="HF93" s="3" t="s">
        <v>3</v>
      </c>
      <c r="HM93" s="3" t="s">
        <v>3</v>
      </c>
      <c r="HN93" s="3" t="s">
        <v>3</v>
      </c>
      <c r="HO93" s="3" t="s">
        <v>3</v>
      </c>
      <c r="HP93" s="3" t="s">
        <v>3</v>
      </c>
      <c r="HQ93" s="3" t="s">
        <v>3</v>
      </c>
      <c r="HS93" s="3">
        <v>0</v>
      </c>
      <c r="IK93" s="3">
        <v>0</v>
      </c>
    </row>
    <row r="94" spans="1:255" x14ac:dyDescent="0.2">
      <c r="A94" s="2">
        <v>17</v>
      </c>
      <c r="B94" s="2">
        <v>1</v>
      </c>
      <c r="C94" s="2">
        <f>ROW(SmtRes!A248)</f>
        <v>248</v>
      </c>
      <c r="D94" s="2">
        <f>ROW(EtalonRes!A289)</f>
        <v>289</v>
      </c>
      <c r="E94" s="2" t="s">
        <v>171</v>
      </c>
      <c r="F94" s="2" t="s">
        <v>172</v>
      </c>
      <c r="G94" s="2" t="s">
        <v>173</v>
      </c>
      <c r="H94" s="2" t="s">
        <v>25</v>
      </c>
      <c r="I94" s="2">
        <f>ROUND(2+1,9)</f>
        <v>3</v>
      </c>
      <c r="J94" s="2">
        <v>0</v>
      </c>
      <c r="K94" s="2">
        <f>ROUND(2+1,9)</f>
        <v>3</v>
      </c>
      <c r="L94" s="2"/>
      <c r="M94" s="2"/>
      <c r="N94" s="2"/>
      <c r="O94" s="2">
        <f t="shared" si="103"/>
        <v>288.75</v>
      </c>
      <c r="P94" s="2">
        <f t="shared" si="104"/>
        <v>41.57</v>
      </c>
      <c r="Q94" s="2">
        <f>(ROUND((ROUND((((ET94*1.2))*AV94*I94),2)*BB94),2)+ROUND((ROUND(((AE94-((EU94*1.2)))*AV94*I94),2)*BS94),2))</f>
        <v>14.48</v>
      </c>
      <c r="R94" s="2">
        <f>(ROUND((ROUND((((EU94*1.2))*AV94*I94),2)*BS94),2)+ROUND((ROUND(((AE94-((EU94*1.2)))*AV94*I94),2)*BS94),2))</f>
        <v>0</v>
      </c>
      <c r="S94" s="2">
        <f t="shared" si="105"/>
        <v>232.7</v>
      </c>
      <c r="T94" s="2">
        <f t="shared" si="106"/>
        <v>0</v>
      </c>
      <c r="U94" s="2">
        <f t="shared" si="107"/>
        <v>18.437759999999997</v>
      </c>
      <c r="V94" s="2">
        <f t="shared" si="108"/>
        <v>0</v>
      </c>
      <c r="W94" s="2">
        <f t="shared" si="109"/>
        <v>0</v>
      </c>
      <c r="X94" s="2">
        <f>(ROUND((((S94+ROUND((ROUND((((EU94*1.2))*AV94*I94),2)*BS94),2))*AT94)/100),2)+ROUND(((ROUND((ROUND(((AE94-((EU94*1.2)))*AV94*I94),2)*BS94),2)*AT94)/100),2))</f>
        <v>209.43</v>
      </c>
      <c r="Y94" s="2">
        <f>(ROUND((((S94+ROUND((ROUND((((EU94*1.2))*AV94*I94),2)*BS94),2))*AU94)/100),2)+ROUND(((ROUND((ROUND(((AE94-((EU94*1.2)))*AV94*I94),2)*BS94),2)*AU94)/100),2))</f>
        <v>107.04</v>
      </c>
      <c r="Z94" s="2"/>
      <c r="AA94" s="2">
        <v>55747649</v>
      </c>
      <c r="AB94" s="2">
        <f t="shared" si="110"/>
        <v>90.7</v>
      </c>
      <c r="AC94" s="2">
        <f>ROUND(((ES94*1)),6)</f>
        <v>13.48</v>
      </c>
      <c r="AD94" s="2">
        <f>ROUND(((((ET94*1.2))-((EU94*1.2)))+AE94),6)</f>
        <v>4.524</v>
      </c>
      <c r="AE94" s="2">
        <f>ROUND(((EU94*1.2)),6)</f>
        <v>0</v>
      </c>
      <c r="AF94" s="2">
        <f>ROUND(((EV94*1.2)),6)</f>
        <v>72.695999999999998</v>
      </c>
      <c r="AG94" s="2">
        <f t="shared" si="111"/>
        <v>0</v>
      </c>
      <c r="AH94" s="2">
        <f>((EW94*1.2))</f>
        <v>5.76</v>
      </c>
      <c r="AI94" s="2">
        <f>((EX94*1.2))</f>
        <v>0</v>
      </c>
      <c r="AJ94" s="2">
        <f t="shared" si="112"/>
        <v>0</v>
      </c>
      <c r="AK94" s="2">
        <v>77.83</v>
      </c>
      <c r="AL94" s="2">
        <v>13.48</v>
      </c>
      <c r="AM94" s="2">
        <v>3.77</v>
      </c>
      <c r="AN94" s="2">
        <v>0</v>
      </c>
      <c r="AO94" s="2">
        <v>60.58</v>
      </c>
      <c r="AP94" s="2">
        <v>0</v>
      </c>
      <c r="AQ94" s="2">
        <v>4.8</v>
      </c>
      <c r="AR94" s="2">
        <v>0</v>
      </c>
      <c r="AS94" s="2">
        <v>0</v>
      </c>
      <c r="AT94" s="2">
        <v>90</v>
      </c>
      <c r="AU94" s="2">
        <v>46</v>
      </c>
      <c r="AV94" s="2">
        <v>1.0669999999999999</v>
      </c>
      <c r="AW94" s="2">
        <v>1.028</v>
      </c>
      <c r="AX94" s="2"/>
      <c r="AY94" s="2"/>
      <c r="AZ94" s="2">
        <v>1</v>
      </c>
      <c r="BA94" s="2">
        <v>1</v>
      </c>
      <c r="BB94" s="2">
        <v>1</v>
      </c>
      <c r="BC94" s="2">
        <v>1</v>
      </c>
      <c r="BD94" s="2" t="s">
        <v>3</v>
      </c>
      <c r="BE94" s="2" t="s">
        <v>3</v>
      </c>
      <c r="BF94" s="2" t="s">
        <v>3</v>
      </c>
      <c r="BG94" s="2" t="s">
        <v>3</v>
      </c>
      <c r="BH94" s="2">
        <v>0</v>
      </c>
      <c r="BI94" s="2">
        <v>2</v>
      </c>
      <c r="BJ94" s="2" t="s">
        <v>174</v>
      </c>
      <c r="BK94" s="2"/>
      <c r="BL94" s="2"/>
      <c r="BM94" s="2">
        <v>73</v>
      </c>
      <c r="BN94" s="2">
        <v>0</v>
      </c>
      <c r="BO94" s="2" t="s">
        <v>172</v>
      </c>
      <c r="BP94" s="2">
        <v>1</v>
      </c>
      <c r="BQ94" s="2">
        <v>40</v>
      </c>
      <c r="BR94" s="2">
        <v>0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 t="s">
        <v>3</v>
      </c>
      <c r="BZ94" s="2">
        <v>90</v>
      </c>
      <c r="CA94" s="2">
        <v>46</v>
      </c>
      <c r="CB94" s="2" t="s">
        <v>3</v>
      </c>
      <c r="CC94" s="2"/>
      <c r="CD94" s="2"/>
      <c r="CE94" s="2">
        <v>1566</v>
      </c>
      <c r="CF94" s="2">
        <v>0</v>
      </c>
      <c r="CG94" s="2">
        <v>0</v>
      </c>
      <c r="CH94" s="2"/>
      <c r="CI94" s="2"/>
      <c r="CJ94" s="2"/>
      <c r="CK94" s="2"/>
      <c r="CL94" s="2"/>
      <c r="CM94" s="2">
        <v>0</v>
      </c>
      <c r="CN94" s="2" t="s">
        <v>716</v>
      </c>
      <c r="CO94" s="2">
        <v>0</v>
      </c>
      <c r="CP94" s="2">
        <f t="shared" si="113"/>
        <v>288.75</v>
      </c>
      <c r="CQ94" s="2">
        <f t="shared" si="114"/>
        <v>13.86</v>
      </c>
      <c r="CR94" s="2">
        <f>(ROUND((ROUND((((ET94*1.2))*AV94*1),2)*BB94),2)+ROUND((ROUND(((AE94-((EU94*1.2)))*AV94*1),2)*BS94),2))</f>
        <v>4.83</v>
      </c>
      <c r="CS94" s="2">
        <f>(ROUND((ROUND((((EU94*1.2))*AV94*1),2)*BS94),2)+ROUND((ROUND(((AE94-((EU94*1.2)))*AV94*1),2)*BS94),2))</f>
        <v>0</v>
      </c>
      <c r="CT94" s="2">
        <f t="shared" si="115"/>
        <v>77.569999999999993</v>
      </c>
      <c r="CU94" s="2">
        <f t="shared" si="116"/>
        <v>0</v>
      </c>
      <c r="CV94" s="2">
        <f t="shared" si="117"/>
        <v>6.1459199999999994</v>
      </c>
      <c r="CW94" s="2">
        <f t="shared" si="118"/>
        <v>0</v>
      </c>
      <c r="CX94" s="2">
        <f t="shared" si="119"/>
        <v>0</v>
      </c>
      <c r="CY94" s="2">
        <f>(ROUND((((S94+ROUND((ROUND((((EU94*1.2))*AV94*1),2)*BS94),2))*AT94)/100),2)+ROUND(((ROUND((ROUND(((AE94-((EU94*1.2)))*AV94*1),2)*BS94),2)*AT94)/100),2))</f>
        <v>209.43</v>
      </c>
      <c r="CZ94" s="2">
        <f>(ROUND((((S94+ROUND((ROUND((((EU94*1.2))*AV94*1),2)*BS94),2))*AU94)/100),2)+ROUND(((ROUND((ROUND(((AE94-((EU94*1.2)))*AV94*1),2)*BS94),2)*AU94)/100),2))</f>
        <v>107.04</v>
      </c>
      <c r="DA94" s="2"/>
      <c r="DB94" s="2">
        <v>47</v>
      </c>
      <c r="DC94" s="2" t="s">
        <v>3</v>
      </c>
      <c r="DD94" s="2" t="s">
        <v>48</v>
      </c>
      <c r="DE94" s="2" t="s">
        <v>49</v>
      </c>
      <c r="DF94" s="2" t="s">
        <v>49</v>
      </c>
      <c r="DG94" s="2" t="s">
        <v>49</v>
      </c>
      <c r="DH94" s="2" t="s">
        <v>3</v>
      </c>
      <c r="DI94" s="2" t="s">
        <v>49</v>
      </c>
      <c r="DJ94" s="2" t="s">
        <v>49</v>
      </c>
      <c r="DK94" s="2" t="s">
        <v>3</v>
      </c>
      <c r="DL94" s="2" t="s">
        <v>3</v>
      </c>
      <c r="DM94" s="2" t="s">
        <v>3</v>
      </c>
      <c r="DN94" s="2">
        <v>0</v>
      </c>
      <c r="DO94" s="2">
        <v>0</v>
      </c>
      <c r="DP94" s="2">
        <v>1</v>
      </c>
      <c r="DQ94" s="2">
        <v>1</v>
      </c>
      <c r="DR94" s="2"/>
      <c r="DS94" s="2"/>
      <c r="DT94" s="2"/>
      <c r="DU94" s="2">
        <v>1013</v>
      </c>
      <c r="DV94" s="2" t="s">
        <v>25</v>
      </c>
      <c r="DW94" s="2" t="s">
        <v>25</v>
      </c>
      <c r="DX94" s="2">
        <v>1</v>
      </c>
      <c r="DY94" s="2"/>
      <c r="DZ94" s="2" t="s">
        <v>3</v>
      </c>
      <c r="EA94" s="2" t="s">
        <v>3</v>
      </c>
      <c r="EB94" s="2" t="s">
        <v>3</v>
      </c>
      <c r="EC94" s="2" t="s">
        <v>3</v>
      </c>
      <c r="ED94" s="2"/>
      <c r="EE94" s="2">
        <v>56938740</v>
      </c>
      <c r="EF94" s="2">
        <v>40</v>
      </c>
      <c r="EG94" s="2" t="s">
        <v>29</v>
      </c>
      <c r="EH94" s="2">
        <v>0</v>
      </c>
      <c r="EI94" s="2" t="s">
        <v>3</v>
      </c>
      <c r="EJ94" s="2">
        <v>2</v>
      </c>
      <c r="EK94" s="2">
        <v>73</v>
      </c>
      <c r="EL94" s="2" t="s">
        <v>85</v>
      </c>
      <c r="EM94" s="2" t="s">
        <v>86</v>
      </c>
      <c r="EN94" s="2"/>
      <c r="EO94" s="2" t="s">
        <v>50</v>
      </c>
      <c r="EP94" s="2"/>
      <c r="EQ94" s="2">
        <v>131072</v>
      </c>
      <c r="ER94" s="2">
        <v>77.83</v>
      </c>
      <c r="ES94" s="2">
        <v>13.48</v>
      </c>
      <c r="ET94" s="2">
        <v>3.77</v>
      </c>
      <c r="EU94" s="2">
        <v>0</v>
      </c>
      <c r="EV94" s="2">
        <v>60.58</v>
      </c>
      <c r="EW94" s="2">
        <v>4.8</v>
      </c>
      <c r="EX94" s="2">
        <v>0</v>
      </c>
      <c r="EY94" s="2">
        <v>0</v>
      </c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>
        <v>0</v>
      </c>
      <c r="FR94" s="2">
        <v>0</v>
      </c>
      <c r="FS94" s="2">
        <v>2</v>
      </c>
      <c r="FT94" s="2"/>
      <c r="FU94" s="2"/>
      <c r="FV94" s="2"/>
      <c r="FW94" s="2"/>
      <c r="FX94" s="2">
        <v>90</v>
      </c>
      <c r="FY94" s="2">
        <v>46</v>
      </c>
      <c r="FZ94" s="2"/>
      <c r="GA94" s="2" t="s">
        <v>3</v>
      </c>
      <c r="GB94" s="2"/>
      <c r="GC94" s="2"/>
      <c r="GD94" s="2">
        <v>1</v>
      </c>
      <c r="GE94" s="2"/>
      <c r="GF94" s="2">
        <v>-48300756</v>
      </c>
      <c r="GG94" s="2">
        <v>2</v>
      </c>
      <c r="GH94" s="2">
        <v>1</v>
      </c>
      <c r="GI94" s="2">
        <v>2</v>
      </c>
      <c r="GJ94" s="2">
        <v>0</v>
      </c>
      <c r="GK94" s="2">
        <v>0</v>
      </c>
      <c r="GL94" s="2">
        <f t="shared" si="120"/>
        <v>0</v>
      </c>
      <c r="GM94" s="2">
        <f t="shared" si="121"/>
        <v>605.22</v>
      </c>
      <c r="GN94" s="2">
        <f t="shared" si="122"/>
        <v>0</v>
      </c>
      <c r="GO94" s="2">
        <f t="shared" si="123"/>
        <v>605.22</v>
      </c>
      <c r="GP94" s="2">
        <f t="shared" si="124"/>
        <v>0</v>
      </c>
      <c r="GQ94" s="2"/>
      <c r="GR94" s="2">
        <v>0</v>
      </c>
      <c r="GS94" s="2">
        <v>3</v>
      </c>
      <c r="GT94" s="2">
        <v>0</v>
      </c>
      <c r="GU94" s="2" t="s">
        <v>3</v>
      </c>
      <c r="GV94" s="2">
        <f t="shared" si="125"/>
        <v>0</v>
      </c>
      <c r="GW94" s="2">
        <v>1</v>
      </c>
      <c r="GX94" s="2">
        <f t="shared" si="126"/>
        <v>0</v>
      </c>
      <c r="GY94" s="2"/>
      <c r="GZ94" s="2"/>
      <c r="HA94" s="2">
        <v>0</v>
      </c>
      <c r="HB94" s="2">
        <v>0</v>
      </c>
      <c r="HC94" s="2">
        <f t="shared" si="127"/>
        <v>0</v>
      </c>
      <c r="HD94" s="2"/>
      <c r="HE94" s="2" t="s">
        <v>3</v>
      </c>
      <c r="HF94" s="2" t="s">
        <v>3</v>
      </c>
      <c r="HG94" s="2"/>
      <c r="HH94" s="2"/>
      <c r="HI94" s="2"/>
      <c r="HJ94" s="2"/>
      <c r="HK94" s="2"/>
      <c r="HL94" s="2"/>
      <c r="HM94" s="2" t="s">
        <v>3</v>
      </c>
      <c r="HN94" s="2" t="s">
        <v>3</v>
      </c>
      <c r="HO94" s="2" t="s">
        <v>3</v>
      </c>
      <c r="HP94" s="2" t="s">
        <v>3</v>
      </c>
      <c r="HQ94" s="2" t="s">
        <v>3</v>
      </c>
      <c r="HR94" s="2"/>
      <c r="HS94" s="2">
        <v>0</v>
      </c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>
        <v>0</v>
      </c>
      <c r="IL94" s="2"/>
      <c r="IM94" s="2"/>
      <c r="IN94" s="2"/>
      <c r="IO94" s="2"/>
      <c r="IP94" s="2"/>
      <c r="IQ94" s="2"/>
      <c r="IR94" s="2"/>
      <c r="IS94" s="2"/>
      <c r="IT94" s="2"/>
      <c r="IU94" s="2"/>
    </row>
    <row r="95" spans="1:255" x14ac:dyDescent="0.2">
      <c r="A95" s="3">
        <v>17</v>
      </c>
      <c r="B95" s="3">
        <v>1</v>
      </c>
      <c r="C95" s="3">
        <f>ROW(SmtRes!A256)</f>
        <v>256</v>
      </c>
      <c r="D95" s="3">
        <f>ROW(EtalonRes!A296)</f>
        <v>296</v>
      </c>
      <c r="E95" s="3" t="s">
        <v>171</v>
      </c>
      <c r="F95" s="3" t="s">
        <v>172</v>
      </c>
      <c r="G95" s="3" t="s">
        <v>173</v>
      </c>
      <c r="H95" s="3" t="s">
        <v>25</v>
      </c>
      <c r="I95" s="3">
        <f>ROUND(2+1,9)</f>
        <v>3</v>
      </c>
      <c r="J95" s="3">
        <v>0</v>
      </c>
      <c r="K95" s="3">
        <f>ROUND(2+1,9)</f>
        <v>3</v>
      </c>
      <c r="O95" s="3">
        <f t="shared" si="103"/>
        <v>13543.53</v>
      </c>
      <c r="P95" s="3">
        <f t="shared" si="104"/>
        <v>236.12</v>
      </c>
      <c r="Q95" s="3">
        <f>(ROUND((ROUND((((ET95*1.2))*AV95*I95),2)*BB95),2)+ROUND((ROUND(((AE95-((EU95*1.2)))*AV95*I95),2)*BS95),2))</f>
        <v>194.76</v>
      </c>
      <c r="R95" s="3">
        <f>(ROUND((ROUND((((EU95*1.2))*AV95*I95),2)*BS95),2)+ROUND((ROUND(((AE95-((EU95*1.2)))*AV95*I95),2)*BS95),2))</f>
        <v>0</v>
      </c>
      <c r="S95" s="3">
        <f t="shared" si="105"/>
        <v>13112.65</v>
      </c>
      <c r="T95" s="3">
        <f t="shared" si="106"/>
        <v>0</v>
      </c>
      <c r="U95" s="3">
        <f t="shared" si="107"/>
        <v>18.437759999999997</v>
      </c>
      <c r="V95" s="3">
        <f t="shared" si="108"/>
        <v>0</v>
      </c>
      <c r="W95" s="3">
        <f t="shared" si="109"/>
        <v>0</v>
      </c>
      <c r="X95" s="3">
        <f>(ROUND((((S95+ROUND((ROUND((((EU95*1.2))*AV95*I95),2)*BS95),2))*AT95)/100),2)+ROUND(((ROUND((ROUND(((AE95-((EU95*1.2)))*AV95*I95),2)*BS95),2)*AT95)/100),2))</f>
        <v>11801.39</v>
      </c>
      <c r="Y95" s="3">
        <f>(ROUND((((S95+ROUND((ROUND((((EU95*1.2))*AV95*I95),2)*BS95),2))*AU95)/100),2)+ROUND(((ROUND((ROUND(((AE95-((EU95*1.2)))*AV95*I95),2)*BS95),2)*AU95)/100),2))</f>
        <v>6031.82</v>
      </c>
      <c r="AA95" s="3">
        <v>55747651</v>
      </c>
      <c r="AB95" s="3">
        <f t="shared" si="110"/>
        <v>90.7</v>
      </c>
      <c r="AC95" s="3">
        <f>ROUND(((ES95*1)),6)</f>
        <v>13.48</v>
      </c>
      <c r="AD95" s="3">
        <f>ROUND(((((ET95*1.2))-((EU95*1.2)))+AE95),6)</f>
        <v>4.524</v>
      </c>
      <c r="AE95" s="3">
        <f>ROUND(((EU95*1.2)),6)</f>
        <v>0</v>
      </c>
      <c r="AF95" s="3">
        <f>ROUND(((EV95*1.2)),6)</f>
        <v>72.695999999999998</v>
      </c>
      <c r="AG95" s="3">
        <f t="shared" si="111"/>
        <v>0</v>
      </c>
      <c r="AH95" s="3">
        <f>((EW95*1.2))</f>
        <v>5.76</v>
      </c>
      <c r="AI95" s="3">
        <f>((EX95*1.2))</f>
        <v>0</v>
      </c>
      <c r="AJ95" s="3">
        <f t="shared" si="112"/>
        <v>0</v>
      </c>
      <c r="AK95" s="3">
        <v>77.83</v>
      </c>
      <c r="AL95" s="3">
        <v>13.48</v>
      </c>
      <c r="AM95" s="3">
        <v>3.77</v>
      </c>
      <c r="AN95" s="3">
        <v>0</v>
      </c>
      <c r="AO95" s="3">
        <v>60.58</v>
      </c>
      <c r="AP95" s="3">
        <v>0</v>
      </c>
      <c r="AQ95" s="3">
        <v>4.8</v>
      </c>
      <c r="AR95" s="3">
        <v>0</v>
      </c>
      <c r="AS95" s="3">
        <v>0</v>
      </c>
      <c r="AT95" s="3">
        <v>90</v>
      </c>
      <c r="AU95" s="3">
        <v>46</v>
      </c>
      <c r="AV95" s="3">
        <v>1.0669999999999999</v>
      </c>
      <c r="AW95" s="3">
        <v>1.028</v>
      </c>
      <c r="AZ95" s="3">
        <v>1</v>
      </c>
      <c r="BA95" s="3">
        <v>56.35</v>
      </c>
      <c r="BB95" s="3">
        <v>13.45</v>
      </c>
      <c r="BC95" s="3">
        <v>5.68</v>
      </c>
      <c r="BD95" s="3" t="s">
        <v>3</v>
      </c>
      <c r="BE95" s="3" t="s">
        <v>3</v>
      </c>
      <c r="BF95" s="3" t="s">
        <v>3</v>
      </c>
      <c r="BG95" s="3" t="s">
        <v>3</v>
      </c>
      <c r="BH95" s="3">
        <v>0</v>
      </c>
      <c r="BI95" s="3">
        <v>2</v>
      </c>
      <c r="BJ95" s="3" t="s">
        <v>174</v>
      </c>
      <c r="BM95" s="3">
        <v>73</v>
      </c>
      <c r="BN95" s="3">
        <v>0</v>
      </c>
      <c r="BO95" s="3" t="s">
        <v>172</v>
      </c>
      <c r="BP95" s="3">
        <v>1</v>
      </c>
      <c r="BQ95" s="3">
        <v>40</v>
      </c>
      <c r="BR95" s="3">
        <v>0</v>
      </c>
      <c r="BS95" s="3">
        <v>56.35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 t="s">
        <v>3</v>
      </c>
      <c r="BZ95" s="3">
        <v>90</v>
      </c>
      <c r="CA95" s="3">
        <v>46</v>
      </c>
      <c r="CB95" s="3" t="s">
        <v>3</v>
      </c>
      <c r="CE95" s="3">
        <v>1566</v>
      </c>
      <c r="CF95" s="3">
        <v>0</v>
      </c>
      <c r="CG95" s="3">
        <v>0</v>
      </c>
      <c r="CM95" s="3">
        <v>0</v>
      </c>
      <c r="CN95" s="3" t="s">
        <v>716</v>
      </c>
      <c r="CO95" s="3">
        <v>0</v>
      </c>
      <c r="CP95" s="3">
        <f t="shared" si="113"/>
        <v>13543.529999999999</v>
      </c>
      <c r="CQ95" s="3">
        <f t="shared" si="114"/>
        <v>78.72</v>
      </c>
      <c r="CR95" s="3">
        <f>(ROUND((ROUND((((ET95*1.2))*AV95*1),2)*BB95),2)+ROUND((ROUND(((AE95-((EU95*1.2)))*AV95*1),2)*BS95),2))</f>
        <v>64.959999999999994</v>
      </c>
      <c r="CS95" s="3">
        <f>(ROUND((ROUND((((EU95*1.2))*AV95*1),2)*BS95),2)+ROUND((ROUND(((AE95-((EU95*1.2)))*AV95*1),2)*BS95),2))</f>
        <v>0</v>
      </c>
      <c r="CT95" s="3">
        <f t="shared" si="115"/>
        <v>4371.07</v>
      </c>
      <c r="CU95" s="3">
        <f t="shared" si="116"/>
        <v>0</v>
      </c>
      <c r="CV95" s="3">
        <f t="shared" si="117"/>
        <v>6.1459199999999994</v>
      </c>
      <c r="CW95" s="3">
        <f t="shared" si="118"/>
        <v>0</v>
      </c>
      <c r="CX95" s="3">
        <f t="shared" si="119"/>
        <v>0</v>
      </c>
      <c r="CY95" s="3">
        <f>(ROUND((((S95+ROUND((ROUND((((EU95*1.2))*AV95*1),2)*BS95),2))*AT95)/100),2)+ROUND(((ROUND((ROUND(((AE95-((EU95*1.2)))*AV95*1),2)*BS95),2)*AT95)/100),2))</f>
        <v>11801.39</v>
      </c>
      <c r="CZ95" s="3">
        <f>(ROUND((((S95+ROUND((ROUND((((EU95*1.2))*AV95*1),2)*BS95),2))*AU95)/100),2)+ROUND(((ROUND((ROUND(((AE95-((EU95*1.2)))*AV95*1),2)*BS95),2)*AU95)/100),2))</f>
        <v>6031.82</v>
      </c>
      <c r="DB95" s="3">
        <v>48</v>
      </c>
      <c r="DC95" s="3" t="s">
        <v>3</v>
      </c>
      <c r="DD95" s="3" t="s">
        <v>48</v>
      </c>
      <c r="DE95" s="3" t="s">
        <v>49</v>
      </c>
      <c r="DF95" s="3" t="s">
        <v>49</v>
      </c>
      <c r="DG95" s="3" t="s">
        <v>49</v>
      </c>
      <c r="DH95" s="3" t="s">
        <v>3</v>
      </c>
      <c r="DI95" s="3" t="s">
        <v>49</v>
      </c>
      <c r="DJ95" s="3" t="s">
        <v>49</v>
      </c>
      <c r="DK95" s="3" t="s">
        <v>3</v>
      </c>
      <c r="DL95" s="3" t="s">
        <v>3</v>
      </c>
      <c r="DM95" s="3" t="s">
        <v>3</v>
      </c>
      <c r="DN95" s="3">
        <v>0</v>
      </c>
      <c r="DO95" s="3">
        <v>0</v>
      </c>
      <c r="DP95" s="3">
        <v>1</v>
      </c>
      <c r="DQ95" s="3">
        <v>1</v>
      </c>
      <c r="DU95" s="3">
        <v>1013</v>
      </c>
      <c r="DV95" s="3" t="s">
        <v>25</v>
      </c>
      <c r="DW95" s="3" t="s">
        <v>25</v>
      </c>
      <c r="DX95" s="3">
        <v>1</v>
      </c>
      <c r="DZ95" s="3" t="s">
        <v>3</v>
      </c>
      <c r="EA95" s="3" t="s">
        <v>3</v>
      </c>
      <c r="EB95" s="3" t="s">
        <v>3</v>
      </c>
      <c r="EC95" s="3" t="s">
        <v>3</v>
      </c>
      <c r="EE95" s="3">
        <v>56938740</v>
      </c>
      <c r="EF95" s="3">
        <v>40</v>
      </c>
      <c r="EG95" s="3" t="s">
        <v>29</v>
      </c>
      <c r="EH95" s="3">
        <v>0</v>
      </c>
      <c r="EI95" s="3" t="s">
        <v>3</v>
      </c>
      <c r="EJ95" s="3">
        <v>2</v>
      </c>
      <c r="EK95" s="3">
        <v>73</v>
      </c>
      <c r="EL95" s="3" t="s">
        <v>85</v>
      </c>
      <c r="EM95" s="3" t="s">
        <v>86</v>
      </c>
      <c r="EO95" s="3" t="s">
        <v>50</v>
      </c>
      <c r="EQ95" s="3">
        <v>131072</v>
      </c>
      <c r="ER95" s="3">
        <v>77.83</v>
      </c>
      <c r="ES95" s="3">
        <v>13.48</v>
      </c>
      <c r="ET95" s="3">
        <v>3.77</v>
      </c>
      <c r="EU95" s="3">
        <v>0</v>
      </c>
      <c r="EV95" s="3">
        <v>60.58</v>
      </c>
      <c r="EW95" s="3">
        <v>4.8</v>
      </c>
      <c r="EX95" s="3">
        <v>0</v>
      </c>
      <c r="EY95" s="3">
        <v>0</v>
      </c>
      <c r="FQ95" s="3">
        <v>0</v>
      </c>
      <c r="FR95" s="3">
        <v>0</v>
      </c>
      <c r="FS95" s="3">
        <v>2</v>
      </c>
      <c r="FX95" s="3">
        <v>90</v>
      </c>
      <c r="FY95" s="3">
        <v>46</v>
      </c>
      <c r="GA95" s="3" t="s">
        <v>3</v>
      </c>
      <c r="GD95" s="3">
        <v>1</v>
      </c>
      <c r="GF95" s="3">
        <v>-48300756</v>
      </c>
      <c r="GG95" s="3">
        <v>2</v>
      </c>
      <c r="GH95" s="3">
        <v>1</v>
      </c>
      <c r="GI95" s="3">
        <v>2</v>
      </c>
      <c r="GJ95" s="3">
        <v>0</v>
      </c>
      <c r="GK95" s="3">
        <v>0</v>
      </c>
      <c r="GL95" s="3">
        <f t="shared" si="120"/>
        <v>0</v>
      </c>
      <c r="GM95" s="3">
        <f t="shared" si="121"/>
        <v>31376.74</v>
      </c>
      <c r="GN95" s="3">
        <f t="shared" si="122"/>
        <v>0</v>
      </c>
      <c r="GO95" s="3">
        <f t="shared" si="123"/>
        <v>31376.74</v>
      </c>
      <c r="GP95" s="3">
        <f t="shared" si="124"/>
        <v>0</v>
      </c>
      <c r="GR95" s="3">
        <v>0</v>
      </c>
      <c r="GS95" s="3">
        <v>3</v>
      </c>
      <c r="GT95" s="3">
        <v>0</v>
      </c>
      <c r="GU95" s="3" t="s">
        <v>3</v>
      </c>
      <c r="GV95" s="3">
        <f t="shared" si="125"/>
        <v>0</v>
      </c>
      <c r="GW95" s="3">
        <v>1</v>
      </c>
      <c r="GX95" s="3">
        <f t="shared" si="126"/>
        <v>0</v>
      </c>
      <c r="HA95" s="3">
        <v>0</v>
      </c>
      <c r="HB95" s="3">
        <v>0</v>
      </c>
      <c r="HC95" s="3">
        <f t="shared" si="127"/>
        <v>0</v>
      </c>
      <c r="HE95" s="3" t="s">
        <v>3</v>
      </c>
      <c r="HF95" s="3" t="s">
        <v>3</v>
      </c>
      <c r="HM95" s="3" t="s">
        <v>3</v>
      </c>
      <c r="HN95" s="3" t="s">
        <v>3</v>
      </c>
      <c r="HO95" s="3" t="s">
        <v>3</v>
      </c>
      <c r="HP95" s="3" t="s">
        <v>3</v>
      </c>
      <c r="HQ95" s="3" t="s">
        <v>3</v>
      </c>
      <c r="HS95" s="3">
        <v>0</v>
      </c>
      <c r="IK95" s="3">
        <v>0</v>
      </c>
    </row>
    <row r="96" spans="1:255" x14ac:dyDescent="0.2">
      <c r="A96" s="2">
        <v>18</v>
      </c>
      <c r="B96" s="2">
        <v>1</v>
      </c>
      <c r="C96" s="2">
        <v>248</v>
      </c>
      <c r="D96" s="2"/>
      <c r="E96" s="2" t="s">
        <v>175</v>
      </c>
      <c r="F96" s="2" t="s">
        <v>176</v>
      </c>
      <c r="G96" s="2" t="s">
        <v>177</v>
      </c>
      <c r="H96" s="2" t="s">
        <v>118</v>
      </c>
      <c r="I96" s="2">
        <f>I94*J96</f>
        <v>2</v>
      </c>
      <c r="J96" s="2">
        <v>0.66666666666666663</v>
      </c>
      <c r="K96" s="2">
        <v>0.66666669999999995</v>
      </c>
      <c r="L96" s="2"/>
      <c r="M96" s="2"/>
      <c r="N96" s="2"/>
      <c r="O96" s="2">
        <f t="shared" si="103"/>
        <v>279.66000000000003</v>
      </c>
      <c r="P96" s="2">
        <f t="shared" si="104"/>
        <v>279.66000000000003</v>
      </c>
      <c r="Q96" s="2">
        <f>(ROUND((ROUND(((ET96)*AV96*I96),2)*BB96),2)+ROUND((ROUND(((AE96-(EU96))*AV96*I96),2)*BS96),2))</f>
        <v>0</v>
      </c>
      <c r="R96" s="2">
        <f>(ROUND((ROUND(((EU96)*AV96*I96),2)*BS96),2)+ROUND((ROUND(((AE96-(EU96))*AV96*I96),2)*BS96),2))</f>
        <v>0</v>
      </c>
      <c r="S96" s="2">
        <f t="shared" si="105"/>
        <v>0</v>
      </c>
      <c r="T96" s="2">
        <f t="shared" si="106"/>
        <v>0</v>
      </c>
      <c r="U96" s="2">
        <f t="shared" si="107"/>
        <v>0</v>
      </c>
      <c r="V96" s="2">
        <f t="shared" si="108"/>
        <v>0</v>
      </c>
      <c r="W96" s="2">
        <f t="shared" si="109"/>
        <v>0</v>
      </c>
      <c r="X96" s="2">
        <f>(ROUND((((S96+ROUND((ROUND(((EU96)*AV96*I96),2)*BS96),2))*AT96)/100),2)+ROUND(((ROUND((ROUND(((AE96-(EU96))*AV96*I96),2)*BS96),2)*AT96)/100),2))</f>
        <v>0</v>
      </c>
      <c r="Y96" s="2">
        <f>(ROUND((((S96+ROUND((ROUND(((EU96)*AV96*I96),2)*BS96),2))*AU96)/100),2)+ROUND(((ROUND((ROUND(((AE96-(EU96))*AV96*I96),2)*BS96),2)*AU96)/100),2))</f>
        <v>0</v>
      </c>
      <c r="Z96" s="2"/>
      <c r="AA96" s="2">
        <v>55747649</v>
      </c>
      <c r="AB96" s="2">
        <f t="shared" si="110"/>
        <v>139.83000000000001</v>
      </c>
      <c r="AC96" s="2">
        <f>ROUND((ES96),6)</f>
        <v>139.83000000000001</v>
      </c>
      <c r="AD96" s="2">
        <f>ROUND((((ET96)-(EU96))+AE96),6)</f>
        <v>0</v>
      </c>
      <c r="AE96" s="2">
        <f t="shared" ref="AE96:AF99" si="128">ROUND((EU96),6)</f>
        <v>0</v>
      </c>
      <c r="AF96" s="2">
        <f t="shared" si="128"/>
        <v>0</v>
      </c>
      <c r="AG96" s="2">
        <f t="shared" si="111"/>
        <v>0</v>
      </c>
      <c r="AH96" s="2">
        <f t="shared" ref="AH96:AI99" si="129">(EW96)</f>
        <v>0</v>
      </c>
      <c r="AI96" s="2">
        <f t="shared" si="129"/>
        <v>0</v>
      </c>
      <c r="AJ96" s="2">
        <f t="shared" si="112"/>
        <v>0</v>
      </c>
      <c r="AK96" s="2">
        <v>139.83000000000001</v>
      </c>
      <c r="AL96" s="2">
        <v>139.83000000000001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90</v>
      </c>
      <c r="AU96" s="2">
        <v>46</v>
      </c>
      <c r="AV96" s="2">
        <v>1</v>
      </c>
      <c r="AW96" s="2">
        <v>1</v>
      </c>
      <c r="AX96" s="2"/>
      <c r="AY96" s="2"/>
      <c r="AZ96" s="2">
        <v>1</v>
      </c>
      <c r="BA96" s="2">
        <v>1</v>
      </c>
      <c r="BB96" s="2">
        <v>1</v>
      </c>
      <c r="BC96" s="2">
        <v>1</v>
      </c>
      <c r="BD96" s="2" t="s">
        <v>3</v>
      </c>
      <c r="BE96" s="2" t="s">
        <v>3</v>
      </c>
      <c r="BF96" s="2" t="s">
        <v>3</v>
      </c>
      <c r="BG96" s="2" t="s">
        <v>3</v>
      </c>
      <c r="BH96" s="2">
        <v>3</v>
      </c>
      <c r="BI96" s="2">
        <v>2</v>
      </c>
      <c r="BJ96" s="2" t="s">
        <v>178</v>
      </c>
      <c r="BK96" s="2"/>
      <c r="BL96" s="2"/>
      <c r="BM96" s="2">
        <v>73</v>
      </c>
      <c r="BN96" s="2">
        <v>0</v>
      </c>
      <c r="BO96" s="2" t="s">
        <v>3</v>
      </c>
      <c r="BP96" s="2">
        <v>0</v>
      </c>
      <c r="BQ96" s="2">
        <v>40</v>
      </c>
      <c r="BR96" s="2">
        <v>0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 t="s">
        <v>3</v>
      </c>
      <c r="BZ96" s="2">
        <v>90</v>
      </c>
      <c r="CA96" s="2">
        <v>46</v>
      </c>
      <c r="CB96" s="2" t="s">
        <v>3</v>
      </c>
      <c r="CC96" s="2"/>
      <c r="CD96" s="2"/>
      <c r="CE96" s="2">
        <v>1566</v>
      </c>
      <c r="CF96" s="2">
        <v>0</v>
      </c>
      <c r="CG96" s="2">
        <v>0</v>
      </c>
      <c r="CH96" s="2"/>
      <c r="CI96" s="2"/>
      <c r="CJ96" s="2"/>
      <c r="CK96" s="2"/>
      <c r="CL96" s="2"/>
      <c r="CM96" s="2">
        <v>0</v>
      </c>
      <c r="CN96" s="2" t="s">
        <v>3</v>
      </c>
      <c r="CO96" s="2">
        <v>0</v>
      </c>
      <c r="CP96" s="2">
        <f t="shared" si="113"/>
        <v>279.66000000000003</v>
      </c>
      <c r="CQ96" s="2">
        <f t="shared" si="114"/>
        <v>139.83000000000001</v>
      </c>
      <c r="CR96" s="2">
        <f>(ROUND((ROUND(((ET96)*AV96*1),2)*BB96),2)+ROUND((ROUND(((AE96-(EU96))*AV96*1),2)*BS96),2))</f>
        <v>0</v>
      </c>
      <c r="CS96" s="2">
        <f>(ROUND((ROUND(((EU96)*AV96*1),2)*BS96),2)+ROUND((ROUND(((AE96-(EU96))*AV96*1),2)*BS96),2))</f>
        <v>0</v>
      </c>
      <c r="CT96" s="2">
        <f t="shared" si="115"/>
        <v>0</v>
      </c>
      <c r="CU96" s="2">
        <f t="shared" si="116"/>
        <v>0</v>
      </c>
      <c r="CV96" s="2">
        <f t="shared" si="117"/>
        <v>0</v>
      </c>
      <c r="CW96" s="2">
        <f t="shared" si="118"/>
        <v>0</v>
      </c>
      <c r="CX96" s="2">
        <f t="shared" si="119"/>
        <v>0</v>
      </c>
      <c r="CY96" s="2">
        <f>(ROUND((((S96+ROUND((ROUND(((EU96)*AV96*1),2)*BS96),2))*AT96)/100),2)+ROUND(((ROUND((ROUND(((AE96-(EU96))*AV96*1),2)*BS96),2)*AT96)/100),2))</f>
        <v>0</v>
      </c>
      <c r="CZ96" s="2">
        <f>(ROUND((((S96+ROUND((ROUND(((EU96)*AV96*1),2)*BS96),2))*AU96)/100),2)+ROUND(((ROUND((ROUND(((AE96-(EU96))*AV96*1),2)*BS96),2)*AU96)/100),2))</f>
        <v>0</v>
      </c>
      <c r="DA96" s="2"/>
      <c r="DB96" s="2"/>
      <c r="DC96" s="2" t="s">
        <v>3</v>
      </c>
      <c r="DD96" s="2" t="s">
        <v>3</v>
      </c>
      <c r="DE96" s="2" t="s">
        <v>3</v>
      </c>
      <c r="DF96" s="2" t="s">
        <v>3</v>
      </c>
      <c r="DG96" s="2" t="s">
        <v>3</v>
      </c>
      <c r="DH96" s="2" t="s">
        <v>3</v>
      </c>
      <c r="DI96" s="2" t="s">
        <v>3</v>
      </c>
      <c r="DJ96" s="2" t="s">
        <v>3</v>
      </c>
      <c r="DK96" s="2" t="s">
        <v>3</v>
      </c>
      <c r="DL96" s="2" t="s">
        <v>3</v>
      </c>
      <c r="DM96" s="2" t="s">
        <v>3</v>
      </c>
      <c r="DN96" s="2">
        <v>0</v>
      </c>
      <c r="DO96" s="2">
        <v>0</v>
      </c>
      <c r="DP96" s="2">
        <v>1</v>
      </c>
      <c r="DQ96" s="2">
        <v>1</v>
      </c>
      <c r="DR96" s="2"/>
      <c r="DS96" s="2"/>
      <c r="DT96" s="2"/>
      <c r="DU96" s="2">
        <v>1010</v>
      </c>
      <c r="DV96" s="2" t="s">
        <v>118</v>
      </c>
      <c r="DW96" s="2" t="s">
        <v>118</v>
      </c>
      <c r="DX96" s="2">
        <v>1</v>
      </c>
      <c r="DY96" s="2"/>
      <c r="DZ96" s="2" t="s">
        <v>3</v>
      </c>
      <c r="EA96" s="2" t="s">
        <v>3</v>
      </c>
      <c r="EB96" s="2" t="s">
        <v>3</v>
      </c>
      <c r="EC96" s="2" t="s">
        <v>3</v>
      </c>
      <c r="ED96" s="2"/>
      <c r="EE96" s="2">
        <v>56938740</v>
      </c>
      <c r="EF96" s="2">
        <v>40</v>
      </c>
      <c r="EG96" s="2" t="s">
        <v>29</v>
      </c>
      <c r="EH96" s="2">
        <v>0</v>
      </c>
      <c r="EI96" s="2" t="s">
        <v>3</v>
      </c>
      <c r="EJ96" s="2">
        <v>2</v>
      </c>
      <c r="EK96" s="2">
        <v>73</v>
      </c>
      <c r="EL96" s="2" t="s">
        <v>85</v>
      </c>
      <c r="EM96" s="2" t="s">
        <v>86</v>
      </c>
      <c r="EN96" s="2"/>
      <c r="EO96" s="2" t="s">
        <v>3</v>
      </c>
      <c r="EP96" s="2"/>
      <c r="EQ96" s="2">
        <v>0</v>
      </c>
      <c r="ER96" s="2">
        <v>139.83000000000001</v>
      </c>
      <c r="ES96" s="2">
        <v>139.83000000000001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>
        <v>0</v>
      </c>
      <c r="FR96" s="2">
        <v>0</v>
      </c>
      <c r="FS96" s="2">
        <v>0</v>
      </c>
      <c r="FT96" s="2"/>
      <c r="FU96" s="2"/>
      <c r="FV96" s="2"/>
      <c r="FW96" s="2"/>
      <c r="FX96" s="2">
        <v>90</v>
      </c>
      <c r="FY96" s="2">
        <v>46</v>
      </c>
      <c r="FZ96" s="2"/>
      <c r="GA96" s="2" t="s">
        <v>3</v>
      </c>
      <c r="GB96" s="2"/>
      <c r="GC96" s="2"/>
      <c r="GD96" s="2">
        <v>1</v>
      </c>
      <c r="GE96" s="2"/>
      <c r="GF96" s="2">
        <v>698410904</v>
      </c>
      <c r="GG96" s="2">
        <v>2</v>
      </c>
      <c r="GH96" s="2">
        <v>1</v>
      </c>
      <c r="GI96" s="2">
        <v>-2</v>
      </c>
      <c r="GJ96" s="2">
        <v>0</v>
      </c>
      <c r="GK96" s="2">
        <v>0</v>
      </c>
      <c r="GL96" s="2">
        <f t="shared" si="120"/>
        <v>0</v>
      </c>
      <c r="GM96" s="2">
        <f t="shared" si="121"/>
        <v>279.66000000000003</v>
      </c>
      <c r="GN96" s="2">
        <f t="shared" si="122"/>
        <v>0</v>
      </c>
      <c r="GO96" s="2">
        <f t="shared" si="123"/>
        <v>279.66000000000003</v>
      </c>
      <c r="GP96" s="2">
        <f t="shared" si="124"/>
        <v>0</v>
      </c>
      <c r="GQ96" s="2"/>
      <c r="GR96" s="2">
        <v>0</v>
      </c>
      <c r="GS96" s="2">
        <v>3</v>
      </c>
      <c r="GT96" s="2">
        <v>0</v>
      </c>
      <c r="GU96" s="2" t="s">
        <v>3</v>
      </c>
      <c r="GV96" s="2">
        <f t="shared" si="125"/>
        <v>0</v>
      </c>
      <c r="GW96" s="2">
        <v>1</v>
      </c>
      <c r="GX96" s="2">
        <f t="shared" si="126"/>
        <v>0</v>
      </c>
      <c r="GY96" s="2"/>
      <c r="GZ96" s="2"/>
      <c r="HA96" s="2">
        <v>0</v>
      </c>
      <c r="HB96" s="2">
        <v>0</v>
      </c>
      <c r="HC96" s="2">
        <f t="shared" si="127"/>
        <v>0</v>
      </c>
      <c r="HD96" s="2"/>
      <c r="HE96" s="2" t="s">
        <v>3</v>
      </c>
      <c r="HF96" s="2" t="s">
        <v>3</v>
      </c>
      <c r="HG96" s="2"/>
      <c r="HH96" s="2"/>
      <c r="HI96" s="2"/>
      <c r="HJ96" s="2"/>
      <c r="HK96" s="2"/>
      <c r="HL96" s="2"/>
      <c r="HM96" s="2" t="s">
        <v>3</v>
      </c>
      <c r="HN96" s="2" t="s">
        <v>3</v>
      </c>
      <c r="HO96" s="2" t="s">
        <v>3</v>
      </c>
      <c r="HP96" s="2" t="s">
        <v>3</v>
      </c>
      <c r="HQ96" s="2" t="s">
        <v>3</v>
      </c>
      <c r="HR96" s="2"/>
      <c r="HS96" s="2">
        <v>0</v>
      </c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>
        <v>0</v>
      </c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x14ac:dyDescent="0.2">
      <c r="A97" s="3">
        <v>18</v>
      </c>
      <c r="B97" s="3">
        <v>1</v>
      </c>
      <c r="C97" s="3">
        <v>256</v>
      </c>
      <c r="E97" s="3" t="s">
        <v>175</v>
      </c>
      <c r="F97" s="3" t="s">
        <v>176</v>
      </c>
      <c r="G97" s="3" t="s">
        <v>177</v>
      </c>
      <c r="H97" s="3" t="s">
        <v>118</v>
      </c>
      <c r="I97" s="3">
        <f>I95*J97</f>
        <v>2</v>
      </c>
      <c r="J97" s="3">
        <v>0.66666666666666663</v>
      </c>
      <c r="K97" s="3">
        <v>0.66666669999999995</v>
      </c>
      <c r="O97" s="3">
        <f t="shared" si="103"/>
        <v>936.86</v>
      </c>
      <c r="P97" s="3">
        <f t="shared" si="104"/>
        <v>936.86</v>
      </c>
      <c r="Q97" s="3">
        <f>(ROUND((ROUND(((ET97)*AV97*I97),2)*BB97),2)+ROUND((ROUND(((AE97-(EU97))*AV97*I97),2)*BS97),2))</f>
        <v>0</v>
      </c>
      <c r="R97" s="3">
        <f>(ROUND((ROUND(((EU97)*AV97*I97),2)*BS97),2)+ROUND((ROUND(((AE97-(EU97))*AV97*I97),2)*BS97),2))</f>
        <v>0</v>
      </c>
      <c r="S97" s="3">
        <f t="shared" si="105"/>
        <v>0</v>
      </c>
      <c r="T97" s="3">
        <f t="shared" si="106"/>
        <v>0</v>
      </c>
      <c r="U97" s="3">
        <f t="shared" si="107"/>
        <v>0</v>
      </c>
      <c r="V97" s="3">
        <f t="shared" si="108"/>
        <v>0</v>
      </c>
      <c r="W97" s="3">
        <f t="shared" si="109"/>
        <v>0</v>
      </c>
      <c r="X97" s="3">
        <f>(ROUND((((S97+ROUND((ROUND(((EU97)*AV97*I97),2)*BS97),2))*AT97)/100),2)+ROUND(((ROUND((ROUND(((AE97-(EU97))*AV97*I97),2)*BS97),2)*AT97)/100),2))</f>
        <v>0</v>
      </c>
      <c r="Y97" s="3">
        <f>(ROUND((((S97+ROUND((ROUND(((EU97)*AV97*I97),2)*BS97),2))*AU97)/100),2)+ROUND(((ROUND((ROUND(((AE97-(EU97))*AV97*I97),2)*BS97),2)*AU97)/100),2))</f>
        <v>0</v>
      </c>
      <c r="AA97" s="3">
        <v>55747651</v>
      </c>
      <c r="AB97" s="3">
        <f t="shared" si="110"/>
        <v>139.83000000000001</v>
      </c>
      <c r="AC97" s="3">
        <f>ROUND((ES97),6)</f>
        <v>139.83000000000001</v>
      </c>
      <c r="AD97" s="3">
        <f>ROUND((((ET97)-(EU97))+AE97),6)</f>
        <v>0</v>
      </c>
      <c r="AE97" s="3">
        <f t="shared" si="128"/>
        <v>0</v>
      </c>
      <c r="AF97" s="3">
        <f t="shared" si="128"/>
        <v>0</v>
      </c>
      <c r="AG97" s="3">
        <f t="shared" si="111"/>
        <v>0</v>
      </c>
      <c r="AH97" s="3">
        <f t="shared" si="129"/>
        <v>0</v>
      </c>
      <c r="AI97" s="3">
        <f t="shared" si="129"/>
        <v>0</v>
      </c>
      <c r="AJ97" s="3">
        <f t="shared" si="112"/>
        <v>0</v>
      </c>
      <c r="AK97" s="3">
        <v>139.83000000000001</v>
      </c>
      <c r="AL97" s="3">
        <v>139.83000000000001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90</v>
      </c>
      <c r="AU97" s="3">
        <v>46</v>
      </c>
      <c r="AV97" s="3">
        <v>1</v>
      </c>
      <c r="AW97" s="3">
        <v>1</v>
      </c>
      <c r="AZ97" s="3">
        <v>1</v>
      </c>
      <c r="BA97" s="3">
        <v>1</v>
      </c>
      <c r="BB97" s="3">
        <v>1</v>
      </c>
      <c r="BC97" s="3">
        <v>3.35</v>
      </c>
      <c r="BD97" s="3" t="s">
        <v>3</v>
      </c>
      <c r="BE97" s="3" t="s">
        <v>3</v>
      </c>
      <c r="BF97" s="3" t="s">
        <v>3</v>
      </c>
      <c r="BG97" s="3" t="s">
        <v>3</v>
      </c>
      <c r="BH97" s="3">
        <v>3</v>
      </c>
      <c r="BI97" s="3">
        <v>2</v>
      </c>
      <c r="BJ97" s="3" t="s">
        <v>178</v>
      </c>
      <c r="BM97" s="3">
        <v>73</v>
      </c>
      <c r="BN97" s="3">
        <v>0</v>
      </c>
      <c r="BO97" s="3" t="s">
        <v>176</v>
      </c>
      <c r="BP97" s="3">
        <v>1</v>
      </c>
      <c r="BQ97" s="3">
        <v>40</v>
      </c>
      <c r="BR97" s="3">
        <v>0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 t="s">
        <v>3</v>
      </c>
      <c r="BZ97" s="3">
        <v>90</v>
      </c>
      <c r="CA97" s="3">
        <v>46</v>
      </c>
      <c r="CB97" s="3" t="s">
        <v>3</v>
      </c>
      <c r="CE97" s="3">
        <v>1566</v>
      </c>
      <c r="CF97" s="3">
        <v>0</v>
      </c>
      <c r="CG97" s="3">
        <v>0</v>
      </c>
      <c r="CM97" s="3">
        <v>0</v>
      </c>
      <c r="CN97" s="3" t="s">
        <v>3</v>
      </c>
      <c r="CO97" s="3">
        <v>0</v>
      </c>
      <c r="CP97" s="3">
        <f t="shared" si="113"/>
        <v>936.86</v>
      </c>
      <c r="CQ97" s="3">
        <f t="shared" si="114"/>
        <v>468.43</v>
      </c>
      <c r="CR97" s="3">
        <f>(ROUND((ROUND(((ET97)*AV97*1),2)*BB97),2)+ROUND((ROUND(((AE97-(EU97))*AV97*1),2)*BS97),2))</f>
        <v>0</v>
      </c>
      <c r="CS97" s="3">
        <f>(ROUND((ROUND(((EU97)*AV97*1),2)*BS97),2)+ROUND((ROUND(((AE97-(EU97))*AV97*1),2)*BS97),2))</f>
        <v>0</v>
      </c>
      <c r="CT97" s="3">
        <f t="shared" si="115"/>
        <v>0</v>
      </c>
      <c r="CU97" s="3">
        <f t="shared" si="116"/>
        <v>0</v>
      </c>
      <c r="CV97" s="3">
        <f t="shared" si="117"/>
        <v>0</v>
      </c>
      <c r="CW97" s="3">
        <f t="shared" si="118"/>
        <v>0</v>
      </c>
      <c r="CX97" s="3">
        <f t="shared" si="119"/>
        <v>0</v>
      </c>
      <c r="CY97" s="3">
        <f>(ROUND((((S97+ROUND((ROUND(((EU97)*AV97*1),2)*BS97),2))*AT97)/100),2)+ROUND(((ROUND((ROUND(((AE97-(EU97))*AV97*1),2)*BS97),2)*AT97)/100),2))</f>
        <v>0</v>
      </c>
      <c r="CZ97" s="3">
        <f>(ROUND((((S97+ROUND((ROUND(((EU97)*AV97*1),2)*BS97),2))*AU97)/100),2)+ROUND(((ROUND((ROUND(((AE97-(EU97))*AV97*1),2)*BS97),2)*AU97)/100),2))</f>
        <v>0</v>
      </c>
      <c r="DC97" s="3" t="s">
        <v>3</v>
      </c>
      <c r="DD97" s="3" t="s">
        <v>3</v>
      </c>
      <c r="DE97" s="3" t="s">
        <v>3</v>
      </c>
      <c r="DF97" s="3" t="s">
        <v>3</v>
      </c>
      <c r="DG97" s="3" t="s">
        <v>3</v>
      </c>
      <c r="DH97" s="3" t="s">
        <v>3</v>
      </c>
      <c r="DI97" s="3" t="s">
        <v>3</v>
      </c>
      <c r="DJ97" s="3" t="s">
        <v>3</v>
      </c>
      <c r="DK97" s="3" t="s">
        <v>3</v>
      </c>
      <c r="DL97" s="3" t="s">
        <v>3</v>
      </c>
      <c r="DM97" s="3" t="s">
        <v>3</v>
      </c>
      <c r="DN97" s="3">
        <v>0</v>
      </c>
      <c r="DO97" s="3">
        <v>0</v>
      </c>
      <c r="DP97" s="3">
        <v>1</v>
      </c>
      <c r="DQ97" s="3">
        <v>1</v>
      </c>
      <c r="DU97" s="3">
        <v>1010</v>
      </c>
      <c r="DV97" s="3" t="s">
        <v>118</v>
      </c>
      <c r="DW97" s="3" t="s">
        <v>118</v>
      </c>
      <c r="DX97" s="3">
        <v>1</v>
      </c>
      <c r="DZ97" s="3" t="s">
        <v>3</v>
      </c>
      <c r="EA97" s="3" t="s">
        <v>3</v>
      </c>
      <c r="EB97" s="3" t="s">
        <v>3</v>
      </c>
      <c r="EC97" s="3" t="s">
        <v>3</v>
      </c>
      <c r="EE97" s="3">
        <v>56938740</v>
      </c>
      <c r="EF97" s="3">
        <v>40</v>
      </c>
      <c r="EG97" s="3" t="s">
        <v>29</v>
      </c>
      <c r="EH97" s="3">
        <v>0</v>
      </c>
      <c r="EI97" s="3" t="s">
        <v>3</v>
      </c>
      <c r="EJ97" s="3">
        <v>2</v>
      </c>
      <c r="EK97" s="3">
        <v>73</v>
      </c>
      <c r="EL97" s="3" t="s">
        <v>85</v>
      </c>
      <c r="EM97" s="3" t="s">
        <v>86</v>
      </c>
      <c r="EO97" s="3" t="s">
        <v>3</v>
      </c>
      <c r="EQ97" s="3">
        <v>0</v>
      </c>
      <c r="ER97" s="3">
        <v>139.83000000000001</v>
      </c>
      <c r="ES97" s="3">
        <v>139.83000000000001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FQ97" s="3">
        <v>0</v>
      </c>
      <c r="FR97" s="3">
        <v>0</v>
      </c>
      <c r="FS97" s="3">
        <v>0</v>
      </c>
      <c r="FX97" s="3">
        <v>90</v>
      </c>
      <c r="FY97" s="3">
        <v>46</v>
      </c>
      <c r="GA97" s="3" t="s">
        <v>3</v>
      </c>
      <c r="GD97" s="3">
        <v>1</v>
      </c>
      <c r="GF97" s="3">
        <v>698410904</v>
      </c>
      <c r="GG97" s="3">
        <v>2</v>
      </c>
      <c r="GH97" s="3">
        <v>1</v>
      </c>
      <c r="GI97" s="3">
        <v>2</v>
      </c>
      <c r="GJ97" s="3">
        <v>0</v>
      </c>
      <c r="GK97" s="3">
        <v>0</v>
      </c>
      <c r="GL97" s="3">
        <f t="shared" si="120"/>
        <v>0</v>
      </c>
      <c r="GM97" s="3">
        <f t="shared" si="121"/>
        <v>936.86</v>
      </c>
      <c r="GN97" s="3">
        <f t="shared" si="122"/>
        <v>0</v>
      </c>
      <c r="GO97" s="3">
        <f t="shared" si="123"/>
        <v>936.86</v>
      </c>
      <c r="GP97" s="3">
        <f t="shared" si="124"/>
        <v>0</v>
      </c>
      <c r="GR97" s="3">
        <v>0</v>
      </c>
      <c r="GS97" s="3">
        <v>3</v>
      </c>
      <c r="GT97" s="3">
        <v>0</v>
      </c>
      <c r="GU97" s="3" t="s">
        <v>3</v>
      </c>
      <c r="GV97" s="3">
        <f t="shared" si="125"/>
        <v>0</v>
      </c>
      <c r="GW97" s="3">
        <v>1</v>
      </c>
      <c r="GX97" s="3">
        <f t="shared" si="126"/>
        <v>0</v>
      </c>
      <c r="HA97" s="3">
        <v>0</v>
      </c>
      <c r="HB97" s="3">
        <v>0</v>
      </c>
      <c r="HC97" s="3">
        <f t="shared" si="127"/>
        <v>0</v>
      </c>
      <c r="HE97" s="3" t="s">
        <v>3</v>
      </c>
      <c r="HF97" s="3" t="s">
        <v>3</v>
      </c>
      <c r="HM97" s="3" t="s">
        <v>3</v>
      </c>
      <c r="HN97" s="3" t="s">
        <v>3</v>
      </c>
      <c r="HO97" s="3" t="s">
        <v>3</v>
      </c>
      <c r="HP97" s="3" t="s">
        <v>3</v>
      </c>
      <c r="HQ97" s="3" t="s">
        <v>3</v>
      </c>
      <c r="HS97" s="3">
        <v>0</v>
      </c>
      <c r="IK97" s="3">
        <v>0</v>
      </c>
    </row>
    <row r="98" spans="1:255" x14ac:dyDescent="0.2">
      <c r="A98" s="2">
        <v>18</v>
      </c>
      <c r="B98" s="2">
        <v>1</v>
      </c>
      <c r="C98" s="2">
        <v>247</v>
      </c>
      <c r="D98" s="2"/>
      <c r="E98" s="2" t="s">
        <v>179</v>
      </c>
      <c r="F98" s="2" t="s">
        <v>180</v>
      </c>
      <c r="G98" s="2" t="s">
        <v>181</v>
      </c>
      <c r="H98" s="2" t="s">
        <v>118</v>
      </c>
      <c r="I98" s="2">
        <f>I94*J98</f>
        <v>1</v>
      </c>
      <c r="J98" s="2">
        <v>0.33333333333333331</v>
      </c>
      <c r="K98" s="2">
        <v>0.3333333</v>
      </c>
      <c r="L98" s="2"/>
      <c r="M98" s="2"/>
      <c r="N98" s="2"/>
      <c r="O98" s="2">
        <f t="shared" si="103"/>
        <v>279.67</v>
      </c>
      <c r="P98" s="2">
        <f t="shared" si="104"/>
        <v>279.67</v>
      </c>
      <c r="Q98" s="2">
        <f>(ROUND((ROUND(((ET98)*AV98*I98),2)*BB98),2)+ROUND((ROUND(((AE98-(EU98))*AV98*I98),2)*BS98),2))</f>
        <v>0</v>
      </c>
      <c r="R98" s="2">
        <f>(ROUND((ROUND(((EU98)*AV98*I98),2)*BS98),2)+ROUND((ROUND(((AE98-(EU98))*AV98*I98),2)*BS98),2))</f>
        <v>0</v>
      </c>
      <c r="S98" s="2">
        <f t="shared" si="105"/>
        <v>0</v>
      </c>
      <c r="T98" s="2">
        <f t="shared" si="106"/>
        <v>0</v>
      </c>
      <c r="U98" s="2">
        <f t="shared" si="107"/>
        <v>0</v>
      </c>
      <c r="V98" s="2">
        <f t="shared" si="108"/>
        <v>0</v>
      </c>
      <c r="W98" s="2">
        <f t="shared" si="109"/>
        <v>0</v>
      </c>
      <c r="X98" s="2">
        <f>(ROUND((((S98+ROUND((ROUND(((EU98)*AV98*I98),2)*BS98),2))*AT98)/100),2)+ROUND(((ROUND((ROUND(((AE98-(EU98))*AV98*I98),2)*BS98),2)*AT98)/100),2))</f>
        <v>0</v>
      </c>
      <c r="Y98" s="2">
        <f>(ROUND((((S98+ROUND((ROUND(((EU98)*AV98*I98),2)*BS98),2))*AU98)/100),2)+ROUND(((ROUND((ROUND(((AE98-(EU98))*AV98*I98),2)*BS98),2)*AU98)/100),2))</f>
        <v>0</v>
      </c>
      <c r="Z98" s="2"/>
      <c r="AA98" s="2">
        <v>55747649</v>
      </c>
      <c r="AB98" s="2">
        <f t="shared" si="110"/>
        <v>279.67</v>
      </c>
      <c r="AC98" s="2">
        <f>ROUND((ES98),6)</f>
        <v>279.67</v>
      </c>
      <c r="AD98" s="2">
        <f>ROUND((((ET98)-(EU98))+AE98),6)</f>
        <v>0</v>
      </c>
      <c r="AE98" s="2">
        <f t="shared" si="128"/>
        <v>0</v>
      </c>
      <c r="AF98" s="2">
        <f t="shared" si="128"/>
        <v>0</v>
      </c>
      <c r="AG98" s="2">
        <f t="shared" si="111"/>
        <v>0</v>
      </c>
      <c r="AH98" s="2">
        <f t="shared" si="129"/>
        <v>0</v>
      </c>
      <c r="AI98" s="2">
        <f t="shared" si="129"/>
        <v>0</v>
      </c>
      <c r="AJ98" s="2">
        <f t="shared" si="112"/>
        <v>0</v>
      </c>
      <c r="AK98" s="2">
        <v>279.67</v>
      </c>
      <c r="AL98" s="2">
        <v>279.67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90</v>
      </c>
      <c r="AU98" s="2">
        <v>46</v>
      </c>
      <c r="AV98" s="2">
        <v>1</v>
      </c>
      <c r="AW98" s="2">
        <v>1</v>
      </c>
      <c r="AX98" s="2"/>
      <c r="AY98" s="2"/>
      <c r="AZ98" s="2">
        <v>1</v>
      </c>
      <c r="BA98" s="2">
        <v>1</v>
      </c>
      <c r="BB98" s="2">
        <v>1</v>
      </c>
      <c r="BC98" s="2">
        <v>1</v>
      </c>
      <c r="BD98" s="2" t="s">
        <v>3</v>
      </c>
      <c r="BE98" s="2" t="s">
        <v>3</v>
      </c>
      <c r="BF98" s="2" t="s">
        <v>3</v>
      </c>
      <c r="BG98" s="2" t="s">
        <v>3</v>
      </c>
      <c r="BH98" s="2">
        <v>3</v>
      </c>
      <c r="BI98" s="2">
        <v>2</v>
      </c>
      <c r="BJ98" s="2" t="s">
        <v>182</v>
      </c>
      <c r="BK98" s="2"/>
      <c r="BL98" s="2"/>
      <c r="BM98" s="2">
        <v>73</v>
      </c>
      <c r="BN98" s="2">
        <v>0</v>
      </c>
      <c r="BO98" s="2" t="s">
        <v>3</v>
      </c>
      <c r="BP98" s="2">
        <v>0</v>
      </c>
      <c r="BQ98" s="2">
        <v>40</v>
      </c>
      <c r="BR98" s="2">
        <v>0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 t="s">
        <v>3</v>
      </c>
      <c r="BZ98" s="2">
        <v>90</v>
      </c>
      <c r="CA98" s="2">
        <v>46</v>
      </c>
      <c r="CB98" s="2" t="s">
        <v>3</v>
      </c>
      <c r="CC98" s="2"/>
      <c r="CD98" s="2"/>
      <c r="CE98" s="2">
        <v>1566</v>
      </c>
      <c r="CF98" s="2">
        <v>0</v>
      </c>
      <c r="CG98" s="2">
        <v>0</v>
      </c>
      <c r="CH98" s="2"/>
      <c r="CI98" s="2"/>
      <c r="CJ98" s="2"/>
      <c r="CK98" s="2"/>
      <c r="CL98" s="2"/>
      <c r="CM98" s="2">
        <v>0</v>
      </c>
      <c r="CN98" s="2" t="s">
        <v>3</v>
      </c>
      <c r="CO98" s="2">
        <v>0</v>
      </c>
      <c r="CP98" s="2">
        <f t="shared" si="113"/>
        <v>279.67</v>
      </c>
      <c r="CQ98" s="2">
        <f t="shared" si="114"/>
        <v>279.67</v>
      </c>
      <c r="CR98" s="2">
        <f>(ROUND((ROUND(((ET98)*AV98*1),2)*BB98),2)+ROUND((ROUND(((AE98-(EU98))*AV98*1),2)*BS98),2))</f>
        <v>0</v>
      </c>
      <c r="CS98" s="2">
        <f>(ROUND((ROUND(((EU98)*AV98*1),2)*BS98),2)+ROUND((ROUND(((AE98-(EU98))*AV98*1),2)*BS98),2))</f>
        <v>0</v>
      </c>
      <c r="CT98" s="2">
        <f t="shared" si="115"/>
        <v>0</v>
      </c>
      <c r="CU98" s="2">
        <f t="shared" si="116"/>
        <v>0</v>
      </c>
      <c r="CV98" s="2">
        <f t="shared" si="117"/>
        <v>0</v>
      </c>
      <c r="CW98" s="2">
        <f t="shared" si="118"/>
        <v>0</v>
      </c>
      <c r="CX98" s="2">
        <f t="shared" si="119"/>
        <v>0</v>
      </c>
      <c r="CY98" s="2">
        <f>(ROUND((((S98+ROUND((ROUND(((EU98)*AV98*1),2)*BS98),2))*AT98)/100),2)+ROUND(((ROUND((ROUND(((AE98-(EU98))*AV98*1),2)*BS98),2)*AT98)/100),2))</f>
        <v>0</v>
      </c>
      <c r="CZ98" s="2">
        <f>(ROUND((((S98+ROUND((ROUND(((EU98)*AV98*1),2)*BS98),2))*AU98)/100),2)+ROUND(((ROUND((ROUND(((AE98-(EU98))*AV98*1),2)*BS98),2)*AU98)/100),2))</f>
        <v>0</v>
      </c>
      <c r="DA98" s="2"/>
      <c r="DB98" s="2"/>
      <c r="DC98" s="2" t="s">
        <v>3</v>
      </c>
      <c r="DD98" s="2" t="s">
        <v>3</v>
      </c>
      <c r="DE98" s="2" t="s">
        <v>3</v>
      </c>
      <c r="DF98" s="2" t="s">
        <v>3</v>
      </c>
      <c r="DG98" s="2" t="s">
        <v>3</v>
      </c>
      <c r="DH98" s="2" t="s">
        <v>3</v>
      </c>
      <c r="DI98" s="2" t="s">
        <v>3</v>
      </c>
      <c r="DJ98" s="2" t="s">
        <v>3</v>
      </c>
      <c r="DK98" s="2" t="s">
        <v>3</v>
      </c>
      <c r="DL98" s="2" t="s">
        <v>3</v>
      </c>
      <c r="DM98" s="2" t="s">
        <v>3</v>
      </c>
      <c r="DN98" s="2">
        <v>0</v>
      </c>
      <c r="DO98" s="2">
        <v>0</v>
      </c>
      <c r="DP98" s="2">
        <v>1</v>
      </c>
      <c r="DQ98" s="2">
        <v>1</v>
      </c>
      <c r="DR98" s="2"/>
      <c r="DS98" s="2"/>
      <c r="DT98" s="2"/>
      <c r="DU98" s="2">
        <v>1010</v>
      </c>
      <c r="DV98" s="2" t="s">
        <v>118</v>
      </c>
      <c r="DW98" s="2" t="s">
        <v>118</v>
      </c>
      <c r="DX98" s="2">
        <v>1</v>
      </c>
      <c r="DY98" s="2"/>
      <c r="DZ98" s="2" t="s">
        <v>3</v>
      </c>
      <c r="EA98" s="2" t="s">
        <v>3</v>
      </c>
      <c r="EB98" s="2" t="s">
        <v>3</v>
      </c>
      <c r="EC98" s="2" t="s">
        <v>3</v>
      </c>
      <c r="ED98" s="2"/>
      <c r="EE98" s="2">
        <v>56938740</v>
      </c>
      <c r="EF98" s="2">
        <v>40</v>
      </c>
      <c r="EG98" s="2" t="s">
        <v>29</v>
      </c>
      <c r="EH98" s="2">
        <v>0</v>
      </c>
      <c r="EI98" s="2" t="s">
        <v>3</v>
      </c>
      <c r="EJ98" s="2">
        <v>2</v>
      </c>
      <c r="EK98" s="2">
        <v>73</v>
      </c>
      <c r="EL98" s="2" t="s">
        <v>85</v>
      </c>
      <c r="EM98" s="2" t="s">
        <v>86</v>
      </c>
      <c r="EN98" s="2"/>
      <c r="EO98" s="2" t="s">
        <v>3</v>
      </c>
      <c r="EP98" s="2"/>
      <c r="EQ98" s="2">
        <v>0</v>
      </c>
      <c r="ER98" s="2">
        <v>279.67</v>
      </c>
      <c r="ES98" s="2">
        <v>279.67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>
        <v>0</v>
      </c>
      <c r="FR98" s="2">
        <v>0</v>
      </c>
      <c r="FS98" s="2">
        <v>0</v>
      </c>
      <c r="FT98" s="2"/>
      <c r="FU98" s="2"/>
      <c r="FV98" s="2"/>
      <c r="FW98" s="2"/>
      <c r="FX98" s="2">
        <v>90</v>
      </c>
      <c r="FY98" s="2">
        <v>46</v>
      </c>
      <c r="FZ98" s="2"/>
      <c r="GA98" s="2" t="s">
        <v>3</v>
      </c>
      <c r="GB98" s="2"/>
      <c r="GC98" s="2"/>
      <c r="GD98" s="2">
        <v>1</v>
      </c>
      <c r="GE98" s="2"/>
      <c r="GF98" s="2">
        <v>-909145995</v>
      </c>
      <c r="GG98" s="2">
        <v>2</v>
      </c>
      <c r="GH98" s="2">
        <v>1</v>
      </c>
      <c r="GI98" s="2">
        <v>-2</v>
      </c>
      <c r="GJ98" s="2">
        <v>0</v>
      </c>
      <c r="GK98" s="2">
        <v>0</v>
      </c>
      <c r="GL98" s="2">
        <f t="shared" si="120"/>
        <v>0</v>
      </c>
      <c r="GM98" s="2">
        <f t="shared" si="121"/>
        <v>279.67</v>
      </c>
      <c r="GN98" s="2">
        <f t="shared" si="122"/>
        <v>0</v>
      </c>
      <c r="GO98" s="2">
        <f t="shared" si="123"/>
        <v>279.67</v>
      </c>
      <c r="GP98" s="2">
        <f t="shared" si="124"/>
        <v>0</v>
      </c>
      <c r="GQ98" s="2"/>
      <c r="GR98" s="2">
        <v>0</v>
      </c>
      <c r="GS98" s="2">
        <v>3</v>
      </c>
      <c r="GT98" s="2">
        <v>0</v>
      </c>
      <c r="GU98" s="2" t="s">
        <v>3</v>
      </c>
      <c r="GV98" s="2">
        <f t="shared" si="125"/>
        <v>0</v>
      </c>
      <c r="GW98" s="2">
        <v>1</v>
      </c>
      <c r="GX98" s="2">
        <f t="shared" si="126"/>
        <v>0</v>
      </c>
      <c r="GY98" s="2"/>
      <c r="GZ98" s="2"/>
      <c r="HA98" s="2">
        <v>0</v>
      </c>
      <c r="HB98" s="2">
        <v>0</v>
      </c>
      <c r="HC98" s="2">
        <f t="shared" si="127"/>
        <v>0</v>
      </c>
      <c r="HD98" s="2"/>
      <c r="HE98" s="2" t="s">
        <v>3</v>
      </c>
      <c r="HF98" s="2" t="s">
        <v>3</v>
      </c>
      <c r="HG98" s="2"/>
      <c r="HH98" s="2"/>
      <c r="HI98" s="2"/>
      <c r="HJ98" s="2"/>
      <c r="HK98" s="2"/>
      <c r="HL98" s="2"/>
      <c r="HM98" s="2" t="s">
        <v>3</v>
      </c>
      <c r="HN98" s="2" t="s">
        <v>3</v>
      </c>
      <c r="HO98" s="2" t="s">
        <v>3</v>
      </c>
      <c r="HP98" s="2" t="s">
        <v>3</v>
      </c>
      <c r="HQ98" s="2" t="s">
        <v>3</v>
      </c>
      <c r="HR98" s="2"/>
      <c r="HS98" s="2">
        <v>0</v>
      </c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>
        <v>0</v>
      </c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x14ac:dyDescent="0.2">
      <c r="A99" s="3">
        <v>18</v>
      </c>
      <c r="B99" s="3">
        <v>1</v>
      </c>
      <c r="C99" s="3">
        <v>255</v>
      </c>
      <c r="E99" s="3" t="s">
        <v>179</v>
      </c>
      <c r="F99" s="3" t="s">
        <v>180</v>
      </c>
      <c r="G99" s="3" t="s">
        <v>181</v>
      </c>
      <c r="H99" s="3" t="s">
        <v>118</v>
      </c>
      <c r="I99" s="3">
        <f>I95*J99</f>
        <v>1</v>
      </c>
      <c r="J99" s="3">
        <v>0.33333333333333331</v>
      </c>
      <c r="K99" s="3">
        <v>0.3333333</v>
      </c>
      <c r="O99" s="3">
        <f t="shared" si="103"/>
        <v>738.33</v>
      </c>
      <c r="P99" s="3">
        <f t="shared" si="104"/>
        <v>738.33</v>
      </c>
      <c r="Q99" s="3">
        <f>(ROUND((ROUND(((ET99)*AV99*I99),2)*BB99),2)+ROUND((ROUND(((AE99-(EU99))*AV99*I99),2)*BS99),2))</f>
        <v>0</v>
      </c>
      <c r="R99" s="3">
        <f>(ROUND((ROUND(((EU99)*AV99*I99),2)*BS99),2)+ROUND((ROUND(((AE99-(EU99))*AV99*I99),2)*BS99),2))</f>
        <v>0</v>
      </c>
      <c r="S99" s="3">
        <f t="shared" si="105"/>
        <v>0</v>
      </c>
      <c r="T99" s="3">
        <f t="shared" si="106"/>
        <v>0</v>
      </c>
      <c r="U99" s="3">
        <f t="shared" si="107"/>
        <v>0</v>
      </c>
      <c r="V99" s="3">
        <f t="shared" si="108"/>
        <v>0</v>
      </c>
      <c r="W99" s="3">
        <f t="shared" si="109"/>
        <v>0</v>
      </c>
      <c r="X99" s="3">
        <f>(ROUND((((S99+ROUND((ROUND(((EU99)*AV99*I99),2)*BS99),2))*AT99)/100),2)+ROUND(((ROUND((ROUND(((AE99-(EU99))*AV99*I99),2)*BS99),2)*AT99)/100),2))</f>
        <v>0</v>
      </c>
      <c r="Y99" s="3">
        <f>(ROUND((((S99+ROUND((ROUND(((EU99)*AV99*I99),2)*BS99),2))*AU99)/100),2)+ROUND(((ROUND((ROUND(((AE99-(EU99))*AV99*I99),2)*BS99),2)*AU99)/100),2))</f>
        <v>0</v>
      </c>
      <c r="AA99" s="3">
        <v>55747651</v>
      </c>
      <c r="AB99" s="3">
        <f t="shared" si="110"/>
        <v>279.67</v>
      </c>
      <c r="AC99" s="3">
        <f>ROUND((ES99),6)</f>
        <v>279.67</v>
      </c>
      <c r="AD99" s="3">
        <f>ROUND((((ET99)-(EU99))+AE99),6)</f>
        <v>0</v>
      </c>
      <c r="AE99" s="3">
        <f t="shared" si="128"/>
        <v>0</v>
      </c>
      <c r="AF99" s="3">
        <f t="shared" si="128"/>
        <v>0</v>
      </c>
      <c r="AG99" s="3">
        <f t="shared" si="111"/>
        <v>0</v>
      </c>
      <c r="AH99" s="3">
        <f t="shared" si="129"/>
        <v>0</v>
      </c>
      <c r="AI99" s="3">
        <f t="shared" si="129"/>
        <v>0</v>
      </c>
      <c r="AJ99" s="3">
        <f t="shared" si="112"/>
        <v>0</v>
      </c>
      <c r="AK99" s="3">
        <v>279.67</v>
      </c>
      <c r="AL99" s="3">
        <v>279.67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90</v>
      </c>
      <c r="AU99" s="3">
        <v>46</v>
      </c>
      <c r="AV99" s="3">
        <v>1</v>
      </c>
      <c r="AW99" s="3">
        <v>1</v>
      </c>
      <c r="AZ99" s="3">
        <v>1</v>
      </c>
      <c r="BA99" s="3">
        <v>1</v>
      </c>
      <c r="BB99" s="3">
        <v>1</v>
      </c>
      <c r="BC99" s="3">
        <v>2.64</v>
      </c>
      <c r="BD99" s="3" t="s">
        <v>3</v>
      </c>
      <c r="BE99" s="3" t="s">
        <v>3</v>
      </c>
      <c r="BF99" s="3" t="s">
        <v>3</v>
      </c>
      <c r="BG99" s="3" t="s">
        <v>3</v>
      </c>
      <c r="BH99" s="3">
        <v>3</v>
      </c>
      <c r="BI99" s="3">
        <v>2</v>
      </c>
      <c r="BJ99" s="3" t="s">
        <v>182</v>
      </c>
      <c r="BM99" s="3">
        <v>73</v>
      </c>
      <c r="BN99" s="3">
        <v>0</v>
      </c>
      <c r="BO99" s="3" t="s">
        <v>180</v>
      </c>
      <c r="BP99" s="3">
        <v>1</v>
      </c>
      <c r="BQ99" s="3">
        <v>40</v>
      </c>
      <c r="BR99" s="3">
        <v>0</v>
      </c>
      <c r="BS99" s="3">
        <v>1</v>
      </c>
      <c r="BT99" s="3">
        <v>1</v>
      </c>
      <c r="BU99" s="3">
        <v>1</v>
      </c>
      <c r="BV99" s="3">
        <v>1</v>
      </c>
      <c r="BW99" s="3">
        <v>1</v>
      </c>
      <c r="BX99" s="3">
        <v>1</v>
      </c>
      <c r="BY99" s="3" t="s">
        <v>3</v>
      </c>
      <c r="BZ99" s="3">
        <v>90</v>
      </c>
      <c r="CA99" s="3">
        <v>46</v>
      </c>
      <c r="CB99" s="3" t="s">
        <v>3</v>
      </c>
      <c r="CE99" s="3">
        <v>1566</v>
      </c>
      <c r="CF99" s="3">
        <v>0</v>
      </c>
      <c r="CG99" s="3">
        <v>0</v>
      </c>
      <c r="CM99" s="3">
        <v>0</v>
      </c>
      <c r="CN99" s="3" t="s">
        <v>3</v>
      </c>
      <c r="CO99" s="3">
        <v>0</v>
      </c>
      <c r="CP99" s="3">
        <f t="shared" si="113"/>
        <v>738.33</v>
      </c>
      <c r="CQ99" s="3">
        <f t="shared" si="114"/>
        <v>738.33</v>
      </c>
      <c r="CR99" s="3">
        <f>(ROUND((ROUND(((ET99)*AV99*1),2)*BB99),2)+ROUND((ROUND(((AE99-(EU99))*AV99*1),2)*BS99),2))</f>
        <v>0</v>
      </c>
      <c r="CS99" s="3">
        <f>(ROUND((ROUND(((EU99)*AV99*1),2)*BS99),2)+ROUND((ROUND(((AE99-(EU99))*AV99*1),2)*BS99),2))</f>
        <v>0</v>
      </c>
      <c r="CT99" s="3">
        <f t="shared" si="115"/>
        <v>0</v>
      </c>
      <c r="CU99" s="3">
        <f t="shared" si="116"/>
        <v>0</v>
      </c>
      <c r="CV99" s="3">
        <f t="shared" si="117"/>
        <v>0</v>
      </c>
      <c r="CW99" s="3">
        <f t="shared" si="118"/>
        <v>0</v>
      </c>
      <c r="CX99" s="3">
        <f t="shared" si="119"/>
        <v>0</v>
      </c>
      <c r="CY99" s="3">
        <f>(ROUND((((S99+ROUND((ROUND(((EU99)*AV99*1),2)*BS99),2))*AT99)/100),2)+ROUND(((ROUND((ROUND(((AE99-(EU99))*AV99*1),2)*BS99),2)*AT99)/100),2))</f>
        <v>0</v>
      </c>
      <c r="CZ99" s="3">
        <f>(ROUND((((S99+ROUND((ROUND(((EU99)*AV99*1),2)*BS99),2))*AU99)/100),2)+ROUND(((ROUND((ROUND(((AE99-(EU99))*AV99*1),2)*BS99),2)*AU99)/100),2))</f>
        <v>0</v>
      </c>
      <c r="DC99" s="3" t="s">
        <v>3</v>
      </c>
      <c r="DD99" s="3" t="s">
        <v>3</v>
      </c>
      <c r="DE99" s="3" t="s">
        <v>3</v>
      </c>
      <c r="DF99" s="3" t="s">
        <v>3</v>
      </c>
      <c r="DG99" s="3" t="s">
        <v>3</v>
      </c>
      <c r="DH99" s="3" t="s">
        <v>3</v>
      </c>
      <c r="DI99" s="3" t="s">
        <v>3</v>
      </c>
      <c r="DJ99" s="3" t="s">
        <v>3</v>
      </c>
      <c r="DK99" s="3" t="s">
        <v>3</v>
      </c>
      <c r="DL99" s="3" t="s">
        <v>3</v>
      </c>
      <c r="DM99" s="3" t="s">
        <v>3</v>
      </c>
      <c r="DN99" s="3">
        <v>0</v>
      </c>
      <c r="DO99" s="3">
        <v>0</v>
      </c>
      <c r="DP99" s="3">
        <v>1</v>
      </c>
      <c r="DQ99" s="3">
        <v>1</v>
      </c>
      <c r="DU99" s="3">
        <v>1010</v>
      </c>
      <c r="DV99" s="3" t="s">
        <v>118</v>
      </c>
      <c r="DW99" s="3" t="s">
        <v>118</v>
      </c>
      <c r="DX99" s="3">
        <v>1</v>
      </c>
      <c r="DZ99" s="3" t="s">
        <v>3</v>
      </c>
      <c r="EA99" s="3" t="s">
        <v>3</v>
      </c>
      <c r="EB99" s="3" t="s">
        <v>3</v>
      </c>
      <c r="EC99" s="3" t="s">
        <v>3</v>
      </c>
      <c r="EE99" s="3">
        <v>56938740</v>
      </c>
      <c r="EF99" s="3">
        <v>40</v>
      </c>
      <c r="EG99" s="3" t="s">
        <v>29</v>
      </c>
      <c r="EH99" s="3">
        <v>0</v>
      </c>
      <c r="EI99" s="3" t="s">
        <v>3</v>
      </c>
      <c r="EJ99" s="3">
        <v>2</v>
      </c>
      <c r="EK99" s="3">
        <v>73</v>
      </c>
      <c r="EL99" s="3" t="s">
        <v>85</v>
      </c>
      <c r="EM99" s="3" t="s">
        <v>86</v>
      </c>
      <c r="EO99" s="3" t="s">
        <v>3</v>
      </c>
      <c r="EQ99" s="3">
        <v>0</v>
      </c>
      <c r="ER99" s="3">
        <v>279.67</v>
      </c>
      <c r="ES99" s="3">
        <v>279.67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FQ99" s="3">
        <v>0</v>
      </c>
      <c r="FR99" s="3">
        <v>0</v>
      </c>
      <c r="FS99" s="3">
        <v>0</v>
      </c>
      <c r="FX99" s="3">
        <v>90</v>
      </c>
      <c r="FY99" s="3">
        <v>46</v>
      </c>
      <c r="GA99" s="3" t="s">
        <v>3</v>
      </c>
      <c r="GD99" s="3">
        <v>1</v>
      </c>
      <c r="GF99" s="3">
        <v>-909145995</v>
      </c>
      <c r="GG99" s="3">
        <v>2</v>
      </c>
      <c r="GH99" s="3">
        <v>1</v>
      </c>
      <c r="GI99" s="3">
        <v>2</v>
      </c>
      <c r="GJ99" s="3">
        <v>0</v>
      </c>
      <c r="GK99" s="3">
        <v>0</v>
      </c>
      <c r="GL99" s="3">
        <f t="shared" si="120"/>
        <v>0</v>
      </c>
      <c r="GM99" s="3">
        <f t="shared" si="121"/>
        <v>738.33</v>
      </c>
      <c r="GN99" s="3">
        <f t="shared" si="122"/>
        <v>0</v>
      </c>
      <c r="GO99" s="3">
        <f t="shared" si="123"/>
        <v>738.33</v>
      </c>
      <c r="GP99" s="3">
        <f t="shared" si="124"/>
        <v>0</v>
      </c>
      <c r="GR99" s="3">
        <v>0</v>
      </c>
      <c r="GS99" s="3">
        <v>3</v>
      </c>
      <c r="GT99" s="3">
        <v>0</v>
      </c>
      <c r="GU99" s="3" t="s">
        <v>3</v>
      </c>
      <c r="GV99" s="3">
        <f t="shared" si="125"/>
        <v>0</v>
      </c>
      <c r="GW99" s="3">
        <v>1</v>
      </c>
      <c r="GX99" s="3">
        <f t="shared" si="126"/>
        <v>0</v>
      </c>
      <c r="HA99" s="3">
        <v>0</v>
      </c>
      <c r="HB99" s="3">
        <v>0</v>
      </c>
      <c r="HC99" s="3">
        <f t="shared" si="127"/>
        <v>0</v>
      </c>
      <c r="HE99" s="3" t="s">
        <v>3</v>
      </c>
      <c r="HF99" s="3" t="s">
        <v>3</v>
      </c>
      <c r="HM99" s="3" t="s">
        <v>3</v>
      </c>
      <c r="HN99" s="3" t="s">
        <v>3</v>
      </c>
      <c r="HO99" s="3" t="s">
        <v>3</v>
      </c>
      <c r="HP99" s="3" t="s">
        <v>3</v>
      </c>
      <c r="HQ99" s="3" t="s">
        <v>3</v>
      </c>
      <c r="HS99" s="3">
        <v>0</v>
      </c>
      <c r="IK99" s="3">
        <v>0</v>
      </c>
    </row>
    <row r="100" spans="1:255" x14ac:dyDescent="0.2">
      <c r="A100" s="2">
        <v>17</v>
      </c>
      <c r="B100" s="2">
        <v>1</v>
      </c>
      <c r="C100" s="2">
        <f>ROW(SmtRes!A266)</f>
        <v>266</v>
      </c>
      <c r="D100" s="2">
        <f>ROW(EtalonRes!A305)</f>
        <v>305</v>
      </c>
      <c r="E100" s="2" t="s">
        <v>183</v>
      </c>
      <c r="F100" s="2" t="s">
        <v>184</v>
      </c>
      <c r="G100" s="2" t="s">
        <v>185</v>
      </c>
      <c r="H100" s="2" t="s">
        <v>186</v>
      </c>
      <c r="I100" s="2">
        <f>ROUND((20)/100,9)</f>
        <v>0.2</v>
      </c>
      <c r="J100" s="2">
        <v>0</v>
      </c>
      <c r="K100" s="2">
        <f>ROUND((20)/100,9)</f>
        <v>0.2</v>
      </c>
      <c r="L100" s="2"/>
      <c r="M100" s="2"/>
      <c r="N100" s="2"/>
      <c r="O100" s="2">
        <f t="shared" si="103"/>
        <v>962.68</v>
      </c>
      <c r="P100" s="2">
        <f t="shared" si="104"/>
        <v>42.07</v>
      </c>
      <c r="Q100" s="2">
        <f>(ROUND((ROUND((((ET100*1.2))*AV100*I100),2)*BB100),2)+ROUND((ROUND(((AE100-((EU100*1.2)))*AV100*I100),2)*BS100),2))</f>
        <v>267.8</v>
      </c>
      <c r="R100" s="2">
        <f>(ROUND((ROUND((((EU100*1.2))*AV100*I100),2)*BS100),2)+ROUND((ROUND(((AE100-((EU100*1.2)))*AV100*I100),2)*BS100),2))</f>
        <v>46.38</v>
      </c>
      <c r="S100" s="2">
        <f t="shared" si="105"/>
        <v>652.80999999999995</v>
      </c>
      <c r="T100" s="2">
        <f t="shared" si="106"/>
        <v>0</v>
      </c>
      <c r="U100" s="2">
        <f t="shared" si="107"/>
        <v>51.728159999999995</v>
      </c>
      <c r="V100" s="2">
        <f t="shared" si="108"/>
        <v>0</v>
      </c>
      <c r="W100" s="2">
        <f t="shared" si="109"/>
        <v>0</v>
      </c>
      <c r="X100" s="2">
        <f>(ROUND((((S100+ROUND((ROUND((((EU100*1.2))*AV100*I100),2)*BS100),2))*AT100)/100),2)+ROUND(((ROUND((ROUND(((AE100-((EU100*1.2)))*AV100*I100),2)*BS100),2)*AT100)/100),2))</f>
        <v>629.27</v>
      </c>
      <c r="Y100" s="2">
        <f>(ROUND((((S100+ROUND((ROUND((((EU100*1.2))*AV100*I100),2)*BS100),2))*AU100)/100),2)+ROUND(((ROUND((ROUND(((AE100-((EU100*1.2)))*AV100*I100),2)*BS100),2)*AU100)/100),2))</f>
        <v>321.63</v>
      </c>
      <c r="Z100" s="2"/>
      <c r="AA100" s="2">
        <v>55747649</v>
      </c>
      <c r="AB100" s="2">
        <f t="shared" si="110"/>
        <v>4518.6279999999997</v>
      </c>
      <c r="AC100" s="2">
        <f>ROUND(((ES100*1)),6)</f>
        <v>204.64</v>
      </c>
      <c r="AD100" s="2">
        <f>ROUND(((((ET100*1.2))-((EU100*1.2)))+AE100),6)</f>
        <v>1254.9000000000001</v>
      </c>
      <c r="AE100" s="2">
        <f>ROUND(((EU100*1.2)),6)</f>
        <v>217.32</v>
      </c>
      <c r="AF100" s="2">
        <f>ROUND(((EV100*1.2)),6)</f>
        <v>3059.0880000000002</v>
      </c>
      <c r="AG100" s="2">
        <f t="shared" si="111"/>
        <v>0</v>
      </c>
      <c r="AH100" s="2">
        <f>((EW100*1.2))</f>
        <v>242.39999999999998</v>
      </c>
      <c r="AI100" s="2">
        <f>((EX100*1.2))</f>
        <v>0</v>
      </c>
      <c r="AJ100" s="2">
        <f t="shared" si="112"/>
        <v>0</v>
      </c>
      <c r="AK100" s="2">
        <v>3799.63</v>
      </c>
      <c r="AL100" s="2">
        <v>204.64</v>
      </c>
      <c r="AM100" s="2">
        <v>1045.75</v>
      </c>
      <c r="AN100" s="2">
        <v>181.1</v>
      </c>
      <c r="AO100" s="2">
        <v>2549.2399999999998</v>
      </c>
      <c r="AP100" s="2">
        <v>0</v>
      </c>
      <c r="AQ100" s="2">
        <v>202</v>
      </c>
      <c r="AR100" s="2">
        <v>0</v>
      </c>
      <c r="AS100" s="2">
        <v>0</v>
      </c>
      <c r="AT100" s="2">
        <v>90</v>
      </c>
      <c r="AU100" s="2">
        <v>46</v>
      </c>
      <c r="AV100" s="2">
        <v>1.0669999999999999</v>
      </c>
      <c r="AW100" s="2">
        <v>1.028</v>
      </c>
      <c r="AX100" s="2"/>
      <c r="AY100" s="2"/>
      <c r="AZ100" s="2">
        <v>1</v>
      </c>
      <c r="BA100" s="2">
        <v>1</v>
      </c>
      <c r="BB100" s="2">
        <v>1</v>
      </c>
      <c r="BC100" s="2">
        <v>1</v>
      </c>
      <c r="BD100" s="2" t="s">
        <v>3</v>
      </c>
      <c r="BE100" s="2" t="s">
        <v>3</v>
      </c>
      <c r="BF100" s="2" t="s">
        <v>3</v>
      </c>
      <c r="BG100" s="2" t="s">
        <v>3</v>
      </c>
      <c r="BH100" s="2">
        <v>0</v>
      </c>
      <c r="BI100" s="2">
        <v>2</v>
      </c>
      <c r="BJ100" s="2" t="s">
        <v>187</v>
      </c>
      <c r="BK100" s="2"/>
      <c r="BL100" s="2"/>
      <c r="BM100" s="2">
        <v>73</v>
      </c>
      <c r="BN100" s="2">
        <v>0</v>
      </c>
      <c r="BO100" s="2" t="s">
        <v>184</v>
      </c>
      <c r="BP100" s="2">
        <v>1</v>
      </c>
      <c r="BQ100" s="2">
        <v>40</v>
      </c>
      <c r="BR100" s="2">
        <v>0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 t="s">
        <v>3</v>
      </c>
      <c r="BZ100" s="2">
        <v>90</v>
      </c>
      <c r="CA100" s="2">
        <v>46</v>
      </c>
      <c r="CB100" s="2" t="s">
        <v>3</v>
      </c>
      <c r="CC100" s="2"/>
      <c r="CD100" s="2"/>
      <c r="CE100" s="2">
        <v>1566</v>
      </c>
      <c r="CF100" s="2">
        <v>0</v>
      </c>
      <c r="CG100" s="2">
        <v>0</v>
      </c>
      <c r="CH100" s="2"/>
      <c r="CI100" s="2"/>
      <c r="CJ100" s="2"/>
      <c r="CK100" s="2"/>
      <c r="CL100" s="2"/>
      <c r="CM100" s="2">
        <v>0</v>
      </c>
      <c r="CN100" s="2" t="s">
        <v>716</v>
      </c>
      <c r="CO100" s="2">
        <v>0</v>
      </c>
      <c r="CP100" s="2">
        <f t="shared" si="113"/>
        <v>962.68</v>
      </c>
      <c r="CQ100" s="2">
        <f t="shared" si="114"/>
        <v>210.37</v>
      </c>
      <c r="CR100" s="2">
        <f>(ROUND((ROUND((((ET100*1.2))*AV100*1),2)*BB100),2)+ROUND((ROUND(((AE100-((EU100*1.2)))*AV100*1),2)*BS100),2))</f>
        <v>1338.98</v>
      </c>
      <c r="CS100" s="2">
        <f>(ROUND((ROUND((((EU100*1.2))*AV100*1),2)*BS100),2)+ROUND((ROUND(((AE100-((EU100*1.2)))*AV100*1),2)*BS100),2))</f>
        <v>231.88</v>
      </c>
      <c r="CT100" s="2">
        <f t="shared" si="115"/>
        <v>3264.05</v>
      </c>
      <c r="CU100" s="2">
        <f t="shared" si="116"/>
        <v>0</v>
      </c>
      <c r="CV100" s="2">
        <f t="shared" si="117"/>
        <v>258.64079999999996</v>
      </c>
      <c r="CW100" s="2">
        <f t="shared" si="118"/>
        <v>0</v>
      </c>
      <c r="CX100" s="2">
        <f t="shared" si="119"/>
        <v>0</v>
      </c>
      <c r="CY100" s="2">
        <f>(ROUND((((S100+ROUND((ROUND((((EU100*1.2))*AV100*1),2)*BS100),2))*AT100)/100),2)+ROUND(((ROUND((ROUND(((AE100-((EU100*1.2)))*AV100*1),2)*BS100),2)*AT100)/100),2))</f>
        <v>796.22</v>
      </c>
      <c r="CZ100" s="2">
        <f>(ROUND((((S100+ROUND((ROUND((((EU100*1.2))*AV100*1),2)*BS100),2))*AU100)/100),2)+ROUND(((ROUND((ROUND(((AE100-((EU100*1.2)))*AV100*1),2)*BS100),2)*AU100)/100),2))</f>
        <v>406.96</v>
      </c>
      <c r="DA100" s="2"/>
      <c r="DB100" s="2">
        <v>49</v>
      </c>
      <c r="DC100" s="2" t="s">
        <v>3</v>
      </c>
      <c r="DD100" s="2" t="s">
        <v>48</v>
      </c>
      <c r="DE100" s="2" t="s">
        <v>49</v>
      </c>
      <c r="DF100" s="2" t="s">
        <v>49</v>
      </c>
      <c r="DG100" s="2" t="s">
        <v>49</v>
      </c>
      <c r="DH100" s="2" t="s">
        <v>3</v>
      </c>
      <c r="DI100" s="2" t="s">
        <v>49</v>
      </c>
      <c r="DJ100" s="2" t="s">
        <v>49</v>
      </c>
      <c r="DK100" s="2" t="s">
        <v>3</v>
      </c>
      <c r="DL100" s="2" t="s">
        <v>3</v>
      </c>
      <c r="DM100" s="2" t="s">
        <v>3</v>
      </c>
      <c r="DN100" s="2">
        <v>0</v>
      </c>
      <c r="DO100" s="2">
        <v>0</v>
      </c>
      <c r="DP100" s="2">
        <v>1</v>
      </c>
      <c r="DQ100" s="2">
        <v>1</v>
      </c>
      <c r="DR100" s="2"/>
      <c r="DS100" s="2"/>
      <c r="DT100" s="2"/>
      <c r="DU100" s="2">
        <v>1003</v>
      </c>
      <c r="DV100" s="2" t="s">
        <v>186</v>
      </c>
      <c r="DW100" s="2" t="s">
        <v>186</v>
      </c>
      <c r="DX100" s="2">
        <v>100</v>
      </c>
      <c r="DY100" s="2"/>
      <c r="DZ100" s="2" t="s">
        <v>3</v>
      </c>
      <c r="EA100" s="2" t="s">
        <v>3</v>
      </c>
      <c r="EB100" s="2" t="s">
        <v>3</v>
      </c>
      <c r="EC100" s="2" t="s">
        <v>3</v>
      </c>
      <c r="ED100" s="2"/>
      <c r="EE100" s="2">
        <v>56938740</v>
      </c>
      <c r="EF100" s="2">
        <v>40</v>
      </c>
      <c r="EG100" s="2" t="s">
        <v>29</v>
      </c>
      <c r="EH100" s="2">
        <v>0</v>
      </c>
      <c r="EI100" s="2" t="s">
        <v>3</v>
      </c>
      <c r="EJ100" s="2">
        <v>2</v>
      </c>
      <c r="EK100" s="2">
        <v>73</v>
      </c>
      <c r="EL100" s="2" t="s">
        <v>85</v>
      </c>
      <c r="EM100" s="2" t="s">
        <v>86</v>
      </c>
      <c r="EN100" s="2"/>
      <c r="EO100" s="2" t="s">
        <v>50</v>
      </c>
      <c r="EP100" s="2"/>
      <c r="EQ100" s="2">
        <v>131072</v>
      </c>
      <c r="ER100" s="2">
        <v>3799.63</v>
      </c>
      <c r="ES100" s="2">
        <v>204.64</v>
      </c>
      <c r="ET100" s="2">
        <v>1045.75</v>
      </c>
      <c r="EU100" s="2">
        <v>181.1</v>
      </c>
      <c r="EV100" s="2">
        <v>2549.2399999999998</v>
      </c>
      <c r="EW100" s="2">
        <v>202</v>
      </c>
      <c r="EX100" s="2">
        <v>0</v>
      </c>
      <c r="EY100" s="2">
        <v>0</v>
      </c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>
        <v>0</v>
      </c>
      <c r="FR100" s="2">
        <v>0</v>
      </c>
      <c r="FS100" s="2">
        <v>2</v>
      </c>
      <c r="FT100" s="2"/>
      <c r="FU100" s="2"/>
      <c r="FV100" s="2"/>
      <c r="FW100" s="2"/>
      <c r="FX100" s="2">
        <v>90</v>
      </c>
      <c r="FY100" s="2">
        <v>46</v>
      </c>
      <c r="FZ100" s="2"/>
      <c r="GA100" s="2" t="s">
        <v>3</v>
      </c>
      <c r="GB100" s="2"/>
      <c r="GC100" s="2"/>
      <c r="GD100" s="2">
        <v>1</v>
      </c>
      <c r="GE100" s="2"/>
      <c r="GF100" s="2">
        <v>1184784363</v>
      </c>
      <c r="GG100" s="2">
        <v>2</v>
      </c>
      <c r="GH100" s="2">
        <v>1</v>
      </c>
      <c r="GI100" s="2">
        <v>2</v>
      </c>
      <c r="GJ100" s="2">
        <v>0</v>
      </c>
      <c r="GK100" s="2">
        <v>0</v>
      </c>
      <c r="GL100" s="2">
        <f t="shared" si="120"/>
        <v>0</v>
      </c>
      <c r="GM100" s="2">
        <f t="shared" si="121"/>
        <v>1913.58</v>
      </c>
      <c r="GN100" s="2">
        <f t="shared" si="122"/>
        <v>0</v>
      </c>
      <c r="GO100" s="2">
        <f t="shared" si="123"/>
        <v>1913.58</v>
      </c>
      <c r="GP100" s="2">
        <f t="shared" si="124"/>
        <v>0</v>
      </c>
      <c r="GQ100" s="2"/>
      <c r="GR100" s="2">
        <v>0</v>
      </c>
      <c r="GS100" s="2">
        <v>3</v>
      </c>
      <c r="GT100" s="2">
        <v>0</v>
      </c>
      <c r="GU100" s="2" t="s">
        <v>3</v>
      </c>
      <c r="GV100" s="2">
        <f t="shared" si="125"/>
        <v>0</v>
      </c>
      <c r="GW100" s="2">
        <v>1</v>
      </c>
      <c r="GX100" s="2">
        <f t="shared" si="126"/>
        <v>0</v>
      </c>
      <c r="GY100" s="2"/>
      <c r="GZ100" s="2"/>
      <c r="HA100" s="2">
        <v>0</v>
      </c>
      <c r="HB100" s="2">
        <v>0</v>
      </c>
      <c r="HC100" s="2">
        <f t="shared" si="127"/>
        <v>0</v>
      </c>
      <c r="HD100" s="2"/>
      <c r="HE100" s="2" t="s">
        <v>3</v>
      </c>
      <c r="HF100" s="2" t="s">
        <v>3</v>
      </c>
      <c r="HG100" s="2"/>
      <c r="HH100" s="2"/>
      <c r="HI100" s="2"/>
      <c r="HJ100" s="2"/>
      <c r="HK100" s="2"/>
      <c r="HL100" s="2"/>
      <c r="HM100" s="2" t="s">
        <v>3</v>
      </c>
      <c r="HN100" s="2" t="s">
        <v>3</v>
      </c>
      <c r="HO100" s="2" t="s">
        <v>3</v>
      </c>
      <c r="HP100" s="2" t="s">
        <v>3</v>
      </c>
      <c r="HQ100" s="2" t="s">
        <v>3</v>
      </c>
      <c r="HR100" s="2"/>
      <c r="HS100" s="2">
        <v>0</v>
      </c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>
        <v>0</v>
      </c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x14ac:dyDescent="0.2">
      <c r="A101" s="3">
        <v>17</v>
      </c>
      <c r="B101" s="3">
        <v>1</v>
      </c>
      <c r="C101" s="3">
        <f>ROW(SmtRes!A276)</f>
        <v>276</v>
      </c>
      <c r="D101" s="3">
        <f>ROW(EtalonRes!A314)</f>
        <v>314</v>
      </c>
      <c r="E101" s="3" t="s">
        <v>183</v>
      </c>
      <c r="F101" s="3" t="s">
        <v>184</v>
      </c>
      <c r="G101" s="3" t="s">
        <v>185</v>
      </c>
      <c r="H101" s="3" t="s">
        <v>186</v>
      </c>
      <c r="I101" s="3">
        <f>ROUND((20)/100,9)</f>
        <v>0.2</v>
      </c>
      <c r="J101" s="3">
        <v>0</v>
      </c>
      <c r="K101" s="3">
        <f>ROUND((20)/100,9)</f>
        <v>0.2</v>
      </c>
      <c r="O101" s="3">
        <f t="shared" si="103"/>
        <v>42408.45</v>
      </c>
      <c r="P101" s="3">
        <f t="shared" si="104"/>
        <v>400.51</v>
      </c>
      <c r="Q101" s="3">
        <f>(ROUND((ROUND((((ET101*1.2))*AV101*I101),2)*BB101),2)+ROUND((ROUND(((AE101-((EU101*1.2)))*AV101*I101),2)*BS101),2))</f>
        <v>5222.1000000000004</v>
      </c>
      <c r="R101" s="3">
        <f>(ROUND((ROUND((((EU101*1.2))*AV101*I101),2)*BS101),2)+ROUND((ROUND(((AE101-((EU101*1.2)))*AV101*I101),2)*BS101),2))</f>
        <v>2613.5100000000002</v>
      </c>
      <c r="S101" s="3">
        <f t="shared" si="105"/>
        <v>36785.839999999997</v>
      </c>
      <c r="T101" s="3">
        <f t="shared" si="106"/>
        <v>0</v>
      </c>
      <c r="U101" s="3">
        <f t="shared" si="107"/>
        <v>51.728159999999995</v>
      </c>
      <c r="V101" s="3">
        <f t="shared" si="108"/>
        <v>0</v>
      </c>
      <c r="W101" s="3">
        <f t="shared" si="109"/>
        <v>0</v>
      </c>
      <c r="X101" s="3">
        <f>(ROUND((((S101+ROUND((ROUND((((EU101*1.2))*AV101*I101),2)*BS101),2))*AT101)/100),2)+ROUND(((ROUND((ROUND(((AE101-((EU101*1.2)))*AV101*I101),2)*BS101),2)*AT101)/100),2))</f>
        <v>35459.42</v>
      </c>
      <c r="Y101" s="3">
        <f>(ROUND((((S101+ROUND((ROUND((((EU101*1.2))*AV101*I101),2)*BS101),2))*AU101)/100),2)+ROUND(((ROUND((ROUND(((AE101-((EU101*1.2)))*AV101*I101),2)*BS101),2)*AU101)/100),2))</f>
        <v>18123.7</v>
      </c>
      <c r="AA101" s="3">
        <v>55747651</v>
      </c>
      <c r="AB101" s="3">
        <f t="shared" si="110"/>
        <v>4518.6279999999997</v>
      </c>
      <c r="AC101" s="3">
        <f>ROUND(((ES101*1)),6)</f>
        <v>204.64</v>
      </c>
      <c r="AD101" s="3">
        <f>ROUND(((((ET101*1.2))-((EU101*1.2)))+AE101),6)</f>
        <v>1254.9000000000001</v>
      </c>
      <c r="AE101" s="3">
        <f>ROUND(((EU101*1.2)),6)</f>
        <v>217.32</v>
      </c>
      <c r="AF101" s="3">
        <f>ROUND(((EV101*1.2)),6)</f>
        <v>3059.0880000000002</v>
      </c>
      <c r="AG101" s="3">
        <f t="shared" si="111"/>
        <v>0</v>
      </c>
      <c r="AH101" s="3">
        <f>((EW101*1.2))</f>
        <v>242.39999999999998</v>
      </c>
      <c r="AI101" s="3">
        <f>((EX101*1.2))</f>
        <v>0</v>
      </c>
      <c r="AJ101" s="3">
        <f t="shared" si="112"/>
        <v>0</v>
      </c>
      <c r="AK101" s="3">
        <v>3799.63</v>
      </c>
      <c r="AL101" s="3">
        <v>204.64</v>
      </c>
      <c r="AM101" s="3">
        <v>1045.75</v>
      </c>
      <c r="AN101" s="3">
        <v>181.1</v>
      </c>
      <c r="AO101" s="3">
        <v>2549.2399999999998</v>
      </c>
      <c r="AP101" s="3">
        <v>0</v>
      </c>
      <c r="AQ101" s="3">
        <v>202</v>
      </c>
      <c r="AR101" s="3">
        <v>0</v>
      </c>
      <c r="AS101" s="3">
        <v>0</v>
      </c>
      <c r="AT101" s="3">
        <v>90</v>
      </c>
      <c r="AU101" s="3">
        <v>46</v>
      </c>
      <c r="AV101" s="3">
        <v>1.0669999999999999</v>
      </c>
      <c r="AW101" s="3">
        <v>1.028</v>
      </c>
      <c r="AZ101" s="3">
        <v>1</v>
      </c>
      <c r="BA101" s="3">
        <v>56.35</v>
      </c>
      <c r="BB101" s="3">
        <v>19.5</v>
      </c>
      <c r="BC101" s="3">
        <v>9.52</v>
      </c>
      <c r="BD101" s="3" t="s">
        <v>3</v>
      </c>
      <c r="BE101" s="3" t="s">
        <v>3</v>
      </c>
      <c r="BF101" s="3" t="s">
        <v>3</v>
      </c>
      <c r="BG101" s="3" t="s">
        <v>3</v>
      </c>
      <c r="BH101" s="3">
        <v>0</v>
      </c>
      <c r="BI101" s="3">
        <v>2</v>
      </c>
      <c r="BJ101" s="3" t="s">
        <v>187</v>
      </c>
      <c r="BM101" s="3">
        <v>73</v>
      </c>
      <c r="BN101" s="3">
        <v>0</v>
      </c>
      <c r="BO101" s="3" t="s">
        <v>184</v>
      </c>
      <c r="BP101" s="3">
        <v>1</v>
      </c>
      <c r="BQ101" s="3">
        <v>40</v>
      </c>
      <c r="BR101" s="3">
        <v>0</v>
      </c>
      <c r="BS101" s="3">
        <v>56.35</v>
      </c>
      <c r="BT101" s="3">
        <v>1</v>
      </c>
      <c r="BU101" s="3">
        <v>1</v>
      </c>
      <c r="BV101" s="3">
        <v>1</v>
      </c>
      <c r="BW101" s="3">
        <v>1</v>
      </c>
      <c r="BX101" s="3">
        <v>1</v>
      </c>
      <c r="BY101" s="3" t="s">
        <v>3</v>
      </c>
      <c r="BZ101" s="3">
        <v>90</v>
      </c>
      <c r="CA101" s="3">
        <v>46</v>
      </c>
      <c r="CB101" s="3" t="s">
        <v>3</v>
      </c>
      <c r="CE101" s="3">
        <v>1566</v>
      </c>
      <c r="CF101" s="3">
        <v>0</v>
      </c>
      <c r="CG101" s="3">
        <v>0</v>
      </c>
      <c r="CM101" s="3">
        <v>0</v>
      </c>
      <c r="CN101" s="3" t="s">
        <v>716</v>
      </c>
      <c r="CO101" s="3">
        <v>0</v>
      </c>
      <c r="CP101" s="3">
        <f t="shared" si="113"/>
        <v>42408.45</v>
      </c>
      <c r="CQ101" s="3">
        <f t="shared" si="114"/>
        <v>2002.72</v>
      </c>
      <c r="CR101" s="3">
        <f>(ROUND((ROUND((((ET101*1.2))*AV101*1),2)*BB101),2)+ROUND((ROUND(((AE101-((EU101*1.2)))*AV101*1),2)*BS101),2))</f>
        <v>26110.11</v>
      </c>
      <c r="CS101" s="3">
        <f>(ROUND((ROUND((((EU101*1.2))*AV101*1),2)*BS101),2)+ROUND((ROUND(((AE101-((EU101*1.2)))*AV101*1),2)*BS101),2))</f>
        <v>13066.44</v>
      </c>
      <c r="CT101" s="3">
        <f t="shared" si="115"/>
        <v>183929.22</v>
      </c>
      <c r="CU101" s="3">
        <f t="shared" si="116"/>
        <v>0</v>
      </c>
      <c r="CV101" s="3">
        <f t="shared" si="117"/>
        <v>258.64079999999996</v>
      </c>
      <c r="CW101" s="3">
        <f t="shared" si="118"/>
        <v>0</v>
      </c>
      <c r="CX101" s="3">
        <f t="shared" si="119"/>
        <v>0</v>
      </c>
      <c r="CY101" s="3">
        <f>(ROUND((((S101+ROUND((ROUND((((EU101*1.2))*AV101*1),2)*BS101),2))*AT101)/100),2)+ROUND(((ROUND((ROUND(((AE101-((EU101*1.2)))*AV101*1),2)*BS101),2)*AT101)/100),2))</f>
        <v>44867.05</v>
      </c>
      <c r="CZ101" s="3">
        <f>(ROUND((((S101+ROUND((ROUND((((EU101*1.2))*AV101*1),2)*BS101),2))*AU101)/100),2)+ROUND(((ROUND((ROUND(((AE101-((EU101*1.2)))*AV101*1),2)*BS101),2)*AU101)/100),2))</f>
        <v>22932.05</v>
      </c>
      <c r="DB101" s="3">
        <v>50</v>
      </c>
      <c r="DC101" s="3" t="s">
        <v>3</v>
      </c>
      <c r="DD101" s="3" t="s">
        <v>48</v>
      </c>
      <c r="DE101" s="3" t="s">
        <v>49</v>
      </c>
      <c r="DF101" s="3" t="s">
        <v>49</v>
      </c>
      <c r="DG101" s="3" t="s">
        <v>49</v>
      </c>
      <c r="DH101" s="3" t="s">
        <v>3</v>
      </c>
      <c r="DI101" s="3" t="s">
        <v>49</v>
      </c>
      <c r="DJ101" s="3" t="s">
        <v>49</v>
      </c>
      <c r="DK101" s="3" t="s">
        <v>3</v>
      </c>
      <c r="DL101" s="3" t="s">
        <v>3</v>
      </c>
      <c r="DM101" s="3" t="s">
        <v>3</v>
      </c>
      <c r="DN101" s="3">
        <v>0</v>
      </c>
      <c r="DO101" s="3">
        <v>0</v>
      </c>
      <c r="DP101" s="3">
        <v>1</v>
      </c>
      <c r="DQ101" s="3">
        <v>1</v>
      </c>
      <c r="DU101" s="3">
        <v>1003</v>
      </c>
      <c r="DV101" s="3" t="s">
        <v>186</v>
      </c>
      <c r="DW101" s="3" t="s">
        <v>186</v>
      </c>
      <c r="DX101" s="3">
        <v>100</v>
      </c>
      <c r="DZ101" s="3" t="s">
        <v>3</v>
      </c>
      <c r="EA101" s="3" t="s">
        <v>3</v>
      </c>
      <c r="EB101" s="3" t="s">
        <v>3</v>
      </c>
      <c r="EC101" s="3" t="s">
        <v>3</v>
      </c>
      <c r="EE101" s="3">
        <v>56938740</v>
      </c>
      <c r="EF101" s="3">
        <v>40</v>
      </c>
      <c r="EG101" s="3" t="s">
        <v>29</v>
      </c>
      <c r="EH101" s="3">
        <v>0</v>
      </c>
      <c r="EI101" s="3" t="s">
        <v>3</v>
      </c>
      <c r="EJ101" s="3">
        <v>2</v>
      </c>
      <c r="EK101" s="3">
        <v>73</v>
      </c>
      <c r="EL101" s="3" t="s">
        <v>85</v>
      </c>
      <c r="EM101" s="3" t="s">
        <v>86</v>
      </c>
      <c r="EO101" s="3" t="s">
        <v>50</v>
      </c>
      <c r="EQ101" s="3">
        <v>131072</v>
      </c>
      <c r="ER101" s="3">
        <v>3799.63</v>
      </c>
      <c r="ES101" s="3">
        <v>204.64</v>
      </c>
      <c r="ET101" s="3">
        <v>1045.75</v>
      </c>
      <c r="EU101" s="3">
        <v>181.1</v>
      </c>
      <c r="EV101" s="3">
        <v>2549.2399999999998</v>
      </c>
      <c r="EW101" s="3">
        <v>202</v>
      </c>
      <c r="EX101" s="3">
        <v>0</v>
      </c>
      <c r="EY101" s="3">
        <v>0</v>
      </c>
      <c r="FQ101" s="3">
        <v>0</v>
      </c>
      <c r="FR101" s="3">
        <v>0</v>
      </c>
      <c r="FS101" s="3">
        <v>2</v>
      </c>
      <c r="FX101" s="3">
        <v>90</v>
      </c>
      <c r="FY101" s="3">
        <v>46</v>
      </c>
      <c r="GA101" s="3" t="s">
        <v>3</v>
      </c>
      <c r="GD101" s="3">
        <v>1</v>
      </c>
      <c r="GF101" s="3">
        <v>1184784363</v>
      </c>
      <c r="GG101" s="3">
        <v>2</v>
      </c>
      <c r="GH101" s="3">
        <v>1</v>
      </c>
      <c r="GI101" s="3">
        <v>2</v>
      </c>
      <c r="GJ101" s="3">
        <v>0</v>
      </c>
      <c r="GK101" s="3">
        <v>0</v>
      </c>
      <c r="GL101" s="3">
        <f t="shared" si="120"/>
        <v>0</v>
      </c>
      <c r="GM101" s="3">
        <f t="shared" si="121"/>
        <v>95991.57</v>
      </c>
      <c r="GN101" s="3">
        <f t="shared" si="122"/>
        <v>0</v>
      </c>
      <c r="GO101" s="3">
        <f t="shared" si="123"/>
        <v>95991.57</v>
      </c>
      <c r="GP101" s="3">
        <f t="shared" si="124"/>
        <v>0</v>
      </c>
      <c r="GR101" s="3">
        <v>0</v>
      </c>
      <c r="GS101" s="3">
        <v>3</v>
      </c>
      <c r="GT101" s="3">
        <v>0</v>
      </c>
      <c r="GU101" s="3" t="s">
        <v>3</v>
      </c>
      <c r="GV101" s="3">
        <f t="shared" si="125"/>
        <v>0</v>
      </c>
      <c r="GW101" s="3">
        <v>1</v>
      </c>
      <c r="GX101" s="3">
        <f t="shared" si="126"/>
        <v>0</v>
      </c>
      <c r="HA101" s="3">
        <v>0</v>
      </c>
      <c r="HB101" s="3">
        <v>0</v>
      </c>
      <c r="HC101" s="3">
        <f t="shared" si="127"/>
        <v>0</v>
      </c>
      <c r="HE101" s="3" t="s">
        <v>3</v>
      </c>
      <c r="HF101" s="3" t="s">
        <v>3</v>
      </c>
      <c r="HM101" s="3" t="s">
        <v>3</v>
      </c>
      <c r="HN101" s="3" t="s">
        <v>3</v>
      </c>
      <c r="HO101" s="3" t="s">
        <v>3</v>
      </c>
      <c r="HP101" s="3" t="s">
        <v>3</v>
      </c>
      <c r="HQ101" s="3" t="s">
        <v>3</v>
      </c>
      <c r="HS101" s="3">
        <v>0</v>
      </c>
      <c r="IK101" s="3">
        <v>0</v>
      </c>
    </row>
    <row r="102" spans="1:255" x14ac:dyDescent="0.2">
      <c r="A102" s="2">
        <v>18</v>
      </c>
      <c r="B102" s="2">
        <v>1</v>
      </c>
      <c r="C102" s="2">
        <v>266</v>
      </c>
      <c r="D102" s="2"/>
      <c r="E102" s="2" t="s">
        <v>188</v>
      </c>
      <c r="F102" s="2" t="s">
        <v>189</v>
      </c>
      <c r="G102" s="2" t="s">
        <v>190</v>
      </c>
      <c r="H102" s="2" t="s">
        <v>191</v>
      </c>
      <c r="I102" s="2">
        <f>I100*J102</f>
        <v>20.100000000000001</v>
      </c>
      <c r="J102" s="2">
        <v>100.5</v>
      </c>
      <c r="K102" s="2">
        <v>100.5</v>
      </c>
      <c r="L102" s="2"/>
      <c r="M102" s="2"/>
      <c r="N102" s="2"/>
      <c r="O102" s="2">
        <f t="shared" si="103"/>
        <v>3115.5</v>
      </c>
      <c r="P102" s="2">
        <f t="shared" si="104"/>
        <v>3115.5</v>
      </c>
      <c r="Q102" s="2">
        <f>(ROUND((ROUND(((ET102)*AV102*I102),2)*BB102),2)+ROUND((ROUND(((AE102-(EU102))*AV102*I102),2)*BS102),2))</f>
        <v>0</v>
      </c>
      <c r="R102" s="2">
        <f>(ROUND((ROUND(((EU102)*AV102*I102),2)*BS102),2)+ROUND((ROUND(((AE102-(EU102))*AV102*I102),2)*BS102),2))</f>
        <v>0</v>
      </c>
      <c r="S102" s="2">
        <f t="shared" si="105"/>
        <v>0</v>
      </c>
      <c r="T102" s="2">
        <f t="shared" si="106"/>
        <v>0</v>
      </c>
      <c r="U102" s="2">
        <f t="shared" si="107"/>
        <v>0</v>
      </c>
      <c r="V102" s="2">
        <f t="shared" si="108"/>
        <v>0</v>
      </c>
      <c r="W102" s="2">
        <f t="shared" si="109"/>
        <v>0</v>
      </c>
      <c r="X102" s="2">
        <f>(ROUND((((S102+ROUND((ROUND(((EU102)*AV102*I102),2)*BS102),2))*AT102)/100),2)+ROUND(((ROUND((ROUND(((AE102-(EU102))*AV102*I102),2)*BS102),2)*AT102)/100),2))</f>
        <v>0</v>
      </c>
      <c r="Y102" s="2">
        <f>(ROUND((((S102+ROUND((ROUND(((EU102)*AV102*I102),2)*BS102),2))*AU102)/100),2)+ROUND(((ROUND((ROUND(((AE102-(EU102))*AV102*I102),2)*BS102),2)*AU102)/100),2))</f>
        <v>0</v>
      </c>
      <c r="Z102" s="2"/>
      <c r="AA102" s="2">
        <v>55747649</v>
      </c>
      <c r="AB102" s="2">
        <f t="shared" si="110"/>
        <v>155</v>
      </c>
      <c r="AC102" s="2">
        <f>ROUND((ES102),6)</f>
        <v>155</v>
      </c>
      <c r="AD102" s="2">
        <f>ROUND((((ET102)-(EU102))+AE102),6)</f>
        <v>0</v>
      </c>
      <c r="AE102" s="2">
        <f t="shared" ref="AE102:AF105" si="130">ROUND((EU102),6)</f>
        <v>0</v>
      </c>
      <c r="AF102" s="2">
        <f t="shared" si="130"/>
        <v>0</v>
      </c>
      <c r="AG102" s="2">
        <f t="shared" si="111"/>
        <v>0</v>
      </c>
      <c r="AH102" s="2">
        <f t="shared" ref="AH102:AI105" si="131">(EW102)</f>
        <v>0</v>
      </c>
      <c r="AI102" s="2">
        <f t="shared" si="131"/>
        <v>0</v>
      </c>
      <c r="AJ102" s="2">
        <f t="shared" si="112"/>
        <v>0</v>
      </c>
      <c r="AK102" s="2">
        <v>155</v>
      </c>
      <c r="AL102" s="2">
        <v>155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90</v>
      </c>
      <c r="AU102" s="2">
        <v>46</v>
      </c>
      <c r="AV102" s="2">
        <v>1</v>
      </c>
      <c r="AW102" s="2">
        <v>1</v>
      </c>
      <c r="AX102" s="2"/>
      <c r="AY102" s="2"/>
      <c r="AZ102" s="2">
        <v>1</v>
      </c>
      <c r="BA102" s="2">
        <v>1</v>
      </c>
      <c r="BB102" s="2">
        <v>1</v>
      </c>
      <c r="BC102" s="2">
        <v>1</v>
      </c>
      <c r="BD102" s="2" t="s">
        <v>3</v>
      </c>
      <c r="BE102" s="2" t="s">
        <v>3</v>
      </c>
      <c r="BF102" s="2" t="s">
        <v>3</v>
      </c>
      <c r="BG102" s="2" t="s">
        <v>3</v>
      </c>
      <c r="BH102" s="2">
        <v>3</v>
      </c>
      <c r="BI102" s="2">
        <v>2</v>
      </c>
      <c r="BJ102" s="2" t="s">
        <v>192</v>
      </c>
      <c r="BK102" s="2"/>
      <c r="BL102" s="2"/>
      <c r="BM102" s="2">
        <v>73</v>
      </c>
      <c r="BN102" s="2">
        <v>0</v>
      </c>
      <c r="BO102" s="2" t="s">
        <v>3</v>
      </c>
      <c r="BP102" s="2">
        <v>0</v>
      </c>
      <c r="BQ102" s="2">
        <v>40</v>
      </c>
      <c r="BR102" s="2">
        <v>0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 t="s">
        <v>3</v>
      </c>
      <c r="BZ102" s="2">
        <v>90</v>
      </c>
      <c r="CA102" s="2">
        <v>46</v>
      </c>
      <c r="CB102" s="2" t="s">
        <v>3</v>
      </c>
      <c r="CC102" s="2"/>
      <c r="CD102" s="2"/>
      <c r="CE102" s="2">
        <v>1566</v>
      </c>
      <c r="CF102" s="2">
        <v>0</v>
      </c>
      <c r="CG102" s="2">
        <v>0</v>
      </c>
      <c r="CH102" s="2"/>
      <c r="CI102" s="2"/>
      <c r="CJ102" s="2"/>
      <c r="CK102" s="2"/>
      <c r="CL102" s="2"/>
      <c r="CM102" s="2">
        <v>0</v>
      </c>
      <c r="CN102" s="2" t="s">
        <v>3</v>
      </c>
      <c r="CO102" s="2">
        <v>0</v>
      </c>
      <c r="CP102" s="2">
        <f t="shared" si="113"/>
        <v>3115.5</v>
      </c>
      <c r="CQ102" s="2">
        <f t="shared" si="114"/>
        <v>155</v>
      </c>
      <c r="CR102" s="2">
        <f>(ROUND((ROUND(((ET102)*AV102*1),2)*BB102),2)+ROUND((ROUND(((AE102-(EU102))*AV102*1),2)*BS102),2))</f>
        <v>0</v>
      </c>
      <c r="CS102" s="2">
        <f>(ROUND((ROUND(((EU102)*AV102*1),2)*BS102),2)+ROUND((ROUND(((AE102-(EU102))*AV102*1),2)*BS102),2))</f>
        <v>0</v>
      </c>
      <c r="CT102" s="2">
        <f t="shared" si="115"/>
        <v>0</v>
      </c>
      <c r="CU102" s="2">
        <f t="shared" si="116"/>
        <v>0</v>
      </c>
      <c r="CV102" s="2">
        <f t="shared" si="117"/>
        <v>0</v>
      </c>
      <c r="CW102" s="2">
        <f t="shared" si="118"/>
        <v>0</v>
      </c>
      <c r="CX102" s="2">
        <f t="shared" si="119"/>
        <v>0</v>
      </c>
      <c r="CY102" s="2">
        <f>(ROUND((((S102+ROUND((ROUND(((EU102)*AV102*1),2)*BS102),2))*AT102)/100),2)+ROUND(((ROUND((ROUND(((AE102-(EU102))*AV102*1),2)*BS102),2)*AT102)/100),2))</f>
        <v>0</v>
      </c>
      <c r="CZ102" s="2">
        <f>(ROUND((((S102+ROUND((ROUND(((EU102)*AV102*1),2)*BS102),2))*AU102)/100),2)+ROUND(((ROUND((ROUND(((AE102-(EU102))*AV102*1),2)*BS102),2)*AU102)/100),2))</f>
        <v>0</v>
      </c>
      <c r="DA102" s="2"/>
      <c r="DB102" s="2"/>
      <c r="DC102" s="2" t="s">
        <v>3</v>
      </c>
      <c r="DD102" s="2" t="s">
        <v>3</v>
      </c>
      <c r="DE102" s="2" t="s">
        <v>3</v>
      </c>
      <c r="DF102" s="2" t="s">
        <v>3</v>
      </c>
      <c r="DG102" s="2" t="s">
        <v>3</v>
      </c>
      <c r="DH102" s="2" t="s">
        <v>3</v>
      </c>
      <c r="DI102" s="2" t="s">
        <v>3</v>
      </c>
      <c r="DJ102" s="2" t="s">
        <v>3</v>
      </c>
      <c r="DK102" s="2" t="s">
        <v>3</v>
      </c>
      <c r="DL102" s="2" t="s">
        <v>3</v>
      </c>
      <c r="DM102" s="2" t="s">
        <v>3</v>
      </c>
      <c r="DN102" s="2">
        <v>0</v>
      </c>
      <c r="DO102" s="2">
        <v>0</v>
      </c>
      <c r="DP102" s="2">
        <v>1</v>
      </c>
      <c r="DQ102" s="2">
        <v>1</v>
      </c>
      <c r="DR102" s="2"/>
      <c r="DS102" s="2"/>
      <c r="DT102" s="2"/>
      <c r="DU102" s="2">
        <v>1003</v>
      </c>
      <c r="DV102" s="2" t="s">
        <v>191</v>
      </c>
      <c r="DW102" s="2" t="s">
        <v>191</v>
      </c>
      <c r="DX102" s="2">
        <v>1</v>
      </c>
      <c r="DY102" s="2"/>
      <c r="DZ102" s="2" t="s">
        <v>3</v>
      </c>
      <c r="EA102" s="2" t="s">
        <v>3</v>
      </c>
      <c r="EB102" s="2" t="s">
        <v>3</v>
      </c>
      <c r="EC102" s="2" t="s">
        <v>3</v>
      </c>
      <c r="ED102" s="2"/>
      <c r="EE102" s="2">
        <v>56938740</v>
      </c>
      <c r="EF102" s="2">
        <v>40</v>
      </c>
      <c r="EG102" s="2" t="s">
        <v>29</v>
      </c>
      <c r="EH102" s="2">
        <v>0</v>
      </c>
      <c r="EI102" s="2" t="s">
        <v>3</v>
      </c>
      <c r="EJ102" s="2">
        <v>2</v>
      </c>
      <c r="EK102" s="2">
        <v>73</v>
      </c>
      <c r="EL102" s="2" t="s">
        <v>85</v>
      </c>
      <c r="EM102" s="2" t="s">
        <v>86</v>
      </c>
      <c r="EN102" s="2"/>
      <c r="EO102" s="2" t="s">
        <v>3</v>
      </c>
      <c r="EP102" s="2"/>
      <c r="EQ102" s="2">
        <v>0</v>
      </c>
      <c r="ER102" s="2">
        <v>155</v>
      </c>
      <c r="ES102" s="2">
        <v>155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>
        <v>0</v>
      </c>
      <c r="FR102" s="2">
        <v>0</v>
      </c>
      <c r="FS102" s="2">
        <v>0</v>
      </c>
      <c r="FT102" s="2"/>
      <c r="FU102" s="2"/>
      <c r="FV102" s="2"/>
      <c r="FW102" s="2"/>
      <c r="FX102" s="2">
        <v>90</v>
      </c>
      <c r="FY102" s="2">
        <v>46</v>
      </c>
      <c r="FZ102" s="2"/>
      <c r="GA102" s="2" t="s">
        <v>3</v>
      </c>
      <c r="GB102" s="2"/>
      <c r="GC102" s="2"/>
      <c r="GD102" s="2">
        <v>1</v>
      </c>
      <c r="GE102" s="2"/>
      <c r="GF102" s="2">
        <v>-50979398</v>
      </c>
      <c r="GG102" s="2">
        <v>2</v>
      </c>
      <c r="GH102" s="2">
        <v>1</v>
      </c>
      <c r="GI102" s="2">
        <v>-2</v>
      </c>
      <c r="GJ102" s="2">
        <v>0</v>
      </c>
      <c r="GK102" s="2">
        <v>0</v>
      </c>
      <c r="GL102" s="2">
        <f t="shared" si="120"/>
        <v>0</v>
      </c>
      <c r="GM102" s="2">
        <f t="shared" si="121"/>
        <v>3115.5</v>
      </c>
      <c r="GN102" s="2">
        <f t="shared" si="122"/>
        <v>0</v>
      </c>
      <c r="GO102" s="2">
        <f t="shared" si="123"/>
        <v>3115.5</v>
      </c>
      <c r="GP102" s="2">
        <f t="shared" si="124"/>
        <v>0</v>
      </c>
      <c r="GQ102" s="2"/>
      <c r="GR102" s="2">
        <v>0</v>
      </c>
      <c r="GS102" s="2">
        <v>3</v>
      </c>
      <c r="GT102" s="2">
        <v>0</v>
      </c>
      <c r="GU102" s="2" t="s">
        <v>3</v>
      </c>
      <c r="GV102" s="2">
        <f t="shared" si="125"/>
        <v>0</v>
      </c>
      <c r="GW102" s="2">
        <v>1</v>
      </c>
      <c r="GX102" s="2">
        <f t="shared" si="126"/>
        <v>0</v>
      </c>
      <c r="GY102" s="2"/>
      <c r="GZ102" s="2"/>
      <c r="HA102" s="2">
        <v>0</v>
      </c>
      <c r="HB102" s="2">
        <v>0</v>
      </c>
      <c r="HC102" s="2">
        <f t="shared" si="127"/>
        <v>0</v>
      </c>
      <c r="HD102" s="2"/>
      <c r="HE102" s="2" t="s">
        <v>3</v>
      </c>
      <c r="HF102" s="2" t="s">
        <v>3</v>
      </c>
      <c r="HG102" s="2"/>
      <c r="HH102" s="2"/>
      <c r="HI102" s="2"/>
      <c r="HJ102" s="2"/>
      <c r="HK102" s="2"/>
      <c r="HL102" s="2"/>
      <c r="HM102" s="2" t="s">
        <v>3</v>
      </c>
      <c r="HN102" s="2" t="s">
        <v>3</v>
      </c>
      <c r="HO102" s="2" t="s">
        <v>3</v>
      </c>
      <c r="HP102" s="2" t="s">
        <v>3</v>
      </c>
      <c r="HQ102" s="2" t="s">
        <v>3</v>
      </c>
      <c r="HR102" s="2"/>
      <c r="HS102" s="2">
        <v>0</v>
      </c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>
        <v>0</v>
      </c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x14ac:dyDescent="0.2">
      <c r="A103" s="3">
        <v>18</v>
      </c>
      <c r="B103" s="3">
        <v>1</v>
      </c>
      <c r="C103" s="3">
        <v>276</v>
      </c>
      <c r="E103" s="3" t="s">
        <v>188</v>
      </c>
      <c r="F103" s="3" t="s">
        <v>189</v>
      </c>
      <c r="G103" s="3" t="s">
        <v>190</v>
      </c>
      <c r="H103" s="3" t="s">
        <v>191</v>
      </c>
      <c r="I103" s="3">
        <f>I101*J103</f>
        <v>20.100000000000001</v>
      </c>
      <c r="J103" s="3">
        <v>100.5</v>
      </c>
      <c r="K103" s="3">
        <v>100.5</v>
      </c>
      <c r="O103" s="3">
        <f t="shared" si="103"/>
        <v>15172.49</v>
      </c>
      <c r="P103" s="3">
        <f t="shared" si="104"/>
        <v>15172.49</v>
      </c>
      <c r="Q103" s="3">
        <f>(ROUND((ROUND(((ET103)*AV103*I103),2)*BB103),2)+ROUND((ROUND(((AE103-(EU103))*AV103*I103),2)*BS103),2))</f>
        <v>0</v>
      </c>
      <c r="R103" s="3">
        <f>(ROUND((ROUND(((EU103)*AV103*I103),2)*BS103),2)+ROUND((ROUND(((AE103-(EU103))*AV103*I103),2)*BS103),2))</f>
        <v>0</v>
      </c>
      <c r="S103" s="3">
        <f t="shared" si="105"/>
        <v>0</v>
      </c>
      <c r="T103" s="3">
        <f t="shared" si="106"/>
        <v>0</v>
      </c>
      <c r="U103" s="3">
        <f t="shared" si="107"/>
        <v>0</v>
      </c>
      <c r="V103" s="3">
        <f t="shared" si="108"/>
        <v>0</v>
      </c>
      <c r="W103" s="3">
        <f t="shared" si="109"/>
        <v>0</v>
      </c>
      <c r="X103" s="3">
        <f>(ROUND((((S103+ROUND((ROUND(((EU103)*AV103*I103),2)*BS103),2))*AT103)/100),2)+ROUND(((ROUND((ROUND(((AE103-(EU103))*AV103*I103),2)*BS103),2)*AT103)/100),2))</f>
        <v>0</v>
      </c>
      <c r="Y103" s="3">
        <f>(ROUND((((S103+ROUND((ROUND(((EU103)*AV103*I103),2)*BS103),2))*AU103)/100),2)+ROUND(((ROUND((ROUND(((AE103-(EU103))*AV103*I103),2)*BS103),2)*AU103)/100),2))</f>
        <v>0</v>
      </c>
      <c r="AA103" s="3">
        <v>55747651</v>
      </c>
      <c r="AB103" s="3">
        <f t="shared" si="110"/>
        <v>155</v>
      </c>
      <c r="AC103" s="3">
        <f>ROUND((ES103),6)</f>
        <v>155</v>
      </c>
      <c r="AD103" s="3">
        <f>ROUND((((ET103)-(EU103))+AE103),6)</f>
        <v>0</v>
      </c>
      <c r="AE103" s="3">
        <f t="shared" si="130"/>
        <v>0</v>
      </c>
      <c r="AF103" s="3">
        <f t="shared" si="130"/>
        <v>0</v>
      </c>
      <c r="AG103" s="3">
        <f t="shared" si="111"/>
        <v>0</v>
      </c>
      <c r="AH103" s="3">
        <f t="shared" si="131"/>
        <v>0</v>
      </c>
      <c r="AI103" s="3">
        <f t="shared" si="131"/>
        <v>0</v>
      </c>
      <c r="AJ103" s="3">
        <f t="shared" si="112"/>
        <v>0</v>
      </c>
      <c r="AK103" s="3">
        <v>155</v>
      </c>
      <c r="AL103" s="3">
        <v>155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90</v>
      </c>
      <c r="AU103" s="3">
        <v>46</v>
      </c>
      <c r="AV103" s="3">
        <v>1</v>
      </c>
      <c r="AW103" s="3">
        <v>1</v>
      </c>
      <c r="AZ103" s="3">
        <v>1</v>
      </c>
      <c r="BA103" s="3">
        <v>1</v>
      </c>
      <c r="BB103" s="3">
        <v>1</v>
      </c>
      <c r="BC103" s="3">
        <v>4.87</v>
      </c>
      <c r="BD103" s="3" t="s">
        <v>3</v>
      </c>
      <c r="BE103" s="3" t="s">
        <v>3</v>
      </c>
      <c r="BF103" s="3" t="s">
        <v>3</v>
      </c>
      <c r="BG103" s="3" t="s">
        <v>3</v>
      </c>
      <c r="BH103" s="3">
        <v>3</v>
      </c>
      <c r="BI103" s="3">
        <v>2</v>
      </c>
      <c r="BJ103" s="3" t="s">
        <v>192</v>
      </c>
      <c r="BM103" s="3">
        <v>73</v>
      </c>
      <c r="BN103" s="3">
        <v>0</v>
      </c>
      <c r="BO103" s="3" t="s">
        <v>189</v>
      </c>
      <c r="BP103" s="3">
        <v>1</v>
      </c>
      <c r="BQ103" s="3">
        <v>40</v>
      </c>
      <c r="BR103" s="3">
        <v>0</v>
      </c>
      <c r="BS103" s="3">
        <v>1</v>
      </c>
      <c r="BT103" s="3">
        <v>1</v>
      </c>
      <c r="BU103" s="3">
        <v>1</v>
      </c>
      <c r="BV103" s="3">
        <v>1</v>
      </c>
      <c r="BW103" s="3">
        <v>1</v>
      </c>
      <c r="BX103" s="3">
        <v>1</v>
      </c>
      <c r="BY103" s="3" t="s">
        <v>3</v>
      </c>
      <c r="BZ103" s="3">
        <v>90</v>
      </c>
      <c r="CA103" s="3">
        <v>46</v>
      </c>
      <c r="CB103" s="3" t="s">
        <v>3</v>
      </c>
      <c r="CE103" s="3">
        <v>1566</v>
      </c>
      <c r="CF103" s="3">
        <v>0</v>
      </c>
      <c r="CG103" s="3">
        <v>0</v>
      </c>
      <c r="CM103" s="3">
        <v>0</v>
      </c>
      <c r="CN103" s="3" t="s">
        <v>3</v>
      </c>
      <c r="CO103" s="3">
        <v>0</v>
      </c>
      <c r="CP103" s="3">
        <f t="shared" si="113"/>
        <v>15172.49</v>
      </c>
      <c r="CQ103" s="3">
        <f t="shared" si="114"/>
        <v>754.85</v>
      </c>
      <c r="CR103" s="3">
        <f>(ROUND((ROUND(((ET103)*AV103*1),2)*BB103),2)+ROUND((ROUND(((AE103-(EU103))*AV103*1),2)*BS103),2))</f>
        <v>0</v>
      </c>
      <c r="CS103" s="3">
        <f>(ROUND((ROUND(((EU103)*AV103*1),2)*BS103),2)+ROUND((ROUND(((AE103-(EU103))*AV103*1),2)*BS103),2))</f>
        <v>0</v>
      </c>
      <c r="CT103" s="3">
        <f t="shared" si="115"/>
        <v>0</v>
      </c>
      <c r="CU103" s="3">
        <f t="shared" si="116"/>
        <v>0</v>
      </c>
      <c r="CV103" s="3">
        <f t="shared" si="117"/>
        <v>0</v>
      </c>
      <c r="CW103" s="3">
        <f t="shared" si="118"/>
        <v>0</v>
      </c>
      <c r="CX103" s="3">
        <f t="shared" si="119"/>
        <v>0</v>
      </c>
      <c r="CY103" s="3">
        <f>(ROUND((((S103+ROUND((ROUND(((EU103)*AV103*1),2)*BS103),2))*AT103)/100),2)+ROUND(((ROUND((ROUND(((AE103-(EU103))*AV103*1),2)*BS103),2)*AT103)/100),2))</f>
        <v>0</v>
      </c>
      <c r="CZ103" s="3">
        <f>(ROUND((((S103+ROUND((ROUND(((EU103)*AV103*1),2)*BS103),2))*AU103)/100),2)+ROUND(((ROUND((ROUND(((AE103-(EU103))*AV103*1),2)*BS103),2)*AU103)/100),2))</f>
        <v>0</v>
      </c>
      <c r="DC103" s="3" t="s">
        <v>3</v>
      </c>
      <c r="DD103" s="3" t="s">
        <v>3</v>
      </c>
      <c r="DE103" s="3" t="s">
        <v>3</v>
      </c>
      <c r="DF103" s="3" t="s">
        <v>3</v>
      </c>
      <c r="DG103" s="3" t="s">
        <v>3</v>
      </c>
      <c r="DH103" s="3" t="s">
        <v>3</v>
      </c>
      <c r="DI103" s="3" t="s">
        <v>3</v>
      </c>
      <c r="DJ103" s="3" t="s">
        <v>3</v>
      </c>
      <c r="DK103" s="3" t="s">
        <v>3</v>
      </c>
      <c r="DL103" s="3" t="s">
        <v>3</v>
      </c>
      <c r="DM103" s="3" t="s">
        <v>3</v>
      </c>
      <c r="DN103" s="3">
        <v>0</v>
      </c>
      <c r="DO103" s="3">
        <v>0</v>
      </c>
      <c r="DP103" s="3">
        <v>1</v>
      </c>
      <c r="DQ103" s="3">
        <v>1</v>
      </c>
      <c r="DU103" s="3">
        <v>1003</v>
      </c>
      <c r="DV103" s="3" t="s">
        <v>191</v>
      </c>
      <c r="DW103" s="3" t="s">
        <v>191</v>
      </c>
      <c r="DX103" s="3">
        <v>1</v>
      </c>
      <c r="DZ103" s="3" t="s">
        <v>3</v>
      </c>
      <c r="EA103" s="3" t="s">
        <v>3</v>
      </c>
      <c r="EB103" s="3" t="s">
        <v>3</v>
      </c>
      <c r="EC103" s="3" t="s">
        <v>3</v>
      </c>
      <c r="EE103" s="3">
        <v>56938740</v>
      </c>
      <c r="EF103" s="3">
        <v>40</v>
      </c>
      <c r="EG103" s="3" t="s">
        <v>29</v>
      </c>
      <c r="EH103" s="3">
        <v>0</v>
      </c>
      <c r="EI103" s="3" t="s">
        <v>3</v>
      </c>
      <c r="EJ103" s="3">
        <v>2</v>
      </c>
      <c r="EK103" s="3">
        <v>73</v>
      </c>
      <c r="EL103" s="3" t="s">
        <v>85</v>
      </c>
      <c r="EM103" s="3" t="s">
        <v>86</v>
      </c>
      <c r="EO103" s="3" t="s">
        <v>3</v>
      </c>
      <c r="EQ103" s="3">
        <v>0</v>
      </c>
      <c r="ER103" s="3">
        <v>155</v>
      </c>
      <c r="ES103" s="3">
        <v>155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FQ103" s="3">
        <v>0</v>
      </c>
      <c r="FR103" s="3">
        <v>0</v>
      </c>
      <c r="FS103" s="3">
        <v>0</v>
      </c>
      <c r="FX103" s="3">
        <v>90</v>
      </c>
      <c r="FY103" s="3">
        <v>46</v>
      </c>
      <c r="GA103" s="3" t="s">
        <v>3</v>
      </c>
      <c r="GD103" s="3">
        <v>1</v>
      </c>
      <c r="GF103" s="3">
        <v>-50979398</v>
      </c>
      <c r="GG103" s="3">
        <v>2</v>
      </c>
      <c r="GH103" s="3">
        <v>1</v>
      </c>
      <c r="GI103" s="3">
        <v>2</v>
      </c>
      <c r="GJ103" s="3">
        <v>0</v>
      </c>
      <c r="GK103" s="3">
        <v>0</v>
      </c>
      <c r="GL103" s="3">
        <f t="shared" si="120"/>
        <v>0</v>
      </c>
      <c r="GM103" s="3">
        <f t="shared" si="121"/>
        <v>15172.49</v>
      </c>
      <c r="GN103" s="3">
        <f t="shared" si="122"/>
        <v>0</v>
      </c>
      <c r="GO103" s="3">
        <f t="shared" si="123"/>
        <v>15172.49</v>
      </c>
      <c r="GP103" s="3">
        <f t="shared" si="124"/>
        <v>0</v>
      </c>
      <c r="GR103" s="3">
        <v>0</v>
      </c>
      <c r="GS103" s="3">
        <v>3</v>
      </c>
      <c r="GT103" s="3">
        <v>0</v>
      </c>
      <c r="GU103" s="3" t="s">
        <v>3</v>
      </c>
      <c r="GV103" s="3">
        <f t="shared" si="125"/>
        <v>0</v>
      </c>
      <c r="GW103" s="3">
        <v>1</v>
      </c>
      <c r="GX103" s="3">
        <f t="shared" si="126"/>
        <v>0</v>
      </c>
      <c r="HA103" s="3">
        <v>0</v>
      </c>
      <c r="HB103" s="3">
        <v>0</v>
      </c>
      <c r="HC103" s="3">
        <f t="shared" si="127"/>
        <v>0</v>
      </c>
      <c r="HE103" s="3" t="s">
        <v>3</v>
      </c>
      <c r="HF103" s="3" t="s">
        <v>3</v>
      </c>
      <c r="HM103" s="3" t="s">
        <v>3</v>
      </c>
      <c r="HN103" s="3" t="s">
        <v>3</v>
      </c>
      <c r="HO103" s="3" t="s">
        <v>3</v>
      </c>
      <c r="HP103" s="3" t="s">
        <v>3</v>
      </c>
      <c r="HQ103" s="3" t="s">
        <v>3</v>
      </c>
      <c r="HS103" s="3">
        <v>0</v>
      </c>
      <c r="IK103" s="3">
        <v>0</v>
      </c>
    </row>
    <row r="104" spans="1:255" x14ac:dyDescent="0.2">
      <c r="A104" s="2">
        <v>18</v>
      </c>
      <c r="B104" s="2">
        <v>1</v>
      </c>
      <c r="C104" s="2">
        <v>265</v>
      </c>
      <c r="D104" s="2"/>
      <c r="E104" s="2" t="s">
        <v>193</v>
      </c>
      <c r="F104" s="2" t="s">
        <v>152</v>
      </c>
      <c r="G104" s="2" t="s">
        <v>153</v>
      </c>
      <c r="H104" s="2" t="s">
        <v>118</v>
      </c>
      <c r="I104" s="2">
        <f>I100*J104</f>
        <v>4</v>
      </c>
      <c r="J104" s="2">
        <v>20</v>
      </c>
      <c r="K104" s="2">
        <v>20</v>
      </c>
      <c r="L104" s="2"/>
      <c r="M104" s="2"/>
      <c r="N104" s="2"/>
      <c r="O104" s="2">
        <f t="shared" si="103"/>
        <v>1361.64</v>
      </c>
      <c r="P104" s="2">
        <f t="shared" si="104"/>
        <v>1361.64</v>
      </c>
      <c r="Q104" s="2">
        <f>(ROUND((ROUND(((ET104)*AV104*I104),2)*BB104),2)+ROUND((ROUND(((AE104-(EU104))*AV104*I104),2)*BS104),2))</f>
        <v>0</v>
      </c>
      <c r="R104" s="2">
        <f>(ROUND((ROUND(((EU104)*AV104*I104),2)*BS104),2)+ROUND((ROUND(((AE104-(EU104))*AV104*I104),2)*BS104),2))</f>
        <v>0</v>
      </c>
      <c r="S104" s="2">
        <f t="shared" si="105"/>
        <v>0</v>
      </c>
      <c r="T104" s="2">
        <f t="shared" si="106"/>
        <v>0</v>
      </c>
      <c r="U104" s="2">
        <f t="shared" si="107"/>
        <v>0</v>
      </c>
      <c r="V104" s="2">
        <f t="shared" si="108"/>
        <v>0</v>
      </c>
      <c r="W104" s="2">
        <f t="shared" si="109"/>
        <v>0</v>
      </c>
      <c r="X104" s="2">
        <f>(ROUND((((S104+ROUND((ROUND(((EU104)*AV104*I104),2)*BS104),2))*AT104)/100),2)+ROUND(((ROUND((ROUND(((AE104-(EU104))*AV104*I104),2)*BS104),2)*AT104)/100),2))</f>
        <v>0</v>
      </c>
      <c r="Y104" s="2">
        <f>(ROUND((((S104+ROUND((ROUND(((EU104)*AV104*I104),2)*BS104),2))*AU104)/100),2)+ROUND(((ROUND((ROUND(((AE104-(EU104))*AV104*I104),2)*BS104),2)*AU104)/100),2))</f>
        <v>0</v>
      </c>
      <c r="Z104" s="2"/>
      <c r="AA104" s="2">
        <v>55747649</v>
      </c>
      <c r="AB104" s="2">
        <f t="shared" si="110"/>
        <v>340.41</v>
      </c>
      <c r="AC104" s="2">
        <f>ROUND((ES104),6)</f>
        <v>340.41</v>
      </c>
      <c r="AD104" s="2">
        <f>ROUND((((ET104)-(EU104))+AE104),6)</f>
        <v>0</v>
      </c>
      <c r="AE104" s="2">
        <f t="shared" si="130"/>
        <v>0</v>
      </c>
      <c r="AF104" s="2">
        <f t="shared" si="130"/>
        <v>0</v>
      </c>
      <c r="AG104" s="2">
        <f t="shared" si="111"/>
        <v>0</v>
      </c>
      <c r="AH104" s="2">
        <f t="shared" si="131"/>
        <v>0</v>
      </c>
      <c r="AI104" s="2">
        <f t="shared" si="131"/>
        <v>0</v>
      </c>
      <c r="AJ104" s="2">
        <f t="shared" si="112"/>
        <v>0</v>
      </c>
      <c r="AK104" s="2">
        <v>340.41</v>
      </c>
      <c r="AL104" s="2">
        <v>340.41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90</v>
      </c>
      <c r="AU104" s="2">
        <v>46</v>
      </c>
      <c r="AV104" s="2">
        <v>1</v>
      </c>
      <c r="AW104" s="2">
        <v>1</v>
      </c>
      <c r="AX104" s="2"/>
      <c r="AY104" s="2"/>
      <c r="AZ104" s="2">
        <v>1</v>
      </c>
      <c r="BA104" s="2">
        <v>1</v>
      </c>
      <c r="BB104" s="2">
        <v>1</v>
      </c>
      <c r="BC104" s="2">
        <v>1</v>
      </c>
      <c r="BD104" s="2" t="s">
        <v>3</v>
      </c>
      <c r="BE104" s="2" t="s">
        <v>3</v>
      </c>
      <c r="BF104" s="2" t="s">
        <v>3</v>
      </c>
      <c r="BG104" s="2" t="s">
        <v>3</v>
      </c>
      <c r="BH104" s="2">
        <v>3</v>
      </c>
      <c r="BI104" s="2">
        <v>2</v>
      </c>
      <c r="BJ104" s="2" t="s">
        <v>154</v>
      </c>
      <c r="BK104" s="2"/>
      <c r="BL104" s="2"/>
      <c r="BM104" s="2">
        <v>73</v>
      </c>
      <c r="BN104" s="2">
        <v>0</v>
      </c>
      <c r="BO104" s="2" t="s">
        <v>3</v>
      </c>
      <c r="BP104" s="2">
        <v>0</v>
      </c>
      <c r="BQ104" s="2">
        <v>40</v>
      </c>
      <c r="BR104" s="2">
        <v>0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 t="s">
        <v>3</v>
      </c>
      <c r="BZ104" s="2">
        <v>90</v>
      </c>
      <c r="CA104" s="2">
        <v>46</v>
      </c>
      <c r="CB104" s="2" t="s">
        <v>3</v>
      </c>
      <c r="CC104" s="2"/>
      <c r="CD104" s="2"/>
      <c r="CE104" s="2">
        <v>1566</v>
      </c>
      <c r="CF104" s="2">
        <v>0</v>
      </c>
      <c r="CG104" s="2">
        <v>0</v>
      </c>
      <c r="CH104" s="2"/>
      <c r="CI104" s="2"/>
      <c r="CJ104" s="2"/>
      <c r="CK104" s="2"/>
      <c r="CL104" s="2"/>
      <c r="CM104" s="2">
        <v>0</v>
      </c>
      <c r="CN104" s="2" t="s">
        <v>3</v>
      </c>
      <c r="CO104" s="2">
        <v>0</v>
      </c>
      <c r="CP104" s="2">
        <f t="shared" si="113"/>
        <v>1361.64</v>
      </c>
      <c r="CQ104" s="2">
        <f t="shared" si="114"/>
        <v>340.41</v>
      </c>
      <c r="CR104" s="2">
        <f>(ROUND((ROUND(((ET104)*AV104*1),2)*BB104),2)+ROUND((ROUND(((AE104-(EU104))*AV104*1),2)*BS104),2))</f>
        <v>0</v>
      </c>
      <c r="CS104" s="2">
        <f>(ROUND((ROUND(((EU104)*AV104*1),2)*BS104),2)+ROUND((ROUND(((AE104-(EU104))*AV104*1),2)*BS104),2))</f>
        <v>0</v>
      </c>
      <c r="CT104" s="2">
        <f t="shared" si="115"/>
        <v>0</v>
      </c>
      <c r="CU104" s="2">
        <f t="shared" si="116"/>
        <v>0</v>
      </c>
      <c r="CV104" s="2">
        <f t="shared" si="117"/>
        <v>0</v>
      </c>
      <c r="CW104" s="2">
        <f t="shared" si="118"/>
        <v>0</v>
      </c>
      <c r="CX104" s="2">
        <f t="shared" si="119"/>
        <v>0</v>
      </c>
      <c r="CY104" s="2">
        <f>(ROUND((((S104+ROUND((ROUND(((EU104)*AV104*1),2)*BS104),2))*AT104)/100),2)+ROUND(((ROUND((ROUND(((AE104-(EU104))*AV104*1),2)*BS104),2)*AT104)/100),2))</f>
        <v>0</v>
      </c>
      <c r="CZ104" s="2">
        <f>(ROUND((((S104+ROUND((ROUND(((EU104)*AV104*1),2)*BS104),2))*AU104)/100),2)+ROUND(((ROUND((ROUND(((AE104-(EU104))*AV104*1),2)*BS104),2)*AU104)/100),2))</f>
        <v>0</v>
      </c>
      <c r="DA104" s="2"/>
      <c r="DB104" s="2"/>
      <c r="DC104" s="2" t="s">
        <v>3</v>
      </c>
      <c r="DD104" s="2" t="s">
        <v>3</v>
      </c>
      <c r="DE104" s="2" t="s">
        <v>3</v>
      </c>
      <c r="DF104" s="2" t="s">
        <v>3</v>
      </c>
      <c r="DG104" s="2" t="s">
        <v>3</v>
      </c>
      <c r="DH104" s="2" t="s">
        <v>3</v>
      </c>
      <c r="DI104" s="2" t="s">
        <v>3</v>
      </c>
      <c r="DJ104" s="2" t="s">
        <v>3</v>
      </c>
      <c r="DK104" s="2" t="s">
        <v>3</v>
      </c>
      <c r="DL104" s="2" t="s">
        <v>3</v>
      </c>
      <c r="DM104" s="2" t="s">
        <v>3</v>
      </c>
      <c r="DN104" s="2">
        <v>0</v>
      </c>
      <c r="DO104" s="2">
        <v>0</v>
      </c>
      <c r="DP104" s="2">
        <v>1</v>
      </c>
      <c r="DQ104" s="2">
        <v>1</v>
      </c>
      <c r="DR104" s="2"/>
      <c r="DS104" s="2"/>
      <c r="DT104" s="2"/>
      <c r="DU104" s="2">
        <v>1010</v>
      </c>
      <c r="DV104" s="2" t="s">
        <v>118</v>
      </c>
      <c r="DW104" s="2" t="s">
        <v>118</v>
      </c>
      <c r="DX104" s="2">
        <v>1</v>
      </c>
      <c r="DY104" s="2"/>
      <c r="DZ104" s="2" t="s">
        <v>3</v>
      </c>
      <c r="EA104" s="2" t="s">
        <v>3</v>
      </c>
      <c r="EB104" s="2" t="s">
        <v>3</v>
      </c>
      <c r="EC104" s="2" t="s">
        <v>3</v>
      </c>
      <c r="ED104" s="2"/>
      <c r="EE104" s="2">
        <v>56938740</v>
      </c>
      <c r="EF104" s="2">
        <v>40</v>
      </c>
      <c r="EG104" s="2" t="s">
        <v>29</v>
      </c>
      <c r="EH104" s="2">
        <v>0</v>
      </c>
      <c r="EI104" s="2" t="s">
        <v>3</v>
      </c>
      <c r="EJ104" s="2">
        <v>2</v>
      </c>
      <c r="EK104" s="2">
        <v>73</v>
      </c>
      <c r="EL104" s="2" t="s">
        <v>85</v>
      </c>
      <c r="EM104" s="2" t="s">
        <v>86</v>
      </c>
      <c r="EN104" s="2"/>
      <c r="EO104" s="2" t="s">
        <v>3</v>
      </c>
      <c r="EP104" s="2"/>
      <c r="EQ104" s="2">
        <v>0</v>
      </c>
      <c r="ER104" s="2">
        <v>340.41</v>
      </c>
      <c r="ES104" s="2">
        <v>340.41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>
        <v>0</v>
      </c>
      <c r="FR104" s="2">
        <v>0</v>
      </c>
      <c r="FS104" s="2">
        <v>0</v>
      </c>
      <c r="FT104" s="2"/>
      <c r="FU104" s="2"/>
      <c r="FV104" s="2"/>
      <c r="FW104" s="2"/>
      <c r="FX104" s="2">
        <v>90</v>
      </c>
      <c r="FY104" s="2">
        <v>46</v>
      </c>
      <c r="FZ104" s="2"/>
      <c r="GA104" s="2" t="s">
        <v>3</v>
      </c>
      <c r="GB104" s="2"/>
      <c r="GC104" s="2"/>
      <c r="GD104" s="2">
        <v>1</v>
      </c>
      <c r="GE104" s="2"/>
      <c r="GF104" s="2">
        <v>774186860</v>
      </c>
      <c r="GG104" s="2">
        <v>2</v>
      </c>
      <c r="GH104" s="2">
        <v>1</v>
      </c>
      <c r="GI104" s="2">
        <v>-2</v>
      </c>
      <c r="GJ104" s="2">
        <v>0</v>
      </c>
      <c r="GK104" s="2">
        <v>0</v>
      </c>
      <c r="GL104" s="2">
        <f t="shared" si="120"/>
        <v>0</v>
      </c>
      <c r="GM104" s="2">
        <f t="shared" si="121"/>
        <v>1361.64</v>
      </c>
      <c r="GN104" s="2">
        <f t="shared" si="122"/>
        <v>0</v>
      </c>
      <c r="GO104" s="2">
        <f t="shared" si="123"/>
        <v>1361.64</v>
      </c>
      <c r="GP104" s="2">
        <f t="shared" si="124"/>
        <v>0</v>
      </c>
      <c r="GQ104" s="2"/>
      <c r="GR104" s="2">
        <v>0</v>
      </c>
      <c r="GS104" s="2">
        <v>3</v>
      </c>
      <c r="GT104" s="2">
        <v>0</v>
      </c>
      <c r="GU104" s="2" t="s">
        <v>3</v>
      </c>
      <c r="GV104" s="2">
        <f t="shared" si="125"/>
        <v>0</v>
      </c>
      <c r="GW104" s="2">
        <v>1</v>
      </c>
      <c r="GX104" s="2">
        <f t="shared" si="126"/>
        <v>0</v>
      </c>
      <c r="GY104" s="2"/>
      <c r="GZ104" s="2"/>
      <c r="HA104" s="2">
        <v>0</v>
      </c>
      <c r="HB104" s="2">
        <v>0</v>
      </c>
      <c r="HC104" s="2">
        <f t="shared" si="127"/>
        <v>0</v>
      </c>
      <c r="HD104" s="2"/>
      <c r="HE104" s="2" t="s">
        <v>3</v>
      </c>
      <c r="HF104" s="2" t="s">
        <v>3</v>
      </c>
      <c r="HG104" s="2"/>
      <c r="HH104" s="2"/>
      <c r="HI104" s="2"/>
      <c r="HJ104" s="2"/>
      <c r="HK104" s="2"/>
      <c r="HL104" s="2"/>
      <c r="HM104" s="2" t="s">
        <v>3</v>
      </c>
      <c r="HN104" s="2" t="s">
        <v>3</v>
      </c>
      <c r="HO104" s="2" t="s">
        <v>3</v>
      </c>
      <c r="HP104" s="2" t="s">
        <v>3</v>
      </c>
      <c r="HQ104" s="2" t="s">
        <v>3</v>
      </c>
      <c r="HR104" s="2"/>
      <c r="HS104" s="2">
        <v>0</v>
      </c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>
        <v>0</v>
      </c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x14ac:dyDescent="0.2">
      <c r="A105" s="3">
        <v>18</v>
      </c>
      <c r="B105" s="3">
        <v>1</v>
      </c>
      <c r="C105" s="3">
        <v>275</v>
      </c>
      <c r="E105" s="3" t="s">
        <v>193</v>
      </c>
      <c r="F105" s="3" t="s">
        <v>152</v>
      </c>
      <c r="G105" s="3" t="s">
        <v>153</v>
      </c>
      <c r="H105" s="3" t="s">
        <v>118</v>
      </c>
      <c r="I105" s="3">
        <f>I101*J105</f>
        <v>4</v>
      </c>
      <c r="J105" s="3">
        <v>20</v>
      </c>
      <c r="K105" s="3">
        <v>20</v>
      </c>
      <c r="O105" s="3">
        <f t="shared" si="103"/>
        <v>6127.38</v>
      </c>
      <c r="P105" s="3">
        <f t="shared" si="104"/>
        <v>6127.38</v>
      </c>
      <c r="Q105" s="3">
        <f>(ROUND((ROUND(((ET105)*AV105*I105),2)*BB105),2)+ROUND((ROUND(((AE105-(EU105))*AV105*I105),2)*BS105),2))</f>
        <v>0</v>
      </c>
      <c r="R105" s="3">
        <f>(ROUND((ROUND(((EU105)*AV105*I105),2)*BS105),2)+ROUND((ROUND(((AE105-(EU105))*AV105*I105),2)*BS105),2))</f>
        <v>0</v>
      </c>
      <c r="S105" s="3">
        <f t="shared" si="105"/>
        <v>0</v>
      </c>
      <c r="T105" s="3">
        <f t="shared" si="106"/>
        <v>0</v>
      </c>
      <c r="U105" s="3">
        <f t="shared" si="107"/>
        <v>0</v>
      </c>
      <c r="V105" s="3">
        <f t="shared" si="108"/>
        <v>0</v>
      </c>
      <c r="W105" s="3">
        <f t="shared" si="109"/>
        <v>0</v>
      </c>
      <c r="X105" s="3">
        <f>(ROUND((((S105+ROUND((ROUND(((EU105)*AV105*I105),2)*BS105),2))*AT105)/100),2)+ROUND(((ROUND((ROUND(((AE105-(EU105))*AV105*I105),2)*BS105),2)*AT105)/100),2))</f>
        <v>0</v>
      </c>
      <c r="Y105" s="3">
        <f>(ROUND((((S105+ROUND((ROUND(((EU105)*AV105*I105),2)*BS105),2))*AU105)/100),2)+ROUND(((ROUND((ROUND(((AE105-(EU105))*AV105*I105),2)*BS105),2)*AU105)/100),2))</f>
        <v>0</v>
      </c>
      <c r="AA105" s="3">
        <v>55747651</v>
      </c>
      <c r="AB105" s="3">
        <f t="shared" si="110"/>
        <v>340.41</v>
      </c>
      <c r="AC105" s="3">
        <f>ROUND((ES105),6)</f>
        <v>340.41</v>
      </c>
      <c r="AD105" s="3">
        <f>ROUND((((ET105)-(EU105))+AE105),6)</f>
        <v>0</v>
      </c>
      <c r="AE105" s="3">
        <f t="shared" si="130"/>
        <v>0</v>
      </c>
      <c r="AF105" s="3">
        <f t="shared" si="130"/>
        <v>0</v>
      </c>
      <c r="AG105" s="3">
        <f t="shared" si="111"/>
        <v>0</v>
      </c>
      <c r="AH105" s="3">
        <f t="shared" si="131"/>
        <v>0</v>
      </c>
      <c r="AI105" s="3">
        <f t="shared" si="131"/>
        <v>0</v>
      </c>
      <c r="AJ105" s="3">
        <f t="shared" si="112"/>
        <v>0</v>
      </c>
      <c r="AK105" s="3">
        <v>340.41</v>
      </c>
      <c r="AL105" s="3">
        <v>340.41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90</v>
      </c>
      <c r="AU105" s="3">
        <v>46</v>
      </c>
      <c r="AV105" s="3">
        <v>1</v>
      </c>
      <c r="AW105" s="3">
        <v>1</v>
      </c>
      <c r="AZ105" s="3">
        <v>1</v>
      </c>
      <c r="BA105" s="3">
        <v>1</v>
      </c>
      <c r="BB105" s="3">
        <v>1</v>
      </c>
      <c r="BC105" s="3">
        <v>4.5</v>
      </c>
      <c r="BD105" s="3" t="s">
        <v>3</v>
      </c>
      <c r="BE105" s="3" t="s">
        <v>3</v>
      </c>
      <c r="BF105" s="3" t="s">
        <v>3</v>
      </c>
      <c r="BG105" s="3" t="s">
        <v>3</v>
      </c>
      <c r="BH105" s="3">
        <v>3</v>
      </c>
      <c r="BI105" s="3">
        <v>2</v>
      </c>
      <c r="BJ105" s="3" t="s">
        <v>154</v>
      </c>
      <c r="BM105" s="3">
        <v>73</v>
      </c>
      <c r="BN105" s="3">
        <v>0</v>
      </c>
      <c r="BO105" s="3" t="s">
        <v>152</v>
      </c>
      <c r="BP105" s="3">
        <v>1</v>
      </c>
      <c r="BQ105" s="3">
        <v>40</v>
      </c>
      <c r="BR105" s="3">
        <v>0</v>
      </c>
      <c r="BS105" s="3">
        <v>1</v>
      </c>
      <c r="BT105" s="3">
        <v>1</v>
      </c>
      <c r="BU105" s="3">
        <v>1</v>
      </c>
      <c r="BV105" s="3">
        <v>1</v>
      </c>
      <c r="BW105" s="3">
        <v>1</v>
      </c>
      <c r="BX105" s="3">
        <v>1</v>
      </c>
      <c r="BY105" s="3" t="s">
        <v>3</v>
      </c>
      <c r="BZ105" s="3">
        <v>90</v>
      </c>
      <c r="CA105" s="3">
        <v>46</v>
      </c>
      <c r="CB105" s="3" t="s">
        <v>3</v>
      </c>
      <c r="CE105" s="3">
        <v>1566</v>
      </c>
      <c r="CF105" s="3">
        <v>0</v>
      </c>
      <c r="CG105" s="3">
        <v>0</v>
      </c>
      <c r="CM105" s="3">
        <v>0</v>
      </c>
      <c r="CN105" s="3" t="s">
        <v>3</v>
      </c>
      <c r="CO105" s="3">
        <v>0</v>
      </c>
      <c r="CP105" s="3">
        <f t="shared" si="113"/>
        <v>6127.38</v>
      </c>
      <c r="CQ105" s="3">
        <f t="shared" si="114"/>
        <v>1531.85</v>
      </c>
      <c r="CR105" s="3">
        <f>(ROUND((ROUND(((ET105)*AV105*1),2)*BB105),2)+ROUND((ROUND(((AE105-(EU105))*AV105*1),2)*BS105),2))</f>
        <v>0</v>
      </c>
      <c r="CS105" s="3">
        <f>(ROUND((ROUND(((EU105)*AV105*1),2)*BS105),2)+ROUND((ROUND(((AE105-(EU105))*AV105*1),2)*BS105),2))</f>
        <v>0</v>
      </c>
      <c r="CT105" s="3">
        <f t="shared" si="115"/>
        <v>0</v>
      </c>
      <c r="CU105" s="3">
        <f t="shared" si="116"/>
        <v>0</v>
      </c>
      <c r="CV105" s="3">
        <f t="shared" si="117"/>
        <v>0</v>
      </c>
      <c r="CW105" s="3">
        <f t="shared" si="118"/>
        <v>0</v>
      </c>
      <c r="CX105" s="3">
        <f t="shared" si="119"/>
        <v>0</v>
      </c>
      <c r="CY105" s="3">
        <f>(ROUND((((S105+ROUND((ROUND(((EU105)*AV105*1),2)*BS105),2))*AT105)/100),2)+ROUND(((ROUND((ROUND(((AE105-(EU105))*AV105*1),2)*BS105),2)*AT105)/100),2))</f>
        <v>0</v>
      </c>
      <c r="CZ105" s="3">
        <f>(ROUND((((S105+ROUND((ROUND(((EU105)*AV105*1),2)*BS105),2))*AU105)/100),2)+ROUND(((ROUND((ROUND(((AE105-(EU105))*AV105*1),2)*BS105),2)*AU105)/100),2))</f>
        <v>0</v>
      </c>
      <c r="DC105" s="3" t="s">
        <v>3</v>
      </c>
      <c r="DD105" s="3" t="s">
        <v>3</v>
      </c>
      <c r="DE105" s="3" t="s">
        <v>3</v>
      </c>
      <c r="DF105" s="3" t="s">
        <v>3</v>
      </c>
      <c r="DG105" s="3" t="s">
        <v>3</v>
      </c>
      <c r="DH105" s="3" t="s">
        <v>3</v>
      </c>
      <c r="DI105" s="3" t="s">
        <v>3</v>
      </c>
      <c r="DJ105" s="3" t="s">
        <v>3</v>
      </c>
      <c r="DK105" s="3" t="s">
        <v>3</v>
      </c>
      <c r="DL105" s="3" t="s">
        <v>3</v>
      </c>
      <c r="DM105" s="3" t="s">
        <v>3</v>
      </c>
      <c r="DN105" s="3">
        <v>0</v>
      </c>
      <c r="DO105" s="3">
        <v>0</v>
      </c>
      <c r="DP105" s="3">
        <v>1</v>
      </c>
      <c r="DQ105" s="3">
        <v>1</v>
      </c>
      <c r="DU105" s="3">
        <v>1010</v>
      </c>
      <c r="DV105" s="3" t="s">
        <v>118</v>
      </c>
      <c r="DW105" s="3" t="s">
        <v>118</v>
      </c>
      <c r="DX105" s="3">
        <v>1</v>
      </c>
      <c r="DZ105" s="3" t="s">
        <v>3</v>
      </c>
      <c r="EA105" s="3" t="s">
        <v>3</v>
      </c>
      <c r="EB105" s="3" t="s">
        <v>3</v>
      </c>
      <c r="EC105" s="3" t="s">
        <v>3</v>
      </c>
      <c r="EE105" s="3">
        <v>56938740</v>
      </c>
      <c r="EF105" s="3">
        <v>40</v>
      </c>
      <c r="EG105" s="3" t="s">
        <v>29</v>
      </c>
      <c r="EH105" s="3">
        <v>0</v>
      </c>
      <c r="EI105" s="3" t="s">
        <v>3</v>
      </c>
      <c r="EJ105" s="3">
        <v>2</v>
      </c>
      <c r="EK105" s="3">
        <v>73</v>
      </c>
      <c r="EL105" s="3" t="s">
        <v>85</v>
      </c>
      <c r="EM105" s="3" t="s">
        <v>86</v>
      </c>
      <c r="EO105" s="3" t="s">
        <v>3</v>
      </c>
      <c r="EQ105" s="3">
        <v>0</v>
      </c>
      <c r="ER105" s="3">
        <v>340.41</v>
      </c>
      <c r="ES105" s="3">
        <v>340.41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FQ105" s="3">
        <v>0</v>
      </c>
      <c r="FR105" s="3">
        <v>0</v>
      </c>
      <c r="FS105" s="3">
        <v>0</v>
      </c>
      <c r="FX105" s="3">
        <v>90</v>
      </c>
      <c r="FY105" s="3">
        <v>46</v>
      </c>
      <c r="GA105" s="3" t="s">
        <v>3</v>
      </c>
      <c r="GD105" s="3">
        <v>1</v>
      </c>
      <c r="GF105" s="3">
        <v>774186860</v>
      </c>
      <c r="GG105" s="3">
        <v>2</v>
      </c>
      <c r="GH105" s="3">
        <v>1</v>
      </c>
      <c r="GI105" s="3">
        <v>2</v>
      </c>
      <c r="GJ105" s="3">
        <v>0</v>
      </c>
      <c r="GK105" s="3">
        <v>0</v>
      </c>
      <c r="GL105" s="3">
        <f t="shared" si="120"/>
        <v>0</v>
      </c>
      <c r="GM105" s="3">
        <f t="shared" si="121"/>
        <v>6127.38</v>
      </c>
      <c r="GN105" s="3">
        <f t="shared" si="122"/>
        <v>0</v>
      </c>
      <c r="GO105" s="3">
        <f t="shared" si="123"/>
        <v>6127.38</v>
      </c>
      <c r="GP105" s="3">
        <f t="shared" si="124"/>
        <v>0</v>
      </c>
      <c r="GR105" s="3">
        <v>0</v>
      </c>
      <c r="GS105" s="3">
        <v>3</v>
      </c>
      <c r="GT105" s="3">
        <v>0</v>
      </c>
      <c r="GU105" s="3" t="s">
        <v>3</v>
      </c>
      <c r="GV105" s="3">
        <f t="shared" si="125"/>
        <v>0</v>
      </c>
      <c r="GW105" s="3">
        <v>1</v>
      </c>
      <c r="GX105" s="3">
        <f t="shared" si="126"/>
        <v>0</v>
      </c>
      <c r="HA105" s="3">
        <v>0</v>
      </c>
      <c r="HB105" s="3">
        <v>0</v>
      </c>
      <c r="HC105" s="3">
        <f t="shared" si="127"/>
        <v>0</v>
      </c>
      <c r="HE105" s="3" t="s">
        <v>3</v>
      </c>
      <c r="HF105" s="3" t="s">
        <v>3</v>
      </c>
      <c r="HM105" s="3" t="s">
        <v>3</v>
      </c>
      <c r="HN105" s="3" t="s">
        <v>3</v>
      </c>
      <c r="HO105" s="3" t="s">
        <v>3</v>
      </c>
      <c r="HP105" s="3" t="s">
        <v>3</v>
      </c>
      <c r="HQ105" s="3" t="s">
        <v>3</v>
      </c>
      <c r="HS105" s="3">
        <v>0</v>
      </c>
      <c r="IK105" s="3">
        <v>0</v>
      </c>
    </row>
    <row r="106" spans="1:255" x14ac:dyDescent="0.2">
      <c r="A106" s="2">
        <v>17</v>
      </c>
      <c r="B106" s="2">
        <v>1</v>
      </c>
      <c r="C106" s="2">
        <f>ROW(SmtRes!A286)</f>
        <v>286</v>
      </c>
      <c r="D106" s="2">
        <f>ROW(EtalonRes!A323)</f>
        <v>323</v>
      </c>
      <c r="E106" s="2" t="s">
        <v>194</v>
      </c>
      <c r="F106" s="2" t="s">
        <v>195</v>
      </c>
      <c r="G106" s="2" t="s">
        <v>196</v>
      </c>
      <c r="H106" s="2" t="s">
        <v>186</v>
      </c>
      <c r="I106" s="2">
        <f>ROUND((40+60)/100,9)</f>
        <v>1</v>
      </c>
      <c r="J106" s="2">
        <v>0</v>
      </c>
      <c r="K106" s="2">
        <f>ROUND((40+60)/100,9)</f>
        <v>1</v>
      </c>
      <c r="L106" s="2"/>
      <c r="M106" s="2"/>
      <c r="N106" s="2"/>
      <c r="O106" s="2">
        <f t="shared" si="103"/>
        <v>3749.55</v>
      </c>
      <c r="P106" s="2">
        <f t="shared" si="104"/>
        <v>129.56</v>
      </c>
      <c r="Q106" s="2">
        <f>(ROUND((ROUND((((ET106*1.2))*AV106*I106),2)*BB106),2)+ROUND((ROUND(((AE106-((EU106*1.2)))*AV106*I106),2)*BS106),2))</f>
        <v>1050.76</v>
      </c>
      <c r="R106" s="2">
        <f>(ROUND((ROUND((((EU106*1.2))*AV106*I106),2)*BS106),2)+ROUND((ROUND(((AE106-((EU106*1.2)))*AV106*I106),2)*BS106),2))</f>
        <v>178.72</v>
      </c>
      <c r="S106" s="2">
        <f t="shared" si="105"/>
        <v>2569.23</v>
      </c>
      <c r="T106" s="2">
        <f t="shared" si="106"/>
        <v>0</v>
      </c>
      <c r="U106" s="2">
        <f t="shared" si="107"/>
        <v>203.58359999999996</v>
      </c>
      <c r="V106" s="2">
        <f t="shared" si="108"/>
        <v>0</v>
      </c>
      <c r="W106" s="2">
        <f t="shared" si="109"/>
        <v>0</v>
      </c>
      <c r="X106" s="2">
        <f>(ROUND((((S106+ROUND((ROUND((((EU106*1.2))*AV106*I106),2)*BS106),2))*AT106)/100),2)+ROUND(((ROUND((ROUND(((AE106-((EU106*1.2)))*AV106*I106),2)*BS106),2)*AT106)/100),2))</f>
        <v>2473.16</v>
      </c>
      <c r="Y106" s="2">
        <f>(ROUND((((S106+ROUND((ROUND((((EU106*1.2))*AV106*I106),2)*BS106),2))*AU106)/100),2)+ROUND(((ROUND((ROUND(((AE106-((EU106*1.2)))*AV106*I106),2)*BS106),2)*AU106)/100),2))</f>
        <v>1264.06</v>
      </c>
      <c r="Z106" s="2"/>
      <c r="AA106" s="2">
        <v>55747649</v>
      </c>
      <c r="AB106" s="2">
        <f t="shared" si="110"/>
        <v>3518.7060000000001</v>
      </c>
      <c r="AC106" s="2">
        <f>ROUND(((ES106*1)),6)</f>
        <v>126.03</v>
      </c>
      <c r="AD106" s="2">
        <f>ROUND(((((ET106*1.2))-((EU106*1.2)))+AE106),6)</f>
        <v>984.78</v>
      </c>
      <c r="AE106" s="2">
        <f>ROUND(((EU106*1.2)),6)</f>
        <v>167.49600000000001</v>
      </c>
      <c r="AF106" s="2">
        <f>ROUND(((EV106*1.2)),6)</f>
        <v>2407.8960000000002</v>
      </c>
      <c r="AG106" s="2">
        <f t="shared" si="111"/>
        <v>0</v>
      </c>
      <c r="AH106" s="2">
        <f>((EW106*1.2))</f>
        <v>190.79999999999998</v>
      </c>
      <c r="AI106" s="2">
        <f>((EX106*1.2))</f>
        <v>0</v>
      </c>
      <c r="AJ106" s="2">
        <f t="shared" si="112"/>
        <v>0</v>
      </c>
      <c r="AK106" s="2">
        <v>2953.26</v>
      </c>
      <c r="AL106" s="2">
        <v>126.03</v>
      </c>
      <c r="AM106" s="2">
        <v>820.65</v>
      </c>
      <c r="AN106" s="2">
        <v>139.58000000000001</v>
      </c>
      <c r="AO106" s="2">
        <v>2006.58</v>
      </c>
      <c r="AP106" s="2">
        <v>0</v>
      </c>
      <c r="AQ106" s="2">
        <v>159</v>
      </c>
      <c r="AR106" s="2">
        <v>0</v>
      </c>
      <c r="AS106" s="2">
        <v>0</v>
      </c>
      <c r="AT106" s="2">
        <v>90</v>
      </c>
      <c r="AU106" s="2">
        <v>46</v>
      </c>
      <c r="AV106" s="2">
        <v>1.0669999999999999</v>
      </c>
      <c r="AW106" s="2">
        <v>1.028</v>
      </c>
      <c r="AX106" s="2"/>
      <c r="AY106" s="2"/>
      <c r="AZ106" s="2">
        <v>1</v>
      </c>
      <c r="BA106" s="2">
        <v>1</v>
      </c>
      <c r="BB106" s="2">
        <v>1</v>
      </c>
      <c r="BC106" s="2">
        <v>1</v>
      </c>
      <c r="BD106" s="2" t="s">
        <v>3</v>
      </c>
      <c r="BE106" s="2" t="s">
        <v>3</v>
      </c>
      <c r="BF106" s="2" t="s">
        <v>3</v>
      </c>
      <c r="BG106" s="2" t="s">
        <v>3</v>
      </c>
      <c r="BH106" s="2">
        <v>0</v>
      </c>
      <c r="BI106" s="2">
        <v>2</v>
      </c>
      <c r="BJ106" s="2" t="s">
        <v>197</v>
      </c>
      <c r="BK106" s="2"/>
      <c r="BL106" s="2"/>
      <c r="BM106" s="2">
        <v>73</v>
      </c>
      <c r="BN106" s="2">
        <v>0</v>
      </c>
      <c r="BO106" s="2" t="s">
        <v>195</v>
      </c>
      <c r="BP106" s="2">
        <v>1</v>
      </c>
      <c r="BQ106" s="2">
        <v>40</v>
      </c>
      <c r="BR106" s="2">
        <v>0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 t="s">
        <v>3</v>
      </c>
      <c r="BZ106" s="2">
        <v>90</v>
      </c>
      <c r="CA106" s="2">
        <v>46</v>
      </c>
      <c r="CB106" s="2" t="s">
        <v>3</v>
      </c>
      <c r="CC106" s="2"/>
      <c r="CD106" s="2"/>
      <c r="CE106" s="2">
        <v>1566</v>
      </c>
      <c r="CF106" s="2">
        <v>0</v>
      </c>
      <c r="CG106" s="2">
        <v>0</v>
      </c>
      <c r="CH106" s="2"/>
      <c r="CI106" s="2"/>
      <c r="CJ106" s="2"/>
      <c r="CK106" s="2"/>
      <c r="CL106" s="2"/>
      <c r="CM106" s="2">
        <v>0</v>
      </c>
      <c r="CN106" s="2" t="s">
        <v>716</v>
      </c>
      <c r="CO106" s="2">
        <v>0</v>
      </c>
      <c r="CP106" s="2">
        <f t="shared" si="113"/>
        <v>3749.55</v>
      </c>
      <c r="CQ106" s="2">
        <f t="shared" si="114"/>
        <v>129.56</v>
      </c>
      <c r="CR106" s="2">
        <f>(ROUND((ROUND((((ET106*1.2))*AV106*1),2)*BB106),2)+ROUND((ROUND(((AE106-((EU106*1.2)))*AV106*1),2)*BS106),2))</f>
        <v>1050.76</v>
      </c>
      <c r="CS106" s="2">
        <f>(ROUND((ROUND((((EU106*1.2))*AV106*1),2)*BS106),2)+ROUND((ROUND(((AE106-((EU106*1.2)))*AV106*1),2)*BS106),2))</f>
        <v>178.72</v>
      </c>
      <c r="CT106" s="2">
        <f t="shared" si="115"/>
        <v>2569.23</v>
      </c>
      <c r="CU106" s="2">
        <f t="shared" si="116"/>
        <v>0</v>
      </c>
      <c r="CV106" s="2">
        <f t="shared" si="117"/>
        <v>203.58359999999996</v>
      </c>
      <c r="CW106" s="2">
        <f t="shared" si="118"/>
        <v>0</v>
      </c>
      <c r="CX106" s="2">
        <f t="shared" si="119"/>
        <v>0</v>
      </c>
      <c r="CY106" s="2">
        <f>(ROUND((((S106+ROUND((ROUND((((EU106*1.2))*AV106*1),2)*BS106),2))*AT106)/100),2)+ROUND(((ROUND((ROUND(((AE106-((EU106*1.2)))*AV106*1),2)*BS106),2)*AT106)/100),2))</f>
        <v>2473.16</v>
      </c>
      <c r="CZ106" s="2">
        <f>(ROUND((((S106+ROUND((ROUND((((EU106*1.2))*AV106*1),2)*BS106),2))*AU106)/100),2)+ROUND(((ROUND((ROUND(((AE106-((EU106*1.2)))*AV106*1),2)*BS106),2)*AU106)/100),2))</f>
        <v>1264.06</v>
      </c>
      <c r="DA106" s="2"/>
      <c r="DB106" s="2">
        <v>51</v>
      </c>
      <c r="DC106" s="2" t="s">
        <v>3</v>
      </c>
      <c r="DD106" s="2" t="s">
        <v>48</v>
      </c>
      <c r="DE106" s="2" t="s">
        <v>49</v>
      </c>
      <c r="DF106" s="2" t="s">
        <v>49</v>
      </c>
      <c r="DG106" s="2" t="s">
        <v>49</v>
      </c>
      <c r="DH106" s="2" t="s">
        <v>3</v>
      </c>
      <c r="DI106" s="2" t="s">
        <v>49</v>
      </c>
      <c r="DJ106" s="2" t="s">
        <v>49</v>
      </c>
      <c r="DK106" s="2" t="s">
        <v>3</v>
      </c>
      <c r="DL106" s="2" t="s">
        <v>3</v>
      </c>
      <c r="DM106" s="2" t="s">
        <v>3</v>
      </c>
      <c r="DN106" s="2">
        <v>0</v>
      </c>
      <c r="DO106" s="2">
        <v>0</v>
      </c>
      <c r="DP106" s="2">
        <v>1</v>
      </c>
      <c r="DQ106" s="2">
        <v>1</v>
      </c>
      <c r="DR106" s="2"/>
      <c r="DS106" s="2"/>
      <c r="DT106" s="2"/>
      <c r="DU106" s="2">
        <v>1003</v>
      </c>
      <c r="DV106" s="2" t="s">
        <v>186</v>
      </c>
      <c r="DW106" s="2" t="s">
        <v>186</v>
      </c>
      <c r="DX106" s="2">
        <v>100</v>
      </c>
      <c r="DY106" s="2"/>
      <c r="DZ106" s="2" t="s">
        <v>3</v>
      </c>
      <c r="EA106" s="2" t="s">
        <v>3</v>
      </c>
      <c r="EB106" s="2" t="s">
        <v>3</v>
      </c>
      <c r="EC106" s="2" t="s">
        <v>3</v>
      </c>
      <c r="ED106" s="2"/>
      <c r="EE106" s="2">
        <v>56938740</v>
      </c>
      <c r="EF106" s="2">
        <v>40</v>
      </c>
      <c r="EG106" s="2" t="s">
        <v>29</v>
      </c>
      <c r="EH106" s="2">
        <v>0</v>
      </c>
      <c r="EI106" s="2" t="s">
        <v>3</v>
      </c>
      <c r="EJ106" s="2">
        <v>2</v>
      </c>
      <c r="EK106" s="2">
        <v>73</v>
      </c>
      <c r="EL106" s="2" t="s">
        <v>85</v>
      </c>
      <c r="EM106" s="2" t="s">
        <v>86</v>
      </c>
      <c r="EN106" s="2"/>
      <c r="EO106" s="2" t="s">
        <v>50</v>
      </c>
      <c r="EP106" s="2"/>
      <c r="EQ106" s="2">
        <v>131072</v>
      </c>
      <c r="ER106" s="2">
        <v>2953.26</v>
      </c>
      <c r="ES106" s="2">
        <v>126.03</v>
      </c>
      <c r="ET106" s="2">
        <v>820.65</v>
      </c>
      <c r="EU106" s="2">
        <v>139.58000000000001</v>
      </c>
      <c r="EV106" s="2">
        <v>2006.58</v>
      </c>
      <c r="EW106" s="2">
        <v>159</v>
      </c>
      <c r="EX106" s="2">
        <v>0</v>
      </c>
      <c r="EY106" s="2">
        <v>0</v>
      </c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>
        <v>0</v>
      </c>
      <c r="FR106" s="2">
        <v>0</v>
      </c>
      <c r="FS106" s="2">
        <v>2</v>
      </c>
      <c r="FT106" s="2"/>
      <c r="FU106" s="2"/>
      <c r="FV106" s="2"/>
      <c r="FW106" s="2"/>
      <c r="FX106" s="2">
        <v>90</v>
      </c>
      <c r="FY106" s="2">
        <v>46</v>
      </c>
      <c r="FZ106" s="2"/>
      <c r="GA106" s="2" t="s">
        <v>3</v>
      </c>
      <c r="GB106" s="2"/>
      <c r="GC106" s="2"/>
      <c r="GD106" s="2">
        <v>1</v>
      </c>
      <c r="GE106" s="2"/>
      <c r="GF106" s="2">
        <v>84595590</v>
      </c>
      <c r="GG106" s="2">
        <v>2</v>
      </c>
      <c r="GH106" s="2">
        <v>1</v>
      </c>
      <c r="GI106" s="2">
        <v>2</v>
      </c>
      <c r="GJ106" s="2">
        <v>0</v>
      </c>
      <c r="GK106" s="2">
        <v>0</v>
      </c>
      <c r="GL106" s="2">
        <f t="shared" si="120"/>
        <v>0</v>
      </c>
      <c r="GM106" s="2">
        <f t="shared" si="121"/>
        <v>7486.77</v>
      </c>
      <c r="GN106" s="2">
        <f t="shared" si="122"/>
        <v>0</v>
      </c>
      <c r="GO106" s="2">
        <f t="shared" si="123"/>
        <v>7486.77</v>
      </c>
      <c r="GP106" s="2">
        <f t="shared" si="124"/>
        <v>0</v>
      </c>
      <c r="GQ106" s="2"/>
      <c r="GR106" s="2">
        <v>0</v>
      </c>
      <c r="GS106" s="2">
        <v>3</v>
      </c>
      <c r="GT106" s="2">
        <v>0</v>
      </c>
      <c r="GU106" s="2" t="s">
        <v>3</v>
      </c>
      <c r="GV106" s="2">
        <f t="shared" si="125"/>
        <v>0</v>
      </c>
      <c r="GW106" s="2">
        <v>1</v>
      </c>
      <c r="GX106" s="2">
        <f t="shared" si="126"/>
        <v>0</v>
      </c>
      <c r="GY106" s="2"/>
      <c r="GZ106" s="2"/>
      <c r="HA106" s="2">
        <v>0</v>
      </c>
      <c r="HB106" s="2">
        <v>0</v>
      </c>
      <c r="HC106" s="2">
        <f t="shared" si="127"/>
        <v>0</v>
      </c>
      <c r="HD106" s="2"/>
      <c r="HE106" s="2" t="s">
        <v>3</v>
      </c>
      <c r="HF106" s="2" t="s">
        <v>3</v>
      </c>
      <c r="HG106" s="2"/>
      <c r="HH106" s="2"/>
      <c r="HI106" s="2"/>
      <c r="HJ106" s="2"/>
      <c r="HK106" s="2"/>
      <c r="HL106" s="2"/>
      <c r="HM106" s="2" t="s">
        <v>3</v>
      </c>
      <c r="HN106" s="2" t="s">
        <v>3</v>
      </c>
      <c r="HO106" s="2" t="s">
        <v>3</v>
      </c>
      <c r="HP106" s="2" t="s">
        <v>3</v>
      </c>
      <c r="HQ106" s="2" t="s">
        <v>3</v>
      </c>
      <c r="HR106" s="2"/>
      <c r="HS106" s="2">
        <v>0</v>
      </c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>
        <v>0</v>
      </c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x14ac:dyDescent="0.2">
      <c r="A107" s="3">
        <v>17</v>
      </c>
      <c r="B107" s="3">
        <v>1</v>
      </c>
      <c r="C107" s="3">
        <f>ROW(SmtRes!A296)</f>
        <v>296</v>
      </c>
      <c r="D107" s="3">
        <f>ROW(EtalonRes!A332)</f>
        <v>332</v>
      </c>
      <c r="E107" s="3" t="s">
        <v>194</v>
      </c>
      <c r="F107" s="3" t="s">
        <v>195</v>
      </c>
      <c r="G107" s="3" t="s">
        <v>196</v>
      </c>
      <c r="H107" s="3" t="s">
        <v>186</v>
      </c>
      <c r="I107" s="3">
        <f>ROUND((40+60)/100,9)</f>
        <v>1</v>
      </c>
      <c r="J107" s="3">
        <v>0</v>
      </c>
      <c r="K107" s="3">
        <f>ROUND((40+60)/100,9)</f>
        <v>1</v>
      </c>
      <c r="O107" s="3">
        <f t="shared" si="103"/>
        <v>166553.19</v>
      </c>
      <c r="P107" s="3">
        <f t="shared" si="104"/>
        <v>1329.29</v>
      </c>
      <c r="Q107" s="3">
        <f>(ROUND((ROUND((((ET107*1.2))*AV107*I107),2)*BB107),2)+ROUND((ROUND(((AE107-((EU107*1.2)))*AV107*I107),2)*BS107),2))</f>
        <v>20447.79</v>
      </c>
      <c r="R107" s="3">
        <f>(ROUND((ROUND((((EU107*1.2))*AV107*I107),2)*BS107),2)+ROUND((ROUND(((AE107-((EU107*1.2)))*AV107*I107),2)*BS107),2))</f>
        <v>10070.870000000001</v>
      </c>
      <c r="S107" s="3">
        <f t="shared" si="105"/>
        <v>144776.10999999999</v>
      </c>
      <c r="T107" s="3">
        <f t="shared" si="106"/>
        <v>0</v>
      </c>
      <c r="U107" s="3">
        <f t="shared" si="107"/>
        <v>203.58359999999996</v>
      </c>
      <c r="V107" s="3">
        <f t="shared" si="108"/>
        <v>0</v>
      </c>
      <c r="W107" s="3">
        <f t="shared" si="109"/>
        <v>0</v>
      </c>
      <c r="X107" s="3">
        <f>(ROUND((((S107+ROUND((ROUND((((EU107*1.2))*AV107*I107),2)*BS107),2))*AT107)/100),2)+ROUND(((ROUND((ROUND(((AE107-((EU107*1.2)))*AV107*I107),2)*BS107),2)*AT107)/100),2))</f>
        <v>139362.28</v>
      </c>
      <c r="Y107" s="3">
        <f>(ROUND((((S107+ROUND((ROUND((((EU107*1.2))*AV107*I107),2)*BS107),2))*AU107)/100),2)+ROUND(((ROUND((ROUND(((AE107-((EU107*1.2)))*AV107*I107),2)*BS107),2)*AU107)/100),2))</f>
        <v>71229.61</v>
      </c>
      <c r="AA107" s="3">
        <v>55747651</v>
      </c>
      <c r="AB107" s="3">
        <f t="shared" si="110"/>
        <v>3518.7060000000001</v>
      </c>
      <c r="AC107" s="3">
        <f>ROUND(((ES107*1)),6)</f>
        <v>126.03</v>
      </c>
      <c r="AD107" s="3">
        <f>ROUND(((((ET107*1.2))-((EU107*1.2)))+AE107),6)</f>
        <v>984.78</v>
      </c>
      <c r="AE107" s="3">
        <f>ROUND(((EU107*1.2)),6)</f>
        <v>167.49600000000001</v>
      </c>
      <c r="AF107" s="3">
        <f>ROUND(((EV107*1.2)),6)</f>
        <v>2407.8960000000002</v>
      </c>
      <c r="AG107" s="3">
        <f t="shared" si="111"/>
        <v>0</v>
      </c>
      <c r="AH107" s="3">
        <f>((EW107*1.2))</f>
        <v>190.79999999999998</v>
      </c>
      <c r="AI107" s="3">
        <f>((EX107*1.2))</f>
        <v>0</v>
      </c>
      <c r="AJ107" s="3">
        <f t="shared" si="112"/>
        <v>0</v>
      </c>
      <c r="AK107" s="3">
        <v>2953.26</v>
      </c>
      <c r="AL107" s="3">
        <v>126.03</v>
      </c>
      <c r="AM107" s="3">
        <v>820.65</v>
      </c>
      <c r="AN107" s="3">
        <v>139.58000000000001</v>
      </c>
      <c r="AO107" s="3">
        <v>2006.58</v>
      </c>
      <c r="AP107" s="3">
        <v>0</v>
      </c>
      <c r="AQ107" s="3">
        <v>159</v>
      </c>
      <c r="AR107" s="3">
        <v>0</v>
      </c>
      <c r="AS107" s="3">
        <v>0</v>
      </c>
      <c r="AT107" s="3">
        <v>90</v>
      </c>
      <c r="AU107" s="3">
        <v>46</v>
      </c>
      <c r="AV107" s="3">
        <v>1.0669999999999999</v>
      </c>
      <c r="AW107" s="3">
        <v>1.028</v>
      </c>
      <c r="AZ107" s="3">
        <v>1</v>
      </c>
      <c r="BA107" s="3">
        <v>56.35</v>
      </c>
      <c r="BB107" s="3">
        <v>19.46</v>
      </c>
      <c r="BC107" s="3">
        <v>10.26</v>
      </c>
      <c r="BD107" s="3" t="s">
        <v>3</v>
      </c>
      <c r="BE107" s="3" t="s">
        <v>3</v>
      </c>
      <c r="BF107" s="3" t="s">
        <v>3</v>
      </c>
      <c r="BG107" s="3" t="s">
        <v>3</v>
      </c>
      <c r="BH107" s="3">
        <v>0</v>
      </c>
      <c r="BI107" s="3">
        <v>2</v>
      </c>
      <c r="BJ107" s="3" t="s">
        <v>197</v>
      </c>
      <c r="BM107" s="3">
        <v>73</v>
      </c>
      <c r="BN107" s="3">
        <v>0</v>
      </c>
      <c r="BO107" s="3" t="s">
        <v>195</v>
      </c>
      <c r="BP107" s="3">
        <v>1</v>
      </c>
      <c r="BQ107" s="3">
        <v>40</v>
      </c>
      <c r="BR107" s="3">
        <v>0</v>
      </c>
      <c r="BS107" s="3">
        <v>56.35</v>
      </c>
      <c r="BT107" s="3">
        <v>1</v>
      </c>
      <c r="BU107" s="3">
        <v>1</v>
      </c>
      <c r="BV107" s="3">
        <v>1</v>
      </c>
      <c r="BW107" s="3">
        <v>1</v>
      </c>
      <c r="BX107" s="3">
        <v>1</v>
      </c>
      <c r="BY107" s="3" t="s">
        <v>3</v>
      </c>
      <c r="BZ107" s="3">
        <v>90</v>
      </c>
      <c r="CA107" s="3">
        <v>46</v>
      </c>
      <c r="CB107" s="3" t="s">
        <v>3</v>
      </c>
      <c r="CE107" s="3">
        <v>1566</v>
      </c>
      <c r="CF107" s="3">
        <v>0</v>
      </c>
      <c r="CG107" s="3">
        <v>0</v>
      </c>
      <c r="CM107" s="3">
        <v>0</v>
      </c>
      <c r="CN107" s="3" t="s">
        <v>716</v>
      </c>
      <c r="CO107" s="3">
        <v>0</v>
      </c>
      <c r="CP107" s="3">
        <f t="shared" si="113"/>
        <v>166553.19</v>
      </c>
      <c r="CQ107" s="3">
        <f t="shared" si="114"/>
        <v>1329.29</v>
      </c>
      <c r="CR107" s="3">
        <f>(ROUND((ROUND((((ET107*1.2))*AV107*1),2)*BB107),2)+ROUND((ROUND(((AE107-((EU107*1.2)))*AV107*1),2)*BS107),2))</f>
        <v>20447.79</v>
      </c>
      <c r="CS107" s="3">
        <f>(ROUND((ROUND((((EU107*1.2))*AV107*1),2)*BS107),2)+ROUND((ROUND(((AE107-((EU107*1.2)))*AV107*1),2)*BS107),2))</f>
        <v>10070.870000000001</v>
      </c>
      <c r="CT107" s="3">
        <f t="shared" si="115"/>
        <v>144776.10999999999</v>
      </c>
      <c r="CU107" s="3">
        <f t="shared" si="116"/>
        <v>0</v>
      </c>
      <c r="CV107" s="3">
        <f t="shared" si="117"/>
        <v>203.58359999999996</v>
      </c>
      <c r="CW107" s="3">
        <f t="shared" si="118"/>
        <v>0</v>
      </c>
      <c r="CX107" s="3">
        <f t="shared" si="119"/>
        <v>0</v>
      </c>
      <c r="CY107" s="3">
        <f>(ROUND((((S107+ROUND((ROUND((((EU107*1.2))*AV107*1),2)*BS107),2))*AT107)/100),2)+ROUND(((ROUND((ROUND(((AE107-((EU107*1.2)))*AV107*1),2)*BS107),2)*AT107)/100),2))</f>
        <v>139362.28</v>
      </c>
      <c r="CZ107" s="3">
        <f>(ROUND((((S107+ROUND((ROUND((((EU107*1.2))*AV107*1),2)*BS107),2))*AU107)/100),2)+ROUND(((ROUND((ROUND(((AE107-((EU107*1.2)))*AV107*1),2)*BS107),2)*AU107)/100),2))</f>
        <v>71229.61</v>
      </c>
      <c r="DB107" s="3">
        <v>52</v>
      </c>
      <c r="DC107" s="3" t="s">
        <v>3</v>
      </c>
      <c r="DD107" s="3" t="s">
        <v>48</v>
      </c>
      <c r="DE107" s="3" t="s">
        <v>49</v>
      </c>
      <c r="DF107" s="3" t="s">
        <v>49</v>
      </c>
      <c r="DG107" s="3" t="s">
        <v>49</v>
      </c>
      <c r="DH107" s="3" t="s">
        <v>3</v>
      </c>
      <c r="DI107" s="3" t="s">
        <v>49</v>
      </c>
      <c r="DJ107" s="3" t="s">
        <v>49</v>
      </c>
      <c r="DK107" s="3" t="s">
        <v>3</v>
      </c>
      <c r="DL107" s="3" t="s">
        <v>3</v>
      </c>
      <c r="DM107" s="3" t="s">
        <v>3</v>
      </c>
      <c r="DN107" s="3">
        <v>0</v>
      </c>
      <c r="DO107" s="3">
        <v>0</v>
      </c>
      <c r="DP107" s="3">
        <v>1</v>
      </c>
      <c r="DQ107" s="3">
        <v>1</v>
      </c>
      <c r="DU107" s="3">
        <v>1003</v>
      </c>
      <c r="DV107" s="3" t="s">
        <v>186</v>
      </c>
      <c r="DW107" s="3" t="s">
        <v>186</v>
      </c>
      <c r="DX107" s="3">
        <v>100</v>
      </c>
      <c r="DZ107" s="3" t="s">
        <v>3</v>
      </c>
      <c r="EA107" s="3" t="s">
        <v>3</v>
      </c>
      <c r="EB107" s="3" t="s">
        <v>3</v>
      </c>
      <c r="EC107" s="3" t="s">
        <v>3</v>
      </c>
      <c r="EE107" s="3">
        <v>56938740</v>
      </c>
      <c r="EF107" s="3">
        <v>40</v>
      </c>
      <c r="EG107" s="3" t="s">
        <v>29</v>
      </c>
      <c r="EH107" s="3">
        <v>0</v>
      </c>
      <c r="EI107" s="3" t="s">
        <v>3</v>
      </c>
      <c r="EJ107" s="3">
        <v>2</v>
      </c>
      <c r="EK107" s="3">
        <v>73</v>
      </c>
      <c r="EL107" s="3" t="s">
        <v>85</v>
      </c>
      <c r="EM107" s="3" t="s">
        <v>86</v>
      </c>
      <c r="EO107" s="3" t="s">
        <v>50</v>
      </c>
      <c r="EQ107" s="3">
        <v>131072</v>
      </c>
      <c r="ER107" s="3">
        <v>2953.26</v>
      </c>
      <c r="ES107" s="3">
        <v>126.03</v>
      </c>
      <c r="ET107" s="3">
        <v>820.65</v>
      </c>
      <c r="EU107" s="3">
        <v>139.58000000000001</v>
      </c>
      <c r="EV107" s="3">
        <v>2006.58</v>
      </c>
      <c r="EW107" s="3">
        <v>159</v>
      </c>
      <c r="EX107" s="3">
        <v>0</v>
      </c>
      <c r="EY107" s="3">
        <v>0</v>
      </c>
      <c r="FQ107" s="3">
        <v>0</v>
      </c>
      <c r="FR107" s="3">
        <v>0</v>
      </c>
      <c r="FS107" s="3">
        <v>2</v>
      </c>
      <c r="FX107" s="3">
        <v>90</v>
      </c>
      <c r="FY107" s="3">
        <v>46</v>
      </c>
      <c r="GA107" s="3" t="s">
        <v>3</v>
      </c>
      <c r="GD107" s="3">
        <v>1</v>
      </c>
      <c r="GF107" s="3">
        <v>84595590</v>
      </c>
      <c r="GG107" s="3">
        <v>2</v>
      </c>
      <c r="GH107" s="3">
        <v>1</v>
      </c>
      <c r="GI107" s="3">
        <v>2</v>
      </c>
      <c r="GJ107" s="3">
        <v>0</v>
      </c>
      <c r="GK107" s="3">
        <v>0</v>
      </c>
      <c r="GL107" s="3">
        <f t="shared" si="120"/>
        <v>0</v>
      </c>
      <c r="GM107" s="3">
        <f t="shared" si="121"/>
        <v>377145.08</v>
      </c>
      <c r="GN107" s="3">
        <f t="shared" si="122"/>
        <v>0</v>
      </c>
      <c r="GO107" s="3">
        <f t="shared" si="123"/>
        <v>377145.08</v>
      </c>
      <c r="GP107" s="3">
        <f t="shared" si="124"/>
        <v>0</v>
      </c>
      <c r="GR107" s="3">
        <v>0</v>
      </c>
      <c r="GS107" s="3">
        <v>3</v>
      </c>
      <c r="GT107" s="3">
        <v>0</v>
      </c>
      <c r="GU107" s="3" t="s">
        <v>3</v>
      </c>
      <c r="GV107" s="3">
        <f t="shared" si="125"/>
        <v>0</v>
      </c>
      <c r="GW107" s="3">
        <v>1</v>
      </c>
      <c r="GX107" s="3">
        <f t="shared" si="126"/>
        <v>0</v>
      </c>
      <c r="HA107" s="3">
        <v>0</v>
      </c>
      <c r="HB107" s="3">
        <v>0</v>
      </c>
      <c r="HC107" s="3">
        <f t="shared" si="127"/>
        <v>0</v>
      </c>
      <c r="HE107" s="3" t="s">
        <v>3</v>
      </c>
      <c r="HF107" s="3" t="s">
        <v>3</v>
      </c>
      <c r="HM107" s="3" t="s">
        <v>3</v>
      </c>
      <c r="HN107" s="3" t="s">
        <v>3</v>
      </c>
      <c r="HO107" s="3" t="s">
        <v>3</v>
      </c>
      <c r="HP107" s="3" t="s">
        <v>3</v>
      </c>
      <c r="HQ107" s="3" t="s">
        <v>3</v>
      </c>
      <c r="HS107" s="3">
        <v>0</v>
      </c>
      <c r="IK107" s="3">
        <v>0</v>
      </c>
    </row>
    <row r="108" spans="1:255" x14ac:dyDescent="0.2">
      <c r="A108" s="2">
        <v>18</v>
      </c>
      <c r="B108" s="2">
        <v>1</v>
      </c>
      <c r="C108" s="2">
        <v>286</v>
      </c>
      <c r="D108" s="2"/>
      <c r="E108" s="2" t="s">
        <v>198</v>
      </c>
      <c r="F108" s="2" t="s">
        <v>199</v>
      </c>
      <c r="G108" s="2" t="s">
        <v>200</v>
      </c>
      <c r="H108" s="2" t="s">
        <v>191</v>
      </c>
      <c r="I108" s="2">
        <f>I106*J108</f>
        <v>40.200000000000003</v>
      </c>
      <c r="J108" s="2">
        <v>40.200000000000003</v>
      </c>
      <c r="K108" s="2">
        <v>40.200000000000003</v>
      </c>
      <c r="L108" s="2"/>
      <c r="M108" s="2"/>
      <c r="N108" s="2"/>
      <c r="O108" s="2">
        <f t="shared" si="103"/>
        <v>3239.72</v>
      </c>
      <c r="P108" s="2">
        <f t="shared" si="104"/>
        <v>3239.72</v>
      </c>
      <c r="Q108" s="2">
        <f t="shared" ref="Q108:Q115" si="132">(ROUND((ROUND(((ET108)*AV108*I108),2)*BB108),2)+ROUND((ROUND(((AE108-(EU108))*AV108*I108),2)*BS108),2))</f>
        <v>0</v>
      </c>
      <c r="R108" s="2">
        <f t="shared" ref="R108:R115" si="133">(ROUND((ROUND(((EU108)*AV108*I108),2)*BS108),2)+ROUND((ROUND(((AE108-(EU108))*AV108*I108),2)*BS108),2))</f>
        <v>0</v>
      </c>
      <c r="S108" s="2">
        <f t="shared" si="105"/>
        <v>0</v>
      </c>
      <c r="T108" s="2">
        <f t="shared" si="106"/>
        <v>0</v>
      </c>
      <c r="U108" s="2">
        <f t="shared" si="107"/>
        <v>0</v>
      </c>
      <c r="V108" s="2">
        <f t="shared" si="108"/>
        <v>0</v>
      </c>
      <c r="W108" s="2">
        <f t="shared" si="109"/>
        <v>0</v>
      </c>
      <c r="X108" s="2">
        <f t="shared" ref="X108:X115" si="134">(ROUND((((S108+ROUND((ROUND(((EU108)*AV108*I108),2)*BS108),2))*AT108)/100),2)+ROUND(((ROUND((ROUND(((AE108-(EU108))*AV108*I108),2)*BS108),2)*AT108)/100),2))</f>
        <v>0</v>
      </c>
      <c r="Y108" s="2">
        <f t="shared" ref="Y108:Y115" si="135">(ROUND((((S108+ROUND((ROUND(((EU108)*AV108*I108),2)*BS108),2))*AU108)/100),2)+ROUND(((ROUND((ROUND(((AE108-(EU108))*AV108*I108),2)*BS108),2)*AU108)/100),2))</f>
        <v>0</v>
      </c>
      <c r="Z108" s="2"/>
      <c r="AA108" s="2">
        <v>55747649</v>
      </c>
      <c r="AB108" s="2">
        <f t="shared" si="110"/>
        <v>80.59</v>
      </c>
      <c r="AC108" s="2">
        <f t="shared" ref="AC108:AC115" si="136">ROUND((ES108),6)</f>
        <v>80.59</v>
      </c>
      <c r="AD108" s="2">
        <f t="shared" ref="AD108:AD115" si="137">ROUND((((ET108)-(EU108))+AE108),6)</f>
        <v>0</v>
      </c>
      <c r="AE108" s="2">
        <f t="shared" ref="AE108:AF115" si="138">ROUND((EU108),6)</f>
        <v>0</v>
      </c>
      <c r="AF108" s="2">
        <f t="shared" si="138"/>
        <v>0</v>
      </c>
      <c r="AG108" s="2">
        <f t="shared" si="111"/>
        <v>0</v>
      </c>
      <c r="AH108" s="2">
        <f t="shared" ref="AH108:AI115" si="139">(EW108)</f>
        <v>0</v>
      </c>
      <c r="AI108" s="2">
        <f t="shared" si="139"/>
        <v>0</v>
      </c>
      <c r="AJ108" s="2">
        <f t="shared" si="112"/>
        <v>0</v>
      </c>
      <c r="AK108" s="2">
        <v>80.59</v>
      </c>
      <c r="AL108" s="2">
        <v>80.59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90</v>
      </c>
      <c r="AU108" s="2">
        <v>46</v>
      </c>
      <c r="AV108" s="2">
        <v>1</v>
      </c>
      <c r="AW108" s="2">
        <v>1</v>
      </c>
      <c r="AX108" s="2"/>
      <c r="AY108" s="2"/>
      <c r="AZ108" s="2">
        <v>1</v>
      </c>
      <c r="BA108" s="2">
        <v>1</v>
      </c>
      <c r="BB108" s="2">
        <v>1</v>
      </c>
      <c r="BC108" s="2">
        <v>1</v>
      </c>
      <c r="BD108" s="2" t="s">
        <v>3</v>
      </c>
      <c r="BE108" s="2" t="s">
        <v>3</v>
      </c>
      <c r="BF108" s="2" t="s">
        <v>3</v>
      </c>
      <c r="BG108" s="2" t="s">
        <v>3</v>
      </c>
      <c r="BH108" s="2">
        <v>3</v>
      </c>
      <c r="BI108" s="2">
        <v>2</v>
      </c>
      <c r="BJ108" s="2" t="s">
        <v>201</v>
      </c>
      <c r="BK108" s="2"/>
      <c r="BL108" s="2"/>
      <c r="BM108" s="2">
        <v>73</v>
      </c>
      <c r="BN108" s="2">
        <v>0</v>
      </c>
      <c r="BO108" s="2" t="s">
        <v>3</v>
      </c>
      <c r="BP108" s="2">
        <v>0</v>
      </c>
      <c r="BQ108" s="2">
        <v>40</v>
      </c>
      <c r="BR108" s="2">
        <v>0</v>
      </c>
      <c r="BS108" s="2">
        <v>1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 t="s">
        <v>3</v>
      </c>
      <c r="BZ108" s="2">
        <v>90</v>
      </c>
      <c r="CA108" s="2">
        <v>46</v>
      </c>
      <c r="CB108" s="2" t="s">
        <v>3</v>
      </c>
      <c r="CC108" s="2"/>
      <c r="CD108" s="2"/>
      <c r="CE108" s="2">
        <v>1566</v>
      </c>
      <c r="CF108" s="2">
        <v>0</v>
      </c>
      <c r="CG108" s="2">
        <v>0</v>
      </c>
      <c r="CH108" s="2"/>
      <c r="CI108" s="2"/>
      <c r="CJ108" s="2"/>
      <c r="CK108" s="2"/>
      <c r="CL108" s="2"/>
      <c r="CM108" s="2">
        <v>0</v>
      </c>
      <c r="CN108" s="2" t="s">
        <v>3</v>
      </c>
      <c r="CO108" s="2">
        <v>0</v>
      </c>
      <c r="CP108" s="2">
        <f t="shared" si="113"/>
        <v>3239.72</v>
      </c>
      <c r="CQ108" s="2">
        <f t="shared" si="114"/>
        <v>80.59</v>
      </c>
      <c r="CR108" s="2">
        <f t="shared" ref="CR108:CR115" si="140">(ROUND((ROUND(((ET108)*AV108*1),2)*BB108),2)+ROUND((ROUND(((AE108-(EU108))*AV108*1),2)*BS108),2))</f>
        <v>0</v>
      </c>
      <c r="CS108" s="2">
        <f t="shared" ref="CS108:CS115" si="141">(ROUND((ROUND(((EU108)*AV108*1),2)*BS108),2)+ROUND((ROUND(((AE108-(EU108))*AV108*1),2)*BS108),2))</f>
        <v>0</v>
      </c>
      <c r="CT108" s="2">
        <f t="shared" si="115"/>
        <v>0</v>
      </c>
      <c r="CU108" s="2">
        <f t="shared" si="116"/>
        <v>0</v>
      </c>
      <c r="CV108" s="2">
        <f t="shared" si="117"/>
        <v>0</v>
      </c>
      <c r="CW108" s="2">
        <f t="shared" si="118"/>
        <v>0</v>
      </c>
      <c r="CX108" s="2">
        <f t="shared" si="119"/>
        <v>0</v>
      </c>
      <c r="CY108" s="2">
        <f t="shared" ref="CY108:CY115" si="142">(ROUND((((S108+ROUND((ROUND(((EU108)*AV108*1),2)*BS108),2))*AT108)/100),2)+ROUND(((ROUND((ROUND(((AE108-(EU108))*AV108*1),2)*BS108),2)*AT108)/100),2))</f>
        <v>0</v>
      </c>
      <c r="CZ108" s="2">
        <f t="shared" ref="CZ108:CZ115" si="143">(ROUND((((S108+ROUND((ROUND(((EU108)*AV108*1),2)*BS108),2))*AU108)/100),2)+ROUND(((ROUND((ROUND(((AE108-(EU108))*AV108*1),2)*BS108),2)*AU108)/100),2))</f>
        <v>0</v>
      </c>
      <c r="DA108" s="2"/>
      <c r="DB108" s="2"/>
      <c r="DC108" s="2" t="s">
        <v>3</v>
      </c>
      <c r="DD108" s="2" t="s">
        <v>3</v>
      </c>
      <c r="DE108" s="2" t="s">
        <v>3</v>
      </c>
      <c r="DF108" s="2" t="s">
        <v>3</v>
      </c>
      <c r="DG108" s="2" t="s">
        <v>3</v>
      </c>
      <c r="DH108" s="2" t="s">
        <v>3</v>
      </c>
      <c r="DI108" s="2" t="s">
        <v>3</v>
      </c>
      <c r="DJ108" s="2" t="s">
        <v>3</v>
      </c>
      <c r="DK108" s="2" t="s">
        <v>3</v>
      </c>
      <c r="DL108" s="2" t="s">
        <v>3</v>
      </c>
      <c r="DM108" s="2" t="s">
        <v>3</v>
      </c>
      <c r="DN108" s="2">
        <v>0</v>
      </c>
      <c r="DO108" s="2">
        <v>0</v>
      </c>
      <c r="DP108" s="2">
        <v>1</v>
      </c>
      <c r="DQ108" s="2">
        <v>1</v>
      </c>
      <c r="DR108" s="2"/>
      <c r="DS108" s="2"/>
      <c r="DT108" s="2"/>
      <c r="DU108" s="2">
        <v>1003</v>
      </c>
      <c r="DV108" s="2" t="s">
        <v>191</v>
      </c>
      <c r="DW108" s="2" t="s">
        <v>191</v>
      </c>
      <c r="DX108" s="2">
        <v>1</v>
      </c>
      <c r="DY108" s="2"/>
      <c r="DZ108" s="2" t="s">
        <v>3</v>
      </c>
      <c r="EA108" s="2" t="s">
        <v>3</v>
      </c>
      <c r="EB108" s="2" t="s">
        <v>3</v>
      </c>
      <c r="EC108" s="2" t="s">
        <v>3</v>
      </c>
      <c r="ED108" s="2"/>
      <c r="EE108" s="2">
        <v>56938740</v>
      </c>
      <c r="EF108" s="2">
        <v>40</v>
      </c>
      <c r="EG108" s="2" t="s">
        <v>29</v>
      </c>
      <c r="EH108" s="2">
        <v>0</v>
      </c>
      <c r="EI108" s="2" t="s">
        <v>3</v>
      </c>
      <c r="EJ108" s="2">
        <v>2</v>
      </c>
      <c r="EK108" s="2">
        <v>73</v>
      </c>
      <c r="EL108" s="2" t="s">
        <v>85</v>
      </c>
      <c r="EM108" s="2" t="s">
        <v>86</v>
      </c>
      <c r="EN108" s="2"/>
      <c r="EO108" s="2" t="s">
        <v>3</v>
      </c>
      <c r="EP108" s="2"/>
      <c r="EQ108" s="2">
        <v>0</v>
      </c>
      <c r="ER108" s="2">
        <v>80.59</v>
      </c>
      <c r="ES108" s="2">
        <v>80.59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>
        <v>0</v>
      </c>
      <c r="FR108" s="2">
        <v>0</v>
      </c>
      <c r="FS108" s="2">
        <v>0</v>
      </c>
      <c r="FT108" s="2"/>
      <c r="FU108" s="2"/>
      <c r="FV108" s="2"/>
      <c r="FW108" s="2"/>
      <c r="FX108" s="2">
        <v>90</v>
      </c>
      <c r="FY108" s="2">
        <v>46</v>
      </c>
      <c r="FZ108" s="2"/>
      <c r="GA108" s="2" t="s">
        <v>3</v>
      </c>
      <c r="GB108" s="2"/>
      <c r="GC108" s="2"/>
      <c r="GD108" s="2">
        <v>1</v>
      </c>
      <c r="GE108" s="2"/>
      <c r="GF108" s="2">
        <v>-648477377</v>
      </c>
      <c r="GG108" s="2">
        <v>2</v>
      </c>
      <c r="GH108" s="2">
        <v>1</v>
      </c>
      <c r="GI108" s="2">
        <v>-2</v>
      </c>
      <c r="GJ108" s="2">
        <v>0</v>
      </c>
      <c r="GK108" s="2">
        <v>0</v>
      </c>
      <c r="GL108" s="2">
        <f t="shared" si="120"/>
        <v>0</v>
      </c>
      <c r="GM108" s="2">
        <f t="shared" si="121"/>
        <v>3239.72</v>
      </c>
      <c r="GN108" s="2">
        <f t="shared" si="122"/>
        <v>0</v>
      </c>
      <c r="GO108" s="2">
        <f t="shared" si="123"/>
        <v>3239.72</v>
      </c>
      <c r="GP108" s="2">
        <f t="shared" si="124"/>
        <v>0</v>
      </c>
      <c r="GQ108" s="2"/>
      <c r="GR108" s="2">
        <v>0</v>
      </c>
      <c r="GS108" s="2">
        <v>3</v>
      </c>
      <c r="GT108" s="2">
        <v>0</v>
      </c>
      <c r="GU108" s="2" t="s">
        <v>3</v>
      </c>
      <c r="GV108" s="2">
        <f t="shared" si="125"/>
        <v>0</v>
      </c>
      <c r="GW108" s="2">
        <v>1</v>
      </c>
      <c r="GX108" s="2">
        <f t="shared" si="126"/>
        <v>0</v>
      </c>
      <c r="GY108" s="2"/>
      <c r="GZ108" s="2"/>
      <c r="HA108" s="2">
        <v>0</v>
      </c>
      <c r="HB108" s="2">
        <v>0</v>
      </c>
      <c r="HC108" s="2">
        <f t="shared" si="127"/>
        <v>0</v>
      </c>
      <c r="HD108" s="2"/>
      <c r="HE108" s="2" t="s">
        <v>3</v>
      </c>
      <c r="HF108" s="2" t="s">
        <v>3</v>
      </c>
      <c r="HG108" s="2"/>
      <c r="HH108" s="2"/>
      <c r="HI108" s="2"/>
      <c r="HJ108" s="2"/>
      <c r="HK108" s="2"/>
      <c r="HL108" s="2"/>
      <c r="HM108" s="2" t="s">
        <v>3</v>
      </c>
      <c r="HN108" s="2" t="s">
        <v>3</v>
      </c>
      <c r="HO108" s="2" t="s">
        <v>3</v>
      </c>
      <c r="HP108" s="2" t="s">
        <v>3</v>
      </c>
      <c r="HQ108" s="2" t="s">
        <v>3</v>
      </c>
      <c r="HR108" s="2"/>
      <c r="HS108" s="2">
        <v>0</v>
      </c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>
        <v>0</v>
      </c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x14ac:dyDescent="0.2">
      <c r="A109" s="3">
        <v>18</v>
      </c>
      <c r="B109" s="3">
        <v>1</v>
      </c>
      <c r="C109" s="3">
        <v>296</v>
      </c>
      <c r="E109" s="3" t="s">
        <v>198</v>
      </c>
      <c r="F109" s="3" t="s">
        <v>199</v>
      </c>
      <c r="G109" s="3" t="s">
        <v>200</v>
      </c>
      <c r="H109" s="3" t="s">
        <v>191</v>
      </c>
      <c r="I109" s="3">
        <f>I107*J109</f>
        <v>40.200000000000003</v>
      </c>
      <c r="J109" s="3">
        <v>40.200000000000003</v>
      </c>
      <c r="K109" s="3">
        <v>40.200000000000003</v>
      </c>
      <c r="O109" s="3">
        <f t="shared" si="103"/>
        <v>14870.31</v>
      </c>
      <c r="P109" s="3">
        <f t="shared" si="104"/>
        <v>14870.31</v>
      </c>
      <c r="Q109" s="3">
        <f t="shared" si="132"/>
        <v>0</v>
      </c>
      <c r="R109" s="3">
        <f t="shared" si="133"/>
        <v>0</v>
      </c>
      <c r="S109" s="3">
        <f t="shared" si="105"/>
        <v>0</v>
      </c>
      <c r="T109" s="3">
        <f t="shared" si="106"/>
        <v>0</v>
      </c>
      <c r="U109" s="3">
        <f t="shared" si="107"/>
        <v>0</v>
      </c>
      <c r="V109" s="3">
        <f t="shared" si="108"/>
        <v>0</v>
      </c>
      <c r="W109" s="3">
        <f t="shared" si="109"/>
        <v>0</v>
      </c>
      <c r="X109" s="3">
        <f t="shared" si="134"/>
        <v>0</v>
      </c>
      <c r="Y109" s="3">
        <f t="shared" si="135"/>
        <v>0</v>
      </c>
      <c r="AA109" s="3">
        <v>55747651</v>
      </c>
      <c r="AB109" s="3">
        <f t="shared" si="110"/>
        <v>80.59</v>
      </c>
      <c r="AC109" s="3">
        <f t="shared" si="136"/>
        <v>80.59</v>
      </c>
      <c r="AD109" s="3">
        <f t="shared" si="137"/>
        <v>0</v>
      </c>
      <c r="AE109" s="3">
        <f t="shared" si="138"/>
        <v>0</v>
      </c>
      <c r="AF109" s="3">
        <f t="shared" si="138"/>
        <v>0</v>
      </c>
      <c r="AG109" s="3">
        <f t="shared" si="111"/>
        <v>0</v>
      </c>
      <c r="AH109" s="3">
        <f t="shared" si="139"/>
        <v>0</v>
      </c>
      <c r="AI109" s="3">
        <f t="shared" si="139"/>
        <v>0</v>
      </c>
      <c r="AJ109" s="3">
        <f t="shared" si="112"/>
        <v>0</v>
      </c>
      <c r="AK109" s="3">
        <v>80.59</v>
      </c>
      <c r="AL109" s="3">
        <v>80.59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90</v>
      </c>
      <c r="AU109" s="3">
        <v>46</v>
      </c>
      <c r="AV109" s="3">
        <v>1</v>
      </c>
      <c r="AW109" s="3">
        <v>1</v>
      </c>
      <c r="AZ109" s="3">
        <v>1</v>
      </c>
      <c r="BA109" s="3">
        <v>1</v>
      </c>
      <c r="BB109" s="3">
        <v>1</v>
      </c>
      <c r="BC109" s="3">
        <v>4.59</v>
      </c>
      <c r="BD109" s="3" t="s">
        <v>3</v>
      </c>
      <c r="BE109" s="3" t="s">
        <v>3</v>
      </c>
      <c r="BF109" s="3" t="s">
        <v>3</v>
      </c>
      <c r="BG109" s="3" t="s">
        <v>3</v>
      </c>
      <c r="BH109" s="3">
        <v>3</v>
      </c>
      <c r="BI109" s="3">
        <v>2</v>
      </c>
      <c r="BJ109" s="3" t="s">
        <v>201</v>
      </c>
      <c r="BM109" s="3">
        <v>73</v>
      </c>
      <c r="BN109" s="3">
        <v>0</v>
      </c>
      <c r="BO109" s="3" t="s">
        <v>199</v>
      </c>
      <c r="BP109" s="3">
        <v>1</v>
      </c>
      <c r="BQ109" s="3">
        <v>40</v>
      </c>
      <c r="BR109" s="3">
        <v>0</v>
      </c>
      <c r="BS109" s="3">
        <v>1</v>
      </c>
      <c r="BT109" s="3">
        <v>1</v>
      </c>
      <c r="BU109" s="3">
        <v>1</v>
      </c>
      <c r="BV109" s="3">
        <v>1</v>
      </c>
      <c r="BW109" s="3">
        <v>1</v>
      </c>
      <c r="BX109" s="3">
        <v>1</v>
      </c>
      <c r="BY109" s="3" t="s">
        <v>3</v>
      </c>
      <c r="BZ109" s="3">
        <v>90</v>
      </c>
      <c r="CA109" s="3">
        <v>46</v>
      </c>
      <c r="CB109" s="3" t="s">
        <v>3</v>
      </c>
      <c r="CE109" s="3">
        <v>1566</v>
      </c>
      <c r="CF109" s="3">
        <v>0</v>
      </c>
      <c r="CG109" s="3">
        <v>0</v>
      </c>
      <c r="CM109" s="3">
        <v>0</v>
      </c>
      <c r="CN109" s="3" t="s">
        <v>3</v>
      </c>
      <c r="CO109" s="3">
        <v>0</v>
      </c>
      <c r="CP109" s="3">
        <f t="shared" si="113"/>
        <v>14870.31</v>
      </c>
      <c r="CQ109" s="3">
        <f t="shared" si="114"/>
        <v>369.91</v>
      </c>
      <c r="CR109" s="3">
        <f t="shared" si="140"/>
        <v>0</v>
      </c>
      <c r="CS109" s="3">
        <f t="shared" si="141"/>
        <v>0</v>
      </c>
      <c r="CT109" s="3">
        <f t="shared" si="115"/>
        <v>0</v>
      </c>
      <c r="CU109" s="3">
        <f t="shared" si="116"/>
        <v>0</v>
      </c>
      <c r="CV109" s="3">
        <f t="shared" si="117"/>
        <v>0</v>
      </c>
      <c r="CW109" s="3">
        <f t="shared" si="118"/>
        <v>0</v>
      </c>
      <c r="CX109" s="3">
        <f t="shared" si="119"/>
        <v>0</v>
      </c>
      <c r="CY109" s="3">
        <f t="shared" si="142"/>
        <v>0</v>
      </c>
      <c r="CZ109" s="3">
        <f t="shared" si="143"/>
        <v>0</v>
      </c>
      <c r="DC109" s="3" t="s">
        <v>3</v>
      </c>
      <c r="DD109" s="3" t="s">
        <v>3</v>
      </c>
      <c r="DE109" s="3" t="s">
        <v>3</v>
      </c>
      <c r="DF109" s="3" t="s">
        <v>3</v>
      </c>
      <c r="DG109" s="3" t="s">
        <v>3</v>
      </c>
      <c r="DH109" s="3" t="s">
        <v>3</v>
      </c>
      <c r="DI109" s="3" t="s">
        <v>3</v>
      </c>
      <c r="DJ109" s="3" t="s">
        <v>3</v>
      </c>
      <c r="DK109" s="3" t="s">
        <v>3</v>
      </c>
      <c r="DL109" s="3" t="s">
        <v>3</v>
      </c>
      <c r="DM109" s="3" t="s">
        <v>3</v>
      </c>
      <c r="DN109" s="3">
        <v>0</v>
      </c>
      <c r="DO109" s="3">
        <v>0</v>
      </c>
      <c r="DP109" s="3">
        <v>1</v>
      </c>
      <c r="DQ109" s="3">
        <v>1</v>
      </c>
      <c r="DU109" s="3">
        <v>1003</v>
      </c>
      <c r="DV109" s="3" t="s">
        <v>191</v>
      </c>
      <c r="DW109" s="3" t="s">
        <v>191</v>
      </c>
      <c r="DX109" s="3">
        <v>1</v>
      </c>
      <c r="DZ109" s="3" t="s">
        <v>3</v>
      </c>
      <c r="EA109" s="3" t="s">
        <v>3</v>
      </c>
      <c r="EB109" s="3" t="s">
        <v>3</v>
      </c>
      <c r="EC109" s="3" t="s">
        <v>3</v>
      </c>
      <c r="EE109" s="3">
        <v>56938740</v>
      </c>
      <c r="EF109" s="3">
        <v>40</v>
      </c>
      <c r="EG109" s="3" t="s">
        <v>29</v>
      </c>
      <c r="EH109" s="3">
        <v>0</v>
      </c>
      <c r="EI109" s="3" t="s">
        <v>3</v>
      </c>
      <c r="EJ109" s="3">
        <v>2</v>
      </c>
      <c r="EK109" s="3">
        <v>73</v>
      </c>
      <c r="EL109" s="3" t="s">
        <v>85</v>
      </c>
      <c r="EM109" s="3" t="s">
        <v>86</v>
      </c>
      <c r="EO109" s="3" t="s">
        <v>3</v>
      </c>
      <c r="EQ109" s="3">
        <v>0</v>
      </c>
      <c r="ER109" s="3">
        <v>80.59</v>
      </c>
      <c r="ES109" s="3">
        <v>80.59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FQ109" s="3">
        <v>0</v>
      </c>
      <c r="FR109" s="3">
        <v>0</v>
      </c>
      <c r="FS109" s="3">
        <v>0</v>
      </c>
      <c r="FX109" s="3">
        <v>90</v>
      </c>
      <c r="FY109" s="3">
        <v>46</v>
      </c>
      <c r="GA109" s="3" t="s">
        <v>3</v>
      </c>
      <c r="GD109" s="3">
        <v>1</v>
      </c>
      <c r="GF109" s="3">
        <v>-648477377</v>
      </c>
      <c r="GG109" s="3">
        <v>2</v>
      </c>
      <c r="GH109" s="3">
        <v>1</v>
      </c>
      <c r="GI109" s="3">
        <v>2</v>
      </c>
      <c r="GJ109" s="3">
        <v>0</v>
      </c>
      <c r="GK109" s="3">
        <v>0</v>
      </c>
      <c r="GL109" s="3">
        <f t="shared" si="120"/>
        <v>0</v>
      </c>
      <c r="GM109" s="3">
        <f t="shared" si="121"/>
        <v>14870.31</v>
      </c>
      <c r="GN109" s="3">
        <f t="shared" si="122"/>
        <v>0</v>
      </c>
      <c r="GO109" s="3">
        <f t="shared" si="123"/>
        <v>14870.31</v>
      </c>
      <c r="GP109" s="3">
        <f t="shared" si="124"/>
        <v>0</v>
      </c>
      <c r="GR109" s="3">
        <v>0</v>
      </c>
      <c r="GS109" s="3">
        <v>3</v>
      </c>
      <c r="GT109" s="3">
        <v>0</v>
      </c>
      <c r="GU109" s="3" t="s">
        <v>3</v>
      </c>
      <c r="GV109" s="3">
        <f t="shared" si="125"/>
        <v>0</v>
      </c>
      <c r="GW109" s="3">
        <v>1</v>
      </c>
      <c r="GX109" s="3">
        <f t="shared" si="126"/>
        <v>0</v>
      </c>
      <c r="HA109" s="3">
        <v>0</v>
      </c>
      <c r="HB109" s="3">
        <v>0</v>
      </c>
      <c r="HC109" s="3">
        <f t="shared" si="127"/>
        <v>0</v>
      </c>
      <c r="HE109" s="3" t="s">
        <v>3</v>
      </c>
      <c r="HF109" s="3" t="s">
        <v>3</v>
      </c>
      <c r="HM109" s="3" t="s">
        <v>3</v>
      </c>
      <c r="HN109" s="3" t="s">
        <v>3</v>
      </c>
      <c r="HO109" s="3" t="s">
        <v>3</v>
      </c>
      <c r="HP109" s="3" t="s">
        <v>3</v>
      </c>
      <c r="HQ109" s="3" t="s">
        <v>3</v>
      </c>
      <c r="HS109" s="3">
        <v>0</v>
      </c>
      <c r="IK109" s="3">
        <v>0</v>
      </c>
    </row>
    <row r="110" spans="1:255" x14ac:dyDescent="0.2">
      <c r="A110" s="2">
        <v>18</v>
      </c>
      <c r="B110" s="2">
        <v>1</v>
      </c>
      <c r="C110" s="2">
        <v>285</v>
      </c>
      <c r="D110" s="2"/>
      <c r="E110" s="2" t="s">
        <v>202</v>
      </c>
      <c r="F110" s="2" t="s">
        <v>203</v>
      </c>
      <c r="G110" s="2" t="s">
        <v>204</v>
      </c>
      <c r="H110" s="2" t="s">
        <v>191</v>
      </c>
      <c r="I110" s="2">
        <f>I106*J110</f>
        <v>60.3</v>
      </c>
      <c r="J110" s="2">
        <v>60.3</v>
      </c>
      <c r="K110" s="2">
        <v>60.3</v>
      </c>
      <c r="L110" s="2"/>
      <c r="M110" s="2"/>
      <c r="N110" s="2"/>
      <c r="O110" s="2">
        <f t="shared" si="103"/>
        <v>3989.45</v>
      </c>
      <c r="P110" s="2">
        <f t="shared" si="104"/>
        <v>3989.45</v>
      </c>
      <c r="Q110" s="2">
        <f t="shared" si="132"/>
        <v>0</v>
      </c>
      <c r="R110" s="2">
        <f t="shared" si="133"/>
        <v>0</v>
      </c>
      <c r="S110" s="2">
        <f t="shared" si="105"/>
        <v>0</v>
      </c>
      <c r="T110" s="2">
        <f t="shared" si="106"/>
        <v>0</v>
      </c>
      <c r="U110" s="2">
        <f t="shared" si="107"/>
        <v>0</v>
      </c>
      <c r="V110" s="2">
        <f t="shared" si="108"/>
        <v>0</v>
      </c>
      <c r="W110" s="2">
        <f t="shared" si="109"/>
        <v>0</v>
      </c>
      <c r="X110" s="2">
        <f t="shared" si="134"/>
        <v>0</v>
      </c>
      <c r="Y110" s="2">
        <f t="shared" si="135"/>
        <v>0</v>
      </c>
      <c r="Z110" s="2"/>
      <c r="AA110" s="2">
        <v>55747649</v>
      </c>
      <c r="AB110" s="2">
        <f t="shared" si="110"/>
        <v>66.16</v>
      </c>
      <c r="AC110" s="2">
        <f t="shared" si="136"/>
        <v>66.16</v>
      </c>
      <c r="AD110" s="2">
        <f t="shared" si="137"/>
        <v>0</v>
      </c>
      <c r="AE110" s="2">
        <f t="shared" si="138"/>
        <v>0</v>
      </c>
      <c r="AF110" s="2">
        <f t="shared" si="138"/>
        <v>0</v>
      </c>
      <c r="AG110" s="2">
        <f t="shared" si="111"/>
        <v>0</v>
      </c>
      <c r="AH110" s="2">
        <f t="shared" si="139"/>
        <v>0</v>
      </c>
      <c r="AI110" s="2">
        <f t="shared" si="139"/>
        <v>0</v>
      </c>
      <c r="AJ110" s="2">
        <f t="shared" si="112"/>
        <v>0</v>
      </c>
      <c r="AK110" s="2">
        <v>66.16</v>
      </c>
      <c r="AL110" s="2">
        <v>66.16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90</v>
      </c>
      <c r="AU110" s="2">
        <v>46</v>
      </c>
      <c r="AV110" s="2">
        <v>1</v>
      </c>
      <c r="AW110" s="2">
        <v>1</v>
      </c>
      <c r="AX110" s="2"/>
      <c r="AY110" s="2"/>
      <c r="AZ110" s="2">
        <v>1</v>
      </c>
      <c r="BA110" s="2">
        <v>1</v>
      </c>
      <c r="BB110" s="2">
        <v>1</v>
      </c>
      <c r="BC110" s="2">
        <v>1</v>
      </c>
      <c r="BD110" s="2" t="s">
        <v>3</v>
      </c>
      <c r="BE110" s="2" t="s">
        <v>3</v>
      </c>
      <c r="BF110" s="2" t="s">
        <v>3</v>
      </c>
      <c r="BG110" s="2" t="s">
        <v>3</v>
      </c>
      <c r="BH110" s="2">
        <v>3</v>
      </c>
      <c r="BI110" s="2">
        <v>2</v>
      </c>
      <c r="BJ110" s="2" t="s">
        <v>205</v>
      </c>
      <c r="BK110" s="2"/>
      <c r="BL110" s="2"/>
      <c r="BM110" s="2">
        <v>73</v>
      </c>
      <c r="BN110" s="2">
        <v>0</v>
      </c>
      <c r="BO110" s="2" t="s">
        <v>3</v>
      </c>
      <c r="BP110" s="2">
        <v>0</v>
      </c>
      <c r="BQ110" s="2">
        <v>40</v>
      </c>
      <c r="BR110" s="2">
        <v>0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 t="s">
        <v>3</v>
      </c>
      <c r="BZ110" s="2">
        <v>90</v>
      </c>
      <c r="CA110" s="2">
        <v>46</v>
      </c>
      <c r="CB110" s="2" t="s">
        <v>3</v>
      </c>
      <c r="CC110" s="2"/>
      <c r="CD110" s="2"/>
      <c r="CE110" s="2">
        <v>1566</v>
      </c>
      <c r="CF110" s="2">
        <v>0</v>
      </c>
      <c r="CG110" s="2">
        <v>0</v>
      </c>
      <c r="CH110" s="2"/>
      <c r="CI110" s="2"/>
      <c r="CJ110" s="2"/>
      <c r="CK110" s="2"/>
      <c r="CL110" s="2"/>
      <c r="CM110" s="2">
        <v>0</v>
      </c>
      <c r="CN110" s="2" t="s">
        <v>3</v>
      </c>
      <c r="CO110" s="2">
        <v>0</v>
      </c>
      <c r="CP110" s="2">
        <f t="shared" si="113"/>
        <v>3989.45</v>
      </c>
      <c r="CQ110" s="2">
        <f t="shared" si="114"/>
        <v>66.16</v>
      </c>
      <c r="CR110" s="2">
        <f t="shared" si="140"/>
        <v>0</v>
      </c>
      <c r="CS110" s="2">
        <f t="shared" si="141"/>
        <v>0</v>
      </c>
      <c r="CT110" s="2">
        <f t="shared" si="115"/>
        <v>0</v>
      </c>
      <c r="CU110" s="2">
        <f t="shared" si="116"/>
        <v>0</v>
      </c>
      <c r="CV110" s="2">
        <f t="shared" si="117"/>
        <v>0</v>
      </c>
      <c r="CW110" s="2">
        <f t="shared" si="118"/>
        <v>0</v>
      </c>
      <c r="CX110" s="2">
        <f t="shared" si="119"/>
        <v>0</v>
      </c>
      <c r="CY110" s="2">
        <f t="shared" si="142"/>
        <v>0</v>
      </c>
      <c r="CZ110" s="2">
        <f t="shared" si="143"/>
        <v>0</v>
      </c>
      <c r="DA110" s="2"/>
      <c r="DB110" s="2"/>
      <c r="DC110" s="2" t="s">
        <v>3</v>
      </c>
      <c r="DD110" s="2" t="s">
        <v>3</v>
      </c>
      <c r="DE110" s="2" t="s">
        <v>3</v>
      </c>
      <c r="DF110" s="2" t="s">
        <v>3</v>
      </c>
      <c r="DG110" s="2" t="s">
        <v>3</v>
      </c>
      <c r="DH110" s="2" t="s">
        <v>3</v>
      </c>
      <c r="DI110" s="2" t="s">
        <v>3</v>
      </c>
      <c r="DJ110" s="2" t="s">
        <v>3</v>
      </c>
      <c r="DK110" s="2" t="s">
        <v>3</v>
      </c>
      <c r="DL110" s="2" t="s">
        <v>3</v>
      </c>
      <c r="DM110" s="2" t="s">
        <v>3</v>
      </c>
      <c r="DN110" s="2">
        <v>0</v>
      </c>
      <c r="DO110" s="2">
        <v>0</v>
      </c>
      <c r="DP110" s="2">
        <v>1</v>
      </c>
      <c r="DQ110" s="2">
        <v>1</v>
      </c>
      <c r="DR110" s="2"/>
      <c r="DS110" s="2"/>
      <c r="DT110" s="2"/>
      <c r="DU110" s="2">
        <v>1003</v>
      </c>
      <c r="DV110" s="2" t="s">
        <v>191</v>
      </c>
      <c r="DW110" s="2" t="s">
        <v>191</v>
      </c>
      <c r="DX110" s="2">
        <v>1</v>
      </c>
      <c r="DY110" s="2"/>
      <c r="DZ110" s="2" t="s">
        <v>3</v>
      </c>
      <c r="EA110" s="2" t="s">
        <v>3</v>
      </c>
      <c r="EB110" s="2" t="s">
        <v>3</v>
      </c>
      <c r="EC110" s="2" t="s">
        <v>3</v>
      </c>
      <c r="ED110" s="2"/>
      <c r="EE110" s="2">
        <v>56938740</v>
      </c>
      <c r="EF110" s="2">
        <v>40</v>
      </c>
      <c r="EG110" s="2" t="s">
        <v>29</v>
      </c>
      <c r="EH110" s="2">
        <v>0</v>
      </c>
      <c r="EI110" s="2" t="s">
        <v>3</v>
      </c>
      <c r="EJ110" s="2">
        <v>2</v>
      </c>
      <c r="EK110" s="2">
        <v>73</v>
      </c>
      <c r="EL110" s="2" t="s">
        <v>85</v>
      </c>
      <c r="EM110" s="2" t="s">
        <v>86</v>
      </c>
      <c r="EN110" s="2"/>
      <c r="EO110" s="2" t="s">
        <v>3</v>
      </c>
      <c r="EP110" s="2"/>
      <c r="EQ110" s="2">
        <v>0</v>
      </c>
      <c r="ER110" s="2">
        <v>66.16</v>
      </c>
      <c r="ES110" s="2">
        <v>66.16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>
        <v>0</v>
      </c>
      <c r="FR110" s="2">
        <v>0</v>
      </c>
      <c r="FS110" s="2">
        <v>0</v>
      </c>
      <c r="FT110" s="2"/>
      <c r="FU110" s="2"/>
      <c r="FV110" s="2"/>
      <c r="FW110" s="2"/>
      <c r="FX110" s="2">
        <v>90</v>
      </c>
      <c r="FY110" s="2">
        <v>46</v>
      </c>
      <c r="FZ110" s="2"/>
      <c r="GA110" s="2" t="s">
        <v>3</v>
      </c>
      <c r="GB110" s="2"/>
      <c r="GC110" s="2"/>
      <c r="GD110" s="2">
        <v>1</v>
      </c>
      <c r="GE110" s="2"/>
      <c r="GF110" s="2">
        <v>1214887306</v>
      </c>
      <c r="GG110" s="2">
        <v>2</v>
      </c>
      <c r="GH110" s="2">
        <v>1</v>
      </c>
      <c r="GI110" s="2">
        <v>-2</v>
      </c>
      <c r="GJ110" s="2">
        <v>0</v>
      </c>
      <c r="GK110" s="2">
        <v>0</v>
      </c>
      <c r="GL110" s="2">
        <f t="shared" si="120"/>
        <v>0</v>
      </c>
      <c r="GM110" s="2">
        <f t="shared" si="121"/>
        <v>3989.45</v>
      </c>
      <c r="GN110" s="2">
        <f t="shared" si="122"/>
        <v>0</v>
      </c>
      <c r="GO110" s="2">
        <f t="shared" si="123"/>
        <v>3989.45</v>
      </c>
      <c r="GP110" s="2">
        <f t="shared" si="124"/>
        <v>0</v>
      </c>
      <c r="GQ110" s="2"/>
      <c r="GR110" s="2">
        <v>0</v>
      </c>
      <c r="GS110" s="2">
        <v>3</v>
      </c>
      <c r="GT110" s="2">
        <v>0</v>
      </c>
      <c r="GU110" s="2" t="s">
        <v>3</v>
      </c>
      <c r="GV110" s="2">
        <f t="shared" si="125"/>
        <v>0</v>
      </c>
      <c r="GW110" s="2">
        <v>1</v>
      </c>
      <c r="GX110" s="2">
        <f t="shared" si="126"/>
        <v>0</v>
      </c>
      <c r="GY110" s="2"/>
      <c r="GZ110" s="2"/>
      <c r="HA110" s="2">
        <v>0</v>
      </c>
      <c r="HB110" s="2">
        <v>0</v>
      </c>
      <c r="HC110" s="2">
        <f t="shared" si="127"/>
        <v>0</v>
      </c>
      <c r="HD110" s="2"/>
      <c r="HE110" s="2" t="s">
        <v>3</v>
      </c>
      <c r="HF110" s="2" t="s">
        <v>3</v>
      </c>
      <c r="HG110" s="2"/>
      <c r="HH110" s="2"/>
      <c r="HI110" s="2"/>
      <c r="HJ110" s="2"/>
      <c r="HK110" s="2"/>
      <c r="HL110" s="2"/>
      <c r="HM110" s="2" t="s">
        <v>3</v>
      </c>
      <c r="HN110" s="2" t="s">
        <v>3</v>
      </c>
      <c r="HO110" s="2" t="s">
        <v>3</v>
      </c>
      <c r="HP110" s="2" t="s">
        <v>3</v>
      </c>
      <c r="HQ110" s="2" t="s">
        <v>3</v>
      </c>
      <c r="HR110" s="2"/>
      <c r="HS110" s="2">
        <v>0</v>
      </c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>
        <v>0</v>
      </c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x14ac:dyDescent="0.2">
      <c r="A111" s="3">
        <v>18</v>
      </c>
      <c r="B111" s="3">
        <v>1</v>
      </c>
      <c r="C111" s="3">
        <v>295</v>
      </c>
      <c r="E111" s="3" t="s">
        <v>202</v>
      </c>
      <c r="F111" s="3" t="s">
        <v>203</v>
      </c>
      <c r="G111" s="3" t="s">
        <v>204</v>
      </c>
      <c r="H111" s="3" t="s">
        <v>191</v>
      </c>
      <c r="I111" s="3">
        <f>I107*J111</f>
        <v>60.3</v>
      </c>
      <c r="J111" s="3">
        <v>60.3</v>
      </c>
      <c r="K111" s="3">
        <v>60.3</v>
      </c>
      <c r="O111" s="3">
        <f t="shared" si="103"/>
        <v>18710.52</v>
      </c>
      <c r="P111" s="3">
        <f t="shared" si="104"/>
        <v>18710.52</v>
      </c>
      <c r="Q111" s="3">
        <f t="shared" si="132"/>
        <v>0</v>
      </c>
      <c r="R111" s="3">
        <f t="shared" si="133"/>
        <v>0</v>
      </c>
      <c r="S111" s="3">
        <f t="shared" si="105"/>
        <v>0</v>
      </c>
      <c r="T111" s="3">
        <f t="shared" si="106"/>
        <v>0</v>
      </c>
      <c r="U111" s="3">
        <f t="shared" si="107"/>
        <v>0</v>
      </c>
      <c r="V111" s="3">
        <f t="shared" si="108"/>
        <v>0</v>
      </c>
      <c r="W111" s="3">
        <f t="shared" si="109"/>
        <v>0</v>
      </c>
      <c r="X111" s="3">
        <f t="shared" si="134"/>
        <v>0</v>
      </c>
      <c r="Y111" s="3">
        <f t="shared" si="135"/>
        <v>0</v>
      </c>
      <c r="AA111" s="3">
        <v>55747651</v>
      </c>
      <c r="AB111" s="3">
        <f t="shared" si="110"/>
        <v>66.16</v>
      </c>
      <c r="AC111" s="3">
        <f t="shared" si="136"/>
        <v>66.16</v>
      </c>
      <c r="AD111" s="3">
        <f t="shared" si="137"/>
        <v>0</v>
      </c>
      <c r="AE111" s="3">
        <f t="shared" si="138"/>
        <v>0</v>
      </c>
      <c r="AF111" s="3">
        <f t="shared" si="138"/>
        <v>0</v>
      </c>
      <c r="AG111" s="3">
        <f t="shared" si="111"/>
        <v>0</v>
      </c>
      <c r="AH111" s="3">
        <f t="shared" si="139"/>
        <v>0</v>
      </c>
      <c r="AI111" s="3">
        <f t="shared" si="139"/>
        <v>0</v>
      </c>
      <c r="AJ111" s="3">
        <f t="shared" si="112"/>
        <v>0</v>
      </c>
      <c r="AK111" s="3">
        <v>66.16</v>
      </c>
      <c r="AL111" s="3">
        <v>66.16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90</v>
      </c>
      <c r="AU111" s="3">
        <v>46</v>
      </c>
      <c r="AV111" s="3">
        <v>1</v>
      </c>
      <c r="AW111" s="3">
        <v>1</v>
      </c>
      <c r="AZ111" s="3">
        <v>1</v>
      </c>
      <c r="BA111" s="3">
        <v>1</v>
      </c>
      <c r="BB111" s="3">
        <v>1</v>
      </c>
      <c r="BC111" s="3">
        <v>4.6900000000000004</v>
      </c>
      <c r="BD111" s="3" t="s">
        <v>3</v>
      </c>
      <c r="BE111" s="3" t="s">
        <v>3</v>
      </c>
      <c r="BF111" s="3" t="s">
        <v>3</v>
      </c>
      <c r="BG111" s="3" t="s">
        <v>3</v>
      </c>
      <c r="BH111" s="3">
        <v>3</v>
      </c>
      <c r="BI111" s="3">
        <v>2</v>
      </c>
      <c r="BJ111" s="3" t="s">
        <v>205</v>
      </c>
      <c r="BM111" s="3">
        <v>73</v>
      </c>
      <c r="BN111" s="3">
        <v>0</v>
      </c>
      <c r="BO111" s="3" t="s">
        <v>203</v>
      </c>
      <c r="BP111" s="3">
        <v>1</v>
      </c>
      <c r="BQ111" s="3">
        <v>40</v>
      </c>
      <c r="BR111" s="3">
        <v>0</v>
      </c>
      <c r="BS111" s="3">
        <v>1</v>
      </c>
      <c r="BT111" s="3">
        <v>1</v>
      </c>
      <c r="BU111" s="3">
        <v>1</v>
      </c>
      <c r="BV111" s="3">
        <v>1</v>
      </c>
      <c r="BW111" s="3">
        <v>1</v>
      </c>
      <c r="BX111" s="3">
        <v>1</v>
      </c>
      <c r="BY111" s="3" t="s">
        <v>3</v>
      </c>
      <c r="BZ111" s="3">
        <v>90</v>
      </c>
      <c r="CA111" s="3">
        <v>46</v>
      </c>
      <c r="CB111" s="3" t="s">
        <v>3</v>
      </c>
      <c r="CE111" s="3">
        <v>1566</v>
      </c>
      <c r="CF111" s="3">
        <v>0</v>
      </c>
      <c r="CG111" s="3">
        <v>0</v>
      </c>
      <c r="CM111" s="3">
        <v>0</v>
      </c>
      <c r="CN111" s="3" t="s">
        <v>3</v>
      </c>
      <c r="CO111" s="3">
        <v>0</v>
      </c>
      <c r="CP111" s="3">
        <f t="shared" si="113"/>
        <v>18710.52</v>
      </c>
      <c r="CQ111" s="3">
        <f t="shared" si="114"/>
        <v>310.29000000000002</v>
      </c>
      <c r="CR111" s="3">
        <f t="shared" si="140"/>
        <v>0</v>
      </c>
      <c r="CS111" s="3">
        <f t="shared" si="141"/>
        <v>0</v>
      </c>
      <c r="CT111" s="3">
        <f t="shared" si="115"/>
        <v>0</v>
      </c>
      <c r="CU111" s="3">
        <f t="shared" si="116"/>
        <v>0</v>
      </c>
      <c r="CV111" s="3">
        <f t="shared" si="117"/>
        <v>0</v>
      </c>
      <c r="CW111" s="3">
        <f t="shared" si="118"/>
        <v>0</v>
      </c>
      <c r="CX111" s="3">
        <f t="shared" si="119"/>
        <v>0</v>
      </c>
      <c r="CY111" s="3">
        <f t="shared" si="142"/>
        <v>0</v>
      </c>
      <c r="CZ111" s="3">
        <f t="shared" si="143"/>
        <v>0</v>
      </c>
      <c r="DC111" s="3" t="s">
        <v>3</v>
      </c>
      <c r="DD111" s="3" t="s">
        <v>3</v>
      </c>
      <c r="DE111" s="3" t="s">
        <v>3</v>
      </c>
      <c r="DF111" s="3" t="s">
        <v>3</v>
      </c>
      <c r="DG111" s="3" t="s">
        <v>3</v>
      </c>
      <c r="DH111" s="3" t="s">
        <v>3</v>
      </c>
      <c r="DI111" s="3" t="s">
        <v>3</v>
      </c>
      <c r="DJ111" s="3" t="s">
        <v>3</v>
      </c>
      <c r="DK111" s="3" t="s">
        <v>3</v>
      </c>
      <c r="DL111" s="3" t="s">
        <v>3</v>
      </c>
      <c r="DM111" s="3" t="s">
        <v>3</v>
      </c>
      <c r="DN111" s="3">
        <v>0</v>
      </c>
      <c r="DO111" s="3">
        <v>0</v>
      </c>
      <c r="DP111" s="3">
        <v>1</v>
      </c>
      <c r="DQ111" s="3">
        <v>1</v>
      </c>
      <c r="DU111" s="3">
        <v>1003</v>
      </c>
      <c r="DV111" s="3" t="s">
        <v>191</v>
      </c>
      <c r="DW111" s="3" t="s">
        <v>191</v>
      </c>
      <c r="DX111" s="3">
        <v>1</v>
      </c>
      <c r="DZ111" s="3" t="s">
        <v>3</v>
      </c>
      <c r="EA111" s="3" t="s">
        <v>3</v>
      </c>
      <c r="EB111" s="3" t="s">
        <v>3</v>
      </c>
      <c r="EC111" s="3" t="s">
        <v>3</v>
      </c>
      <c r="EE111" s="3">
        <v>56938740</v>
      </c>
      <c r="EF111" s="3">
        <v>40</v>
      </c>
      <c r="EG111" s="3" t="s">
        <v>29</v>
      </c>
      <c r="EH111" s="3">
        <v>0</v>
      </c>
      <c r="EI111" s="3" t="s">
        <v>3</v>
      </c>
      <c r="EJ111" s="3">
        <v>2</v>
      </c>
      <c r="EK111" s="3">
        <v>73</v>
      </c>
      <c r="EL111" s="3" t="s">
        <v>85</v>
      </c>
      <c r="EM111" s="3" t="s">
        <v>86</v>
      </c>
      <c r="EO111" s="3" t="s">
        <v>3</v>
      </c>
      <c r="EQ111" s="3">
        <v>0</v>
      </c>
      <c r="ER111" s="3">
        <v>66.16</v>
      </c>
      <c r="ES111" s="3">
        <v>66.16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FQ111" s="3">
        <v>0</v>
      </c>
      <c r="FR111" s="3">
        <v>0</v>
      </c>
      <c r="FS111" s="3">
        <v>0</v>
      </c>
      <c r="FX111" s="3">
        <v>90</v>
      </c>
      <c r="FY111" s="3">
        <v>46</v>
      </c>
      <c r="GA111" s="3" t="s">
        <v>3</v>
      </c>
      <c r="GD111" s="3">
        <v>1</v>
      </c>
      <c r="GF111" s="3">
        <v>1214887306</v>
      </c>
      <c r="GG111" s="3">
        <v>2</v>
      </c>
      <c r="GH111" s="3">
        <v>1</v>
      </c>
      <c r="GI111" s="3">
        <v>2</v>
      </c>
      <c r="GJ111" s="3">
        <v>0</v>
      </c>
      <c r="GK111" s="3">
        <v>0</v>
      </c>
      <c r="GL111" s="3">
        <f t="shared" si="120"/>
        <v>0</v>
      </c>
      <c r="GM111" s="3">
        <f t="shared" si="121"/>
        <v>18710.52</v>
      </c>
      <c r="GN111" s="3">
        <f t="shared" si="122"/>
        <v>0</v>
      </c>
      <c r="GO111" s="3">
        <f t="shared" si="123"/>
        <v>18710.52</v>
      </c>
      <c r="GP111" s="3">
        <f t="shared" si="124"/>
        <v>0</v>
      </c>
      <c r="GR111" s="3">
        <v>0</v>
      </c>
      <c r="GS111" s="3">
        <v>3</v>
      </c>
      <c r="GT111" s="3">
        <v>0</v>
      </c>
      <c r="GU111" s="3" t="s">
        <v>3</v>
      </c>
      <c r="GV111" s="3">
        <f t="shared" si="125"/>
        <v>0</v>
      </c>
      <c r="GW111" s="3">
        <v>1</v>
      </c>
      <c r="GX111" s="3">
        <f t="shared" si="126"/>
        <v>0</v>
      </c>
      <c r="HA111" s="3">
        <v>0</v>
      </c>
      <c r="HB111" s="3">
        <v>0</v>
      </c>
      <c r="HC111" s="3">
        <f t="shared" si="127"/>
        <v>0</v>
      </c>
      <c r="HE111" s="3" t="s">
        <v>3</v>
      </c>
      <c r="HF111" s="3" t="s">
        <v>3</v>
      </c>
      <c r="HM111" s="3" t="s">
        <v>3</v>
      </c>
      <c r="HN111" s="3" t="s">
        <v>3</v>
      </c>
      <c r="HO111" s="3" t="s">
        <v>3</v>
      </c>
      <c r="HP111" s="3" t="s">
        <v>3</v>
      </c>
      <c r="HQ111" s="3" t="s">
        <v>3</v>
      </c>
      <c r="HS111" s="3">
        <v>0</v>
      </c>
      <c r="IK111" s="3">
        <v>0</v>
      </c>
    </row>
    <row r="112" spans="1:255" x14ac:dyDescent="0.2">
      <c r="A112" s="2">
        <v>17</v>
      </c>
      <c r="B112" s="2">
        <v>1</v>
      </c>
      <c r="C112" s="2"/>
      <c r="D112" s="2"/>
      <c r="E112" s="2" t="s">
        <v>206</v>
      </c>
      <c r="F112" s="2" t="s">
        <v>158</v>
      </c>
      <c r="G112" s="2" t="s">
        <v>159</v>
      </c>
      <c r="H112" s="2" t="s">
        <v>118</v>
      </c>
      <c r="I112" s="2">
        <v>6</v>
      </c>
      <c r="J112" s="2">
        <v>0</v>
      </c>
      <c r="K112" s="2">
        <v>6</v>
      </c>
      <c r="L112" s="2"/>
      <c r="M112" s="2"/>
      <c r="N112" s="2"/>
      <c r="O112" s="2">
        <f t="shared" si="103"/>
        <v>780.42</v>
      </c>
      <c r="P112" s="2">
        <f t="shared" si="104"/>
        <v>780.42</v>
      </c>
      <c r="Q112" s="2">
        <f t="shared" si="132"/>
        <v>0</v>
      </c>
      <c r="R112" s="2">
        <f t="shared" si="133"/>
        <v>0</v>
      </c>
      <c r="S112" s="2">
        <f t="shared" si="105"/>
        <v>0</v>
      </c>
      <c r="T112" s="2">
        <f t="shared" si="106"/>
        <v>0</v>
      </c>
      <c r="U112" s="2">
        <f t="shared" si="107"/>
        <v>0</v>
      </c>
      <c r="V112" s="2">
        <f t="shared" si="108"/>
        <v>0</v>
      </c>
      <c r="W112" s="2">
        <f t="shared" si="109"/>
        <v>0</v>
      </c>
      <c r="X112" s="2">
        <f t="shared" si="134"/>
        <v>0</v>
      </c>
      <c r="Y112" s="2">
        <f t="shared" si="135"/>
        <v>0</v>
      </c>
      <c r="Z112" s="2"/>
      <c r="AA112" s="2">
        <v>55747649</v>
      </c>
      <c r="AB112" s="2">
        <f t="shared" si="110"/>
        <v>130.07</v>
      </c>
      <c r="AC112" s="2">
        <f t="shared" si="136"/>
        <v>130.07</v>
      </c>
      <c r="AD112" s="2">
        <f t="shared" si="137"/>
        <v>0</v>
      </c>
      <c r="AE112" s="2">
        <f t="shared" si="138"/>
        <v>0</v>
      </c>
      <c r="AF112" s="2">
        <f t="shared" si="138"/>
        <v>0</v>
      </c>
      <c r="AG112" s="2">
        <f t="shared" si="111"/>
        <v>0</v>
      </c>
      <c r="AH112" s="2">
        <f t="shared" si="139"/>
        <v>0</v>
      </c>
      <c r="AI112" s="2">
        <f t="shared" si="139"/>
        <v>0</v>
      </c>
      <c r="AJ112" s="2">
        <f t="shared" si="112"/>
        <v>0</v>
      </c>
      <c r="AK112" s="2">
        <v>130.07</v>
      </c>
      <c r="AL112" s="2">
        <v>130.07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1</v>
      </c>
      <c r="AW112" s="2">
        <v>1</v>
      </c>
      <c r="AX112" s="2"/>
      <c r="AY112" s="2"/>
      <c r="AZ112" s="2">
        <v>1</v>
      </c>
      <c r="BA112" s="2">
        <v>1</v>
      </c>
      <c r="BB112" s="2">
        <v>1</v>
      </c>
      <c r="BC112" s="2">
        <v>1</v>
      </c>
      <c r="BD112" s="2" t="s">
        <v>3</v>
      </c>
      <c r="BE112" s="2" t="s">
        <v>3</v>
      </c>
      <c r="BF112" s="2" t="s">
        <v>3</v>
      </c>
      <c r="BG112" s="2" t="s">
        <v>3</v>
      </c>
      <c r="BH112" s="2">
        <v>3</v>
      </c>
      <c r="BI112" s="2">
        <v>1</v>
      </c>
      <c r="BJ112" s="2" t="s">
        <v>160</v>
      </c>
      <c r="BK112" s="2"/>
      <c r="BL112" s="2"/>
      <c r="BM112" s="2">
        <v>1617</v>
      </c>
      <c r="BN112" s="2">
        <v>0</v>
      </c>
      <c r="BO112" s="2" t="s">
        <v>3</v>
      </c>
      <c r="BP112" s="2">
        <v>0</v>
      </c>
      <c r="BQ112" s="2">
        <v>200</v>
      </c>
      <c r="BR112" s="2">
        <v>0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 t="s">
        <v>3</v>
      </c>
      <c r="BZ112" s="2">
        <v>0</v>
      </c>
      <c r="CA112" s="2">
        <v>0</v>
      </c>
      <c r="CB112" s="2" t="s">
        <v>3</v>
      </c>
      <c r="CC112" s="2"/>
      <c r="CD112" s="2"/>
      <c r="CE112" s="2">
        <v>1566</v>
      </c>
      <c r="CF112" s="2">
        <v>0</v>
      </c>
      <c r="CG112" s="2">
        <v>0</v>
      </c>
      <c r="CH112" s="2"/>
      <c r="CI112" s="2"/>
      <c r="CJ112" s="2"/>
      <c r="CK112" s="2"/>
      <c r="CL112" s="2"/>
      <c r="CM112" s="2">
        <v>0</v>
      </c>
      <c r="CN112" s="2" t="s">
        <v>3</v>
      </c>
      <c r="CO112" s="2">
        <v>0</v>
      </c>
      <c r="CP112" s="2">
        <f t="shared" si="113"/>
        <v>780.42</v>
      </c>
      <c r="CQ112" s="2">
        <f t="shared" si="114"/>
        <v>130.07</v>
      </c>
      <c r="CR112" s="2">
        <f t="shared" si="140"/>
        <v>0</v>
      </c>
      <c r="CS112" s="2">
        <f t="shared" si="141"/>
        <v>0</v>
      </c>
      <c r="CT112" s="2">
        <f t="shared" si="115"/>
        <v>0</v>
      </c>
      <c r="CU112" s="2">
        <f t="shared" si="116"/>
        <v>0</v>
      </c>
      <c r="CV112" s="2">
        <f t="shared" si="117"/>
        <v>0</v>
      </c>
      <c r="CW112" s="2">
        <f t="shared" si="118"/>
        <v>0</v>
      </c>
      <c r="CX112" s="2">
        <f t="shared" si="119"/>
        <v>0</v>
      </c>
      <c r="CY112" s="2">
        <f t="shared" si="142"/>
        <v>0</v>
      </c>
      <c r="CZ112" s="2">
        <f t="shared" si="143"/>
        <v>0</v>
      </c>
      <c r="DA112" s="2"/>
      <c r="DB112" s="2"/>
      <c r="DC112" s="2" t="s">
        <v>3</v>
      </c>
      <c r="DD112" s="2" t="s">
        <v>3</v>
      </c>
      <c r="DE112" s="2" t="s">
        <v>3</v>
      </c>
      <c r="DF112" s="2" t="s">
        <v>3</v>
      </c>
      <c r="DG112" s="2" t="s">
        <v>3</v>
      </c>
      <c r="DH112" s="2" t="s">
        <v>3</v>
      </c>
      <c r="DI112" s="2" t="s">
        <v>3</v>
      </c>
      <c r="DJ112" s="2" t="s">
        <v>3</v>
      </c>
      <c r="DK112" s="2" t="s">
        <v>3</v>
      </c>
      <c r="DL112" s="2" t="s">
        <v>3</v>
      </c>
      <c r="DM112" s="2" t="s">
        <v>3</v>
      </c>
      <c r="DN112" s="2">
        <v>0</v>
      </c>
      <c r="DO112" s="2">
        <v>0</v>
      </c>
      <c r="DP112" s="2">
        <v>1</v>
      </c>
      <c r="DQ112" s="2">
        <v>1</v>
      </c>
      <c r="DR112" s="2"/>
      <c r="DS112" s="2"/>
      <c r="DT112" s="2"/>
      <c r="DU112" s="2">
        <v>1010</v>
      </c>
      <c r="DV112" s="2" t="s">
        <v>118</v>
      </c>
      <c r="DW112" s="2" t="s">
        <v>118</v>
      </c>
      <c r="DX112" s="2">
        <v>1</v>
      </c>
      <c r="DY112" s="2"/>
      <c r="DZ112" s="2" t="s">
        <v>3</v>
      </c>
      <c r="EA112" s="2" t="s">
        <v>3</v>
      </c>
      <c r="EB112" s="2" t="s">
        <v>3</v>
      </c>
      <c r="EC112" s="2" t="s">
        <v>3</v>
      </c>
      <c r="ED112" s="2"/>
      <c r="EE112" s="2">
        <v>56938763</v>
      </c>
      <c r="EF112" s="2">
        <v>200</v>
      </c>
      <c r="EG112" s="2" t="s">
        <v>132</v>
      </c>
      <c r="EH112" s="2">
        <v>0</v>
      </c>
      <c r="EI112" s="2" t="s">
        <v>3</v>
      </c>
      <c r="EJ112" s="2">
        <v>1</v>
      </c>
      <c r="EK112" s="2">
        <v>1617</v>
      </c>
      <c r="EL112" s="2" t="s">
        <v>133</v>
      </c>
      <c r="EM112" s="2" t="s">
        <v>134</v>
      </c>
      <c r="EN112" s="2"/>
      <c r="EO112" s="2" t="s">
        <v>3</v>
      </c>
      <c r="EP112" s="2"/>
      <c r="EQ112" s="2">
        <v>0</v>
      </c>
      <c r="ER112" s="2">
        <v>130.07</v>
      </c>
      <c r="ES112" s="2">
        <v>130.07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>
        <v>0</v>
      </c>
      <c r="FR112" s="2">
        <v>0</v>
      </c>
      <c r="FS112" s="2">
        <v>0</v>
      </c>
      <c r="FT112" s="2"/>
      <c r="FU112" s="2"/>
      <c r="FV112" s="2"/>
      <c r="FW112" s="2"/>
      <c r="FX112" s="2">
        <v>0</v>
      </c>
      <c r="FY112" s="2">
        <v>0</v>
      </c>
      <c r="FZ112" s="2"/>
      <c r="GA112" s="2" t="s">
        <v>3</v>
      </c>
      <c r="GB112" s="2"/>
      <c r="GC112" s="2"/>
      <c r="GD112" s="2">
        <v>1</v>
      </c>
      <c r="GE112" s="2"/>
      <c r="GF112" s="2">
        <v>-1214401210</v>
      </c>
      <c r="GG112" s="2">
        <v>2</v>
      </c>
      <c r="GH112" s="2">
        <v>1</v>
      </c>
      <c r="GI112" s="2">
        <v>-2</v>
      </c>
      <c r="GJ112" s="2">
        <v>0</v>
      </c>
      <c r="GK112" s="2">
        <v>0</v>
      </c>
      <c r="GL112" s="2">
        <f t="shared" si="120"/>
        <v>0</v>
      </c>
      <c r="GM112" s="2">
        <f t="shared" si="121"/>
        <v>780.42</v>
      </c>
      <c r="GN112" s="2">
        <f t="shared" si="122"/>
        <v>780.42</v>
      </c>
      <c r="GO112" s="2">
        <f t="shared" si="123"/>
        <v>0</v>
      </c>
      <c r="GP112" s="2">
        <f t="shared" si="124"/>
        <v>0</v>
      </c>
      <c r="GQ112" s="2"/>
      <c r="GR112" s="2">
        <v>0</v>
      </c>
      <c r="GS112" s="2">
        <v>3</v>
      </c>
      <c r="GT112" s="2">
        <v>0</v>
      </c>
      <c r="GU112" s="2" t="s">
        <v>3</v>
      </c>
      <c r="GV112" s="2">
        <f t="shared" si="125"/>
        <v>0</v>
      </c>
      <c r="GW112" s="2">
        <v>1</v>
      </c>
      <c r="GX112" s="2">
        <f t="shared" si="126"/>
        <v>0</v>
      </c>
      <c r="GY112" s="2"/>
      <c r="GZ112" s="2"/>
      <c r="HA112" s="2">
        <v>0</v>
      </c>
      <c r="HB112" s="2">
        <v>0</v>
      </c>
      <c r="HC112" s="2">
        <f t="shared" si="127"/>
        <v>0</v>
      </c>
      <c r="HD112" s="2"/>
      <c r="HE112" s="2" t="s">
        <v>3</v>
      </c>
      <c r="HF112" s="2" t="s">
        <v>3</v>
      </c>
      <c r="HG112" s="2"/>
      <c r="HH112" s="2"/>
      <c r="HI112" s="2"/>
      <c r="HJ112" s="2"/>
      <c r="HK112" s="2"/>
      <c r="HL112" s="2"/>
      <c r="HM112" s="2" t="s">
        <v>3</v>
      </c>
      <c r="HN112" s="2" t="s">
        <v>3</v>
      </c>
      <c r="HO112" s="2" t="s">
        <v>3</v>
      </c>
      <c r="HP112" s="2" t="s">
        <v>3</v>
      </c>
      <c r="HQ112" s="2" t="s">
        <v>3</v>
      </c>
      <c r="HR112" s="2"/>
      <c r="HS112" s="2">
        <v>0</v>
      </c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0</v>
      </c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x14ac:dyDescent="0.2">
      <c r="A113" s="3">
        <v>17</v>
      </c>
      <c r="B113" s="3">
        <v>1</v>
      </c>
      <c r="E113" s="3" t="s">
        <v>206</v>
      </c>
      <c r="F113" s="3" t="s">
        <v>158</v>
      </c>
      <c r="G113" s="3" t="s">
        <v>159</v>
      </c>
      <c r="H113" s="3" t="s">
        <v>118</v>
      </c>
      <c r="I113" s="3">
        <v>6</v>
      </c>
      <c r="J113" s="3">
        <v>0</v>
      </c>
      <c r="K113" s="3">
        <v>6</v>
      </c>
      <c r="O113" s="3">
        <f t="shared" si="103"/>
        <v>3761.62</v>
      </c>
      <c r="P113" s="3">
        <f t="shared" si="104"/>
        <v>3761.62</v>
      </c>
      <c r="Q113" s="3">
        <f t="shared" si="132"/>
        <v>0</v>
      </c>
      <c r="R113" s="3">
        <f t="shared" si="133"/>
        <v>0</v>
      </c>
      <c r="S113" s="3">
        <f t="shared" si="105"/>
        <v>0</v>
      </c>
      <c r="T113" s="3">
        <f t="shared" si="106"/>
        <v>0</v>
      </c>
      <c r="U113" s="3">
        <f t="shared" si="107"/>
        <v>0</v>
      </c>
      <c r="V113" s="3">
        <f t="shared" si="108"/>
        <v>0</v>
      </c>
      <c r="W113" s="3">
        <f t="shared" si="109"/>
        <v>0</v>
      </c>
      <c r="X113" s="3">
        <f t="shared" si="134"/>
        <v>0</v>
      </c>
      <c r="Y113" s="3">
        <f t="shared" si="135"/>
        <v>0</v>
      </c>
      <c r="AA113" s="3">
        <v>55747651</v>
      </c>
      <c r="AB113" s="3">
        <f t="shared" si="110"/>
        <v>130.07</v>
      </c>
      <c r="AC113" s="3">
        <f t="shared" si="136"/>
        <v>130.07</v>
      </c>
      <c r="AD113" s="3">
        <f t="shared" si="137"/>
        <v>0</v>
      </c>
      <c r="AE113" s="3">
        <f t="shared" si="138"/>
        <v>0</v>
      </c>
      <c r="AF113" s="3">
        <f t="shared" si="138"/>
        <v>0</v>
      </c>
      <c r="AG113" s="3">
        <f t="shared" si="111"/>
        <v>0</v>
      </c>
      <c r="AH113" s="3">
        <f t="shared" si="139"/>
        <v>0</v>
      </c>
      <c r="AI113" s="3">
        <f t="shared" si="139"/>
        <v>0</v>
      </c>
      <c r="AJ113" s="3">
        <f t="shared" si="112"/>
        <v>0</v>
      </c>
      <c r="AK113" s="3">
        <v>130.07</v>
      </c>
      <c r="AL113" s="3">
        <v>130.07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1</v>
      </c>
      <c r="AW113" s="3">
        <v>1</v>
      </c>
      <c r="AZ113" s="3">
        <v>1</v>
      </c>
      <c r="BA113" s="3">
        <v>1</v>
      </c>
      <c r="BB113" s="3">
        <v>1</v>
      </c>
      <c r="BC113" s="3">
        <v>4.82</v>
      </c>
      <c r="BD113" s="3" t="s">
        <v>3</v>
      </c>
      <c r="BE113" s="3" t="s">
        <v>3</v>
      </c>
      <c r="BF113" s="3" t="s">
        <v>3</v>
      </c>
      <c r="BG113" s="3" t="s">
        <v>3</v>
      </c>
      <c r="BH113" s="3">
        <v>3</v>
      </c>
      <c r="BI113" s="3">
        <v>1</v>
      </c>
      <c r="BJ113" s="3" t="s">
        <v>160</v>
      </c>
      <c r="BM113" s="3">
        <v>1617</v>
      </c>
      <c r="BN113" s="3">
        <v>0</v>
      </c>
      <c r="BO113" s="3" t="s">
        <v>158</v>
      </c>
      <c r="BP113" s="3">
        <v>1</v>
      </c>
      <c r="BQ113" s="3">
        <v>200</v>
      </c>
      <c r="BR113" s="3">
        <v>0</v>
      </c>
      <c r="BS113" s="3">
        <v>1</v>
      </c>
      <c r="BT113" s="3">
        <v>1</v>
      </c>
      <c r="BU113" s="3">
        <v>1</v>
      </c>
      <c r="BV113" s="3">
        <v>1</v>
      </c>
      <c r="BW113" s="3">
        <v>1</v>
      </c>
      <c r="BX113" s="3">
        <v>1</v>
      </c>
      <c r="BY113" s="3" t="s">
        <v>3</v>
      </c>
      <c r="BZ113" s="3">
        <v>0</v>
      </c>
      <c r="CA113" s="3">
        <v>0</v>
      </c>
      <c r="CB113" s="3" t="s">
        <v>3</v>
      </c>
      <c r="CE113" s="3">
        <v>1566</v>
      </c>
      <c r="CF113" s="3">
        <v>0</v>
      </c>
      <c r="CG113" s="3">
        <v>0</v>
      </c>
      <c r="CM113" s="3">
        <v>0</v>
      </c>
      <c r="CN113" s="3" t="s">
        <v>3</v>
      </c>
      <c r="CO113" s="3">
        <v>0</v>
      </c>
      <c r="CP113" s="3">
        <f t="shared" si="113"/>
        <v>3761.62</v>
      </c>
      <c r="CQ113" s="3">
        <f t="shared" si="114"/>
        <v>626.94000000000005</v>
      </c>
      <c r="CR113" s="3">
        <f t="shared" si="140"/>
        <v>0</v>
      </c>
      <c r="CS113" s="3">
        <f t="shared" si="141"/>
        <v>0</v>
      </c>
      <c r="CT113" s="3">
        <f t="shared" si="115"/>
        <v>0</v>
      </c>
      <c r="CU113" s="3">
        <f t="shared" si="116"/>
        <v>0</v>
      </c>
      <c r="CV113" s="3">
        <f t="shared" si="117"/>
        <v>0</v>
      </c>
      <c r="CW113" s="3">
        <f t="shared" si="118"/>
        <v>0</v>
      </c>
      <c r="CX113" s="3">
        <f t="shared" si="119"/>
        <v>0</v>
      </c>
      <c r="CY113" s="3">
        <f t="shared" si="142"/>
        <v>0</v>
      </c>
      <c r="CZ113" s="3">
        <f t="shared" si="143"/>
        <v>0</v>
      </c>
      <c r="DC113" s="3" t="s">
        <v>3</v>
      </c>
      <c r="DD113" s="3" t="s">
        <v>3</v>
      </c>
      <c r="DE113" s="3" t="s">
        <v>3</v>
      </c>
      <c r="DF113" s="3" t="s">
        <v>3</v>
      </c>
      <c r="DG113" s="3" t="s">
        <v>3</v>
      </c>
      <c r="DH113" s="3" t="s">
        <v>3</v>
      </c>
      <c r="DI113" s="3" t="s">
        <v>3</v>
      </c>
      <c r="DJ113" s="3" t="s">
        <v>3</v>
      </c>
      <c r="DK113" s="3" t="s">
        <v>3</v>
      </c>
      <c r="DL113" s="3" t="s">
        <v>3</v>
      </c>
      <c r="DM113" s="3" t="s">
        <v>3</v>
      </c>
      <c r="DN113" s="3">
        <v>0</v>
      </c>
      <c r="DO113" s="3">
        <v>0</v>
      </c>
      <c r="DP113" s="3">
        <v>1</v>
      </c>
      <c r="DQ113" s="3">
        <v>1</v>
      </c>
      <c r="DU113" s="3">
        <v>1010</v>
      </c>
      <c r="DV113" s="3" t="s">
        <v>118</v>
      </c>
      <c r="DW113" s="3" t="s">
        <v>118</v>
      </c>
      <c r="DX113" s="3">
        <v>1</v>
      </c>
      <c r="DZ113" s="3" t="s">
        <v>3</v>
      </c>
      <c r="EA113" s="3" t="s">
        <v>3</v>
      </c>
      <c r="EB113" s="3" t="s">
        <v>3</v>
      </c>
      <c r="EC113" s="3" t="s">
        <v>3</v>
      </c>
      <c r="EE113" s="3">
        <v>56938763</v>
      </c>
      <c r="EF113" s="3">
        <v>200</v>
      </c>
      <c r="EG113" s="3" t="s">
        <v>132</v>
      </c>
      <c r="EH113" s="3">
        <v>0</v>
      </c>
      <c r="EI113" s="3" t="s">
        <v>3</v>
      </c>
      <c r="EJ113" s="3">
        <v>1</v>
      </c>
      <c r="EK113" s="3">
        <v>1617</v>
      </c>
      <c r="EL113" s="3" t="s">
        <v>133</v>
      </c>
      <c r="EM113" s="3" t="s">
        <v>134</v>
      </c>
      <c r="EO113" s="3" t="s">
        <v>3</v>
      </c>
      <c r="EQ113" s="3">
        <v>0</v>
      </c>
      <c r="ER113" s="3">
        <v>130.07</v>
      </c>
      <c r="ES113" s="3">
        <v>130.07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FQ113" s="3">
        <v>0</v>
      </c>
      <c r="FR113" s="3">
        <v>0</v>
      </c>
      <c r="FS113" s="3">
        <v>0</v>
      </c>
      <c r="FX113" s="3">
        <v>0</v>
      </c>
      <c r="FY113" s="3">
        <v>0</v>
      </c>
      <c r="GA113" s="3" t="s">
        <v>3</v>
      </c>
      <c r="GD113" s="3">
        <v>1</v>
      </c>
      <c r="GF113" s="3">
        <v>-1214401210</v>
      </c>
      <c r="GG113" s="3">
        <v>2</v>
      </c>
      <c r="GH113" s="3">
        <v>1</v>
      </c>
      <c r="GI113" s="3">
        <v>2</v>
      </c>
      <c r="GJ113" s="3">
        <v>0</v>
      </c>
      <c r="GK113" s="3">
        <v>0</v>
      </c>
      <c r="GL113" s="3">
        <f t="shared" si="120"/>
        <v>0</v>
      </c>
      <c r="GM113" s="3">
        <f t="shared" si="121"/>
        <v>3761.62</v>
      </c>
      <c r="GN113" s="3">
        <f t="shared" si="122"/>
        <v>3761.62</v>
      </c>
      <c r="GO113" s="3">
        <f t="shared" si="123"/>
        <v>0</v>
      </c>
      <c r="GP113" s="3">
        <f t="shared" si="124"/>
        <v>0</v>
      </c>
      <c r="GR113" s="3">
        <v>0</v>
      </c>
      <c r="GS113" s="3">
        <v>3</v>
      </c>
      <c r="GT113" s="3">
        <v>0</v>
      </c>
      <c r="GU113" s="3" t="s">
        <v>3</v>
      </c>
      <c r="GV113" s="3">
        <f t="shared" si="125"/>
        <v>0</v>
      </c>
      <c r="GW113" s="3">
        <v>1</v>
      </c>
      <c r="GX113" s="3">
        <f t="shared" si="126"/>
        <v>0</v>
      </c>
      <c r="HA113" s="3">
        <v>0</v>
      </c>
      <c r="HB113" s="3">
        <v>0</v>
      </c>
      <c r="HC113" s="3">
        <f t="shared" si="127"/>
        <v>0</v>
      </c>
      <c r="HE113" s="3" t="s">
        <v>3</v>
      </c>
      <c r="HF113" s="3" t="s">
        <v>3</v>
      </c>
      <c r="HM113" s="3" t="s">
        <v>3</v>
      </c>
      <c r="HN113" s="3" t="s">
        <v>3</v>
      </c>
      <c r="HO113" s="3" t="s">
        <v>3</v>
      </c>
      <c r="HP113" s="3" t="s">
        <v>3</v>
      </c>
      <c r="HQ113" s="3" t="s">
        <v>3</v>
      </c>
      <c r="HS113" s="3">
        <v>0</v>
      </c>
      <c r="IK113" s="3">
        <v>0</v>
      </c>
    </row>
    <row r="114" spans="1:255" x14ac:dyDescent="0.2">
      <c r="A114" s="2">
        <v>17</v>
      </c>
      <c r="B114" s="2">
        <v>1</v>
      </c>
      <c r="C114" s="2"/>
      <c r="D114" s="2"/>
      <c r="E114" s="2" t="s">
        <v>207</v>
      </c>
      <c r="F114" s="2" t="s">
        <v>208</v>
      </c>
      <c r="G114" s="2" t="s">
        <v>209</v>
      </c>
      <c r="H114" s="2" t="s">
        <v>118</v>
      </c>
      <c r="I114" s="2">
        <v>8</v>
      </c>
      <c r="J114" s="2">
        <v>0</v>
      </c>
      <c r="K114" s="2">
        <v>8</v>
      </c>
      <c r="L114" s="2"/>
      <c r="M114" s="2"/>
      <c r="N114" s="2"/>
      <c r="O114" s="2">
        <f t="shared" si="103"/>
        <v>703.68</v>
      </c>
      <c r="P114" s="2">
        <f t="shared" si="104"/>
        <v>703.68</v>
      </c>
      <c r="Q114" s="2">
        <f t="shared" si="132"/>
        <v>0</v>
      </c>
      <c r="R114" s="2">
        <f t="shared" si="133"/>
        <v>0</v>
      </c>
      <c r="S114" s="2">
        <f t="shared" si="105"/>
        <v>0</v>
      </c>
      <c r="T114" s="2">
        <f t="shared" si="106"/>
        <v>0</v>
      </c>
      <c r="U114" s="2">
        <f t="shared" si="107"/>
        <v>0</v>
      </c>
      <c r="V114" s="2">
        <f t="shared" si="108"/>
        <v>0</v>
      </c>
      <c r="W114" s="2">
        <f t="shared" si="109"/>
        <v>0</v>
      </c>
      <c r="X114" s="2">
        <f t="shared" si="134"/>
        <v>0</v>
      </c>
      <c r="Y114" s="2">
        <f t="shared" si="135"/>
        <v>0</v>
      </c>
      <c r="Z114" s="2"/>
      <c r="AA114" s="2">
        <v>55747649</v>
      </c>
      <c r="AB114" s="2">
        <f t="shared" si="110"/>
        <v>87.96</v>
      </c>
      <c r="AC114" s="2">
        <f t="shared" si="136"/>
        <v>87.96</v>
      </c>
      <c r="AD114" s="2">
        <f t="shared" si="137"/>
        <v>0</v>
      </c>
      <c r="AE114" s="2">
        <f t="shared" si="138"/>
        <v>0</v>
      </c>
      <c r="AF114" s="2">
        <f t="shared" si="138"/>
        <v>0</v>
      </c>
      <c r="AG114" s="2">
        <f t="shared" si="111"/>
        <v>0</v>
      </c>
      <c r="AH114" s="2">
        <f t="shared" si="139"/>
        <v>0</v>
      </c>
      <c r="AI114" s="2">
        <f t="shared" si="139"/>
        <v>0</v>
      </c>
      <c r="AJ114" s="2">
        <f t="shared" si="112"/>
        <v>0</v>
      </c>
      <c r="AK114" s="2">
        <v>87.96</v>
      </c>
      <c r="AL114" s="2">
        <v>87.96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90</v>
      </c>
      <c r="AU114" s="2">
        <v>46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3</v>
      </c>
      <c r="BI114" s="2">
        <v>2</v>
      </c>
      <c r="BJ114" s="2" t="s">
        <v>210</v>
      </c>
      <c r="BK114" s="2"/>
      <c r="BL114" s="2"/>
      <c r="BM114" s="2">
        <v>73</v>
      </c>
      <c r="BN114" s="2">
        <v>0</v>
      </c>
      <c r="BO114" s="2" t="s">
        <v>3</v>
      </c>
      <c r="BP114" s="2">
        <v>0</v>
      </c>
      <c r="BQ114" s="2">
        <v>40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90</v>
      </c>
      <c r="CA114" s="2">
        <v>46</v>
      </c>
      <c r="CB114" s="2" t="s">
        <v>3</v>
      </c>
      <c r="CC114" s="2"/>
      <c r="CD114" s="2"/>
      <c r="CE114" s="2">
        <v>1566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718</v>
      </c>
      <c r="CO114" s="2">
        <v>0</v>
      </c>
      <c r="CP114" s="2">
        <f t="shared" si="113"/>
        <v>703.68</v>
      </c>
      <c r="CQ114" s="2">
        <f t="shared" si="114"/>
        <v>87.96</v>
      </c>
      <c r="CR114" s="2">
        <f t="shared" si="140"/>
        <v>0</v>
      </c>
      <c r="CS114" s="2">
        <f t="shared" si="141"/>
        <v>0</v>
      </c>
      <c r="CT114" s="2">
        <f t="shared" si="115"/>
        <v>0</v>
      </c>
      <c r="CU114" s="2">
        <f t="shared" si="116"/>
        <v>0</v>
      </c>
      <c r="CV114" s="2">
        <f t="shared" si="117"/>
        <v>0</v>
      </c>
      <c r="CW114" s="2">
        <f t="shared" si="118"/>
        <v>0</v>
      </c>
      <c r="CX114" s="2">
        <f t="shared" si="119"/>
        <v>0</v>
      </c>
      <c r="CY114" s="2">
        <f t="shared" si="142"/>
        <v>0</v>
      </c>
      <c r="CZ114" s="2">
        <f t="shared" si="143"/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1010</v>
      </c>
      <c r="DV114" s="2" t="s">
        <v>118</v>
      </c>
      <c r="DW114" s="2" t="s">
        <v>118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56938740</v>
      </c>
      <c r="EF114" s="2">
        <v>40</v>
      </c>
      <c r="EG114" s="2" t="s">
        <v>29</v>
      </c>
      <c r="EH114" s="2">
        <v>0</v>
      </c>
      <c r="EI114" s="2" t="s">
        <v>3</v>
      </c>
      <c r="EJ114" s="2">
        <v>2</v>
      </c>
      <c r="EK114" s="2">
        <v>73</v>
      </c>
      <c r="EL114" s="2" t="s">
        <v>85</v>
      </c>
      <c r="EM114" s="2" t="s">
        <v>86</v>
      </c>
      <c r="EN114" s="2"/>
      <c r="EO114" s="2" t="s">
        <v>50</v>
      </c>
      <c r="EP114" s="2"/>
      <c r="EQ114" s="2">
        <v>0</v>
      </c>
      <c r="ER114" s="2">
        <v>87.96</v>
      </c>
      <c r="ES114" s="2">
        <v>87.96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v>0</v>
      </c>
      <c r="FS114" s="2">
        <v>0</v>
      </c>
      <c r="FT114" s="2"/>
      <c r="FU114" s="2"/>
      <c r="FV114" s="2"/>
      <c r="FW114" s="2"/>
      <c r="FX114" s="2">
        <v>90</v>
      </c>
      <c r="FY114" s="2">
        <v>46</v>
      </c>
      <c r="FZ114" s="2"/>
      <c r="GA114" s="2" t="s">
        <v>3</v>
      </c>
      <c r="GB114" s="2"/>
      <c r="GC114" s="2"/>
      <c r="GD114" s="2">
        <v>1</v>
      </c>
      <c r="GE114" s="2"/>
      <c r="GF114" s="2">
        <v>1397479070</v>
      </c>
      <c r="GG114" s="2">
        <v>2</v>
      </c>
      <c r="GH114" s="2">
        <v>1</v>
      </c>
      <c r="GI114" s="2">
        <v>-2</v>
      </c>
      <c r="GJ114" s="2">
        <v>0</v>
      </c>
      <c r="GK114" s="2">
        <v>0</v>
      </c>
      <c r="GL114" s="2">
        <f t="shared" si="120"/>
        <v>0</v>
      </c>
      <c r="GM114" s="2">
        <f t="shared" si="121"/>
        <v>703.68</v>
      </c>
      <c r="GN114" s="2">
        <f t="shared" si="122"/>
        <v>0</v>
      </c>
      <c r="GO114" s="2">
        <f t="shared" si="123"/>
        <v>703.68</v>
      </c>
      <c r="GP114" s="2">
        <f t="shared" si="124"/>
        <v>0</v>
      </c>
      <c r="GQ114" s="2"/>
      <c r="GR114" s="2">
        <v>0</v>
      </c>
      <c r="GS114" s="2">
        <v>3</v>
      </c>
      <c r="GT114" s="2">
        <v>0</v>
      </c>
      <c r="GU114" s="2" t="s">
        <v>3</v>
      </c>
      <c r="GV114" s="2">
        <f t="shared" si="125"/>
        <v>0</v>
      </c>
      <c r="GW114" s="2">
        <v>1</v>
      </c>
      <c r="GX114" s="2">
        <f t="shared" si="126"/>
        <v>0</v>
      </c>
      <c r="GY114" s="2"/>
      <c r="GZ114" s="2"/>
      <c r="HA114" s="2">
        <v>0</v>
      </c>
      <c r="HB114" s="2">
        <v>0</v>
      </c>
      <c r="HC114" s="2">
        <f t="shared" si="127"/>
        <v>0</v>
      </c>
      <c r="HD114" s="2"/>
      <c r="HE114" s="2" t="s">
        <v>3</v>
      </c>
      <c r="HF114" s="2" t="s">
        <v>3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">
      <c r="A115" s="3">
        <v>17</v>
      </c>
      <c r="B115" s="3">
        <v>1</v>
      </c>
      <c r="E115" s="3" t="s">
        <v>207</v>
      </c>
      <c r="F115" s="3" t="s">
        <v>208</v>
      </c>
      <c r="G115" s="3" t="s">
        <v>209</v>
      </c>
      <c r="H115" s="3" t="s">
        <v>118</v>
      </c>
      <c r="I115" s="3">
        <v>8</v>
      </c>
      <c r="J115" s="3">
        <v>0</v>
      </c>
      <c r="K115" s="3">
        <v>8</v>
      </c>
      <c r="O115" s="3">
        <f t="shared" si="103"/>
        <v>2589.54</v>
      </c>
      <c r="P115" s="3">
        <f t="shared" si="104"/>
        <v>2589.54</v>
      </c>
      <c r="Q115" s="3">
        <f t="shared" si="132"/>
        <v>0</v>
      </c>
      <c r="R115" s="3">
        <f t="shared" si="133"/>
        <v>0</v>
      </c>
      <c r="S115" s="3">
        <f t="shared" si="105"/>
        <v>0</v>
      </c>
      <c r="T115" s="3">
        <f t="shared" si="106"/>
        <v>0</v>
      </c>
      <c r="U115" s="3">
        <f t="shared" si="107"/>
        <v>0</v>
      </c>
      <c r="V115" s="3">
        <f t="shared" si="108"/>
        <v>0</v>
      </c>
      <c r="W115" s="3">
        <f t="shared" si="109"/>
        <v>0</v>
      </c>
      <c r="X115" s="3">
        <f t="shared" si="134"/>
        <v>0</v>
      </c>
      <c r="Y115" s="3">
        <f t="shared" si="135"/>
        <v>0</v>
      </c>
      <c r="AA115" s="3">
        <v>55747651</v>
      </c>
      <c r="AB115" s="3">
        <f t="shared" si="110"/>
        <v>87.96</v>
      </c>
      <c r="AC115" s="3">
        <f t="shared" si="136"/>
        <v>87.96</v>
      </c>
      <c r="AD115" s="3">
        <f t="shared" si="137"/>
        <v>0</v>
      </c>
      <c r="AE115" s="3">
        <f t="shared" si="138"/>
        <v>0</v>
      </c>
      <c r="AF115" s="3">
        <f t="shared" si="138"/>
        <v>0</v>
      </c>
      <c r="AG115" s="3">
        <f t="shared" si="111"/>
        <v>0</v>
      </c>
      <c r="AH115" s="3">
        <f t="shared" si="139"/>
        <v>0</v>
      </c>
      <c r="AI115" s="3">
        <f t="shared" si="139"/>
        <v>0</v>
      </c>
      <c r="AJ115" s="3">
        <f t="shared" si="112"/>
        <v>0</v>
      </c>
      <c r="AK115" s="3">
        <v>87.96</v>
      </c>
      <c r="AL115" s="3">
        <v>87.96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90</v>
      </c>
      <c r="AU115" s="3">
        <v>46</v>
      </c>
      <c r="AV115" s="3">
        <v>1</v>
      </c>
      <c r="AW115" s="3">
        <v>1</v>
      </c>
      <c r="AZ115" s="3">
        <v>1</v>
      </c>
      <c r="BA115" s="3">
        <v>1</v>
      </c>
      <c r="BB115" s="3">
        <v>1</v>
      </c>
      <c r="BC115" s="3">
        <v>3.68</v>
      </c>
      <c r="BD115" s="3" t="s">
        <v>3</v>
      </c>
      <c r="BE115" s="3" t="s">
        <v>3</v>
      </c>
      <c r="BF115" s="3" t="s">
        <v>3</v>
      </c>
      <c r="BG115" s="3" t="s">
        <v>3</v>
      </c>
      <c r="BH115" s="3">
        <v>3</v>
      </c>
      <c r="BI115" s="3">
        <v>2</v>
      </c>
      <c r="BJ115" s="3" t="s">
        <v>210</v>
      </c>
      <c r="BM115" s="3">
        <v>73</v>
      </c>
      <c r="BN115" s="3">
        <v>0</v>
      </c>
      <c r="BO115" s="3" t="s">
        <v>208</v>
      </c>
      <c r="BP115" s="3">
        <v>1</v>
      </c>
      <c r="BQ115" s="3">
        <v>40</v>
      </c>
      <c r="BR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 t="s">
        <v>3</v>
      </c>
      <c r="BZ115" s="3">
        <v>90</v>
      </c>
      <c r="CA115" s="3">
        <v>46</v>
      </c>
      <c r="CB115" s="3" t="s">
        <v>3</v>
      </c>
      <c r="CE115" s="3">
        <v>1566</v>
      </c>
      <c r="CF115" s="3">
        <v>0</v>
      </c>
      <c r="CG115" s="3">
        <v>0</v>
      </c>
      <c r="CM115" s="3">
        <v>0</v>
      </c>
      <c r="CN115" s="3" t="s">
        <v>718</v>
      </c>
      <c r="CO115" s="3">
        <v>0</v>
      </c>
      <c r="CP115" s="3">
        <f t="shared" si="113"/>
        <v>2589.54</v>
      </c>
      <c r="CQ115" s="3">
        <f t="shared" si="114"/>
        <v>323.69</v>
      </c>
      <c r="CR115" s="3">
        <f t="shared" si="140"/>
        <v>0</v>
      </c>
      <c r="CS115" s="3">
        <f t="shared" si="141"/>
        <v>0</v>
      </c>
      <c r="CT115" s="3">
        <f t="shared" si="115"/>
        <v>0</v>
      </c>
      <c r="CU115" s="3">
        <f t="shared" si="116"/>
        <v>0</v>
      </c>
      <c r="CV115" s="3">
        <f t="shared" si="117"/>
        <v>0</v>
      </c>
      <c r="CW115" s="3">
        <f t="shared" si="118"/>
        <v>0</v>
      </c>
      <c r="CX115" s="3">
        <f t="shared" si="119"/>
        <v>0</v>
      </c>
      <c r="CY115" s="3">
        <f t="shared" si="142"/>
        <v>0</v>
      </c>
      <c r="CZ115" s="3">
        <f t="shared" si="143"/>
        <v>0</v>
      </c>
      <c r="DC115" s="3" t="s">
        <v>3</v>
      </c>
      <c r="DD115" s="3" t="s">
        <v>3</v>
      </c>
      <c r="DE115" s="3" t="s">
        <v>3</v>
      </c>
      <c r="DF115" s="3" t="s">
        <v>3</v>
      </c>
      <c r="DG115" s="3" t="s">
        <v>3</v>
      </c>
      <c r="DH115" s="3" t="s">
        <v>3</v>
      </c>
      <c r="DI115" s="3" t="s">
        <v>3</v>
      </c>
      <c r="DJ115" s="3" t="s">
        <v>3</v>
      </c>
      <c r="DK115" s="3" t="s">
        <v>3</v>
      </c>
      <c r="DL115" s="3" t="s">
        <v>3</v>
      </c>
      <c r="DM115" s="3" t="s">
        <v>3</v>
      </c>
      <c r="DN115" s="3">
        <v>0</v>
      </c>
      <c r="DO115" s="3">
        <v>0</v>
      </c>
      <c r="DP115" s="3">
        <v>1</v>
      </c>
      <c r="DQ115" s="3">
        <v>1</v>
      </c>
      <c r="DU115" s="3">
        <v>1010</v>
      </c>
      <c r="DV115" s="3" t="s">
        <v>118</v>
      </c>
      <c r="DW115" s="3" t="s">
        <v>118</v>
      </c>
      <c r="DX115" s="3">
        <v>1</v>
      </c>
      <c r="DZ115" s="3" t="s">
        <v>3</v>
      </c>
      <c r="EA115" s="3" t="s">
        <v>3</v>
      </c>
      <c r="EB115" s="3" t="s">
        <v>3</v>
      </c>
      <c r="EC115" s="3" t="s">
        <v>3</v>
      </c>
      <c r="EE115" s="3">
        <v>56938740</v>
      </c>
      <c r="EF115" s="3">
        <v>40</v>
      </c>
      <c r="EG115" s="3" t="s">
        <v>29</v>
      </c>
      <c r="EH115" s="3">
        <v>0</v>
      </c>
      <c r="EI115" s="3" t="s">
        <v>3</v>
      </c>
      <c r="EJ115" s="3">
        <v>2</v>
      </c>
      <c r="EK115" s="3">
        <v>73</v>
      </c>
      <c r="EL115" s="3" t="s">
        <v>85</v>
      </c>
      <c r="EM115" s="3" t="s">
        <v>86</v>
      </c>
      <c r="EO115" s="3" t="s">
        <v>50</v>
      </c>
      <c r="EQ115" s="3">
        <v>0</v>
      </c>
      <c r="ER115" s="3">
        <v>87.96</v>
      </c>
      <c r="ES115" s="3">
        <v>87.96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FQ115" s="3">
        <v>0</v>
      </c>
      <c r="FR115" s="3">
        <v>0</v>
      </c>
      <c r="FS115" s="3">
        <v>0</v>
      </c>
      <c r="FX115" s="3">
        <v>90</v>
      </c>
      <c r="FY115" s="3">
        <v>46</v>
      </c>
      <c r="GA115" s="3" t="s">
        <v>3</v>
      </c>
      <c r="GD115" s="3">
        <v>1</v>
      </c>
      <c r="GF115" s="3">
        <v>1397479070</v>
      </c>
      <c r="GG115" s="3">
        <v>2</v>
      </c>
      <c r="GH115" s="3">
        <v>1</v>
      </c>
      <c r="GI115" s="3">
        <v>2</v>
      </c>
      <c r="GJ115" s="3">
        <v>0</v>
      </c>
      <c r="GK115" s="3">
        <v>0</v>
      </c>
      <c r="GL115" s="3">
        <f t="shared" si="120"/>
        <v>0</v>
      </c>
      <c r="GM115" s="3">
        <f t="shared" si="121"/>
        <v>2589.54</v>
      </c>
      <c r="GN115" s="3">
        <f t="shared" si="122"/>
        <v>0</v>
      </c>
      <c r="GO115" s="3">
        <f t="shared" si="123"/>
        <v>2589.54</v>
      </c>
      <c r="GP115" s="3">
        <f t="shared" si="124"/>
        <v>0</v>
      </c>
      <c r="GR115" s="3">
        <v>0</v>
      </c>
      <c r="GS115" s="3">
        <v>3</v>
      </c>
      <c r="GT115" s="3">
        <v>0</v>
      </c>
      <c r="GU115" s="3" t="s">
        <v>3</v>
      </c>
      <c r="GV115" s="3">
        <f t="shared" si="125"/>
        <v>0</v>
      </c>
      <c r="GW115" s="3">
        <v>1</v>
      </c>
      <c r="GX115" s="3">
        <f t="shared" si="126"/>
        <v>0</v>
      </c>
      <c r="HA115" s="3">
        <v>0</v>
      </c>
      <c r="HB115" s="3">
        <v>0</v>
      </c>
      <c r="HC115" s="3">
        <f t="shared" si="127"/>
        <v>0</v>
      </c>
      <c r="HE115" s="3" t="s">
        <v>3</v>
      </c>
      <c r="HF115" s="3" t="s">
        <v>3</v>
      </c>
      <c r="HM115" s="3" t="s">
        <v>3</v>
      </c>
      <c r="HN115" s="3" t="s">
        <v>3</v>
      </c>
      <c r="HO115" s="3" t="s">
        <v>3</v>
      </c>
      <c r="HP115" s="3" t="s">
        <v>3</v>
      </c>
      <c r="HQ115" s="3" t="s">
        <v>3</v>
      </c>
      <c r="HS115" s="3">
        <v>0</v>
      </c>
      <c r="IK115" s="3">
        <v>0</v>
      </c>
    </row>
    <row r="116" spans="1:255" x14ac:dyDescent="0.2">
      <c r="A116" s="2">
        <v>17</v>
      </c>
      <c r="B116" s="2">
        <v>1</v>
      </c>
      <c r="C116" s="2">
        <f>ROW(SmtRes!A311)</f>
        <v>311</v>
      </c>
      <c r="D116" s="2">
        <f>ROW(EtalonRes!A347)</f>
        <v>347</v>
      </c>
      <c r="E116" s="2" t="s">
        <v>211</v>
      </c>
      <c r="F116" s="2" t="s">
        <v>212</v>
      </c>
      <c r="G116" s="2" t="s">
        <v>213</v>
      </c>
      <c r="H116" s="2" t="s">
        <v>186</v>
      </c>
      <c r="I116" s="2">
        <f>ROUND(15/100,9)</f>
        <v>0.15</v>
      </c>
      <c r="J116" s="2">
        <v>0</v>
      </c>
      <c r="K116" s="2">
        <f>ROUND(15/100,9)</f>
        <v>0.15</v>
      </c>
      <c r="L116" s="2"/>
      <c r="M116" s="2"/>
      <c r="N116" s="2"/>
      <c r="O116" s="2">
        <f t="shared" si="103"/>
        <v>694.56</v>
      </c>
      <c r="P116" s="2">
        <f t="shared" si="104"/>
        <v>253.69</v>
      </c>
      <c r="Q116" s="2">
        <f>(ROUND((ROUND((((ET116*1.2))*AV116*I116),2)*BB116),2)+ROUND((ROUND(((AE116-((EU116*1.2)))*AV116*I116),2)*BS116),2))</f>
        <v>101.54</v>
      </c>
      <c r="R116" s="2">
        <f>(ROUND((ROUND((((EU116*1.2))*AV116*I116),2)*BS116),2)+ROUND((ROUND(((AE116-((EU116*1.2)))*AV116*I116),2)*BS116),2))</f>
        <v>19.920000000000002</v>
      </c>
      <c r="S116" s="2">
        <f t="shared" si="105"/>
        <v>339.33</v>
      </c>
      <c r="T116" s="2">
        <f t="shared" si="106"/>
        <v>0</v>
      </c>
      <c r="U116" s="2">
        <f t="shared" si="107"/>
        <v>26.888400000000001</v>
      </c>
      <c r="V116" s="2">
        <f t="shared" si="108"/>
        <v>0</v>
      </c>
      <c r="W116" s="2">
        <f t="shared" si="109"/>
        <v>0</v>
      </c>
      <c r="X116" s="2">
        <f>(ROUND((((S116+ROUND((ROUND((((EU116*1.2))*AV116*I116),2)*BS116),2))*AT116)/100),2)+ROUND(((ROUND((ROUND(((AE116-((EU116*1.2)))*AV116*I116),2)*BS116),2)*AT116)/100),2))</f>
        <v>323.33</v>
      </c>
      <c r="Y116" s="2">
        <f>(ROUND((((S116+ROUND((ROUND((((EU116*1.2))*AV116*I116),2)*BS116),2))*AU116)/100),2)+ROUND(((ROUND((ROUND(((AE116-((EU116*1.2)))*AV116*I116),2)*BS116),2)*AU116)/100),2))</f>
        <v>165.26</v>
      </c>
      <c r="Z116" s="2"/>
      <c r="AA116" s="2">
        <v>55747649</v>
      </c>
      <c r="AB116" s="2">
        <f t="shared" si="110"/>
        <v>4399.8</v>
      </c>
      <c r="AC116" s="2">
        <f>ROUND(((ES116*1)),6)</f>
        <v>1645.2</v>
      </c>
      <c r="AD116" s="2">
        <f>ROUND(((((ET116*1.2))-((EU116*1.2)))+AE116),6)</f>
        <v>634.44000000000005</v>
      </c>
      <c r="AE116" s="2">
        <f>ROUND(((EU116*1.2)),6)</f>
        <v>124.488</v>
      </c>
      <c r="AF116" s="2">
        <f>ROUND(((EV116*1.2)),6)</f>
        <v>2120.16</v>
      </c>
      <c r="AG116" s="2">
        <f t="shared" si="111"/>
        <v>0</v>
      </c>
      <c r="AH116" s="2">
        <f>((EW116*1.2))</f>
        <v>168</v>
      </c>
      <c r="AI116" s="2">
        <f>((EX116*1.2))</f>
        <v>0</v>
      </c>
      <c r="AJ116" s="2">
        <f t="shared" si="112"/>
        <v>0</v>
      </c>
      <c r="AK116" s="2">
        <v>3940.7</v>
      </c>
      <c r="AL116" s="2">
        <v>1645.2</v>
      </c>
      <c r="AM116" s="2">
        <v>528.70000000000005</v>
      </c>
      <c r="AN116" s="2">
        <v>103.74</v>
      </c>
      <c r="AO116" s="2">
        <v>1766.8</v>
      </c>
      <c r="AP116" s="2">
        <v>0</v>
      </c>
      <c r="AQ116" s="2">
        <v>140</v>
      </c>
      <c r="AR116" s="2">
        <v>0</v>
      </c>
      <c r="AS116" s="2">
        <v>0</v>
      </c>
      <c r="AT116" s="2">
        <v>90</v>
      </c>
      <c r="AU116" s="2">
        <v>46</v>
      </c>
      <c r="AV116" s="2">
        <v>1.0669999999999999</v>
      </c>
      <c r="AW116" s="2">
        <v>1.028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0</v>
      </c>
      <c r="BI116" s="2">
        <v>2</v>
      </c>
      <c r="BJ116" s="2" t="s">
        <v>214</v>
      </c>
      <c r="BK116" s="2"/>
      <c r="BL116" s="2"/>
      <c r="BM116" s="2">
        <v>73</v>
      </c>
      <c r="BN116" s="2">
        <v>0</v>
      </c>
      <c r="BO116" s="2" t="s">
        <v>212</v>
      </c>
      <c r="BP116" s="2">
        <v>1</v>
      </c>
      <c r="BQ116" s="2">
        <v>40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90</v>
      </c>
      <c r="CA116" s="2">
        <v>46</v>
      </c>
      <c r="CB116" s="2" t="s">
        <v>3</v>
      </c>
      <c r="CC116" s="2"/>
      <c r="CD116" s="2"/>
      <c r="CE116" s="2">
        <v>1566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716</v>
      </c>
      <c r="CO116" s="2">
        <v>0</v>
      </c>
      <c r="CP116" s="2">
        <f t="shared" si="113"/>
        <v>694.56</v>
      </c>
      <c r="CQ116" s="2">
        <f t="shared" si="114"/>
        <v>1691.27</v>
      </c>
      <c r="CR116" s="2">
        <f>(ROUND((ROUND((((ET116*1.2))*AV116*1),2)*BB116),2)+ROUND((ROUND(((AE116-((EU116*1.2)))*AV116*1),2)*BS116),2))</f>
        <v>676.95</v>
      </c>
      <c r="CS116" s="2">
        <f>(ROUND((ROUND((((EU116*1.2))*AV116*1),2)*BS116),2)+ROUND((ROUND(((AE116-((EU116*1.2)))*AV116*1),2)*BS116),2))</f>
        <v>132.83000000000001</v>
      </c>
      <c r="CT116" s="2">
        <f t="shared" si="115"/>
        <v>2262.21</v>
      </c>
      <c r="CU116" s="2">
        <f t="shared" si="116"/>
        <v>0</v>
      </c>
      <c r="CV116" s="2">
        <f t="shared" si="117"/>
        <v>179.256</v>
      </c>
      <c r="CW116" s="2">
        <f t="shared" si="118"/>
        <v>0</v>
      </c>
      <c r="CX116" s="2">
        <f t="shared" si="119"/>
        <v>0</v>
      </c>
      <c r="CY116" s="2">
        <f>(ROUND((((S116+ROUND((ROUND((((EU116*1.2))*AV116*1),2)*BS116),2))*AT116)/100),2)+ROUND(((ROUND((ROUND(((AE116-((EU116*1.2)))*AV116*1),2)*BS116),2)*AT116)/100),2))</f>
        <v>424.94</v>
      </c>
      <c r="CZ116" s="2">
        <f>(ROUND((((S116+ROUND((ROUND((((EU116*1.2))*AV116*1),2)*BS116),2))*AU116)/100),2)+ROUND(((ROUND((ROUND(((AE116-((EU116*1.2)))*AV116*1),2)*BS116),2)*AU116)/100),2))</f>
        <v>217.19</v>
      </c>
      <c r="DA116" s="2"/>
      <c r="DB116" s="2">
        <v>53</v>
      </c>
      <c r="DC116" s="2" t="s">
        <v>3</v>
      </c>
      <c r="DD116" s="2" t="s">
        <v>48</v>
      </c>
      <c r="DE116" s="2" t="s">
        <v>49</v>
      </c>
      <c r="DF116" s="2" t="s">
        <v>49</v>
      </c>
      <c r="DG116" s="2" t="s">
        <v>49</v>
      </c>
      <c r="DH116" s="2" t="s">
        <v>3</v>
      </c>
      <c r="DI116" s="2" t="s">
        <v>49</v>
      </c>
      <c r="DJ116" s="2" t="s">
        <v>49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1003</v>
      </c>
      <c r="DV116" s="2" t="s">
        <v>186</v>
      </c>
      <c r="DW116" s="2" t="s">
        <v>186</v>
      </c>
      <c r="DX116" s="2">
        <v>100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56938740</v>
      </c>
      <c r="EF116" s="2">
        <v>40</v>
      </c>
      <c r="EG116" s="2" t="s">
        <v>29</v>
      </c>
      <c r="EH116" s="2">
        <v>0</v>
      </c>
      <c r="EI116" s="2" t="s">
        <v>3</v>
      </c>
      <c r="EJ116" s="2">
        <v>2</v>
      </c>
      <c r="EK116" s="2">
        <v>73</v>
      </c>
      <c r="EL116" s="2" t="s">
        <v>85</v>
      </c>
      <c r="EM116" s="2" t="s">
        <v>86</v>
      </c>
      <c r="EN116" s="2"/>
      <c r="EO116" s="2" t="s">
        <v>50</v>
      </c>
      <c r="EP116" s="2"/>
      <c r="EQ116" s="2">
        <v>131072</v>
      </c>
      <c r="ER116" s="2">
        <v>3940.7</v>
      </c>
      <c r="ES116" s="2">
        <v>1645.2</v>
      </c>
      <c r="ET116" s="2">
        <v>528.70000000000005</v>
      </c>
      <c r="EU116" s="2">
        <v>103.74</v>
      </c>
      <c r="EV116" s="2">
        <v>1766.8</v>
      </c>
      <c r="EW116" s="2">
        <v>140</v>
      </c>
      <c r="EX116" s="2">
        <v>0</v>
      </c>
      <c r="EY116" s="2">
        <v>0</v>
      </c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v>0</v>
      </c>
      <c r="FS116" s="2">
        <v>2</v>
      </c>
      <c r="FT116" s="2"/>
      <c r="FU116" s="2"/>
      <c r="FV116" s="2"/>
      <c r="FW116" s="2"/>
      <c r="FX116" s="2">
        <v>90</v>
      </c>
      <c r="FY116" s="2">
        <v>46</v>
      </c>
      <c r="FZ116" s="2"/>
      <c r="GA116" s="2" t="s">
        <v>3</v>
      </c>
      <c r="GB116" s="2"/>
      <c r="GC116" s="2"/>
      <c r="GD116" s="2">
        <v>1</v>
      </c>
      <c r="GE116" s="2"/>
      <c r="GF116" s="2">
        <v>-1714246920</v>
      </c>
      <c r="GG116" s="2">
        <v>2</v>
      </c>
      <c r="GH116" s="2">
        <v>1</v>
      </c>
      <c r="GI116" s="2">
        <v>2</v>
      </c>
      <c r="GJ116" s="2">
        <v>0</v>
      </c>
      <c r="GK116" s="2">
        <v>0</v>
      </c>
      <c r="GL116" s="2">
        <f t="shared" si="120"/>
        <v>0</v>
      </c>
      <c r="GM116" s="2">
        <f t="shared" si="121"/>
        <v>1183.1500000000001</v>
      </c>
      <c r="GN116" s="2">
        <f t="shared" si="122"/>
        <v>0</v>
      </c>
      <c r="GO116" s="2">
        <f t="shared" si="123"/>
        <v>1183.1500000000001</v>
      </c>
      <c r="GP116" s="2">
        <f t="shared" si="124"/>
        <v>0</v>
      </c>
      <c r="GQ116" s="2"/>
      <c r="GR116" s="2">
        <v>0</v>
      </c>
      <c r="GS116" s="2">
        <v>3</v>
      </c>
      <c r="GT116" s="2">
        <v>0</v>
      </c>
      <c r="GU116" s="2" t="s">
        <v>3</v>
      </c>
      <c r="GV116" s="2">
        <f t="shared" si="125"/>
        <v>0</v>
      </c>
      <c r="GW116" s="2">
        <v>1</v>
      </c>
      <c r="GX116" s="2">
        <f t="shared" si="126"/>
        <v>0</v>
      </c>
      <c r="GY116" s="2"/>
      <c r="GZ116" s="2"/>
      <c r="HA116" s="2">
        <v>0</v>
      </c>
      <c r="HB116" s="2">
        <v>0</v>
      </c>
      <c r="HC116" s="2">
        <f t="shared" si="127"/>
        <v>0</v>
      </c>
      <c r="HD116" s="2"/>
      <c r="HE116" s="2" t="s">
        <v>3</v>
      </c>
      <c r="HF116" s="2" t="s">
        <v>3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">
      <c r="A117" s="3">
        <v>17</v>
      </c>
      <c r="B117" s="3">
        <v>1</v>
      </c>
      <c r="C117" s="3">
        <f>ROW(SmtRes!A326)</f>
        <v>326</v>
      </c>
      <c r="D117" s="3">
        <f>ROW(EtalonRes!A362)</f>
        <v>362</v>
      </c>
      <c r="E117" s="3" t="s">
        <v>211</v>
      </c>
      <c r="F117" s="3" t="s">
        <v>212</v>
      </c>
      <c r="G117" s="3" t="s">
        <v>213</v>
      </c>
      <c r="H117" s="3" t="s">
        <v>186</v>
      </c>
      <c r="I117" s="3">
        <f>ROUND(15/100,9)</f>
        <v>0.15</v>
      </c>
      <c r="J117" s="3">
        <v>0</v>
      </c>
      <c r="K117" s="3">
        <f>ROUND(15/100,9)</f>
        <v>0.15</v>
      </c>
      <c r="O117" s="3">
        <f t="shared" si="103"/>
        <v>21649.32</v>
      </c>
      <c r="P117" s="3">
        <f t="shared" si="104"/>
        <v>441.42</v>
      </c>
      <c r="Q117" s="3">
        <f>(ROUND((ROUND((((ET117*1.2))*AV117*I117),2)*BB117),2)+ROUND((ROUND(((AE117-((EU117*1.2)))*AV117*I117),2)*BS117),2))</f>
        <v>2086.65</v>
      </c>
      <c r="R117" s="3">
        <f>(ROUND((ROUND((((EU117*1.2))*AV117*I117),2)*BS117),2)+ROUND((ROUND(((AE117-((EU117*1.2)))*AV117*I117),2)*BS117),2))</f>
        <v>1122.49</v>
      </c>
      <c r="S117" s="3">
        <f t="shared" si="105"/>
        <v>19121.25</v>
      </c>
      <c r="T117" s="3">
        <f t="shared" si="106"/>
        <v>0</v>
      </c>
      <c r="U117" s="3">
        <f t="shared" si="107"/>
        <v>26.888400000000001</v>
      </c>
      <c r="V117" s="3">
        <f t="shared" si="108"/>
        <v>0</v>
      </c>
      <c r="W117" s="3">
        <f t="shared" si="109"/>
        <v>0</v>
      </c>
      <c r="X117" s="3">
        <f>(ROUND((((S117+ROUND((ROUND((((EU117*1.2))*AV117*I117),2)*BS117),2))*AT117)/100),2)+ROUND(((ROUND((ROUND(((AE117-((EU117*1.2)))*AV117*I117),2)*BS117),2)*AT117)/100),2))</f>
        <v>18219.37</v>
      </c>
      <c r="Y117" s="3">
        <f>(ROUND((((S117+ROUND((ROUND((((EU117*1.2))*AV117*I117),2)*BS117),2))*AU117)/100),2)+ROUND(((ROUND((ROUND(((AE117-((EU117*1.2)))*AV117*I117),2)*BS117),2)*AU117)/100),2))</f>
        <v>9312.1200000000008</v>
      </c>
      <c r="AA117" s="3">
        <v>55747651</v>
      </c>
      <c r="AB117" s="3">
        <f t="shared" si="110"/>
        <v>4399.8</v>
      </c>
      <c r="AC117" s="3">
        <f>ROUND(((ES117*1)),6)</f>
        <v>1645.2</v>
      </c>
      <c r="AD117" s="3">
        <f>ROUND(((((ET117*1.2))-((EU117*1.2)))+AE117),6)</f>
        <v>634.44000000000005</v>
      </c>
      <c r="AE117" s="3">
        <f>ROUND(((EU117*1.2)),6)</f>
        <v>124.488</v>
      </c>
      <c r="AF117" s="3">
        <f>ROUND(((EV117*1.2)),6)</f>
        <v>2120.16</v>
      </c>
      <c r="AG117" s="3">
        <f t="shared" si="111"/>
        <v>0</v>
      </c>
      <c r="AH117" s="3">
        <f>((EW117*1.2))</f>
        <v>168</v>
      </c>
      <c r="AI117" s="3">
        <f>((EX117*1.2))</f>
        <v>0</v>
      </c>
      <c r="AJ117" s="3">
        <f t="shared" si="112"/>
        <v>0</v>
      </c>
      <c r="AK117" s="3">
        <v>3940.7</v>
      </c>
      <c r="AL117" s="3">
        <v>1645.2</v>
      </c>
      <c r="AM117" s="3">
        <v>528.70000000000005</v>
      </c>
      <c r="AN117" s="3">
        <v>103.74</v>
      </c>
      <c r="AO117" s="3">
        <v>1766.8</v>
      </c>
      <c r="AP117" s="3">
        <v>0</v>
      </c>
      <c r="AQ117" s="3">
        <v>140</v>
      </c>
      <c r="AR117" s="3">
        <v>0</v>
      </c>
      <c r="AS117" s="3">
        <v>0</v>
      </c>
      <c r="AT117" s="3">
        <v>90</v>
      </c>
      <c r="AU117" s="3">
        <v>46</v>
      </c>
      <c r="AV117" s="3">
        <v>1.0669999999999999</v>
      </c>
      <c r="AW117" s="3">
        <v>1.028</v>
      </c>
      <c r="AZ117" s="3">
        <v>1</v>
      </c>
      <c r="BA117" s="3">
        <v>56.35</v>
      </c>
      <c r="BB117" s="3">
        <v>20.55</v>
      </c>
      <c r="BC117" s="3">
        <v>1.74</v>
      </c>
      <c r="BD117" s="3" t="s">
        <v>3</v>
      </c>
      <c r="BE117" s="3" t="s">
        <v>3</v>
      </c>
      <c r="BF117" s="3" t="s">
        <v>3</v>
      </c>
      <c r="BG117" s="3" t="s">
        <v>3</v>
      </c>
      <c r="BH117" s="3">
        <v>0</v>
      </c>
      <c r="BI117" s="3">
        <v>2</v>
      </c>
      <c r="BJ117" s="3" t="s">
        <v>214</v>
      </c>
      <c r="BM117" s="3">
        <v>73</v>
      </c>
      <c r="BN117" s="3">
        <v>0</v>
      </c>
      <c r="BO117" s="3" t="s">
        <v>212</v>
      </c>
      <c r="BP117" s="3">
        <v>1</v>
      </c>
      <c r="BQ117" s="3">
        <v>40</v>
      </c>
      <c r="BR117" s="3">
        <v>0</v>
      </c>
      <c r="BS117" s="3">
        <v>56.35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 t="s">
        <v>3</v>
      </c>
      <c r="BZ117" s="3">
        <v>90</v>
      </c>
      <c r="CA117" s="3">
        <v>46</v>
      </c>
      <c r="CB117" s="3" t="s">
        <v>3</v>
      </c>
      <c r="CE117" s="3">
        <v>1566</v>
      </c>
      <c r="CF117" s="3">
        <v>0</v>
      </c>
      <c r="CG117" s="3">
        <v>0</v>
      </c>
      <c r="CM117" s="3">
        <v>0</v>
      </c>
      <c r="CN117" s="3" t="s">
        <v>716</v>
      </c>
      <c r="CO117" s="3">
        <v>0</v>
      </c>
      <c r="CP117" s="3">
        <f t="shared" si="113"/>
        <v>21649.32</v>
      </c>
      <c r="CQ117" s="3">
        <f t="shared" si="114"/>
        <v>2942.81</v>
      </c>
      <c r="CR117" s="3">
        <f>(ROUND((ROUND((((ET117*1.2))*AV117*1),2)*BB117),2)+ROUND((ROUND(((AE117-((EU117*1.2)))*AV117*1),2)*BS117),2))</f>
        <v>13911.32</v>
      </c>
      <c r="CS117" s="3">
        <f>(ROUND((ROUND((((EU117*1.2))*AV117*1),2)*BS117),2)+ROUND((ROUND(((AE117-((EU117*1.2)))*AV117*1),2)*BS117),2))</f>
        <v>7484.97</v>
      </c>
      <c r="CT117" s="3">
        <f t="shared" si="115"/>
        <v>127475.53</v>
      </c>
      <c r="CU117" s="3">
        <f t="shared" si="116"/>
        <v>0</v>
      </c>
      <c r="CV117" s="3">
        <f t="shared" si="117"/>
        <v>179.256</v>
      </c>
      <c r="CW117" s="3">
        <f t="shared" si="118"/>
        <v>0</v>
      </c>
      <c r="CX117" s="3">
        <f t="shared" si="119"/>
        <v>0</v>
      </c>
      <c r="CY117" s="3">
        <f>(ROUND((((S117+ROUND((ROUND((((EU117*1.2))*AV117*1),2)*BS117),2))*AT117)/100),2)+ROUND(((ROUND((ROUND(((AE117-((EU117*1.2)))*AV117*1),2)*BS117),2)*AT117)/100),2))</f>
        <v>23945.599999999999</v>
      </c>
      <c r="CZ117" s="3">
        <f>(ROUND((((S117+ROUND((ROUND((((EU117*1.2))*AV117*1),2)*BS117),2))*AU117)/100),2)+ROUND(((ROUND((ROUND(((AE117-((EU117*1.2)))*AV117*1),2)*BS117),2)*AU117)/100),2))</f>
        <v>12238.86</v>
      </c>
      <c r="DB117" s="3">
        <v>54</v>
      </c>
      <c r="DC117" s="3" t="s">
        <v>3</v>
      </c>
      <c r="DD117" s="3" t="s">
        <v>48</v>
      </c>
      <c r="DE117" s="3" t="s">
        <v>49</v>
      </c>
      <c r="DF117" s="3" t="s">
        <v>49</v>
      </c>
      <c r="DG117" s="3" t="s">
        <v>49</v>
      </c>
      <c r="DH117" s="3" t="s">
        <v>3</v>
      </c>
      <c r="DI117" s="3" t="s">
        <v>49</v>
      </c>
      <c r="DJ117" s="3" t="s">
        <v>49</v>
      </c>
      <c r="DK117" s="3" t="s">
        <v>3</v>
      </c>
      <c r="DL117" s="3" t="s">
        <v>3</v>
      </c>
      <c r="DM117" s="3" t="s">
        <v>3</v>
      </c>
      <c r="DN117" s="3">
        <v>0</v>
      </c>
      <c r="DO117" s="3">
        <v>0</v>
      </c>
      <c r="DP117" s="3">
        <v>1</v>
      </c>
      <c r="DQ117" s="3">
        <v>1</v>
      </c>
      <c r="DU117" s="3">
        <v>1003</v>
      </c>
      <c r="DV117" s="3" t="s">
        <v>186</v>
      </c>
      <c r="DW117" s="3" t="s">
        <v>186</v>
      </c>
      <c r="DX117" s="3">
        <v>100</v>
      </c>
      <c r="DZ117" s="3" t="s">
        <v>3</v>
      </c>
      <c r="EA117" s="3" t="s">
        <v>3</v>
      </c>
      <c r="EB117" s="3" t="s">
        <v>3</v>
      </c>
      <c r="EC117" s="3" t="s">
        <v>3</v>
      </c>
      <c r="EE117" s="3">
        <v>56938740</v>
      </c>
      <c r="EF117" s="3">
        <v>40</v>
      </c>
      <c r="EG117" s="3" t="s">
        <v>29</v>
      </c>
      <c r="EH117" s="3">
        <v>0</v>
      </c>
      <c r="EI117" s="3" t="s">
        <v>3</v>
      </c>
      <c r="EJ117" s="3">
        <v>2</v>
      </c>
      <c r="EK117" s="3">
        <v>73</v>
      </c>
      <c r="EL117" s="3" t="s">
        <v>85</v>
      </c>
      <c r="EM117" s="3" t="s">
        <v>86</v>
      </c>
      <c r="EO117" s="3" t="s">
        <v>50</v>
      </c>
      <c r="EQ117" s="3">
        <v>131072</v>
      </c>
      <c r="ER117" s="3">
        <v>3940.7</v>
      </c>
      <c r="ES117" s="3">
        <v>1645.2</v>
      </c>
      <c r="ET117" s="3">
        <v>528.70000000000005</v>
      </c>
      <c r="EU117" s="3">
        <v>103.74</v>
      </c>
      <c r="EV117" s="3">
        <v>1766.8</v>
      </c>
      <c r="EW117" s="3">
        <v>140</v>
      </c>
      <c r="EX117" s="3">
        <v>0</v>
      </c>
      <c r="EY117" s="3">
        <v>0</v>
      </c>
      <c r="FQ117" s="3">
        <v>0</v>
      </c>
      <c r="FR117" s="3">
        <v>0</v>
      </c>
      <c r="FS117" s="3">
        <v>2</v>
      </c>
      <c r="FX117" s="3">
        <v>90</v>
      </c>
      <c r="FY117" s="3">
        <v>46</v>
      </c>
      <c r="GA117" s="3" t="s">
        <v>3</v>
      </c>
      <c r="GD117" s="3">
        <v>1</v>
      </c>
      <c r="GF117" s="3">
        <v>-1714246920</v>
      </c>
      <c r="GG117" s="3">
        <v>2</v>
      </c>
      <c r="GH117" s="3">
        <v>1</v>
      </c>
      <c r="GI117" s="3">
        <v>2</v>
      </c>
      <c r="GJ117" s="3">
        <v>0</v>
      </c>
      <c r="GK117" s="3">
        <v>0</v>
      </c>
      <c r="GL117" s="3">
        <f t="shared" si="120"/>
        <v>0</v>
      </c>
      <c r="GM117" s="3">
        <f t="shared" si="121"/>
        <v>49180.81</v>
      </c>
      <c r="GN117" s="3">
        <f t="shared" si="122"/>
        <v>0</v>
      </c>
      <c r="GO117" s="3">
        <f t="shared" si="123"/>
        <v>49180.81</v>
      </c>
      <c r="GP117" s="3">
        <f t="shared" si="124"/>
        <v>0</v>
      </c>
      <c r="GR117" s="3">
        <v>0</v>
      </c>
      <c r="GS117" s="3">
        <v>3</v>
      </c>
      <c r="GT117" s="3">
        <v>0</v>
      </c>
      <c r="GU117" s="3" t="s">
        <v>3</v>
      </c>
      <c r="GV117" s="3">
        <f t="shared" si="125"/>
        <v>0</v>
      </c>
      <c r="GW117" s="3">
        <v>1</v>
      </c>
      <c r="GX117" s="3">
        <f t="shared" si="126"/>
        <v>0</v>
      </c>
      <c r="HA117" s="3">
        <v>0</v>
      </c>
      <c r="HB117" s="3">
        <v>0</v>
      </c>
      <c r="HC117" s="3">
        <f t="shared" si="127"/>
        <v>0</v>
      </c>
      <c r="HE117" s="3" t="s">
        <v>3</v>
      </c>
      <c r="HF117" s="3" t="s">
        <v>3</v>
      </c>
      <c r="HM117" s="3" t="s">
        <v>3</v>
      </c>
      <c r="HN117" s="3" t="s">
        <v>3</v>
      </c>
      <c r="HO117" s="3" t="s">
        <v>3</v>
      </c>
      <c r="HP117" s="3" t="s">
        <v>3</v>
      </c>
      <c r="HQ117" s="3" t="s">
        <v>3</v>
      </c>
      <c r="HS117" s="3">
        <v>0</v>
      </c>
      <c r="IK117" s="3">
        <v>0</v>
      </c>
    </row>
    <row r="118" spans="1:255" x14ac:dyDescent="0.2">
      <c r="A118" s="2">
        <v>18</v>
      </c>
      <c r="B118" s="2">
        <v>1</v>
      </c>
      <c r="C118" s="2">
        <v>310</v>
      </c>
      <c r="D118" s="2"/>
      <c r="E118" s="2" t="s">
        <v>215</v>
      </c>
      <c r="F118" s="2" t="s">
        <v>216</v>
      </c>
      <c r="G118" s="2" t="s">
        <v>217</v>
      </c>
      <c r="H118" s="2" t="s">
        <v>191</v>
      </c>
      <c r="I118" s="2">
        <f>I116*J118</f>
        <v>15.074999999999999</v>
      </c>
      <c r="J118" s="2">
        <v>100.5</v>
      </c>
      <c r="K118" s="2">
        <v>100.5</v>
      </c>
      <c r="L118" s="2"/>
      <c r="M118" s="2"/>
      <c r="N118" s="2"/>
      <c r="O118" s="2">
        <f t="shared" si="103"/>
        <v>1146.9100000000001</v>
      </c>
      <c r="P118" s="2">
        <f t="shared" si="104"/>
        <v>1146.9100000000001</v>
      </c>
      <c r="Q118" s="2">
        <f t="shared" ref="Q118:Q125" si="144">(ROUND((ROUND(((ET118)*AV118*I118),2)*BB118),2)+ROUND((ROUND(((AE118-(EU118))*AV118*I118),2)*BS118),2))</f>
        <v>0</v>
      </c>
      <c r="R118" s="2">
        <f t="shared" ref="R118:R125" si="145">(ROUND((ROUND(((EU118)*AV118*I118),2)*BS118),2)+ROUND((ROUND(((AE118-(EU118))*AV118*I118),2)*BS118),2))</f>
        <v>0</v>
      </c>
      <c r="S118" s="2">
        <f t="shared" si="105"/>
        <v>0</v>
      </c>
      <c r="T118" s="2">
        <f t="shared" si="106"/>
        <v>0</v>
      </c>
      <c r="U118" s="2">
        <f t="shared" si="107"/>
        <v>0</v>
      </c>
      <c r="V118" s="2">
        <f t="shared" si="108"/>
        <v>0</v>
      </c>
      <c r="W118" s="2">
        <f t="shared" si="109"/>
        <v>0</v>
      </c>
      <c r="X118" s="2">
        <f t="shared" ref="X118:X125" si="146">(ROUND((((S118+ROUND((ROUND(((EU118)*AV118*I118),2)*BS118),2))*AT118)/100),2)+ROUND(((ROUND((ROUND(((AE118-(EU118))*AV118*I118),2)*BS118),2)*AT118)/100),2))</f>
        <v>0</v>
      </c>
      <c r="Y118" s="2">
        <f t="shared" ref="Y118:Y125" si="147">(ROUND((((S118+ROUND((ROUND(((EU118)*AV118*I118),2)*BS118),2))*AU118)/100),2)+ROUND(((ROUND((ROUND(((AE118-(EU118))*AV118*I118),2)*BS118),2)*AU118)/100),2))</f>
        <v>0</v>
      </c>
      <c r="Z118" s="2"/>
      <c r="AA118" s="2">
        <v>55747649</v>
      </c>
      <c r="AB118" s="2">
        <f t="shared" si="110"/>
        <v>76.08</v>
      </c>
      <c r="AC118" s="2">
        <f t="shared" ref="AC118:AC125" si="148">ROUND((ES118),6)</f>
        <v>76.08</v>
      </c>
      <c r="AD118" s="2">
        <f t="shared" ref="AD118:AD125" si="149">ROUND((((ET118)-(EU118))+AE118),6)</f>
        <v>0</v>
      </c>
      <c r="AE118" s="2">
        <f t="shared" ref="AE118:AF125" si="150">ROUND((EU118),6)</f>
        <v>0</v>
      </c>
      <c r="AF118" s="2">
        <f t="shared" si="150"/>
        <v>0</v>
      </c>
      <c r="AG118" s="2">
        <f t="shared" si="111"/>
        <v>0</v>
      </c>
      <c r="AH118" s="2">
        <f t="shared" ref="AH118:AI125" si="151">(EW118)</f>
        <v>0</v>
      </c>
      <c r="AI118" s="2">
        <f t="shared" si="151"/>
        <v>0</v>
      </c>
      <c r="AJ118" s="2">
        <f t="shared" si="112"/>
        <v>0</v>
      </c>
      <c r="AK118" s="2">
        <v>76.08</v>
      </c>
      <c r="AL118" s="2">
        <v>76.08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90</v>
      </c>
      <c r="AU118" s="2">
        <v>46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2</v>
      </c>
      <c r="BJ118" s="2" t="s">
        <v>218</v>
      </c>
      <c r="BK118" s="2"/>
      <c r="BL118" s="2"/>
      <c r="BM118" s="2">
        <v>73</v>
      </c>
      <c r="BN118" s="2">
        <v>0</v>
      </c>
      <c r="BO118" s="2" t="s">
        <v>3</v>
      </c>
      <c r="BP118" s="2">
        <v>0</v>
      </c>
      <c r="BQ118" s="2">
        <v>40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90</v>
      </c>
      <c r="CA118" s="2">
        <v>46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113"/>
        <v>1146.9100000000001</v>
      </c>
      <c r="CQ118" s="2">
        <f t="shared" si="114"/>
        <v>76.08</v>
      </c>
      <c r="CR118" s="2">
        <f t="shared" ref="CR118:CR125" si="152">(ROUND((ROUND(((ET118)*AV118*1),2)*BB118),2)+ROUND((ROUND(((AE118-(EU118))*AV118*1),2)*BS118),2))</f>
        <v>0</v>
      </c>
      <c r="CS118" s="2">
        <f t="shared" ref="CS118:CS125" si="153">(ROUND((ROUND(((EU118)*AV118*1),2)*BS118),2)+ROUND((ROUND(((AE118-(EU118))*AV118*1),2)*BS118),2))</f>
        <v>0</v>
      </c>
      <c r="CT118" s="2">
        <f t="shared" si="115"/>
        <v>0</v>
      </c>
      <c r="CU118" s="2">
        <f t="shared" si="116"/>
        <v>0</v>
      </c>
      <c r="CV118" s="2">
        <f t="shared" si="117"/>
        <v>0</v>
      </c>
      <c r="CW118" s="2">
        <f t="shared" si="118"/>
        <v>0</v>
      </c>
      <c r="CX118" s="2">
        <f t="shared" si="119"/>
        <v>0</v>
      </c>
      <c r="CY118" s="2">
        <f t="shared" ref="CY118:CY125" si="154">(ROUND((((S118+ROUND((ROUND(((EU118)*AV118*1),2)*BS118),2))*AT118)/100),2)+ROUND(((ROUND((ROUND(((AE118-(EU118))*AV118*1),2)*BS118),2)*AT118)/100),2))</f>
        <v>0</v>
      </c>
      <c r="CZ118" s="2">
        <f t="shared" ref="CZ118:CZ125" si="155">(ROUND((((S118+ROUND((ROUND(((EU118)*AV118*1),2)*BS118),2))*AU118)/100),2)+ROUND(((ROUND((ROUND(((AE118-(EU118))*AV118*1),2)*BS118),2)*AU118)/100),2))</f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1003</v>
      </c>
      <c r="DV118" s="2" t="s">
        <v>191</v>
      </c>
      <c r="DW118" s="2" t="s">
        <v>191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56938740</v>
      </c>
      <c r="EF118" s="2">
        <v>40</v>
      </c>
      <c r="EG118" s="2" t="s">
        <v>29</v>
      </c>
      <c r="EH118" s="2">
        <v>0</v>
      </c>
      <c r="EI118" s="2" t="s">
        <v>3</v>
      </c>
      <c r="EJ118" s="2">
        <v>2</v>
      </c>
      <c r="EK118" s="2">
        <v>73</v>
      </c>
      <c r="EL118" s="2" t="s">
        <v>85</v>
      </c>
      <c r="EM118" s="2" t="s">
        <v>86</v>
      </c>
      <c r="EN118" s="2"/>
      <c r="EO118" s="2" t="s">
        <v>3</v>
      </c>
      <c r="EP118" s="2"/>
      <c r="EQ118" s="2">
        <v>0</v>
      </c>
      <c r="ER118" s="2">
        <v>76.08</v>
      </c>
      <c r="ES118" s="2">
        <v>76.08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v>0</v>
      </c>
      <c r="FS118" s="2">
        <v>0</v>
      </c>
      <c r="FT118" s="2"/>
      <c r="FU118" s="2"/>
      <c r="FV118" s="2"/>
      <c r="FW118" s="2"/>
      <c r="FX118" s="2">
        <v>90</v>
      </c>
      <c r="FY118" s="2">
        <v>46</v>
      </c>
      <c r="FZ118" s="2"/>
      <c r="GA118" s="2" t="s">
        <v>3</v>
      </c>
      <c r="GB118" s="2"/>
      <c r="GC118" s="2"/>
      <c r="GD118" s="2">
        <v>1</v>
      </c>
      <c r="GE118" s="2"/>
      <c r="GF118" s="2">
        <v>598797739</v>
      </c>
      <c r="GG118" s="2">
        <v>2</v>
      </c>
      <c r="GH118" s="2">
        <v>1</v>
      </c>
      <c r="GI118" s="2">
        <v>-2</v>
      </c>
      <c r="GJ118" s="2">
        <v>0</v>
      </c>
      <c r="GK118" s="2">
        <v>0</v>
      </c>
      <c r="GL118" s="2">
        <f t="shared" si="120"/>
        <v>0</v>
      </c>
      <c r="GM118" s="2">
        <f t="shared" si="121"/>
        <v>1146.9100000000001</v>
      </c>
      <c r="GN118" s="2">
        <f t="shared" si="122"/>
        <v>0</v>
      </c>
      <c r="GO118" s="2">
        <f t="shared" si="123"/>
        <v>1146.9100000000001</v>
      </c>
      <c r="GP118" s="2">
        <f t="shared" si="124"/>
        <v>0</v>
      </c>
      <c r="GQ118" s="2"/>
      <c r="GR118" s="2">
        <v>0</v>
      </c>
      <c r="GS118" s="2">
        <v>3</v>
      </c>
      <c r="GT118" s="2">
        <v>0</v>
      </c>
      <c r="GU118" s="2" t="s">
        <v>3</v>
      </c>
      <c r="GV118" s="2">
        <f t="shared" si="125"/>
        <v>0</v>
      </c>
      <c r="GW118" s="2">
        <v>1</v>
      </c>
      <c r="GX118" s="2">
        <f t="shared" si="126"/>
        <v>0</v>
      </c>
      <c r="GY118" s="2"/>
      <c r="GZ118" s="2"/>
      <c r="HA118" s="2">
        <v>0</v>
      </c>
      <c r="HB118" s="2">
        <v>0</v>
      </c>
      <c r="HC118" s="2">
        <f t="shared" si="127"/>
        <v>0</v>
      </c>
      <c r="HD118" s="2"/>
      <c r="HE118" s="2" t="s">
        <v>3</v>
      </c>
      <c r="HF118" s="2" t="s">
        <v>3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">
      <c r="A119" s="3">
        <v>18</v>
      </c>
      <c r="B119" s="3">
        <v>1</v>
      </c>
      <c r="C119" s="3">
        <v>325</v>
      </c>
      <c r="E119" s="3" t="s">
        <v>215</v>
      </c>
      <c r="F119" s="3" t="s">
        <v>216</v>
      </c>
      <c r="G119" s="3" t="s">
        <v>217</v>
      </c>
      <c r="H119" s="3" t="s">
        <v>191</v>
      </c>
      <c r="I119" s="3">
        <f>I117*J119</f>
        <v>15.074999999999999</v>
      </c>
      <c r="J119" s="3">
        <v>100.5</v>
      </c>
      <c r="K119" s="3">
        <v>100.5</v>
      </c>
      <c r="O119" s="3">
        <f t="shared" si="103"/>
        <v>15093.34</v>
      </c>
      <c r="P119" s="3">
        <f t="shared" si="104"/>
        <v>15093.34</v>
      </c>
      <c r="Q119" s="3">
        <f t="shared" si="144"/>
        <v>0</v>
      </c>
      <c r="R119" s="3">
        <f t="shared" si="145"/>
        <v>0</v>
      </c>
      <c r="S119" s="3">
        <f t="shared" si="105"/>
        <v>0</v>
      </c>
      <c r="T119" s="3">
        <f t="shared" si="106"/>
        <v>0</v>
      </c>
      <c r="U119" s="3">
        <f t="shared" si="107"/>
        <v>0</v>
      </c>
      <c r="V119" s="3">
        <f t="shared" si="108"/>
        <v>0</v>
      </c>
      <c r="W119" s="3">
        <f t="shared" si="109"/>
        <v>0</v>
      </c>
      <c r="X119" s="3">
        <f t="shared" si="146"/>
        <v>0</v>
      </c>
      <c r="Y119" s="3">
        <f t="shared" si="147"/>
        <v>0</v>
      </c>
      <c r="AA119" s="3">
        <v>55747651</v>
      </c>
      <c r="AB119" s="3">
        <f t="shared" si="110"/>
        <v>76.08</v>
      </c>
      <c r="AC119" s="3">
        <f t="shared" si="148"/>
        <v>76.08</v>
      </c>
      <c r="AD119" s="3">
        <f t="shared" si="149"/>
        <v>0</v>
      </c>
      <c r="AE119" s="3">
        <f t="shared" si="150"/>
        <v>0</v>
      </c>
      <c r="AF119" s="3">
        <f t="shared" si="150"/>
        <v>0</v>
      </c>
      <c r="AG119" s="3">
        <f t="shared" si="111"/>
        <v>0</v>
      </c>
      <c r="AH119" s="3">
        <f t="shared" si="151"/>
        <v>0</v>
      </c>
      <c r="AI119" s="3">
        <f t="shared" si="151"/>
        <v>0</v>
      </c>
      <c r="AJ119" s="3">
        <f t="shared" si="112"/>
        <v>0</v>
      </c>
      <c r="AK119" s="3">
        <v>76.08</v>
      </c>
      <c r="AL119" s="3">
        <v>76.08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90</v>
      </c>
      <c r="AU119" s="3">
        <v>46</v>
      </c>
      <c r="AV119" s="3">
        <v>1</v>
      </c>
      <c r="AW119" s="3">
        <v>1</v>
      </c>
      <c r="AZ119" s="3">
        <v>1</v>
      </c>
      <c r="BA119" s="3">
        <v>1</v>
      </c>
      <c r="BB119" s="3">
        <v>1</v>
      </c>
      <c r="BC119" s="3">
        <v>13.16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3</v>
      </c>
      <c r="BI119" s="3">
        <v>2</v>
      </c>
      <c r="BJ119" s="3" t="s">
        <v>218</v>
      </c>
      <c r="BM119" s="3">
        <v>73</v>
      </c>
      <c r="BN119" s="3">
        <v>0</v>
      </c>
      <c r="BO119" s="3" t="s">
        <v>216</v>
      </c>
      <c r="BP119" s="3">
        <v>1</v>
      </c>
      <c r="BQ119" s="3">
        <v>40</v>
      </c>
      <c r="BR119" s="3">
        <v>0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90</v>
      </c>
      <c r="CA119" s="3">
        <v>46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3</v>
      </c>
      <c r="CO119" s="3">
        <v>0</v>
      </c>
      <c r="CP119" s="3">
        <f t="shared" si="113"/>
        <v>15093.34</v>
      </c>
      <c r="CQ119" s="3">
        <f t="shared" si="114"/>
        <v>1001.21</v>
      </c>
      <c r="CR119" s="3">
        <f t="shared" si="152"/>
        <v>0</v>
      </c>
      <c r="CS119" s="3">
        <f t="shared" si="153"/>
        <v>0</v>
      </c>
      <c r="CT119" s="3">
        <f t="shared" si="115"/>
        <v>0</v>
      </c>
      <c r="CU119" s="3">
        <f t="shared" si="116"/>
        <v>0</v>
      </c>
      <c r="CV119" s="3">
        <f t="shared" si="117"/>
        <v>0</v>
      </c>
      <c r="CW119" s="3">
        <f t="shared" si="118"/>
        <v>0</v>
      </c>
      <c r="CX119" s="3">
        <f t="shared" si="119"/>
        <v>0</v>
      </c>
      <c r="CY119" s="3">
        <f t="shared" si="154"/>
        <v>0</v>
      </c>
      <c r="CZ119" s="3">
        <f t="shared" si="155"/>
        <v>0</v>
      </c>
      <c r="DC119" s="3" t="s">
        <v>3</v>
      </c>
      <c r="DD119" s="3" t="s">
        <v>3</v>
      </c>
      <c r="DE119" s="3" t="s">
        <v>3</v>
      </c>
      <c r="DF119" s="3" t="s">
        <v>3</v>
      </c>
      <c r="DG119" s="3" t="s">
        <v>3</v>
      </c>
      <c r="DH119" s="3" t="s">
        <v>3</v>
      </c>
      <c r="DI119" s="3" t="s">
        <v>3</v>
      </c>
      <c r="DJ119" s="3" t="s">
        <v>3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1003</v>
      </c>
      <c r="DV119" s="3" t="s">
        <v>191</v>
      </c>
      <c r="DW119" s="3" t="s">
        <v>191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56938740</v>
      </c>
      <c r="EF119" s="3">
        <v>40</v>
      </c>
      <c r="EG119" s="3" t="s">
        <v>29</v>
      </c>
      <c r="EH119" s="3">
        <v>0</v>
      </c>
      <c r="EI119" s="3" t="s">
        <v>3</v>
      </c>
      <c r="EJ119" s="3">
        <v>2</v>
      </c>
      <c r="EK119" s="3">
        <v>73</v>
      </c>
      <c r="EL119" s="3" t="s">
        <v>85</v>
      </c>
      <c r="EM119" s="3" t="s">
        <v>86</v>
      </c>
      <c r="EO119" s="3" t="s">
        <v>3</v>
      </c>
      <c r="EQ119" s="3">
        <v>0</v>
      </c>
      <c r="ER119" s="3">
        <v>76.08</v>
      </c>
      <c r="ES119" s="3">
        <v>76.08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FQ119" s="3">
        <v>0</v>
      </c>
      <c r="FR119" s="3">
        <v>0</v>
      </c>
      <c r="FS119" s="3">
        <v>0</v>
      </c>
      <c r="FX119" s="3">
        <v>90</v>
      </c>
      <c r="FY119" s="3">
        <v>46</v>
      </c>
      <c r="GA119" s="3" t="s">
        <v>3</v>
      </c>
      <c r="GD119" s="3">
        <v>1</v>
      </c>
      <c r="GF119" s="3">
        <v>598797739</v>
      </c>
      <c r="GG119" s="3">
        <v>2</v>
      </c>
      <c r="GH119" s="3">
        <v>1</v>
      </c>
      <c r="GI119" s="3">
        <v>2</v>
      </c>
      <c r="GJ119" s="3">
        <v>0</v>
      </c>
      <c r="GK119" s="3">
        <v>0</v>
      </c>
      <c r="GL119" s="3">
        <f t="shared" si="120"/>
        <v>0</v>
      </c>
      <c r="GM119" s="3">
        <f t="shared" si="121"/>
        <v>15093.34</v>
      </c>
      <c r="GN119" s="3">
        <f t="shared" si="122"/>
        <v>0</v>
      </c>
      <c r="GO119" s="3">
        <f t="shared" si="123"/>
        <v>15093.34</v>
      </c>
      <c r="GP119" s="3">
        <f t="shared" si="124"/>
        <v>0</v>
      </c>
      <c r="GR119" s="3">
        <v>0</v>
      </c>
      <c r="GS119" s="3">
        <v>3</v>
      </c>
      <c r="GT119" s="3">
        <v>0</v>
      </c>
      <c r="GU119" s="3" t="s">
        <v>3</v>
      </c>
      <c r="GV119" s="3">
        <f t="shared" si="125"/>
        <v>0</v>
      </c>
      <c r="GW119" s="3">
        <v>1</v>
      </c>
      <c r="GX119" s="3">
        <f t="shared" si="126"/>
        <v>0</v>
      </c>
      <c r="HA119" s="3">
        <v>0</v>
      </c>
      <c r="HB119" s="3">
        <v>0</v>
      </c>
      <c r="HC119" s="3">
        <f t="shared" si="127"/>
        <v>0</v>
      </c>
      <c r="HE119" s="3" t="s">
        <v>3</v>
      </c>
      <c r="HF119" s="3" t="s">
        <v>3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">
      <c r="A120" s="2">
        <v>17</v>
      </c>
      <c r="B120" s="2">
        <v>1</v>
      </c>
      <c r="C120" s="2">
        <f>ROW(SmtRes!A342)</f>
        <v>342</v>
      </c>
      <c r="D120" s="2">
        <f>ROW(EtalonRes!A377)</f>
        <v>377</v>
      </c>
      <c r="E120" s="2" t="s">
        <v>3</v>
      </c>
      <c r="F120" s="2" t="s">
        <v>219</v>
      </c>
      <c r="G120" s="2" t="s">
        <v>220</v>
      </c>
      <c r="H120" s="2" t="s">
        <v>221</v>
      </c>
      <c r="I120" s="2">
        <f>ROUND((15+15)/1000,9)</f>
        <v>0.03</v>
      </c>
      <c r="J120" s="2">
        <v>0</v>
      </c>
      <c r="K120" s="2">
        <f>ROUND((15+15)/1000,9)</f>
        <v>0.03</v>
      </c>
      <c r="L120" s="2"/>
      <c r="M120" s="2"/>
      <c r="N120" s="2"/>
      <c r="O120" s="2">
        <f t="shared" si="103"/>
        <v>1057.58</v>
      </c>
      <c r="P120" s="2">
        <f t="shared" si="104"/>
        <v>276.95</v>
      </c>
      <c r="Q120" s="2">
        <f t="shared" si="144"/>
        <v>81.77</v>
      </c>
      <c r="R120" s="2">
        <f t="shared" si="145"/>
        <v>7.62</v>
      </c>
      <c r="S120" s="2">
        <f t="shared" si="105"/>
        <v>698.86</v>
      </c>
      <c r="T120" s="2">
        <f t="shared" si="106"/>
        <v>0</v>
      </c>
      <c r="U120" s="2">
        <f t="shared" si="107"/>
        <v>55.377299999999991</v>
      </c>
      <c r="V120" s="2">
        <f t="shared" si="108"/>
        <v>0</v>
      </c>
      <c r="W120" s="2">
        <f t="shared" si="109"/>
        <v>0</v>
      </c>
      <c r="X120" s="2">
        <f t="shared" si="146"/>
        <v>635.83000000000004</v>
      </c>
      <c r="Y120" s="2">
        <f t="shared" si="147"/>
        <v>324.98</v>
      </c>
      <c r="Z120" s="2"/>
      <c r="AA120" s="2">
        <v>-1</v>
      </c>
      <c r="AB120" s="2">
        <f t="shared" si="110"/>
        <v>33367.440000000002</v>
      </c>
      <c r="AC120" s="2">
        <f t="shared" si="148"/>
        <v>8980.32</v>
      </c>
      <c r="AD120" s="2">
        <f t="shared" si="149"/>
        <v>2554.52</v>
      </c>
      <c r="AE120" s="2">
        <f t="shared" si="150"/>
        <v>238.01</v>
      </c>
      <c r="AF120" s="2">
        <f t="shared" si="150"/>
        <v>21832.6</v>
      </c>
      <c r="AG120" s="2">
        <f t="shared" si="111"/>
        <v>0</v>
      </c>
      <c r="AH120" s="2">
        <f t="shared" si="151"/>
        <v>1730</v>
      </c>
      <c r="AI120" s="2">
        <f t="shared" si="151"/>
        <v>0</v>
      </c>
      <c r="AJ120" s="2">
        <f t="shared" si="112"/>
        <v>0</v>
      </c>
      <c r="AK120" s="2">
        <v>33367.440000000002</v>
      </c>
      <c r="AL120" s="2">
        <v>8980.32</v>
      </c>
      <c r="AM120" s="2">
        <v>2554.52</v>
      </c>
      <c r="AN120" s="2">
        <v>238.01</v>
      </c>
      <c r="AO120" s="2">
        <v>21832.6</v>
      </c>
      <c r="AP120" s="2">
        <v>0</v>
      </c>
      <c r="AQ120" s="2">
        <v>1730</v>
      </c>
      <c r="AR120" s="2">
        <v>0</v>
      </c>
      <c r="AS120" s="2">
        <v>0</v>
      </c>
      <c r="AT120" s="2">
        <v>90</v>
      </c>
      <c r="AU120" s="2">
        <v>46</v>
      </c>
      <c r="AV120" s="2">
        <v>1.0669999999999999</v>
      </c>
      <c r="AW120" s="2">
        <v>1.028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0</v>
      </c>
      <c r="BI120" s="2">
        <v>2</v>
      </c>
      <c r="BJ120" s="2" t="s">
        <v>222</v>
      </c>
      <c r="BK120" s="2"/>
      <c r="BL120" s="2"/>
      <c r="BM120" s="2">
        <v>73</v>
      </c>
      <c r="BN120" s="2">
        <v>0</v>
      </c>
      <c r="BO120" s="2" t="s">
        <v>219</v>
      </c>
      <c r="BP120" s="2">
        <v>1</v>
      </c>
      <c r="BQ120" s="2">
        <v>40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90</v>
      </c>
      <c r="CA120" s="2">
        <v>46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113"/>
        <v>1057.58</v>
      </c>
      <c r="CQ120" s="2">
        <f t="shared" si="114"/>
        <v>9231.77</v>
      </c>
      <c r="CR120" s="2">
        <f t="shared" si="152"/>
        <v>2725.67</v>
      </c>
      <c r="CS120" s="2">
        <f t="shared" si="153"/>
        <v>253.96</v>
      </c>
      <c r="CT120" s="2">
        <f t="shared" si="115"/>
        <v>23295.38</v>
      </c>
      <c r="CU120" s="2">
        <f t="shared" si="116"/>
        <v>0</v>
      </c>
      <c r="CV120" s="2">
        <f t="shared" si="117"/>
        <v>1845.9099999999999</v>
      </c>
      <c r="CW120" s="2">
        <f t="shared" si="118"/>
        <v>0</v>
      </c>
      <c r="CX120" s="2">
        <f t="shared" si="119"/>
        <v>0</v>
      </c>
      <c r="CY120" s="2">
        <f t="shared" si="154"/>
        <v>857.54</v>
      </c>
      <c r="CZ120" s="2">
        <f t="shared" si="155"/>
        <v>438.3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1013</v>
      </c>
      <c r="DV120" s="2" t="s">
        <v>221</v>
      </c>
      <c r="DW120" s="2" t="s">
        <v>223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56938740</v>
      </c>
      <c r="EF120" s="2">
        <v>40</v>
      </c>
      <c r="EG120" s="2" t="s">
        <v>29</v>
      </c>
      <c r="EH120" s="2">
        <v>0</v>
      </c>
      <c r="EI120" s="2" t="s">
        <v>3</v>
      </c>
      <c r="EJ120" s="2">
        <v>2</v>
      </c>
      <c r="EK120" s="2">
        <v>73</v>
      </c>
      <c r="EL120" s="2" t="s">
        <v>85</v>
      </c>
      <c r="EM120" s="2" t="s">
        <v>86</v>
      </c>
      <c r="EN120" s="2"/>
      <c r="EO120" s="2" t="s">
        <v>3</v>
      </c>
      <c r="EP120" s="2"/>
      <c r="EQ120" s="2">
        <v>132096</v>
      </c>
      <c r="ER120" s="2">
        <v>33367.440000000002</v>
      </c>
      <c r="ES120" s="2">
        <v>8980.32</v>
      </c>
      <c r="ET120" s="2">
        <v>2554.52</v>
      </c>
      <c r="EU120" s="2">
        <v>238.01</v>
      </c>
      <c r="EV120" s="2">
        <v>21832.6</v>
      </c>
      <c r="EW120" s="2">
        <v>1730</v>
      </c>
      <c r="EX120" s="2">
        <v>0</v>
      </c>
      <c r="EY120" s="2">
        <v>0</v>
      </c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v>0</v>
      </c>
      <c r="FS120" s="2">
        <v>2</v>
      </c>
      <c r="FT120" s="2"/>
      <c r="FU120" s="2"/>
      <c r="FV120" s="2"/>
      <c r="FW120" s="2"/>
      <c r="FX120" s="2">
        <v>90</v>
      </c>
      <c r="FY120" s="2">
        <v>46</v>
      </c>
      <c r="FZ120" s="2"/>
      <c r="GA120" s="2" t="s">
        <v>3</v>
      </c>
      <c r="GB120" s="2"/>
      <c r="GC120" s="2"/>
      <c r="GD120" s="2">
        <v>1</v>
      </c>
      <c r="GE120" s="2"/>
      <c r="GF120" s="2">
        <v>-1824218315</v>
      </c>
      <c r="GG120" s="2">
        <v>2</v>
      </c>
      <c r="GH120" s="2">
        <v>1</v>
      </c>
      <c r="GI120" s="2">
        <v>2</v>
      </c>
      <c r="GJ120" s="2">
        <v>0</v>
      </c>
      <c r="GK120" s="2">
        <v>0</v>
      </c>
      <c r="GL120" s="2">
        <f t="shared" si="120"/>
        <v>0</v>
      </c>
      <c r="GM120" s="2">
        <f t="shared" si="121"/>
        <v>2018.39</v>
      </c>
      <c r="GN120" s="2">
        <f t="shared" si="122"/>
        <v>0</v>
      </c>
      <c r="GO120" s="2">
        <f t="shared" si="123"/>
        <v>2018.39</v>
      </c>
      <c r="GP120" s="2">
        <f t="shared" si="124"/>
        <v>0</v>
      </c>
      <c r="GQ120" s="2"/>
      <c r="GR120" s="2">
        <v>0</v>
      </c>
      <c r="GS120" s="2">
        <v>3</v>
      </c>
      <c r="GT120" s="2">
        <v>0</v>
      </c>
      <c r="GU120" s="2" t="s">
        <v>3</v>
      </c>
      <c r="GV120" s="2">
        <f t="shared" si="125"/>
        <v>0</v>
      </c>
      <c r="GW120" s="2">
        <v>1</v>
      </c>
      <c r="GX120" s="2">
        <f t="shared" si="126"/>
        <v>0</v>
      </c>
      <c r="GY120" s="2"/>
      <c r="GZ120" s="2"/>
      <c r="HA120" s="2">
        <v>0</v>
      </c>
      <c r="HB120" s="2">
        <v>0</v>
      </c>
      <c r="HC120" s="2">
        <f t="shared" si="127"/>
        <v>0</v>
      </c>
      <c r="HD120" s="2"/>
      <c r="HE120" s="2" t="s">
        <v>3</v>
      </c>
      <c r="HF120" s="2" t="s">
        <v>3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">
      <c r="A121" s="3">
        <v>17</v>
      </c>
      <c r="B121" s="3">
        <v>1</v>
      </c>
      <c r="C121" s="3">
        <f>ROW(SmtRes!A358)</f>
        <v>358</v>
      </c>
      <c r="D121" s="3">
        <f>ROW(EtalonRes!A392)</f>
        <v>392</v>
      </c>
      <c r="E121" s="3" t="s">
        <v>3</v>
      </c>
      <c r="F121" s="3" t="s">
        <v>219</v>
      </c>
      <c r="G121" s="3" t="s">
        <v>220</v>
      </c>
      <c r="H121" s="3" t="s">
        <v>221</v>
      </c>
      <c r="I121" s="3">
        <f>ROUND((15+15)/1000,9)</f>
        <v>0.03</v>
      </c>
      <c r="J121" s="3">
        <v>0</v>
      </c>
      <c r="K121" s="3">
        <f>ROUND((15+15)/1000,9)</f>
        <v>0.03</v>
      </c>
      <c r="O121" s="3">
        <f t="shared" si="103"/>
        <v>41388.44</v>
      </c>
      <c r="P121" s="3">
        <f t="shared" si="104"/>
        <v>703.45</v>
      </c>
      <c r="Q121" s="3">
        <f t="shared" si="144"/>
        <v>1304.23</v>
      </c>
      <c r="R121" s="3">
        <f t="shared" si="145"/>
        <v>429.39</v>
      </c>
      <c r="S121" s="3">
        <f t="shared" si="105"/>
        <v>39380.76</v>
      </c>
      <c r="T121" s="3">
        <f t="shared" si="106"/>
        <v>0</v>
      </c>
      <c r="U121" s="3">
        <f t="shared" si="107"/>
        <v>55.377299999999991</v>
      </c>
      <c r="V121" s="3">
        <f t="shared" si="108"/>
        <v>0</v>
      </c>
      <c r="W121" s="3">
        <f t="shared" si="109"/>
        <v>0</v>
      </c>
      <c r="X121" s="3">
        <f t="shared" si="146"/>
        <v>35829.14</v>
      </c>
      <c r="Y121" s="3">
        <f t="shared" si="147"/>
        <v>18312.669999999998</v>
      </c>
      <c r="AA121" s="3">
        <v>-1</v>
      </c>
      <c r="AB121" s="3">
        <f t="shared" si="110"/>
        <v>33367.440000000002</v>
      </c>
      <c r="AC121" s="3">
        <f t="shared" si="148"/>
        <v>8980.32</v>
      </c>
      <c r="AD121" s="3">
        <f t="shared" si="149"/>
        <v>2554.52</v>
      </c>
      <c r="AE121" s="3">
        <f t="shared" si="150"/>
        <v>238.01</v>
      </c>
      <c r="AF121" s="3">
        <f t="shared" si="150"/>
        <v>21832.6</v>
      </c>
      <c r="AG121" s="3">
        <f t="shared" si="111"/>
        <v>0</v>
      </c>
      <c r="AH121" s="3">
        <f t="shared" si="151"/>
        <v>1730</v>
      </c>
      <c r="AI121" s="3">
        <f t="shared" si="151"/>
        <v>0</v>
      </c>
      <c r="AJ121" s="3">
        <f t="shared" si="112"/>
        <v>0</v>
      </c>
      <c r="AK121" s="3">
        <v>33367.440000000002</v>
      </c>
      <c r="AL121" s="3">
        <v>8980.32</v>
      </c>
      <c r="AM121" s="3">
        <v>2554.52</v>
      </c>
      <c r="AN121" s="3">
        <v>238.01</v>
      </c>
      <c r="AO121" s="3">
        <v>21832.6</v>
      </c>
      <c r="AP121" s="3">
        <v>0</v>
      </c>
      <c r="AQ121" s="3">
        <v>1730</v>
      </c>
      <c r="AR121" s="3">
        <v>0</v>
      </c>
      <c r="AS121" s="3">
        <v>0</v>
      </c>
      <c r="AT121" s="3">
        <v>90</v>
      </c>
      <c r="AU121" s="3">
        <v>46</v>
      </c>
      <c r="AV121" s="3">
        <v>1.0669999999999999</v>
      </c>
      <c r="AW121" s="3">
        <v>1.028</v>
      </c>
      <c r="AZ121" s="3">
        <v>1</v>
      </c>
      <c r="BA121" s="3">
        <v>56.35</v>
      </c>
      <c r="BB121" s="3">
        <v>15.95</v>
      </c>
      <c r="BC121" s="3">
        <v>2.54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0</v>
      </c>
      <c r="BI121" s="3">
        <v>2</v>
      </c>
      <c r="BJ121" s="3" t="s">
        <v>222</v>
      </c>
      <c r="BM121" s="3">
        <v>73</v>
      </c>
      <c r="BN121" s="3">
        <v>0</v>
      </c>
      <c r="BO121" s="3" t="s">
        <v>219</v>
      </c>
      <c r="BP121" s="3">
        <v>1</v>
      </c>
      <c r="BQ121" s="3">
        <v>40</v>
      </c>
      <c r="BR121" s="3">
        <v>0</v>
      </c>
      <c r="BS121" s="3">
        <v>56.35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90</v>
      </c>
      <c r="CA121" s="3">
        <v>46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 t="shared" si="113"/>
        <v>41388.44</v>
      </c>
      <c r="CQ121" s="3">
        <f t="shared" si="114"/>
        <v>23448.7</v>
      </c>
      <c r="CR121" s="3">
        <f t="shared" si="152"/>
        <v>43474.44</v>
      </c>
      <c r="CS121" s="3">
        <f t="shared" si="153"/>
        <v>14310.65</v>
      </c>
      <c r="CT121" s="3">
        <f t="shared" si="115"/>
        <v>1312694.6599999999</v>
      </c>
      <c r="CU121" s="3">
        <f t="shared" si="116"/>
        <v>0</v>
      </c>
      <c r="CV121" s="3">
        <f t="shared" si="117"/>
        <v>1845.9099999999999</v>
      </c>
      <c r="CW121" s="3">
        <f t="shared" si="118"/>
        <v>0</v>
      </c>
      <c r="CX121" s="3">
        <f t="shared" si="119"/>
        <v>0</v>
      </c>
      <c r="CY121" s="3">
        <f t="shared" si="154"/>
        <v>48322.27</v>
      </c>
      <c r="CZ121" s="3">
        <f t="shared" si="155"/>
        <v>24698.05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1013</v>
      </c>
      <c r="DV121" s="3" t="s">
        <v>221</v>
      </c>
      <c r="DW121" s="3" t="s">
        <v>223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56938740</v>
      </c>
      <c r="EF121" s="3">
        <v>40</v>
      </c>
      <c r="EG121" s="3" t="s">
        <v>29</v>
      </c>
      <c r="EH121" s="3">
        <v>0</v>
      </c>
      <c r="EI121" s="3" t="s">
        <v>3</v>
      </c>
      <c r="EJ121" s="3">
        <v>2</v>
      </c>
      <c r="EK121" s="3">
        <v>73</v>
      </c>
      <c r="EL121" s="3" t="s">
        <v>85</v>
      </c>
      <c r="EM121" s="3" t="s">
        <v>86</v>
      </c>
      <c r="EO121" s="3" t="s">
        <v>3</v>
      </c>
      <c r="EQ121" s="3">
        <v>132096</v>
      </c>
      <c r="ER121" s="3">
        <v>33367.440000000002</v>
      </c>
      <c r="ES121" s="3">
        <v>8980.32</v>
      </c>
      <c r="ET121" s="3">
        <v>2554.52</v>
      </c>
      <c r="EU121" s="3">
        <v>238.01</v>
      </c>
      <c r="EV121" s="3">
        <v>21832.6</v>
      </c>
      <c r="EW121" s="3">
        <v>1730</v>
      </c>
      <c r="EX121" s="3">
        <v>0</v>
      </c>
      <c r="EY121" s="3">
        <v>0</v>
      </c>
      <c r="FQ121" s="3">
        <v>0</v>
      </c>
      <c r="FR121" s="3">
        <v>0</v>
      </c>
      <c r="FS121" s="3">
        <v>2</v>
      </c>
      <c r="FX121" s="3">
        <v>90</v>
      </c>
      <c r="FY121" s="3">
        <v>46</v>
      </c>
      <c r="GA121" s="3" t="s">
        <v>3</v>
      </c>
      <c r="GD121" s="3">
        <v>1</v>
      </c>
      <c r="GF121" s="3">
        <v>-1824218315</v>
      </c>
      <c r="GG121" s="3">
        <v>2</v>
      </c>
      <c r="GH121" s="3">
        <v>1</v>
      </c>
      <c r="GI121" s="3">
        <v>2</v>
      </c>
      <c r="GJ121" s="3">
        <v>0</v>
      </c>
      <c r="GK121" s="3">
        <v>0</v>
      </c>
      <c r="GL121" s="3">
        <f t="shared" si="120"/>
        <v>0</v>
      </c>
      <c r="GM121" s="3">
        <f t="shared" si="121"/>
        <v>95530.25</v>
      </c>
      <c r="GN121" s="3">
        <f t="shared" si="122"/>
        <v>0</v>
      </c>
      <c r="GO121" s="3">
        <f t="shared" si="123"/>
        <v>95530.25</v>
      </c>
      <c r="GP121" s="3">
        <f t="shared" si="124"/>
        <v>0</v>
      </c>
      <c r="GR121" s="3">
        <v>0</v>
      </c>
      <c r="GS121" s="3">
        <v>3</v>
      </c>
      <c r="GT121" s="3">
        <v>0</v>
      </c>
      <c r="GU121" s="3" t="s">
        <v>3</v>
      </c>
      <c r="GV121" s="3">
        <f t="shared" si="125"/>
        <v>0</v>
      </c>
      <c r="GW121" s="3">
        <v>1</v>
      </c>
      <c r="GX121" s="3">
        <f t="shared" si="126"/>
        <v>0</v>
      </c>
      <c r="HA121" s="3">
        <v>0</v>
      </c>
      <c r="HB121" s="3">
        <v>0</v>
      </c>
      <c r="HC121" s="3">
        <f t="shared" si="127"/>
        <v>0</v>
      </c>
      <c r="HE121" s="3" t="s">
        <v>3</v>
      </c>
      <c r="HF121" s="3" t="s">
        <v>3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2" spans="1:255" x14ac:dyDescent="0.2">
      <c r="A122" s="2">
        <v>18</v>
      </c>
      <c r="B122" s="2">
        <v>1</v>
      </c>
      <c r="C122" s="2">
        <v>341</v>
      </c>
      <c r="D122" s="2"/>
      <c r="E122" s="2" t="s">
        <v>3</v>
      </c>
      <c r="F122" s="2" t="s">
        <v>224</v>
      </c>
      <c r="G122" s="2" t="s">
        <v>225</v>
      </c>
      <c r="H122" s="2" t="s">
        <v>191</v>
      </c>
      <c r="I122" s="2">
        <f>I120*J122</f>
        <v>15</v>
      </c>
      <c r="J122" s="2">
        <v>500</v>
      </c>
      <c r="K122" s="2">
        <v>500</v>
      </c>
      <c r="L122" s="2"/>
      <c r="M122" s="2"/>
      <c r="N122" s="2"/>
      <c r="O122" s="2">
        <f t="shared" si="103"/>
        <v>769.2</v>
      </c>
      <c r="P122" s="2">
        <f t="shared" si="104"/>
        <v>769.2</v>
      </c>
      <c r="Q122" s="2">
        <f t="shared" si="144"/>
        <v>0</v>
      </c>
      <c r="R122" s="2">
        <f t="shared" si="145"/>
        <v>0</v>
      </c>
      <c r="S122" s="2">
        <f t="shared" si="105"/>
        <v>0</v>
      </c>
      <c r="T122" s="2">
        <f t="shared" si="106"/>
        <v>0</v>
      </c>
      <c r="U122" s="2">
        <f t="shared" si="107"/>
        <v>0</v>
      </c>
      <c r="V122" s="2">
        <f t="shared" si="108"/>
        <v>0</v>
      </c>
      <c r="W122" s="2">
        <f t="shared" si="109"/>
        <v>0</v>
      </c>
      <c r="X122" s="2">
        <f t="shared" si="146"/>
        <v>0</v>
      </c>
      <c r="Y122" s="2">
        <f t="shared" si="147"/>
        <v>0</v>
      </c>
      <c r="Z122" s="2"/>
      <c r="AA122" s="2">
        <v>-1</v>
      </c>
      <c r="AB122" s="2">
        <f t="shared" si="110"/>
        <v>51.28</v>
      </c>
      <c r="AC122" s="2">
        <f t="shared" si="148"/>
        <v>51.28</v>
      </c>
      <c r="AD122" s="2">
        <f t="shared" si="149"/>
        <v>0</v>
      </c>
      <c r="AE122" s="2">
        <f t="shared" si="150"/>
        <v>0</v>
      </c>
      <c r="AF122" s="2">
        <f t="shared" si="150"/>
        <v>0</v>
      </c>
      <c r="AG122" s="2">
        <f t="shared" si="111"/>
        <v>0</v>
      </c>
      <c r="AH122" s="2">
        <f t="shared" si="151"/>
        <v>0</v>
      </c>
      <c r="AI122" s="2">
        <f t="shared" si="151"/>
        <v>0</v>
      </c>
      <c r="AJ122" s="2">
        <f t="shared" si="112"/>
        <v>0</v>
      </c>
      <c r="AK122" s="2">
        <v>51.28</v>
      </c>
      <c r="AL122" s="2">
        <v>51.28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90</v>
      </c>
      <c r="AU122" s="2">
        <v>46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2</v>
      </c>
      <c r="BJ122" s="2" t="s">
        <v>226</v>
      </c>
      <c r="BK122" s="2"/>
      <c r="BL122" s="2"/>
      <c r="BM122" s="2">
        <v>73</v>
      </c>
      <c r="BN122" s="2">
        <v>0</v>
      </c>
      <c r="BO122" s="2" t="s">
        <v>3</v>
      </c>
      <c r="BP122" s="2">
        <v>0</v>
      </c>
      <c r="BQ122" s="2">
        <v>40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90</v>
      </c>
      <c r="CA122" s="2">
        <v>46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3</v>
      </c>
      <c r="CO122" s="2">
        <v>0</v>
      </c>
      <c r="CP122" s="2">
        <f t="shared" si="113"/>
        <v>769.2</v>
      </c>
      <c r="CQ122" s="2">
        <f t="shared" si="114"/>
        <v>51.28</v>
      </c>
      <c r="CR122" s="2">
        <f t="shared" si="152"/>
        <v>0</v>
      </c>
      <c r="CS122" s="2">
        <f t="shared" si="153"/>
        <v>0</v>
      </c>
      <c r="CT122" s="2">
        <f t="shared" si="115"/>
        <v>0</v>
      </c>
      <c r="CU122" s="2">
        <f t="shared" si="116"/>
        <v>0</v>
      </c>
      <c r="CV122" s="2">
        <f t="shared" si="117"/>
        <v>0</v>
      </c>
      <c r="CW122" s="2">
        <f t="shared" si="118"/>
        <v>0</v>
      </c>
      <c r="CX122" s="2">
        <f t="shared" si="119"/>
        <v>0</v>
      </c>
      <c r="CY122" s="2">
        <f t="shared" si="154"/>
        <v>0</v>
      </c>
      <c r="CZ122" s="2">
        <f t="shared" si="155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1003</v>
      </c>
      <c r="DV122" s="2" t="s">
        <v>191</v>
      </c>
      <c r="DW122" s="2" t="s">
        <v>191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56938740</v>
      </c>
      <c r="EF122" s="2">
        <v>40</v>
      </c>
      <c r="EG122" s="2" t="s">
        <v>29</v>
      </c>
      <c r="EH122" s="2">
        <v>0</v>
      </c>
      <c r="EI122" s="2" t="s">
        <v>3</v>
      </c>
      <c r="EJ122" s="2">
        <v>2</v>
      </c>
      <c r="EK122" s="2">
        <v>73</v>
      </c>
      <c r="EL122" s="2" t="s">
        <v>85</v>
      </c>
      <c r="EM122" s="2" t="s">
        <v>86</v>
      </c>
      <c r="EN122" s="2"/>
      <c r="EO122" s="2" t="s">
        <v>3</v>
      </c>
      <c r="EP122" s="2"/>
      <c r="EQ122" s="2">
        <v>1024</v>
      </c>
      <c r="ER122" s="2">
        <v>51.28</v>
      </c>
      <c r="ES122" s="2">
        <v>51.28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v>0</v>
      </c>
      <c r="FS122" s="2">
        <v>0</v>
      </c>
      <c r="FT122" s="2"/>
      <c r="FU122" s="2"/>
      <c r="FV122" s="2"/>
      <c r="FW122" s="2"/>
      <c r="FX122" s="2">
        <v>90</v>
      </c>
      <c r="FY122" s="2">
        <v>46</v>
      </c>
      <c r="FZ122" s="2"/>
      <c r="GA122" s="2" t="s">
        <v>3</v>
      </c>
      <c r="GB122" s="2"/>
      <c r="GC122" s="2"/>
      <c r="GD122" s="2">
        <v>1</v>
      </c>
      <c r="GE122" s="2"/>
      <c r="GF122" s="2">
        <v>-173671470</v>
      </c>
      <c r="GG122" s="2">
        <v>2</v>
      </c>
      <c r="GH122" s="2">
        <v>1</v>
      </c>
      <c r="GI122" s="2">
        <v>-2</v>
      </c>
      <c r="GJ122" s="2">
        <v>0</v>
      </c>
      <c r="GK122" s="2">
        <v>0</v>
      </c>
      <c r="GL122" s="2">
        <f t="shared" si="120"/>
        <v>0</v>
      </c>
      <c r="GM122" s="2">
        <f t="shared" si="121"/>
        <v>769.2</v>
      </c>
      <c r="GN122" s="2">
        <f t="shared" si="122"/>
        <v>0</v>
      </c>
      <c r="GO122" s="2">
        <f t="shared" si="123"/>
        <v>769.2</v>
      </c>
      <c r="GP122" s="2">
        <f t="shared" si="124"/>
        <v>0</v>
      </c>
      <c r="GQ122" s="2"/>
      <c r="GR122" s="2">
        <v>0</v>
      </c>
      <c r="GS122" s="2">
        <v>3</v>
      </c>
      <c r="GT122" s="2">
        <v>0</v>
      </c>
      <c r="GU122" s="2" t="s">
        <v>3</v>
      </c>
      <c r="GV122" s="2">
        <f t="shared" si="125"/>
        <v>0</v>
      </c>
      <c r="GW122" s="2">
        <v>1</v>
      </c>
      <c r="GX122" s="2">
        <f t="shared" si="126"/>
        <v>0</v>
      </c>
      <c r="GY122" s="2"/>
      <c r="GZ122" s="2"/>
      <c r="HA122" s="2">
        <v>0</v>
      </c>
      <c r="HB122" s="2">
        <v>0</v>
      </c>
      <c r="HC122" s="2">
        <f t="shared" si="127"/>
        <v>0</v>
      </c>
      <c r="HD122" s="2"/>
      <c r="HE122" s="2" t="s">
        <v>3</v>
      </c>
      <c r="HF122" s="2" t="s">
        <v>3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">
      <c r="A123" s="3">
        <v>18</v>
      </c>
      <c r="B123" s="3">
        <v>1</v>
      </c>
      <c r="C123" s="3">
        <v>357</v>
      </c>
      <c r="E123" s="3" t="s">
        <v>3</v>
      </c>
      <c r="F123" s="3" t="s">
        <v>224</v>
      </c>
      <c r="G123" s="3" t="s">
        <v>225</v>
      </c>
      <c r="H123" s="3" t="s">
        <v>191</v>
      </c>
      <c r="I123" s="3">
        <f>I121*J123</f>
        <v>15</v>
      </c>
      <c r="J123" s="3">
        <v>500</v>
      </c>
      <c r="K123" s="3">
        <v>500</v>
      </c>
      <c r="O123" s="3">
        <f t="shared" si="103"/>
        <v>15937.82</v>
      </c>
      <c r="P123" s="3">
        <f t="shared" si="104"/>
        <v>15937.82</v>
      </c>
      <c r="Q123" s="3">
        <f t="shared" si="144"/>
        <v>0</v>
      </c>
      <c r="R123" s="3">
        <f t="shared" si="145"/>
        <v>0</v>
      </c>
      <c r="S123" s="3">
        <f t="shared" si="105"/>
        <v>0</v>
      </c>
      <c r="T123" s="3">
        <f t="shared" si="106"/>
        <v>0</v>
      </c>
      <c r="U123" s="3">
        <f t="shared" si="107"/>
        <v>0</v>
      </c>
      <c r="V123" s="3">
        <f t="shared" si="108"/>
        <v>0</v>
      </c>
      <c r="W123" s="3">
        <f t="shared" si="109"/>
        <v>0</v>
      </c>
      <c r="X123" s="3">
        <f t="shared" si="146"/>
        <v>0</v>
      </c>
      <c r="Y123" s="3">
        <f t="shared" si="147"/>
        <v>0</v>
      </c>
      <c r="AA123" s="3">
        <v>-1</v>
      </c>
      <c r="AB123" s="3">
        <f t="shared" si="110"/>
        <v>51.28</v>
      </c>
      <c r="AC123" s="3">
        <f t="shared" si="148"/>
        <v>51.28</v>
      </c>
      <c r="AD123" s="3">
        <f t="shared" si="149"/>
        <v>0</v>
      </c>
      <c r="AE123" s="3">
        <f t="shared" si="150"/>
        <v>0</v>
      </c>
      <c r="AF123" s="3">
        <f t="shared" si="150"/>
        <v>0</v>
      </c>
      <c r="AG123" s="3">
        <f t="shared" si="111"/>
        <v>0</v>
      </c>
      <c r="AH123" s="3">
        <f t="shared" si="151"/>
        <v>0</v>
      </c>
      <c r="AI123" s="3">
        <f t="shared" si="151"/>
        <v>0</v>
      </c>
      <c r="AJ123" s="3">
        <f t="shared" si="112"/>
        <v>0</v>
      </c>
      <c r="AK123" s="3">
        <v>51.28</v>
      </c>
      <c r="AL123" s="3">
        <v>51.28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90</v>
      </c>
      <c r="AU123" s="3">
        <v>46</v>
      </c>
      <c r="AV123" s="3">
        <v>1</v>
      </c>
      <c r="AW123" s="3">
        <v>1</v>
      </c>
      <c r="AZ123" s="3">
        <v>1</v>
      </c>
      <c r="BA123" s="3">
        <v>1</v>
      </c>
      <c r="BB123" s="3">
        <v>1</v>
      </c>
      <c r="BC123" s="3">
        <v>20.72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3</v>
      </c>
      <c r="BI123" s="3">
        <v>2</v>
      </c>
      <c r="BJ123" s="3" t="s">
        <v>226</v>
      </c>
      <c r="BM123" s="3">
        <v>73</v>
      </c>
      <c r="BN123" s="3">
        <v>0</v>
      </c>
      <c r="BO123" s="3" t="s">
        <v>224</v>
      </c>
      <c r="BP123" s="3">
        <v>1</v>
      </c>
      <c r="BQ123" s="3">
        <v>40</v>
      </c>
      <c r="BR123" s="3">
        <v>0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90</v>
      </c>
      <c r="CA123" s="3">
        <v>46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3</v>
      </c>
      <c r="CO123" s="3">
        <v>0</v>
      </c>
      <c r="CP123" s="3">
        <f t="shared" si="113"/>
        <v>15937.82</v>
      </c>
      <c r="CQ123" s="3">
        <f t="shared" si="114"/>
        <v>1062.52</v>
      </c>
      <c r="CR123" s="3">
        <f t="shared" si="152"/>
        <v>0</v>
      </c>
      <c r="CS123" s="3">
        <f t="shared" si="153"/>
        <v>0</v>
      </c>
      <c r="CT123" s="3">
        <f t="shared" si="115"/>
        <v>0</v>
      </c>
      <c r="CU123" s="3">
        <f t="shared" si="116"/>
        <v>0</v>
      </c>
      <c r="CV123" s="3">
        <f t="shared" si="117"/>
        <v>0</v>
      </c>
      <c r="CW123" s="3">
        <f t="shared" si="118"/>
        <v>0</v>
      </c>
      <c r="CX123" s="3">
        <f t="shared" si="119"/>
        <v>0</v>
      </c>
      <c r="CY123" s="3">
        <f t="shared" si="154"/>
        <v>0</v>
      </c>
      <c r="CZ123" s="3">
        <f t="shared" si="155"/>
        <v>0</v>
      </c>
      <c r="DC123" s="3" t="s">
        <v>3</v>
      </c>
      <c r="DD123" s="3" t="s">
        <v>3</v>
      </c>
      <c r="DE123" s="3" t="s">
        <v>3</v>
      </c>
      <c r="DF123" s="3" t="s">
        <v>3</v>
      </c>
      <c r="DG123" s="3" t="s">
        <v>3</v>
      </c>
      <c r="DH123" s="3" t="s">
        <v>3</v>
      </c>
      <c r="DI123" s="3" t="s">
        <v>3</v>
      </c>
      <c r="DJ123" s="3" t="s">
        <v>3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1003</v>
      </c>
      <c r="DV123" s="3" t="s">
        <v>191</v>
      </c>
      <c r="DW123" s="3" t="s">
        <v>191</v>
      </c>
      <c r="DX123" s="3">
        <v>1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56938740</v>
      </c>
      <c r="EF123" s="3">
        <v>40</v>
      </c>
      <c r="EG123" s="3" t="s">
        <v>29</v>
      </c>
      <c r="EH123" s="3">
        <v>0</v>
      </c>
      <c r="EI123" s="3" t="s">
        <v>3</v>
      </c>
      <c r="EJ123" s="3">
        <v>2</v>
      </c>
      <c r="EK123" s="3">
        <v>73</v>
      </c>
      <c r="EL123" s="3" t="s">
        <v>85</v>
      </c>
      <c r="EM123" s="3" t="s">
        <v>86</v>
      </c>
      <c r="EO123" s="3" t="s">
        <v>3</v>
      </c>
      <c r="EQ123" s="3">
        <v>1024</v>
      </c>
      <c r="ER123" s="3">
        <v>51.28</v>
      </c>
      <c r="ES123" s="3">
        <v>51.28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FQ123" s="3">
        <v>0</v>
      </c>
      <c r="FR123" s="3">
        <v>0</v>
      </c>
      <c r="FS123" s="3">
        <v>0</v>
      </c>
      <c r="FX123" s="3">
        <v>90</v>
      </c>
      <c r="FY123" s="3">
        <v>46</v>
      </c>
      <c r="GA123" s="3" t="s">
        <v>3</v>
      </c>
      <c r="GD123" s="3">
        <v>1</v>
      </c>
      <c r="GF123" s="3">
        <v>-173671470</v>
      </c>
      <c r="GG123" s="3">
        <v>2</v>
      </c>
      <c r="GH123" s="3">
        <v>1</v>
      </c>
      <c r="GI123" s="3">
        <v>2</v>
      </c>
      <c r="GJ123" s="3">
        <v>0</v>
      </c>
      <c r="GK123" s="3">
        <v>0</v>
      </c>
      <c r="GL123" s="3">
        <f t="shared" si="120"/>
        <v>0</v>
      </c>
      <c r="GM123" s="3">
        <f t="shared" si="121"/>
        <v>15937.82</v>
      </c>
      <c r="GN123" s="3">
        <f t="shared" si="122"/>
        <v>0</v>
      </c>
      <c r="GO123" s="3">
        <f t="shared" si="123"/>
        <v>15937.82</v>
      </c>
      <c r="GP123" s="3">
        <f t="shared" si="124"/>
        <v>0</v>
      </c>
      <c r="GR123" s="3">
        <v>0</v>
      </c>
      <c r="GS123" s="3">
        <v>3</v>
      </c>
      <c r="GT123" s="3">
        <v>0</v>
      </c>
      <c r="GU123" s="3" t="s">
        <v>3</v>
      </c>
      <c r="GV123" s="3">
        <f t="shared" si="125"/>
        <v>0</v>
      </c>
      <c r="GW123" s="3">
        <v>1</v>
      </c>
      <c r="GX123" s="3">
        <f t="shared" si="126"/>
        <v>0</v>
      </c>
      <c r="HA123" s="3">
        <v>0</v>
      </c>
      <c r="HB123" s="3">
        <v>0</v>
      </c>
      <c r="HC123" s="3">
        <f t="shared" si="127"/>
        <v>0</v>
      </c>
      <c r="HE123" s="3" t="s">
        <v>3</v>
      </c>
      <c r="HF123" s="3" t="s">
        <v>3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">
      <c r="A124" s="2">
        <v>18</v>
      </c>
      <c r="B124" s="2">
        <v>1</v>
      </c>
      <c r="C124" s="2">
        <v>340</v>
      </c>
      <c r="D124" s="2"/>
      <c r="E124" s="2" t="s">
        <v>3</v>
      </c>
      <c r="F124" s="2" t="s">
        <v>227</v>
      </c>
      <c r="G124" s="2" t="s">
        <v>228</v>
      </c>
      <c r="H124" s="2" t="s">
        <v>191</v>
      </c>
      <c r="I124" s="2">
        <f>I120*J124</f>
        <v>15</v>
      </c>
      <c r="J124" s="2">
        <v>500</v>
      </c>
      <c r="K124" s="2">
        <v>500</v>
      </c>
      <c r="L124" s="2"/>
      <c r="M124" s="2"/>
      <c r="N124" s="2"/>
      <c r="O124" s="2">
        <f t="shared" ref="O124:O155" si="156">ROUND(CP124,2)</f>
        <v>623.54999999999995</v>
      </c>
      <c r="P124" s="2">
        <f t="shared" ref="P124:P155" si="157">ROUND((ROUND((AC124*AW124*I124),2)*BC124),2)</f>
        <v>623.54999999999995</v>
      </c>
      <c r="Q124" s="2">
        <f t="shared" si="144"/>
        <v>0</v>
      </c>
      <c r="R124" s="2">
        <f t="shared" si="145"/>
        <v>0</v>
      </c>
      <c r="S124" s="2">
        <f t="shared" ref="S124:S155" si="158">ROUND((ROUND((AF124*AV124*I124),2)*BA124),2)</f>
        <v>0</v>
      </c>
      <c r="T124" s="2">
        <f t="shared" ref="T124:T155" si="159">ROUND(CU124*I124,2)</f>
        <v>0</v>
      </c>
      <c r="U124" s="2">
        <f t="shared" ref="U124:U155" si="160">CV124*I124</f>
        <v>0</v>
      </c>
      <c r="V124" s="2">
        <f t="shared" ref="V124:V155" si="161">CW124*I124</f>
        <v>0</v>
      </c>
      <c r="W124" s="2">
        <f t="shared" ref="W124:W155" si="162">ROUND(CX124*I124,2)</f>
        <v>0</v>
      </c>
      <c r="X124" s="2">
        <f t="shared" si="146"/>
        <v>0</v>
      </c>
      <c r="Y124" s="2">
        <f t="shared" si="147"/>
        <v>0</v>
      </c>
      <c r="Z124" s="2"/>
      <c r="AA124" s="2">
        <v>-1</v>
      </c>
      <c r="AB124" s="2">
        <f t="shared" ref="AB124:AB155" si="163">ROUND((AC124+AD124+AF124),6)</f>
        <v>41.57</v>
      </c>
      <c r="AC124" s="2">
        <f t="shared" si="148"/>
        <v>41.57</v>
      </c>
      <c r="AD124" s="2">
        <f t="shared" si="149"/>
        <v>0</v>
      </c>
      <c r="AE124" s="2">
        <f t="shared" si="150"/>
        <v>0</v>
      </c>
      <c r="AF124" s="2">
        <f t="shared" si="150"/>
        <v>0</v>
      </c>
      <c r="AG124" s="2">
        <f t="shared" ref="AG124:AG155" si="164">ROUND((AP124),6)</f>
        <v>0</v>
      </c>
      <c r="AH124" s="2">
        <f t="shared" si="151"/>
        <v>0</v>
      </c>
      <c r="AI124" s="2">
        <f t="shared" si="151"/>
        <v>0</v>
      </c>
      <c r="AJ124" s="2">
        <f t="shared" ref="AJ124:AJ155" si="165">(AS124)</f>
        <v>0</v>
      </c>
      <c r="AK124" s="2">
        <v>41.57</v>
      </c>
      <c r="AL124" s="2">
        <v>41.57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90</v>
      </c>
      <c r="AU124" s="2">
        <v>46</v>
      </c>
      <c r="AV124" s="2">
        <v>1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3</v>
      </c>
      <c r="BI124" s="2">
        <v>2</v>
      </c>
      <c r="BJ124" s="2" t="s">
        <v>229</v>
      </c>
      <c r="BK124" s="2"/>
      <c r="BL124" s="2"/>
      <c r="BM124" s="2">
        <v>73</v>
      </c>
      <c r="BN124" s="2">
        <v>0</v>
      </c>
      <c r="BO124" s="2" t="s">
        <v>3</v>
      </c>
      <c r="BP124" s="2">
        <v>0</v>
      </c>
      <c r="BQ124" s="2">
        <v>40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90</v>
      </c>
      <c r="CA124" s="2">
        <v>46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3</v>
      </c>
      <c r="CO124" s="2">
        <v>0</v>
      </c>
      <c r="CP124" s="2">
        <f t="shared" ref="CP124:CP155" si="166">(P124+Q124+S124)</f>
        <v>623.54999999999995</v>
      </c>
      <c r="CQ124" s="2">
        <f t="shared" ref="CQ124:CQ155" si="167">ROUND((ROUND((AC124*AW124*1),2)*BC124),2)</f>
        <v>41.57</v>
      </c>
      <c r="CR124" s="2">
        <f t="shared" si="152"/>
        <v>0</v>
      </c>
      <c r="CS124" s="2">
        <f t="shared" si="153"/>
        <v>0</v>
      </c>
      <c r="CT124" s="2">
        <f t="shared" ref="CT124:CT155" si="168">ROUND((ROUND((AF124*AV124*1),2)*BA124),2)</f>
        <v>0</v>
      </c>
      <c r="CU124" s="2">
        <f t="shared" ref="CU124:CU155" si="169">AG124</f>
        <v>0</v>
      </c>
      <c r="CV124" s="2">
        <f t="shared" ref="CV124:CV155" si="170">(AH124*AV124)</f>
        <v>0</v>
      </c>
      <c r="CW124" s="2">
        <f t="shared" ref="CW124:CW155" si="171">AI124</f>
        <v>0</v>
      </c>
      <c r="CX124" s="2">
        <f t="shared" ref="CX124:CX155" si="172">AJ124</f>
        <v>0</v>
      </c>
      <c r="CY124" s="2">
        <f t="shared" si="154"/>
        <v>0</v>
      </c>
      <c r="CZ124" s="2">
        <f t="shared" si="155"/>
        <v>0</v>
      </c>
      <c r="DA124" s="2"/>
      <c r="DB124" s="2"/>
      <c r="DC124" s="2" t="s">
        <v>3</v>
      </c>
      <c r="DD124" s="2" t="s">
        <v>3</v>
      </c>
      <c r="DE124" s="2" t="s">
        <v>3</v>
      </c>
      <c r="DF124" s="2" t="s">
        <v>3</v>
      </c>
      <c r="DG124" s="2" t="s">
        <v>3</v>
      </c>
      <c r="DH124" s="2" t="s">
        <v>3</v>
      </c>
      <c r="DI124" s="2" t="s">
        <v>3</v>
      </c>
      <c r="DJ124" s="2" t="s">
        <v>3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1003</v>
      </c>
      <c r="DV124" s="2" t="s">
        <v>191</v>
      </c>
      <c r="DW124" s="2" t="s">
        <v>191</v>
      </c>
      <c r="DX124" s="2">
        <v>1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56938740</v>
      </c>
      <c r="EF124" s="2">
        <v>40</v>
      </c>
      <c r="EG124" s="2" t="s">
        <v>29</v>
      </c>
      <c r="EH124" s="2">
        <v>0</v>
      </c>
      <c r="EI124" s="2" t="s">
        <v>3</v>
      </c>
      <c r="EJ124" s="2">
        <v>2</v>
      </c>
      <c r="EK124" s="2">
        <v>73</v>
      </c>
      <c r="EL124" s="2" t="s">
        <v>85</v>
      </c>
      <c r="EM124" s="2" t="s">
        <v>86</v>
      </c>
      <c r="EN124" s="2"/>
      <c r="EO124" s="2" t="s">
        <v>3</v>
      </c>
      <c r="EP124" s="2"/>
      <c r="EQ124" s="2">
        <v>1024</v>
      </c>
      <c r="ER124" s="2">
        <v>41.57</v>
      </c>
      <c r="ES124" s="2">
        <v>41.57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v>0</v>
      </c>
      <c r="FS124" s="2">
        <v>0</v>
      </c>
      <c r="FT124" s="2"/>
      <c r="FU124" s="2"/>
      <c r="FV124" s="2"/>
      <c r="FW124" s="2"/>
      <c r="FX124" s="2">
        <v>90</v>
      </c>
      <c r="FY124" s="2">
        <v>46</v>
      </c>
      <c r="FZ124" s="2"/>
      <c r="GA124" s="2" t="s">
        <v>3</v>
      </c>
      <c r="GB124" s="2"/>
      <c r="GC124" s="2"/>
      <c r="GD124" s="2">
        <v>1</v>
      </c>
      <c r="GE124" s="2"/>
      <c r="GF124" s="2">
        <v>-2048145394</v>
      </c>
      <c r="GG124" s="2">
        <v>2</v>
      </c>
      <c r="GH124" s="2">
        <v>1</v>
      </c>
      <c r="GI124" s="2">
        <v>-2</v>
      </c>
      <c r="GJ124" s="2">
        <v>0</v>
      </c>
      <c r="GK124" s="2">
        <v>0</v>
      </c>
      <c r="GL124" s="2">
        <f t="shared" ref="GL124:GL155" si="173">ROUND(IF(AND(BH124=3,BI124=3,FS124&lt;&gt;0),P124,0),2)</f>
        <v>0</v>
      </c>
      <c r="GM124" s="2">
        <f t="shared" ref="GM124:GM155" si="174">ROUND(O124+X124+Y124,2)+GX124</f>
        <v>623.54999999999995</v>
      </c>
      <c r="GN124" s="2">
        <f t="shared" ref="GN124:GN155" si="175">IF(OR(BI124=0,BI124=1),GM124-GX124,0)</f>
        <v>0</v>
      </c>
      <c r="GO124" s="2">
        <f t="shared" ref="GO124:GO155" si="176">IF(BI124=2,GM124-GX124,0)</f>
        <v>623.54999999999995</v>
      </c>
      <c r="GP124" s="2">
        <f t="shared" ref="GP124:GP155" si="177">IF(BI124=4,GM124-GX124,0)</f>
        <v>0</v>
      </c>
      <c r="GQ124" s="2"/>
      <c r="GR124" s="2">
        <v>0</v>
      </c>
      <c r="GS124" s="2">
        <v>3</v>
      </c>
      <c r="GT124" s="2">
        <v>0</v>
      </c>
      <c r="GU124" s="2" t="s">
        <v>3</v>
      </c>
      <c r="GV124" s="2">
        <f t="shared" ref="GV124:GV155" si="178">ROUND((GT124),6)</f>
        <v>0</v>
      </c>
      <c r="GW124" s="2">
        <v>1</v>
      </c>
      <c r="GX124" s="2">
        <f t="shared" ref="GX124:GX155" si="179">ROUND(HC124*I124,2)</f>
        <v>0</v>
      </c>
      <c r="GY124" s="2"/>
      <c r="GZ124" s="2"/>
      <c r="HA124" s="2">
        <v>0</v>
      </c>
      <c r="HB124" s="2">
        <v>0</v>
      </c>
      <c r="HC124" s="2">
        <f t="shared" ref="HC124:HC155" si="180">GV124*GW124</f>
        <v>0</v>
      </c>
      <c r="HD124" s="2"/>
      <c r="HE124" s="2" t="s">
        <v>3</v>
      </c>
      <c r="HF124" s="2" t="s">
        <v>3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">
      <c r="A125" s="3">
        <v>18</v>
      </c>
      <c r="B125" s="3">
        <v>1</v>
      </c>
      <c r="C125" s="3">
        <v>356</v>
      </c>
      <c r="E125" s="3" t="s">
        <v>3</v>
      </c>
      <c r="F125" s="3" t="s">
        <v>227</v>
      </c>
      <c r="G125" s="3" t="s">
        <v>228</v>
      </c>
      <c r="H125" s="3" t="s">
        <v>191</v>
      </c>
      <c r="I125" s="3">
        <f>I121*J125</f>
        <v>15</v>
      </c>
      <c r="J125" s="3">
        <v>500</v>
      </c>
      <c r="K125" s="3">
        <v>500</v>
      </c>
      <c r="O125" s="3">
        <f t="shared" si="156"/>
        <v>10319.75</v>
      </c>
      <c r="P125" s="3">
        <f t="shared" si="157"/>
        <v>10319.75</v>
      </c>
      <c r="Q125" s="3">
        <f t="shared" si="144"/>
        <v>0</v>
      </c>
      <c r="R125" s="3">
        <f t="shared" si="145"/>
        <v>0</v>
      </c>
      <c r="S125" s="3">
        <f t="shared" si="158"/>
        <v>0</v>
      </c>
      <c r="T125" s="3">
        <f t="shared" si="159"/>
        <v>0</v>
      </c>
      <c r="U125" s="3">
        <f t="shared" si="160"/>
        <v>0</v>
      </c>
      <c r="V125" s="3">
        <f t="shared" si="161"/>
        <v>0</v>
      </c>
      <c r="W125" s="3">
        <f t="shared" si="162"/>
        <v>0</v>
      </c>
      <c r="X125" s="3">
        <f t="shared" si="146"/>
        <v>0</v>
      </c>
      <c r="Y125" s="3">
        <f t="shared" si="147"/>
        <v>0</v>
      </c>
      <c r="AA125" s="3">
        <v>-1</v>
      </c>
      <c r="AB125" s="3">
        <f t="shared" si="163"/>
        <v>41.57</v>
      </c>
      <c r="AC125" s="3">
        <f t="shared" si="148"/>
        <v>41.57</v>
      </c>
      <c r="AD125" s="3">
        <f t="shared" si="149"/>
        <v>0</v>
      </c>
      <c r="AE125" s="3">
        <f t="shared" si="150"/>
        <v>0</v>
      </c>
      <c r="AF125" s="3">
        <f t="shared" si="150"/>
        <v>0</v>
      </c>
      <c r="AG125" s="3">
        <f t="shared" si="164"/>
        <v>0</v>
      </c>
      <c r="AH125" s="3">
        <f t="shared" si="151"/>
        <v>0</v>
      </c>
      <c r="AI125" s="3">
        <f t="shared" si="151"/>
        <v>0</v>
      </c>
      <c r="AJ125" s="3">
        <f t="shared" si="165"/>
        <v>0</v>
      </c>
      <c r="AK125" s="3">
        <v>41.57</v>
      </c>
      <c r="AL125" s="3">
        <v>41.57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90</v>
      </c>
      <c r="AU125" s="3">
        <v>46</v>
      </c>
      <c r="AV125" s="3">
        <v>1</v>
      </c>
      <c r="AW125" s="3">
        <v>1</v>
      </c>
      <c r="AZ125" s="3">
        <v>1</v>
      </c>
      <c r="BA125" s="3">
        <v>1</v>
      </c>
      <c r="BB125" s="3">
        <v>1</v>
      </c>
      <c r="BC125" s="3">
        <v>16.55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3</v>
      </c>
      <c r="BI125" s="3">
        <v>2</v>
      </c>
      <c r="BJ125" s="3" t="s">
        <v>229</v>
      </c>
      <c r="BM125" s="3">
        <v>73</v>
      </c>
      <c r="BN125" s="3">
        <v>0</v>
      </c>
      <c r="BO125" s="3" t="s">
        <v>227</v>
      </c>
      <c r="BP125" s="3">
        <v>1</v>
      </c>
      <c r="BQ125" s="3">
        <v>40</v>
      </c>
      <c r="BR125" s="3">
        <v>0</v>
      </c>
      <c r="BS125" s="3">
        <v>1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90</v>
      </c>
      <c r="CA125" s="3">
        <v>46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3</v>
      </c>
      <c r="CO125" s="3">
        <v>0</v>
      </c>
      <c r="CP125" s="3">
        <f t="shared" si="166"/>
        <v>10319.75</v>
      </c>
      <c r="CQ125" s="3">
        <f t="shared" si="167"/>
        <v>687.98</v>
      </c>
      <c r="CR125" s="3">
        <f t="shared" si="152"/>
        <v>0</v>
      </c>
      <c r="CS125" s="3">
        <f t="shared" si="153"/>
        <v>0</v>
      </c>
      <c r="CT125" s="3">
        <f t="shared" si="168"/>
        <v>0</v>
      </c>
      <c r="CU125" s="3">
        <f t="shared" si="169"/>
        <v>0</v>
      </c>
      <c r="CV125" s="3">
        <f t="shared" si="170"/>
        <v>0</v>
      </c>
      <c r="CW125" s="3">
        <f t="shared" si="171"/>
        <v>0</v>
      </c>
      <c r="CX125" s="3">
        <f t="shared" si="172"/>
        <v>0</v>
      </c>
      <c r="CY125" s="3">
        <f t="shared" si="154"/>
        <v>0</v>
      </c>
      <c r="CZ125" s="3">
        <f t="shared" si="155"/>
        <v>0</v>
      </c>
      <c r="DC125" s="3" t="s">
        <v>3</v>
      </c>
      <c r="DD125" s="3" t="s">
        <v>3</v>
      </c>
      <c r="DE125" s="3" t="s">
        <v>3</v>
      </c>
      <c r="DF125" s="3" t="s">
        <v>3</v>
      </c>
      <c r="DG125" s="3" t="s">
        <v>3</v>
      </c>
      <c r="DH125" s="3" t="s">
        <v>3</v>
      </c>
      <c r="DI125" s="3" t="s">
        <v>3</v>
      </c>
      <c r="DJ125" s="3" t="s">
        <v>3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1003</v>
      </c>
      <c r="DV125" s="3" t="s">
        <v>191</v>
      </c>
      <c r="DW125" s="3" t="s">
        <v>191</v>
      </c>
      <c r="DX125" s="3">
        <v>1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56938740</v>
      </c>
      <c r="EF125" s="3">
        <v>40</v>
      </c>
      <c r="EG125" s="3" t="s">
        <v>29</v>
      </c>
      <c r="EH125" s="3">
        <v>0</v>
      </c>
      <c r="EI125" s="3" t="s">
        <v>3</v>
      </c>
      <c r="EJ125" s="3">
        <v>2</v>
      </c>
      <c r="EK125" s="3">
        <v>73</v>
      </c>
      <c r="EL125" s="3" t="s">
        <v>85</v>
      </c>
      <c r="EM125" s="3" t="s">
        <v>86</v>
      </c>
      <c r="EO125" s="3" t="s">
        <v>3</v>
      </c>
      <c r="EQ125" s="3">
        <v>1024</v>
      </c>
      <c r="ER125" s="3">
        <v>41.57</v>
      </c>
      <c r="ES125" s="3">
        <v>41.57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FQ125" s="3">
        <v>0</v>
      </c>
      <c r="FR125" s="3">
        <v>0</v>
      </c>
      <c r="FS125" s="3">
        <v>0</v>
      </c>
      <c r="FX125" s="3">
        <v>90</v>
      </c>
      <c r="FY125" s="3">
        <v>46</v>
      </c>
      <c r="GA125" s="3" t="s">
        <v>3</v>
      </c>
      <c r="GD125" s="3">
        <v>1</v>
      </c>
      <c r="GF125" s="3">
        <v>-2048145394</v>
      </c>
      <c r="GG125" s="3">
        <v>2</v>
      </c>
      <c r="GH125" s="3">
        <v>1</v>
      </c>
      <c r="GI125" s="3">
        <v>2</v>
      </c>
      <c r="GJ125" s="3">
        <v>0</v>
      </c>
      <c r="GK125" s="3">
        <v>0</v>
      </c>
      <c r="GL125" s="3">
        <f t="shared" si="173"/>
        <v>0</v>
      </c>
      <c r="GM125" s="3">
        <f t="shared" si="174"/>
        <v>10319.75</v>
      </c>
      <c r="GN125" s="3">
        <f t="shared" si="175"/>
        <v>0</v>
      </c>
      <c r="GO125" s="3">
        <f t="shared" si="176"/>
        <v>10319.75</v>
      </c>
      <c r="GP125" s="3">
        <f t="shared" si="177"/>
        <v>0</v>
      </c>
      <c r="GR125" s="3">
        <v>0</v>
      </c>
      <c r="GS125" s="3">
        <v>3</v>
      </c>
      <c r="GT125" s="3">
        <v>0</v>
      </c>
      <c r="GU125" s="3" t="s">
        <v>3</v>
      </c>
      <c r="GV125" s="3">
        <f t="shared" si="178"/>
        <v>0</v>
      </c>
      <c r="GW125" s="3">
        <v>1</v>
      </c>
      <c r="GX125" s="3">
        <f t="shared" si="179"/>
        <v>0</v>
      </c>
      <c r="HA125" s="3">
        <v>0</v>
      </c>
      <c r="HB125" s="3">
        <v>0</v>
      </c>
      <c r="HC125" s="3">
        <f t="shared" si="180"/>
        <v>0</v>
      </c>
      <c r="HE125" s="3" t="s">
        <v>3</v>
      </c>
      <c r="HF125" s="3" t="s">
        <v>3</v>
      </c>
      <c r="HM125" s="3" t="s">
        <v>3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6" spans="1:255" x14ac:dyDescent="0.2">
      <c r="A126" s="2">
        <v>17</v>
      </c>
      <c r="B126" s="2">
        <v>1</v>
      </c>
      <c r="C126" s="2">
        <f>ROW(SmtRes!A374)</f>
        <v>374</v>
      </c>
      <c r="D126" s="2">
        <f>ROW(EtalonRes!A407)</f>
        <v>407</v>
      </c>
      <c r="E126" s="2" t="s">
        <v>230</v>
      </c>
      <c r="F126" s="2" t="s">
        <v>231</v>
      </c>
      <c r="G126" s="2" t="s">
        <v>232</v>
      </c>
      <c r="H126" s="2" t="s">
        <v>186</v>
      </c>
      <c r="I126" s="2">
        <f>ROUND((15+15)/100,9)</f>
        <v>0.3</v>
      </c>
      <c r="J126" s="2">
        <v>0</v>
      </c>
      <c r="K126" s="2">
        <f>ROUND((15+15)/100,9)</f>
        <v>0.3</v>
      </c>
      <c r="L126" s="2"/>
      <c r="M126" s="2"/>
      <c r="N126" s="2"/>
      <c r="O126" s="2">
        <f t="shared" si="156"/>
        <v>1137.82</v>
      </c>
      <c r="P126" s="2">
        <f t="shared" si="157"/>
        <v>266.77</v>
      </c>
      <c r="Q126" s="2">
        <f>(ROUND((ROUND((((ET126*1.2))*AV126*I126),2)*BB126),2)+ROUND((ROUND(((AE126-((EU126*1.2)))*AV126*I126),2)*BS126),2))</f>
        <v>197.23</v>
      </c>
      <c r="R126" s="2">
        <f>(ROUND((ROUND((((EU126*1.2))*AV126*I126),2)*BS126),2)+ROUND((ROUND(((AE126-((EU126*1.2)))*AV126*I126),2)*BS126),2))</f>
        <v>38.97</v>
      </c>
      <c r="S126" s="2">
        <f t="shared" si="158"/>
        <v>673.82</v>
      </c>
      <c r="T126" s="2">
        <f t="shared" si="159"/>
        <v>0</v>
      </c>
      <c r="U126" s="2">
        <f t="shared" si="160"/>
        <v>53.392679999999991</v>
      </c>
      <c r="V126" s="2">
        <f t="shared" si="161"/>
        <v>0</v>
      </c>
      <c r="W126" s="2">
        <f t="shared" si="162"/>
        <v>0</v>
      </c>
      <c r="X126" s="2">
        <f>(ROUND((((S126+ROUND((ROUND((((EU126*1.2))*AV126*I126),2)*BS126),2))*AT126)/100),2)+ROUND(((ROUND((ROUND(((AE126-((EU126*1.2)))*AV126*I126),2)*BS126),2)*AT126)/100),2))</f>
        <v>641.51</v>
      </c>
      <c r="Y126" s="2">
        <f>(ROUND((((S126+ROUND((ROUND((((EU126*1.2))*AV126*I126),2)*BS126),2))*AU126)/100),2)+ROUND(((ROUND((ROUND(((AE126-((EU126*1.2)))*AV126*I126),2)*BS126),2)*AU126)/100),2))</f>
        <v>327.88</v>
      </c>
      <c r="Z126" s="2"/>
      <c r="AA126" s="2">
        <v>55747649</v>
      </c>
      <c r="AB126" s="2">
        <f t="shared" si="163"/>
        <v>3586.18</v>
      </c>
      <c r="AC126" s="2">
        <f>ROUND(((ES126*1)),6)</f>
        <v>865</v>
      </c>
      <c r="AD126" s="2">
        <f>ROUND(((((ET126*1.2))-((EU126*1.2)))+AE126),6)</f>
        <v>616.16399999999999</v>
      </c>
      <c r="AE126" s="2">
        <f>ROUND(((EU126*1.2)),6)</f>
        <v>121.752</v>
      </c>
      <c r="AF126" s="2">
        <f>ROUND(((EV126*1.2)),6)</f>
        <v>2105.0160000000001</v>
      </c>
      <c r="AG126" s="2">
        <f t="shared" si="164"/>
        <v>0</v>
      </c>
      <c r="AH126" s="2">
        <f>((EW126*1.2))</f>
        <v>166.79999999999998</v>
      </c>
      <c r="AI126" s="2">
        <f>((EX126*1.2))</f>
        <v>0</v>
      </c>
      <c r="AJ126" s="2">
        <f t="shared" si="165"/>
        <v>0</v>
      </c>
      <c r="AK126" s="2">
        <v>3132.65</v>
      </c>
      <c r="AL126" s="2">
        <v>865</v>
      </c>
      <c r="AM126" s="2">
        <v>513.47</v>
      </c>
      <c r="AN126" s="2">
        <v>101.46</v>
      </c>
      <c r="AO126" s="2">
        <v>1754.18</v>
      </c>
      <c r="AP126" s="2">
        <v>0</v>
      </c>
      <c r="AQ126" s="2">
        <v>139</v>
      </c>
      <c r="AR126" s="2">
        <v>0</v>
      </c>
      <c r="AS126" s="2">
        <v>0</v>
      </c>
      <c r="AT126" s="2">
        <v>90</v>
      </c>
      <c r="AU126" s="2">
        <v>46</v>
      </c>
      <c r="AV126" s="2">
        <v>1.0669999999999999</v>
      </c>
      <c r="AW126" s="2">
        <v>1.028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0</v>
      </c>
      <c r="BI126" s="2">
        <v>2</v>
      </c>
      <c r="BJ126" s="2" t="s">
        <v>233</v>
      </c>
      <c r="BK126" s="2"/>
      <c r="BL126" s="2"/>
      <c r="BM126" s="2">
        <v>73</v>
      </c>
      <c r="BN126" s="2">
        <v>0</v>
      </c>
      <c r="BO126" s="2" t="s">
        <v>231</v>
      </c>
      <c r="BP126" s="2">
        <v>1</v>
      </c>
      <c r="BQ126" s="2">
        <v>40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90</v>
      </c>
      <c r="CA126" s="2">
        <v>46</v>
      </c>
      <c r="CB126" s="2" t="s">
        <v>3</v>
      </c>
      <c r="CC126" s="2"/>
      <c r="CD126" s="2"/>
      <c r="CE126" s="2">
        <v>1566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716</v>
      </c>
      <c r="CO126" s="2">
        <v>0</v>
      </c>
      <c r="CP126" s="2">
        <f t="shared" si="166"/>
        <v>1137.8200000000002</v>
      </c>
      <c r="CQ126" s="2">
        <f t="shared" si="167"/>
        <v>889.22</v>
      </c>
      <c r="CR126" s="2">
        <f>(ROUND((ROUND((((ET126*1.2))*AV126*1),2)*BB126),2)+ROUND((ROUND(((AE126-((EU126*1.2)))*AV126*1),2)*BS126),2))</f>
        <v>657.45</v>
      </c>
      <c r="CS126" s="2">
        <f>(ROUND((ROUND((((EU126*1.2))*AV126*1),2)*BS126),2)+ROUND((ROUND(((AE126-((EU126*1.2)))*AV126*1),2)*BS126),2))</f>
        <v>129.91</v>
      </c>
      <c r="CT126" s="2">
        <f t="shared" si="168"/>
        <v>2246.0500000000002</v>
      </c>
      <c r="CU126" s="2">
        <f t="shared" si="169"/>
        <v>0</v>
      </c>
      <c r="CV126" s="2">
        <f t="shared" si="170"/>
        <v>177.97559999999999</v>
      </c>
      <c r="CW126" s="2">
        <f t="shared" si="171"/>
        <v>0</v>
      </c>
      <c r="CX126" s="2">
        <f t="shared" si="172"/>
        <v>0</v>
      </c>
      <c r="CY126" s="2">
        <f>(ROUND((((S126+ROUND((ROUND((((EU126*1.2))*AV126*1),2)*BS126),2))*AT126)/100),2)+ROUND(((ROUND((ROUND(((AE126-((EU126*1.2)))*AV126*1),2)*BS126),2)*AT126)/100),2))</f>
        <v>723.36</v>
      </c>
      <c r="CZ126" s="2">
        <f>(ROUND((((S126+ROUND((ROUND((((EU126*1.2))*AV126*1),2)*BS126),2))*AU126)/100),2)+ROUND(((ROUND((ROUND(((AE126-((EU126*1.2)))*AV126*1),2)*BS126),2)*AU126)/100),2))</f>
        <v>369.72</v>
      </c>
      <c r="DA126" s="2"/>
      <c r="DB126" s="2">
        <v>55</v>
      </c>
      <c r="DC126" s="2" t="s">
        <v>3</v>
      </c>
      <c r="DD126" s="2" t="s">
        <v>48</v>
      </c>
      <c r="DE126" s="2" t="s">
        <v>49</v>
      </c>
      <c r="DF126" s="2" t="s">
        <v>49</v>
      </c>
      <c r="DG126" s="2" t="s">
        <v>49</v>
      </c>
      <c r="DH126" s="2" t="s">
        <v>3</v>
      </c>
      <c r="DI126" s="2" t="s">
        <v>49</v>
      </c>
      <c r="DJ126" s="2" t="s">
        <v>49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1003</v>
      </c>
      <c r="DV126" s="2" t="s">
        <v>186</v>
      </c>
      <c r="DW126" s="2" t="s">
        <v>186</v>
      </c>
      <c r="DX126" s="2">
        <v>100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56938740</v>
      </c>
      <c r="EF126" s="2">
        <v>40</v>
      </c>
      <c r="EG126" s="2" t="s">
        <v>29</v>
      </c>
      <c r="EH126" s="2">
        <v>0</v>
      </c>
      <c r="EI126" s="2" t="s">
        <v>3</v>
      </c>
      <c r="EJ126" s="2">
        <v>2</v>
      </c>
      <c r="EK126" s="2">
        <v>73</v>
      </c>
      <c r="EL126" s="2" t="s">
        <v>85</v>
      </c>
      <c r="EM126" s="2" t="s">
        <v>86</v>
      </c>
      <c r="EN126" s="2"/>
      <c r="EO126" s="2" t="s">
        <v>50</v>
      </c>
      <c r="EP126" s="2"/>
      <c r="EQ126" s="2">
        <v>131072</v>
      </c>
      <c r="ER126" s="2">
        <v>3132.65</v>
      </c>
      <c r="ES126" s="2">
        <v>865</v>
      </c>
      <c r="ET126" s="2">
        <v>513.47</v>
      </c>
      <c r="EU126" s="2">
        <v>101.46</v>
      </c>
      <c r="EV126" s="2">
        <v>1754.18</v>
      </c>
      <c r="EW126" s="2">
        <v>139</v>
      </c>
      <c r="EX126" s="2">
        <v>0</v>
      </c>
      <c r="EY126" s="2">
        <v>0</v>
      </c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v>0</v>
      </c>
      <c r="FS126" s="2">
        <v>2</v>
      </c>
      <c r="FT126" s="2"/>
      <c r="FU126" s="2"/>
      <c r="FV126" s="2"/>
      <c r="FW126" s="2"/>
      <c r="FX126" s="2">
        <v>90</v>
      </c>
      <c r="FY126" s="2">
        <v>46</v>
      </c>
      <c r="FZ126" s="2"/>
      <c r="GA126" s="2" t="s">
        <v>3</v>
      </c>
      <c r="GB126" s="2"/>
      <c r="GC126" s="2"/>
      <c r="GD126" s="2">
        <v>1</v>
      </c>
      <c r="GE126" s="2"/>
      <c r="GF126" s="2">
        <v>-358609466</v>
      </c>
      <c r="GG126" s="2">
        <v>2</v>
      </c>
      <c r="GH126" s="2">
        <v>1</v>
      </c>
      <c r="GI126" s="2">
        <v>2</v>
      </c>
      <c r="GJ126" s="2">
        <v>0</v>
      </c>
      <c r="GK126" s="2">
        <v>0</v>
      </c>
      <c r="GL126" s="2">
        <f t="shared" si="173"/>
        <v>0</v>
      </c>
      <c r="GM126" s="2">
        <f t="shared" si="174"/>
        <v>2107.21</v>
      </c>
      <c r="GN126" s="2">
        <f t="shared" si="175"/>
        <v>0</v>
      </c>
      <c r="GO126" s="2">
        <f t="shared" si="176"/>
        <v>2107.21</v>
      </c>
      <c r="GP126" s="2">
        <f t="shared" si="177"/>
        <v>0</v>
      </c>
      <c r="GQ126" s="2"/>
      <c r="GR126" s="2">
        <v>0</v>
      </c>
      <c r="GS126" s="2">
        <v>3</v>
      </c>
      <c r="GT126" s="2">
        <v>0</v>
      </c>
      <c r="GU126" s="2" t="s">
        <v>3</v>
      </c>
      <c r="GV126" s="2">
        <f t="shared" si="178"/>
        <v>0</v>
      </c>
      <c r="GW126" s="2">
        <v>1</v>
      </c>
      <c r="GX126" s="2">
        <f t="shared" si="179"/>
        <v>0</v>
      </c>
      <c r="GY126" s="2"/>
      <c r="GZ126" s="2"/>
      <c r="HA126" s="2">
        <v>0</v>
      </c>
      <c r="HB126" s="2">
        <v>0</v>
      </c>
      <c r="HC126" s="2">
        <f t="shared" si="180"/>
        <v>0</v>
      </c>
      <c r="HD126" s="2"/>
      <c r="HE126" s="2" t="s">
        <v>3</v>
      </c>
      <c r="HF126" s="2" t="s">
        <v>3</v>
      </c>
      <c r="HG126" s="2"/>
      <c r="HH126" s="2"/>
      <c r="HI126" s="2"/>
      <c r="HJ126" s="2"/>
      <c r="HK126" s="2"/>
      <c r="HL126" s="2"/>
      <c r="HM126" s="2" t="s">
        <v>3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">
      <c r="A127" s="3">
        <v>17</v>
      </c>
      <c r="B127" s="3">
        <v>1</v>
      </c>
      <c r="C127" s="3">
        <f>ROW(SmtRes!A390)</f>
        <v>390</v>
      </c>
      <c r="D127" s="3">
        <f>ROW(EtalonRes!A422)</f>
        <v>422</v>
      </c>
      <c r="E127" s="3" t="s">
        <v>230</v>
      </c>
      <c r="F127" s="3" t="s">
        <v>231</v>
      </c>
      <c r="G127" s="3" t="s">
        <v>232</v>
      </c>
      <c r="H127" s="3" t="s">
        <v>186</v>
      </c>
      <c r="I127" s="3">
        <f>ROUND((15+15)/100,9)</f>
        <v>0.3</v>
      </c>
      <c r="J127" s="3">
        <v>0</v>
      </c>
      <c r="K127" s="3">
        <f>ROUND((15+15)/100,9)</f>
        <v>0.3</v>
      </c>
      <c r="O127" s="3">
        <f t="shared" si="156"/>
        <v>42628.76</v>
      </c>
      <c r="P127" s="3">
        <f t="shared" si="157"/>
        <v>584.23</v>
      </c>
      <c r="Q127" s="3">
        <f>(ROUND((ROUND((((ET127*1.2))*AV127*I127),2)*BB127),2)+ROUND((ROUND(((AE127-((EU127*1.2)))*AV127*I127),2)*BS127),2))</f>
        <v>4074.77</v>
      </c>
      <c r="R127" s="3">
        <f>(ROUND((ROUND((((EU127*1.2))*AV127*I127),2)*BS127),2)+ROUND((ROUND(((AE127-((EU127*1.2)))*AV127*I127),2)*BS127),2))</f>
        <v>2195.96</v>
      </c>
      <c r="S127" s="3">
        <f t="shared" si="158"/>
        <v>37969.760000000002</v>
      </c>
      <c r="T127" s="3">
        <f t="shared" si="159"/>
        <v>0</v>
      </c>
      <c r="U127" s="3">
        <f t="shared" si="160"/>
        <v>53.392679999999991</v>
      </c>
      <c r="V127" s="3">
        <f t="shared" si="161"/>
        <v>0</v>
      </c>
      <c r="W127" s="3">
        <f t="shared" si="162"/>
        <v>0</v>
      </c>
      <c r="X127" s="3">
        <f>(ROUND((((S127+ROUND((ROUND((((EU127*1.2))*AV127*I127),2)*BS127),2))*AT127)/100),2)+ROUND(((ROUND((ROUND(((AE127-((EU127*1.2)))*AV127*I127),2)*BS127),2)*AT127)/100),2))</f>
        <v>36149.15</v>
      </c>
      <c r="Y127" s="3">
        <f>(ROUND((((S127+ROUND((ROUND((((EU127*1.2))*AV127*I127),2)*BS127),2))*AU127)/100),2)+ROUND(((ROUND((ROUND(((AE127-((EU127*1.2)))*AV127*I127),2)*BS127),2)*AU127)/100),2))</f>
        <v>18476.23</v>
      </c>
      <c r="AA127" s="3">
        <v>55747651</v>
      </c>
      <c r="AB127" s="3">
        <f t="shared" si="163"/>
        <v>3586.18</v>
      </c>
      <c r="AC127" s="3">
        <f>ROUND(((ES127*1)),6)</f>
        <v>865</v>
      </c>
      <c r="AD127" s="3">
        <f>ROUND(((((ET127*1.2))-((EU127*1.2)))+AE127),6)</f>
        <v>616.16399999999999</v>
      </c>
      <c r="AE127" s="3">
        <f>ROUND(((EU127*1.2)),6)</f>
        <v>121.752</v>
      </c>
      <c r="AF127" s="3">
        <f>ROUND(((EV127*1.2)),6)</f>
        <v>2105.0160000000001</v>
      </c>
      <c r="AG127" s="3">
        <f t="shared" si="164"/>
        <v>0</v>
      </c>
      <c r="AH127" s="3">
        <f>((EW127*1.2))</f>
        <v>166.79999999999998</v>
      </c>
      <c r="AI127" s="3">
        <f>((EX127*1.2))</f>
        <v>0</v>
      </c>
      <c r="AJ127" s="3">
        <f t="shared" si="165"/>
        <v>0</v>
      </c>
      <c r="AK127" s="3">
        <v>3132.65</v>
      </c>
      <c r="AL127" s="3">
        <v>865</v>
      </c>
      <c r="AM127" s="3">
        <v>513.47</v>
      </c>
      <c r="AN127" s="3">
        <v>101.46</v>
      </c>
      <c r="AO127" s="3">
        <v>1754.18</v>
      </c>
      <c r="AP127" s="3">
        <v>0</v>
      </c>
      <c r="AQ127" s="3">
        <v>139</v>
      </c>
      <c r="AR127" s="3">
        <v>0</v>
      </c>
      <c r="AS127" s="3">
        <v>0</v>
      </c>
      <c r="AT127" s="3">
        <v>90</v>
      </c>
      <c r="AU127" s="3">
        <v>46</v>
      </c>
      <c r="AV127" s="3">
        <v>1.0669999999999999</v>
      </c>
      <c r="AW127" s="3">
        <v>1.028</v>
      </c>
      <c r="AZ127" s="3">
        <v>1</v>
      </c>
      <c r="BA127" s="3">
        <v>56.35</v>
      </c>
      <c r="BB127" s="3">
        <v>20.66</v>
      </c>
      <c r="BC127" s="3">
        <v>2.19</v>
      </c>
      <c r="BD127" s="3" t="s">
        <v>3</v>
      </c>
      <c r="BE127" s="3" t="s">
        <v>3</v>
      </c>
      <c r="BF127" s="3" t="s">
        <v>3</v>
      </c>
      <c r="BG127" s="3" t="s">
        <v>3</v>
      </c>
      <c r="BH127" s="3">
        <v>0</v>
      </c>
      <c r="BI127" s="3">
        <v>2</v>
      </c>
      <c r="BJ127" s="3" t="s">
        <v>233</v>
      </c>
      <c r="BM127" s="3">
        <v>73</v>
      </c>
      <c r="BN127" s="3">
        <v>0</v>
      </c>
      <c r="BO127" s="3" t="s">
        <v>231</v>
      </c>
      <c r="BP127" s="3">
        <v>1</v>
      </c>
      <c r="BQ127" s="3">
        <v>40</v>
      </c>
      <c r="BR127" s="3">
        <v>0</v>
      </c>
      <c r="BS127" s="3">
        <v>56.35</v>
      </c>
      <c r="BT127" s="3">
        <v>1</v>
      </c>
      <c r="BU127" s="3">
        <v>1</v>
      </c>
      <c r="BV127" s="3">
        <v>1</v>
      </c>
      <c r="BW127" s="3">
        <v>1</v>
      </c>
      <c r="BX127" s="3">
        <v>1</v>
      </c>
      <c r="BY127" s="3" t="s">
        <v>3</v>
      </c>
      <c r="BZ127" s="3">
        <v>90</v>
      </c>
      <c r="CA127" s="3">
        <v>46</v>
      </c>
      <c r="CB127" s="3" t="s">
        <v>3</v>
      </c>
      <c r="CE127" s="3">
        <v>1566</v>
      </c>
      <c r="CF127" s="3">
        <v>0</v>
      </c>
      <c r="CG127" s="3">
        <v>0</v>
      </c>
      <c r="CM127" s="3">
        <v>0</v>
      </c>
      <c r="CN127" s="3" t="s">
        <v>716</v>
      </c>
      <c r="CO127" s="3">
        <v>0</v>
      </c>
      <c r="CP127" s="3">
        <f t="shared" si="166"/>
        <v>42628.76</v>
      </c>
      <c r="CQ127" s="3">
        <f t="shared" si="167"/>
        <v>1947.39</v>
      </c>
      <c r="CR127" s="3">
        <f>(ROUND((ROUND((((ET127*1.2))*AV127*1),2)*BB127),2)+ROUND((ROUND(((AE127-((EU127*1.2)))*AV127*1),2)*BS127),2))</f>
        <v>13582.92</v>
      </c>
      <c r="CS127" s="3">
        <f>(ROUND((ROUND((((EU127*1.2))*AV127*1),2)*BS127),2)+ROUND((ROUND(((AE127-((EU127*1.2)))*AV127*1),2)*BS127),2))</f>
        <v>7320.43</v>
      </c>
      <c r="CT127" s="3">
        <f t="shared" si="168"/>
        <v>126564.92</v>
      </c>
      <c r="CU127" s="3">
        <f t="shared" si="169"/>
        <v>0</v>
      </c>
      <c r="CV127" s="3">
        <f t="shared" si="170"/>
        <v>177.97559999999999</v>
      </c>
      <c r="CW127" s="3">
        <f t="shared" si="171"/>
        <v>0</v>
      </c>
      <c r="CX127" s="3">
        <f t="shared" si="172"/>
        <v>0</v>
      </c>
      <c r="CY127" s="3">
        <f>(ROUND((((S127+ROUND((ROUND((((EU127*1.2))*AV127*1),2)*BS127),2))*AT127)/100),2)+ROUND(((ROUND((ROUND(((AE127-((EU127*1.2)))*AV127*1),2)*BS127),2)*AT127)/100),2))</f>
        <v>40761.17</v>
      </c>
      <c r="CZ127" s="3">
        <f>(ROUND((((S127+ROUND((ROUND((((EU127*1.2))*AV127*1),2)*BS127),2))*AU127)/100),2)+ROUND(((ROUND((ROUND(((AE127-((EU127*1.2)))*AV127*1),2)*BS127),2)*AU127)/100),2))</f>
        <v>20833.490000000002</v>
      </c>
      <c r="DB127" s="3">
        <v>56</v>
      </c>
      <c r="DC127" s="3" t="s">
        <v>3</v>
      </c>
      <c r="DD127" s="3" t="s">
        <v>48</v>
      </c>
      <c r="DE127" s="3" t="s">
        <v>49</v>
      </c>
      <c r="DF127" s="3" t="s">
        <v>49</v>
      </c>
      <c r="DG127" s="3" t="s">
        <v>49</v>
      </c>
      <c r="DH127" s="3" t="s">
        <v>3</v>
      </c>
      <c r="DI127" s="3" t="s">
        <v>49</v>
      </c>
      <c r="DJ127" s="3" t="s">
        <v>49</v>
      </c>
      <c r="DK127" s="3" t="s">
        <v>3</v>
      </c>
      <c r="DL127" s="3" t="s">
        <v>3</v>
      </c>
      <c r="DM127" s="3" t="s">
        <v>3</v>
      </c>
      <c r="DN127" s="3">
        <v>0</v>
      </c>
      <c r="DO127" s="3">
        <v>0</v>
      </c>
      <c r="DP127" s="3">
        <v>1</v>
      </c>
      <c r="DQ127" s="3">
        <v>1</v>
      </c>
      <c r="DU127" s="3">
        <v>1003</v>
      </c>
      <c r="DV127" s="3" t="s">
        <v>186</v>
      </c>
      <c r="DW127" s="3" t="s">
        <v>186</v>
      </c>
      <c r="DX127" s="3">
        <v>100</v>
      </c>
      <c r="DZ127" s="3" t="s">
        <v>3</v>
      </c>
      <c r="EA127" s="3" t="s">
        <v>3</v>
      </c>
      <c r="EB127" s="3" t="s">
        <v>3</v>
      </c>
      <c r="EC127" s="3" t="s">
        <v>3</v>
      </c>
      <c r="EE127" s="3">
        <v>56938740</v>
      </c>
      <c r="EF127" s="3">
        <v>40</v>
      </c>
      <c r="EG127" s="3" t="s">
        <v>29</v>
      </c>
      <c r="EH127" s="3">
        <v>0</v>
      </c>
      <c r="EI127" s="3" t="s">
        <v>3</v>
      </c>
      <c r="EJ127" s="3">
        <v>2</v>
      </c>
      <c r="EK127" s="3">
        <v>73</v>
      </c>
      <c r="EL127" s="3" t="s">
        <v>85</v>
      </c>
      <c r="EM127" s="3" t="s">
        <v>86</v>
      </c>
      <c r="EO127" s="3" t="s">
        <v>50</v>
      </c>
      <c r="EQ127" s="3">
        <v>131072</v>
      </c>
      <c r="ER127" s="3">
        <v>3132.65</v>
      </c>
      <c r="ES127" s="3">
        <v>865</v>
      </c>
      <c r="ET127" s="3">
        <v>513.47</v>
      </c>
      <c r="EU127" s="3">
        <v>101.46</v>
      </c>
      <c r="EV127" s="3">
        <v>1754.18</v>
      </c>
      <c r="EW127" s="3">
        <v>139</v>
      </c>
      <c r="EX127" s="3">
        <v>0</v>
      </c>
      <c r="EY127" s="3">
        <v>0</v>
      </c>
      <c r="FQ127" s="3">
        <v>0</v>
      </c>
      <c r="FR127" s="3">
        <v>0</v>
      </c>
      <c r="FS127" s="3">
        <v>2</v>
      </c>
      <c r="FX127" s="3">
        <v>90</v>
      </c>
      <c r="FY127" s="3">
        <v>46</v>
      </c>
      <c r="GA127" s="3" t="s">
        <v>3</v>
      </c>
      <c r="GD127" s="3">
        <v>1</v>
      </c>
      <c r="GF127" s="3">
        <v>-358609466</v>
      </c>
      <c r="GG127" s="3">
        <v>2</v>
      </c>
      <c r="GH127" s="3">
        <v>1</v>
      </c>
      <c r="GI127" s="3">
        <v>2</v>
      </c>
      <c r="GJ127" s="3">
        <v>0</v>
      </c>
      <c r="GK127" s="3">
        <v>0</v>
      </c>
      <c r="GL127" s="3">
        <f t="shared" si="173"/>
        <v>0</v>
      </c>
      <c r="GM127" s="3">
        <f t="shared" si="174"/>
        <v>97254.14</v>
      </c>
      <c r="GN127" s="3">
        <f t="shared" si="175"/>
        <v>0</v>
      </c>
      <c r="GO127" s="3">
        <f t="shared" si="176"/>
        <v>97254.14</v>
      </c>
      <c r="GP127" s="3">
        <f t="shared" si="177"/>
        <v>0</v>
      </c>
      <c r="GR127" s="3">
        <v>0</v>
      </c>
      <c r="GS127" s="3">
        <v>3</v>
      </c>
      <c r="GT127" s="3">
        <v>0</v>
      </c>
      <c r="GU127" s="3" t="s">
        <v>3</v>
      </c>
      <c r="GV127" s="3">
        <f t="shared" si="178"/>
        <v>0</v>
      </c>
      <c r="GW127" s="3">
        <v>1</v>
      </c>
      <c r="GX127" s="3">
        <f t="shared" si="179"/>
        <v>0</v>
      </c>
      <c r="HA127" s="3">
        <v>0</v>
      </c>
      <c r="HB127" s="3">
        <v>0</v>
      </c>
      <c r="HC127" s="3">
        <f t="shared" si="180"/>
        <v>0</v>
      </c>
      <c r="HE127" s="3" t="s">
        <v>3</v>
      </c>
      <c r="HF127" s="3" t="s">
        <v>3</v>
      </c>
      <c r="HM127" s="3" t="s">
        <v>3</v>
      </c>
      <c r="HN127" s="3" t="s">
        <v>3</v>
      </c>
      <c r="HO127" s="3" t="s">
        <v>3</v>
      </c>
      <c r="HP127" s="3" t="s">
        <v>3</v>
      </c>
      <c r="HQ127" s="3" t="s">
        <v>3</v>
      </c>
      <c r="HS127" s="3">
        <v>0</v>
      </c>
      <c r="IK127" s="3">
        <v>0</v>
      </c>
    </row>
    <row r="128" spans="1:255" x14ac:dyDescent="0.2">
      <c r="A128" s="2">
        <v>18</v>
      </c>
      <c r="B128" s="2">
        <v>1</v>
      </c>
      <c r="C128" s="2">
        <v>373</v>
      </c>
      <c r="D128" s="2"/>
      <c r="E128" s="2" t="s">
        <v>234</v>
      </c>
      <c r="F128" s="2" t="s">
        <v>224</v>
      </c>
      <c r="G128" s="2" t="s">
        <v>225</v>
      </c>
      <c r="H128" s="2" t="s">
        <v>191</v>
      </c>
      <c r="I128" s="2">
        <f>I126*J128</f>
        <v>15.074999999999999</v>
      </c>
      <c r="J128" s="2">
        <v>50.25</v>
      </c>
      <c r="K128" s="2">
        <v>50.25</v>
      </c>
      <c r="L128" s="2"/>
      <c r="M128" s="2"/>
      <c r="N128" s="2"/>
      <c r="O128" s="2">
        <f t="shared" si="156"/>
        <v>773.05</v>
      </c>
      <c r="P128" s="2">
        <f t="shared" si="157"/>
        <v>773.05</v>
      </c>
      <c r="Q128" s="2">
        <f t="shared" ref="Q128:Q139" si="181">(ROUND((ROUND(((ET128)*AV128*I128),2)*BB128),2)+ROUND((ROUND(((AE128-(EU128))*AV128*I128),2)*BS128),2))</f>
        <v>0</v>
      </c>
      <c r="R128" s="2">
        <f t="shared" ref="R128:R139" si="182">(ROUND((ROUND(((EU128)*AV128*I128),2)*BS128),2)+ROUND((ROUND(((AE128-(EU128))*AV128*I128),2)*BS128),2))</f>
        <v>0</v>
      </c>
      <c r="S128" s="2">
        <f t="shared" si="158"/>
        <v>0</v>
      </c>
      <c r="T128" s="2">
        <f t="shared" si="159"/>
        <v>0</v>
      </c>
      <c r="U128" s="2">
        <f t="shared" si="160"/>
        <v>0</v>
      </c>
      <c r="V128" s="2">
        <f t="shared" si="161"/>
        <v>0</v>
      </c>
      <c r="W128" s="2">
        <f t="shared" si="162"/>
        <v>0</v>
      </c>
      <c r="X128" s="2">
        <f t="shared" ref="X128:X139" si="183">(ROUND((((S128+ROUND((ROUND(((EU128)*AV128*I128),2)*BS128),2))*AT128)/100),2)+ROUND(((ROUND((ROUND(((AE128-(EU128))*AV128*I128),2)*BS128),2)*AT128)/100),2))</f>
        <v>0</v>
      </c>
      <c r="Y128" s="2">
        <f t="shared" ref="Y128:Y139" si="184">(ROUND((((S128+ROUND((ROUND(((EU128)*AV128*I128),2)*BS128),2))*AU128)/100),2)+ROUND(((ROUND((ROUND(((AE128-(EU128))*AV128*I128),2)*BS128),2)*AU128)/100),2))</f>
        <v>0</v>
      </c>
      <c r="Z128" s="2"/>
      <c r="AA128" s="2">
        <v>55747649</v>
      </c>
      <c r="AB128" s="2">
        <f t="shared" si="163"/>
        <v>51.28</v>
      </c>
      <c r="AC128" s="2">
        <f t="shared" ref="AC128:AC139" si="185">ROUND((ES128),6)</f>
        <v>51.28</v>
      </c>
      <c r="AD128" s="2">
        <f t="shared" ref="AD128:AD139" si="186">ROUND((((ET128)-(EU128))+AE128),6)</f>
        <v>0</v>
      </c>
      <c r="AE128" s="2">
        <f t="shared" ref="AE128:AE139" si="187">ROUND((EU128),6)</f>
        <v>0</v>
      </c>
      <c r="AF128" s="2">
        <f t="shared" ref="AF128:AF139" si="188">ROUND((EV128),6)</f>
        <v>0</v>
      </c>
      <c r="AG128" s="2">
        <f t="shared" si="164"/>
        <v>0</v>
      </c>
      <c r="AH128" s="2">
        <f t="shared" ref="AH128:AH139" si="189">(EW128)</f>
        <v>0</v>
      </c>
      <c r="AI128" s="2">
        <f t="shared" ref="AI128:AI139" si="190">(EX128)</f>
        <v>0</v>
      </c>
      <c r="AJ128" s="2">
        <f t="shared" si="165"/>
        <v>0</v>
      </c>
      <c r="AK128" s="2">
        <v>51.28</v>
      </c>
      <c r="AL128" s="2">
        <v>51.28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90</v>
      </c>
      <c r="AU128" s="2">
        <v>46</v>
      </c>
      <c r="AV128" s="2">
        <v>1</v>
      </c>
      <c r="AW128" s="2">
        <v>1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3</v>
      </c>
      <c r="BI128" s="2">
        <v>2</v>
      </c>
      <c r="BJ128" s="2" t="s">
        <v>226</v>
      </c>
      <c r="BK128" s="2"/>
      <c r="BL128" s="2"/>
      <c r="BM128" s="2">
        <v>73</v>
      </c>
      <c r="BN128" s="2">
        <v>0</v>
      </c>
      <c r="BO128" s="2" t="s">
        <v>3</v>
      </c>
      <c r="BP128" s="2">
        <v>0</v>
      </c>
      <c r="BQ128" s="2">
        <v>40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90</v>
      </c>
      <c r="CA128" s="2">
        <v>46</v>
      </c>
      <c r="CB128" s="2" t="s">
        <v>3</v>
      </c>
      <c r="CC128" s="2"/>
      <c r="CD128" s="2"/>
      <c r="CE128" s="2">
        <v>1566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3</v>
      </c>
      <c r="CO128" s="2">
        <v>0</v>
      </c>
      <c r="CP128" s="2">
        <f t="shared" si="166"/>
        <v>773.05</v>
      </c>
      <c r="CQ128" s="2">
        <f t="shared" si="167"/>
        <v>51.28</v>
      </c>
      <c r="CR128" s="2">
        <f t="shared" ref="CR128:CR139" si="191">(ROUND((ROUND(((ET128)*AV128*1),2)*BB128),2)+ROUND((ROUND(((AE128-(EU128))*AV128*1),2)*BS128),2))</f>
        <v>0</v>
      </c>
      <c r="CS128" s="2">
        <f t="shared" ref="CS128:CS139" si="192">(ROUND((ROUND(((EU128)*AV128*1),2)*BS128),2)+ROUND((ROUND(((AE128-(EU128))*AV128*1),2)*BS128),2))</f>
        <v>0</v>
      </c>
      <c r="CT128" s="2">
        <f t="shared" si="168"/>
        <v>0</v>
      </c>
      <c r="CU128" s="2">
        <f t="shared" si="169"/>
        <v>0</v>
      </c>
      <c r="CV128" s="2">
        <f t="shared" si="170"/>
        <v>0</v>
      </c>
      <c r="CW128" s="2">
        <f t="shared" si="171"/>
        <v>0</v>
      </c>
      <c r="CX128" s="2">
        <f t="shared" si="172"/>
        <v>0</v>
      </c>
      <c r="CY128" s="2">
        <f t="shared" ref="CY128:CY139" si="193">(ROUND((((S128+ROUND((ROUND(((EU128)*AV128*1),2)*BS128),2))*AT128)/100),2)+ROUND(((ROUND((ROUND(((AE128-(EU128))*AV128*1),2)*BS128),2)*AT128)/100),2))</f>
        <v>0</v>
      </c>
      <c r="CZ128" s="2">
        <f t="shared" ref="CZ128:CZ139" si="194">(ROUND((((S128+ROUND((ROUND(((EU128)*AV128*1),2)*BS128),2))*AU128)/100),2)+ROUND(((ROUND((ROUND(((AE128-(EU128))*AV128*1),2)*BS128),2)*AU128)/100),2))</f>
        <v>0</v>
      </c>
      <c r="DA128" s="2"/>
      <c r="DB128" s="2"/>
      <c r="DC128" s="2" t="s">
        <v>3</v>
      </c>
      <c r="DD128" s="2" t="s">
        <v>3</v>
      </c>
      <c r="DE128" s="2" t="s">
        <v>3</v>
      </c>
      <c r="DF128" s="2" t="s">
        <v>3</v>
      </c>
      <c r="DG128" s="2" t="s">
        <v>3</v>
      </c>
      <c r="DH128" s="2" t="s">
        <v>3</v>
      </c>
      <c r="DI128" s="2" t="s">
        <v>3</v>
      </c>
      <c r="DJ128" s="2" t="s">
        <v>3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1003</v>
      </c>
      <c r="DV128" s="2" t="s">
        <v>191</v>
      </c>
      <c r="DW128" s="2" t="s">
        <v>191</v>
      </c>
      <c r="DX128" s="2">
        <v>1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56938740</v>
      </c>
      <c r="EF128" s="2">
        <v>40</v>
      </c>
      <c r="EG128" s="2" t="s">
        <v>29</v>
      </c>
      <c r="EH128" s="2">
        <v>0</v>
      </c>
      <c r="EI128" s="2" t="s">
        <v>3</v>
      </c>
      <c r="EJ128" s="2">
        <v>2</v>
      </c>
      <c r="EK128" s="2">
        <v>73</v>
      </c>
      <c r="EL128" s="2" t="s">
        <v>85</v>
      </c>
      <c r="EM128" s="2" t="s">
        <v>86</v>
      </c>
      <c r="EN128" s="2"/>
      <c r="EO128" s="2" t="s">
        <v>3</v>
      </c>
      <c r="EP128" s="2"/>
      <c r="EQ128" s="2">
        <v>0</v>
      </c>
      <c r="ER128" s="2">
        <v>51.28</v>
      </c>
      <c r="ES128" s="2">
        <v>51.28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v>0</v>
      </c>
      <c r="FS128" s="2">
        <v>0</v>
      </c>
      <c r="FT128" s="2"/>
      <c r="FU128" s="2"/>
      <c r="FV128" s="2"/>
      <c r="FW128" s="2"/>
      <c r="FX128" s="2">
        <v>90</v>
      </c>
      <c r="FY128" s="2">
        <v>46</v>
      </c>
      <c r="FZ128" s="2"/>
      <c r="GA128" s="2" t="s">
        <v>3</v>
      </c>
      <c r="GB128" s="2"/>
      <c r="GC128" s="2"/>
      <c r="GD128" s="2">
        <v>1</v>
      </c>
      <c r="GE128" s="2"/>
      <c r="GF128" s="2">
        <v>-173671470</v>
      </c>
      <c r="GG128" s="2">
        <v>2</v>
      </c>
      <c r="GH128" s="2">
        <v>1</v>
      </c>
      <c r="GI128" s="2">
        <v>-2</v>
      </c>
      <c r="GJ128" s="2">
        <v>0</v>
      </c>
      <c r="GK128" s="2">
        <v>0</v>
      </c>
      <c r="GL128" s="2">
        <f t="shared" si="173"/>
        <v>0</v>
      </c>
      <c r="GM128" s="2">
        <f t="shared" si="174"/>
        <v>773.05</v>
      </c>
      <c r="GN128" s="2">
        <f t="shared" si="175"/>
        <v>0</v>
      </c>
      <c r="GO128" s="2">
        <f t="shared" si="176"/>
        <v>773.05</v>
      </c>
      <c r="GP128" s="2">
        <f t="shared" si="177"/>
        <v>0</v>
      </c>
      <c r="GQ128" s="2"/>
      <c r="GR128" s="2">
        <v>0</v>
      </c>
      <c r="GS128" s="2">
        <v>3</v>
      </c>
      <c r="GT128" s="2">
        <v>0</v>
      </c>
      <c r="GU128" s="2" t="s">
        <v>3</v>
      </c>
      <c r="GV128" s="2">
        <f t="shared" si="178"/>
        <v>0</v>
      </c>
      <c r="GW128" s="2">
        <v>1</v>
      </c>
      <c r="GX128" s="2">
        <f t="shared" si="179"/>
        <v>0</v>
      </c>
      <c r="GY128" s="2"/>
      <c r="GZ128" s="2"/>
      <c r="HA128" s="2">
        <v>0</v>
      </c>
      <c r="HB128" s="2">
        <v>0</v>
      </c>
      <c r="HC128" s="2">
        <f t="shared" si="180"/>
        <v>0</v>
      </c>
      <c r="HD128" s="2"/>
      <c r="HE128" s="2" t="s">
        <v>3</v>
      </c>
      <c r="HF128" s="2" t="s">
        <v>3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x14ac:dyDescent="0.2">
      <c r="A129" s="3">
        <v>18</v>
      </c>
      <c r="B129" s="3">
        <v>1</v>
      </c>
      <c r="C129" s="3">
        <v>389</v>
      </c>
      <c r="E129" s="3" t="s">
        <v>234</v>
      </c>
      <c r="F129" s="3" t="s">
        <v>224</v>
      </c>
      <c r="G129" s="3" t="s">
        <v>225</v>
      </c>
      <c r="H129" s="3" t="s">
        <v>191</v>
      </c>
      <c r="I129" s="3">
        <f>I127*J129</f>
        <v>15.074999999999999</v>
      </c>
      <c r="J129" s="3">
        <v>50.25</v>
      </c>
      <c r="K129" s="3">
        <v>50.25</v>
      </c>
      <c r="O129" s="3">
        <f t="shared" si="156"/>
        <v>16017.6</v>
      </c>
      <c r="P129" s="3">
        <f t="shared" si="157"/>
        <v>16017.6</v>
      </c>
      <c r="Q129" s="3">
        <f t="shared" si="181"/>
        <v>0</v>
      </c>
      <c r="R129" s="3">
        <f t="shared" si="182"/>
        <v>0</v>
      </c>
      <c r="S129" s="3">
        <f t="shared" si="158"/>
        <v>0</v>
      </c>
      <c r="T129" s="3">
        <f t="shared" si="159"/>
        <v>0</v>
      </c>
      <c r="U129" s="3">
        <f t="shared" si="160"/>
        <v>0</v>
      </c>
      <c r="V129" s="3">
        <f t="shared" si="161"/>
        <v>0</v>
      </c>
      <c r="W129" s="3">
        <f t="shared" si="162"/>
        <v>0</v>
      </c>
      <c r="X129" s="3">
        <f t="shared" si="183"/>
        <v>0</v>
      </c>
      <c r="Y129" s="3">
        <f t="shared" si="184"/>
        <v>0</v>
      </c>
      <c r="AA129" s="3">
        <v>55747651</v>
      </c>
      <c r="AB129" s="3">
        <f t="shared" si="163"/>
        <v>51.28</v>
      </c>
      <c r="AC129" s="3">
        <f t="shared" si="185"/>
        <v>51.28</v>
      </c>
      <c r="AD129" s="3">
        <f t="shared" si="186"/>
        <v>0</v>
      </c>
      <c r="AE129" s="3">
        <f t="shared" si="187"/>
        <v>0</v>
      </c>
      <c r="AF129" s="3">
        <f t="shared" si="188"/>
        <v>0</v>
      </c>
      <c r="AG129" s="3">
        <f t="shared" si="164"/>
        <v>0</v>
      </c>
      <c r="AH129" s="3">
        <f t="shared" si="189"/>
        <v>0</v>
      </c>
      <c r="AI129" s="3">
        <f t="shared" si="190"/>
        <v>0</v>
      </c>
      <c r="AJ129" s="3">
        <f t="shared" si="165"/>
        <v>0</v>
      </c>
      <c r="AK129" s="3">
        <v>51.28</v>
      </c>
      <c r="AL129" s="3">
        <v>51.28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90</v>
      </c>
      <c r="AU129" s="3">
        <v>46</v>
      </c>
      <c r="AV129" s="3">
        <v>1</v>
      </c>
      <c r="AW129" s="3">
        <v>1</v>
      </c>
      <c r="AZ129" s="3">
        <v>1</v>
      </c>
      <c r="BA129" s="3">
        <v>1</v>
      </c>
      <c r="BB129" s="3">
        <v>1</v>
      </c>
      <c r="BC129" s="3">
        <v>20.72</v>
      </c>
      <c r="BD129" s="3" t="s">
        <v>3</v>
      </c>
      <c r="BE129" s="3" t="s">
        <v>3</v>
      </c>
      <c r="BF129" s="3" t="s">
        <v>3</v>
      </c>
      <c r="BG129" s="3" t="s">
        <v>3</v>
      </c>
      <c r="BH129" s="3">
        <v>3</v>
      </c>
      <c r="BI129" s="3">
        <v>2</v>
      </c>
      <c r="BJ129" s="3" t="s">
        <v>226</v>
      </c>
      <c r="BM129" s="3">
        <v>73</v>
      </c>
      <c r="BN129" s="3">
        <v>0</v>
      </c>
      <c r="BO129" s="3" t="s">
        <v>224</v>
      </c>
      <c r="BP129" s="3">
        <v>1</v>
      </c>
      <c r="BQ129" s="3">
        <v>40</v>
      </c>
      <c r="BR129" s="3">
        <v>0</v>
      </c>
      <c r="BS129" s="3">
        <v>1</v>
      </c>
      <c r="BT129" s="3">
        <v>1</v>
      </c>
      <c r="BU129" s="3">
        <v>1</v>
      </c>
      <c r="BV129" s="3">
        <v>1</v>
      </c>
      <c r="BW129" s="3">
        <v>1</v>
      </c>
      <c r="BX129" s="3">
        <v>1</v>
      </c>
      <c r="BY129" s="3" t="s">
        <v>3</v>
      </c>
      <c r="BZ129" s="3">
        <v>90</v>
      </c>
      <c r="CA129" s="3">
        <v>46</v>
      </c>
      <c r="CB129" s="3" t="s">
        <v>3</v>
      </c>
      <c r="CE129" s="3">
        <v>1566</v>
      </c>
      <c r="CF129" s="3">
        <v>0</v>
      </c>
      <c r="CG129" s="3">
        <v>0</v>
      </c>
      <c r="CM129" s="3">
        <v>0</v>
      </c>
      <c r="CN129" s="3" t="s">
        <v>3</v>
      </c>
      <c r="CO129" s="3">
        <v>0</v>
      </c>
      <c r="CP129" s="3">
        <f t="shared" si="166"/>
        <v>16017.6</v>
      </c>
      <c r="CQ129" s="3">
        <f t="shared" si="167"/>
        <v>1062.52</v>
      </c>
      <c r="CR129" s="3">
        <f t="shared" si="191"/>
        <v>0</v>
      </c>
      <c r="CS129" s="3">
        <f t="shared" si="192"/>
        <v>0</v>
      </c>
      <c r="CT129" s="3">
        <f t="shared" si="168"/>
        <v>0</v>
      </c>
      <c r="CU129" s="3">
        <f t="shared" si="169"/>
        <v>0</v>
      </c>
      <c r="CV129" s="3">
        <f t="shared" si="170"/>
        <v>0</v>
      </c>
      <c r="CW129" s="3">
        <f t="shared" si="171"/>
        <v>0</v>
      </c>
      <c r="CX129" s="3">
        <f t="shared" si="172"/>
        <v>0</v>
      </c>
      <c r="CY129" s="3">
        <f t="shared" si="193"/>
        <v>0</v>
      </c>
      <c r="CZ129" s="3">
        <f t="shared" si="194"/>
        <v>0</v>
      </c>
      <c r="DC129" s="3" t="s">
        <v>3</v>
      </c>
      <c r="DD129" s="3" t="s">
        <v>3</v>
      </c>
      <c r="DE129" s="3" t="s">
        <v>3</v>
      </c>
      <c r="DF129" s="3" t="s">
        <v>3</v>
      </c>
      <c r="DG129" s="3" t="s">
        <v>3</v>
      </c>
      <c r="DH129" s="3" t="s">
        <v>3</v>
      </c>
      <c r="DI129" s="3" t="s">
        <v>3</v>
      </c>
      <c r="DJ129" s="3" t="s">
        <v>3</v>
      </c>
      <c r="DK129" s="3" t="s">
        <v>3</v>
      </c>
      <c r="DL129" s="3" t="s">
        <v>3</v>
      </c>
      <c r="DM129" s="3" t="s">
        <v>3</v>
      </c>
      <c r="DN129" s="3">
        <v>0</v>
      </c>
      <c r="DO129" s="3">
        <v>0</v>
      </c>
      <c r="DP129" s="3">
        <v>1</v>
      </c>
      <c r="DQ129" s="3">
        <v>1</v>
      </c>
      <c r="DU129" s="3">
        <v>1003</v>
      </c>
      <c r="DV129" s="3" t="s">
        <v>191</v>
      </c>
      <c r="DW129" s="3" t="s">
        <v>191</v>
      </c>
      <c r="DX129" s="3">
        <v>1</v>
      </c>
      <c r="DZ129" s="3" t="s">
        <v>3</v>
      </c>
      <c r="EA129" s="3" t="s">
        <v>3</v>
      </c>
      <c r="EB129" s="3" t="s">
        <v>3</v>
      </c>
      <c r="EC129" s="3" t="s">
        <v>3</v>
      </c>
      <c r="EE129" s="3">
        <v>56938740</v>
      </c>
      <c r="EF129" s="3">
        <v>40</v>
      </c>
      <c r="EG129" s="3" t="s">
        <v>29</v>
      </c>
      <c r="EH129" s="3">
        <v>0</v>
      </c>
      <c r="EI129" s="3" t="s">
        <v>3</v>
      </c>
      <c r="EJ129" s="3">
        <v>2</v>
      </c>
      <c r="EK129" s="3">
        <v>73</v>
      </c>
      <c r="EL129" s="3" t="s">
        <v>85</v>
      </c>
      <c r="EM129" s="3" t="s">
        <v>86</v>
      </c>
      <c r="EO129" s="3" t="s">
        <v>3</v>
      </c>
      <c r="EQ129" s="3">
        <v>0</v>
      </c>
      <c r="ER129" s="3">
        <v>51.28</v>
      </c>
      <c r="ES129" s="3">
        <v>51.28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FQ129" s="3">
        <v>0</v>
      </c>
      <c r="FR129" s="3">
        <v>0</v>
      </c>
      <c r="FS129" s="3">
        <v>0</v>
      </c>
      <c r="FX129" s="3">
        <v>90</v>
      </c>
      <c r="FY129" s="3">
        <v>46</v>
      </c>
      <c r="GA129" s="3" t="s">
        <v>3</v>
      </c>
      <c r="GD129" s="3">
        <v>1</v>
      </c>
      <c r="GF129" s="3">
        <v>-173671470</v>
      </c>
      <c r="GG129" s="3">
        <v>2</v>
      </c>
      <c r="GH129" s="3">
        <v>1</v>
      </c>
      <c r="GI129" s="3">
        <v>2</v>
      </c>
      <c r="GJ129" s="3">
        <v>0</v>
      </c>
      <c r="GK129" s="3">
        <v>0</v>
      </c>
      <c r="GL129" s="3">
        <f t="shared" si="173"/>
        <v>0</v>
      </c>
      <c r="GM129" s="3">
        <f t="shared" si="174"/>
        <v>16017.6</v>
      </c>
      <c r="GN129" s="3">
        <f t="shared" si="175"/>
        <v>0</v>
      </c>
      <c r="GO129" s="3">
        <f t="shared" si="176"/>
        <v>16017.6</v>
      </c>
      <c r="GP129" s="3">
        <f t="shared" si="177"/>
        <v>0</v>
      </c>
      <c r="GR129" s="3">
        <v>0</v>
      </c>
      <c r="GS129" s="3">
        <v>3</v>
      </c>
      <c r="GT129" s="3">
        <v>0</v>
      </c>
      <c r="GU129" s="3" t="s">
        <v>3</v>
      </c>
      <c r="GV129" s="3">
        <f t="shared" si="178"/>
        <v>0</v>
      </c>
      <c r="GW129" s="3">
        <v>1</v>
      </c>
      <c r="GX129" s="3">
        <f t="shared" si="179"/>
        <v>0</v>
      </c>
      <c r="HA129" s="3">
        <v>0</v>
      </c>
      <c r="HB129" s="3">
        <v>0</v>
      </c>
      <c r="HC129" s="3">
        <f t="shared" si="180"/>
        <v>0</v>
      </c>
      <c r="HE129" s="3" t="s">
        <v>3</v>
      </c>
      <c r="HF129" s="3" t="s">
        <v>3</v>
      </c>
      <c r="HM129" s="3" t="s">
        <v>3</v>
      </c>
      <c r="HN129" s="3" t="s">
        <v>3</v>
      </c>
      <c r="HO129" s="3" t="s">
        <v>3</v>
      </c>
      <c r="HP129" s="3" t="s">
        <v>3</v>
      </c>
      <c r="HQ129" s="3" t="s">
        <v>3</v>
      </c>
      <c r="HS129" s="3">
        <v>0</v>
      </c>
      <c r="IK129" s="3">
        <v>0</v>
      </c>
    </row>
    <row r="130" spans="1:255" x14ac:dyDescent="0.2">
      <c r="A130" s="2">
        <v>18</v>
      </c>
      <c r="B130" s="2">
        <v>1</v>
      </c>
      <c r="C130" s="2">
        <v>372</v>
      </c>
      <c r="D130" s="2"/>
      <c r="E130" s="2" t="s">
        <v>235</v>
      </c>
      <c r="F130" s="2" t="s">
        <v>227</v>
      </c>
      <c r="G130" s="2" t="s">
        <v>228</v>
      </c>
      <c r="H130" s="2" t="s">
        <v>191</v>
      </c>
      <c r="I130" s="2">
        <f>I126*J130</f>
        <v>15.074999999999999</v>
      </c>
      <c r="J130" s="2">
        <v>50.25</v>
      </c>
      <c r="K130" s="2">
        <v>50.25</v>
      </c>
      <c r="L130" s="2"/>
      <c r="M130" s="2"/>
      <c r="N130" s="2"/>
      <c r="O130" s="2">
        <f t="shared" si="156"/>
        <v>626.66999999999996</v>
      </c>
      <c r="P130" s="2">
        <f t="shared" si="157"/>
        <v>626.66999999999996</v>
      </c>
      <c r="Q130" s="2">
        <f t="shared" si="181"/>
        <v>0</v>
      </c>
      <c r="R130" s="2">
        <f t="shared" si="182"/>
        <v>0</v>
      </c>
      <c r="S130" s="2">
        <f t="shared" si="158"/>
        <v>0</v>
      </c>
      <c r="T130" s="2">
        <f t="shared" si="159"/>
        <v>0</v>
      </c>
      <c r="U130" s="2">
        <f t="shared" si="160"/>
        <v>0</v>
      </c>
      <c r="V130" s="2">
        <f t="shared" si="161"/>
        <v>0</v>
      </c>
      <c r="W130" s="2">
        <f t="shared" si="162"/>
        <v>0</v>
      </c>
      <c r="X130" s="2">
        <f t="shared" si="183"/>
        <v>0</v>
      </c>
      <c r="Y130" s="2">
        <f t="shared" si="184"/>
        <v>0</v>
      </c>
      <c r="Z130" s="2"/>
      <c r="AA130" s="2">
        <v>55747649</v>
      </c>
      <c r="AB130" s="2">
        <f t="shared" si="163"/>
        <v>41.57</v>
      </c>
      <c r="AC130" s="2">
        <f t="shared" si="185"/>
        <v>41.57</v>
      </c>
      <c r="AD130" s="2">
        <f t="shared" si="186"/>
        <v>0</v>
      </c>
      <c r="AE130" s="2">
        <f t="shared" si="187"/>
        <v>0</v>
      </c>
      <c r="AF130" s="2">
        <f t="shared" si="188"/>
        <v>0</v>
      </c>
      <c r="AG130" s="2">
        <f t="shared" si="164"/>
        <v>0</v>
      </c>
      <c r="AH130" s="2">
        <f t="shared" si="189"/>
        <v>0</v>
      </c>
      <c r="AI130" s="2">
        <f t="shared" si="190"/>
        <v>0</v>
      </c>
      <c r="AJ130" s="2">
        <f t="shared" si="165"/>
        <v>0</v>
      </c>
      <c r="AK130" s="2">
        <v>41.57</v>
      </c>
      <c r="AL130" s="2">
        <v>41.57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90</v>
      </c>
      <c r="AU130" s="2">
        <v>46</v>
      </c>
      <c r="AV130" s="2">
        <v>1</v>
      </c>
      <c r="AW130" s="2">
        <v>1</v>
      </c>
      <c r="AX130" s="2"/>
      <c r="AY130" s="2"/>
      <c r="AZ130" s="2">
        <v>1</v>
      </c>
      <c r="BA130" s="2">
        <v>1</v>
      </c>
      <c r="BB130" s="2">
        <v>1</v>
      </c>
      <c r="BC130" s="2">
        <v>1</v>
      </c>
      <c r="BD130" s="2" t="s">
        <v>3</v>
      </c>
      <c r="BE130" s="2" t="s">
        <v>3</v>
      </c>
      <c r="BF130" s="2" t="s">
        <v>3</v>
      </c>
      <c r="BG130" s="2" t="s">
        <v>3</v>
      </c>
      <c r="BH130" s="2">
        <v>3</v>
      </c>
      <c r="BI130" s="2">
        <v>2</v>
      </c>
      <c r="BJ130" s="2" t="s">
        <v>229</v>
      </c>
      <c r="BK130" s="2"/>
      <c r="BL130" s="2"/>
      <c r="BM130" s="2">
        <v>73</v>
      </c>
      <c r="BN130" s="2">
        <v>0</v>
      </c>
      <c r="BO130" s="2" t="s">
        <v>3</v>
      </c>
      <c r="BP130" s="2">
        <v>0</v>
      </c>
      <c r="BQ130" s="2">
        <v>40</v>
      </c>
      <c r="BR130" s="2">
        <v>0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 t="s">
        <v>3</v>
      </c>
      <c r="BZ130" s="2">
        <v>90</v>
      </c>
      <c r="CA130" s="2">
        <v>46</v>
      </c>
      <c r="CB130" s="2" t="s">
        <v>3</v>
      </c>
      <c r="CC130" s="2"/>
      <c r="CD130" s="2"/>
      <c r="CE130" s="2">
        <v>1566</v>
      </c>
      <c r="CF130" s="2">
        <v>0</v>
      </c>
      <c r="CG130" s="2">
        <v>0</v>
      </c>
      <c r="CH130" s="2"/>
      <c r="CI130" s="2"/>
      <c r="CJ130" s="2"/>
      <c r="CK130" s="2"/>
      <c r="CL130" s="2"/>
      <c r="CM130" s="2">
        <v>0</v>
      </c>
      <c r="CN130" s="2" t="s">
        <v>3</v>
      </c>
      <c r="CO130" s="2">
        <v>0</v>
      </c>
      <c r="CP130" s="2">
        <f t="shared" si="166"/>
        <v>626.66999999999996</v>
      </c>
      <c r="CQ130" s="2">
        <f t="shared" si="167"/>
        <v>41.57</v>
      </c>
      <c r="CR130" s="2">
        <f t="shared" si="191"/>
        <v>0</v>
      </c>
      <c r="CS130" s="2">
        <f t="shared" si="192"/>
        <v>0</v>
      </c>
      <c r="CT130" s="2">
        <f t="shared" si="168"/>
        <v>0</v>
      </c>
      <c r="CU130" s="2">
        <f t="shared" si="169"/>
        <v>0</v>
      </c>
      <c r="CV130" s="2">
        <f t="shared" si="170"/>
        <v>0</v>
      </c>
      <c r="CW130" s="2">
        <f t="shared" si="171"/>
        <v>0</v>
      </c>
      <c r="CX130" s="2">
        <f t="shared" si="172"/>
        <v>0</v>
      </c>
      <c r="CY130" s="2">
        <f t="shared" si="193"/>
        <v>0</v>
      </c>
      <c r="CZ130" s="2">
        <f t="shared" si="194"/>
        <v>0</v>
      </c>
      <c r="DA130" s="2"/>
      <c r="DB130" s="2"/>
      <c r="DC130" s="2" t="s">
        <v>3</v>
      </c>
      <c r="DD130" s="2" t="s">
        <v>3</v>
      </c>
      <c r="DE130" s="2" t="s">
        <v>3</v>
      </c>
      <c r="DF130" s="2" t="s">
        <v>3</v>
      </c>
      <c r="DG130" s="2" t="s">
        <v>3</v>
      </c>
      <c r="DH130" s="2" t="s">
        <v>3</v>
      </c>
      <c r="DI130" s="2" t="s">
        <v>3</v>
      </c>
      <c r="DJ130" s="2" t="s">
        <v>3</v>
      </c>
      <c r="DK130" s="2" t="s">
        <v>3</v>
      </c>
      <c r="DL130" s="2" t="s">
        <v>3</v>
      </c>
      <c r="DM130" s="2" t="s">
        <v>3</v>
      </c>
      <c r="DN130" s="2">
        <v>0</v>
      </c>
      <c r="DO130" s="2">
        <v>0</v>
      </c>
      <c r="DP130" s="2">
        <v>1</v>
      </c>
      <c r="DQ130" s="2">
        <v>1</v>
      </c>
      <c r="DR130" s="2"/>
      <c r="DS130" s="2"/>
      <c r="DT130" s="2"/>
      <c r="DU130" s="2">
        <v>1003</v>
      </c>
      <c r="DV130" s="2" t="s">
        <v>191</v>
      </c>
      <c r="DW130" s="2" t="s">
        <v>191</v>
      </c>
      <c r="DX130" s="2">
        <v>1</v>
      </c>
      <c r="DY130" s="2"/>
      <c r="DZ130" s="2" t="s">
        <v>3</v>
      </c>
      <c r="EA130" s="2" t="s">
        <v>3</v>
      </c>
      <c r="EB130" s="2" t="s">
        <v>3</v>
      </c>
      <c r="EC130" s="2" t="s">
        <v>3</v>
      </c>
      <c r="ED130" s="2"/>
      <c r="EE130" s="2">
        <v>56938740</v>
      </c>
      <c r="EF130" s="2">
        <v>40</v>
      </c>
      <c r="EG130" s="2" t="s">
        <v>29</v>
      </c>
      <c r="EH130" s="2">
        <v>0</v>
      </c>
      <c r="EI130" s="2" t="s">
        <v>3</v>
      </c>
      <c r="EJ130" s="2">
        <v>2</v>
      </c>
      <c r="EK130" s="2">
        <v>73</v>
      </c>
      <c r="EL130" s="2" t="s">
        <v>85</v>
      </c>
      <c r="EM130" s="2" t="s">
        <v>86</v>
      </c>
      <c r="EN130" s="2"/>
      <c r="EO130" s="2" t="s">
        <v>3</v>
      </c>
      <c r="EP130" s="2"/>
      <c r="EQ130" s="2">
        <v>0</v>
      </c>
      <c r="ER130" s="2">
        <v>41.57</v>
      </c>
      <c r="ES130" s="2">
        <v>41.57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>
        <v>0</v>
      </c>
      <c r="FR130" s="2">
        <v>0</v>
      </c>
      <c r="FS130" s="2">
        <v>0</v>
      </c>
      <c r="FT130" s="2"/>
      <c r="FU130" s="2"/>
      <c r="FV130" s="2"/>
      <c r="FW130" s="2"/>
      <c r="FX130" s="2">
        <v>90</v>
      </c>
      <c r="FY130" s="2">
        <v>46</v>
      </c>
      <c r="FZ130" s="2"/>
      <c r="GA130" s="2" t="s">
        <v>3</v>
      </c>
      <c r="GB130" s="2"/>
      <c r="GC130" s="2"/>
      <c r="GD130" s="2">
        <v>1</v>
      </c>
      <c r="GE130" s="2"/>
      <c r="GF130" s="2">
        <v>-2048145394</v>
      </c>
      <c r="GG130" s="2">
        <v>2</v>
      </c>
      <c r="GH130" s="2">
        <v>1</v>
      </c>
      <c r="GI130" s="2">
        <v>-2</v>
      </c>
      <c r="GJ130" s="2">
        <v>0</v>
      </c>
      <c r="GK130" s="2">
        <v>0</v>
      </c>
      <c r="GL130" s="2">
        <f t="shared" si="173"/>
        <v>0</v>
      </c>
      <c r="GM130" s="2">
        <f t="shared" si="174"/>
        <v>626.66999999999996</v>
      </c>
      <c r="GN130" s="2">
        <f t="shared" si="175"/>
        <v>0</v>
      </c>
      <c r="GO130" s="2">
        <f t="shared" si="176"/>
        <v>626.66999999999996</v>
      </c>
      <c r="GP130" s="2">
        <f t="shared" si="177"/>
        <v>0</v>
      </c>
      <c r="GQ130" s="2"/>
      <c r="GR130" s="2">
        <v>0</v>
      </c>
      <c r="GS130" s="2">
        <v>3</v>
      </c>
      <c r="GT130" s="2">
        <v>0</v>
      </c>
      <c r="GU130" s="2" t="s">
        <v>3</v>
      </c>
      <c r="GV130" s="2">
        <f t="shared" si="178"/>
        <v>0</v>
      </c>
      <c r="GW130" s="2">
        <v>1</v>
      </c>
      <c r="GX130" s="2">
        <f t="shared" si="179"/>
        <v>0</v>
      </c>
      <c r="GY130" s="2"/>
      <c r="GZ130" s="2"/>
      <c r="HA130" s="2">
        <v>0</v>
      </c>
      <c r="HB130" s="2">
        <v>0</v>
      </c>
      <c r="HC130" s="2">
        <f t="shared" si="180"/>
        <v>0</v>
      </c>
      <c r="HD130" s="2"/>
      <c r="HE130" s="2" t="s">
        <v>3</v>
      </c>
      <c r="HF130" s="2" t="s">
        <v>3</v>
      </c>
      <c r="HG130" s="2"/>
      <c r="HH130" s="2"/>
      <c r="HI130" s="2"/>
      <c r="HJ130" s="2"/>
      <c r="HK130" s="2"/>
      <c r="HL130" s="2"/>
      <c r="HM130" s="2" t="s">
        <v>3</v>
      </c>
      <c r="HN130" s="2" t="s">
        <v>3</v>
      </c>
      <c r="HO130" s="2" t="s">
        <v>3</v>
      </c>
      <c r="HP130" s="2" t="s">
        <v>3</v>
      </c>
      <c r="HQ130" s="2" t="s">
        <v>3</v>
      </c>
      <c r="HR130" s="2"/>
      <c r="HS130" s="2">
        <v>0</v>
      </c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>
        <v>0</v>
      </c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x14ac:dyDescent="0.2">
      <c r="A131" s="3">
        <v>18</v>
      </c>
      <c r="B131" s="3">
        <v>1</v>
      </c>
      <c r="C131" s="3">
        <v>388</v>
      </c>
      <c r="E131" s="3" t="s">
        <v>235</v>
      </c>
      <c r="F131" s="3" t="s">
        <v>227</v>
      </c>
      <c r="G131" s="3" t="s">
        <v>228</v>
      </c>
      <c r="H131" s="3" t="s">
        <v>191</v>
      </c>
      <c r="I131" s="3">
        <f>I127*J131</f>
        <v>15.074999999999999</v>
      </c>
      <c r="J131" s="3">
        <v>50.25</v>
      </c>
      <c r="K131" s="3">
        <v>50.25</v>
      </c>
      <c r="O131" s="3">
        <f t="shared" si="156"/>
        <v>10371.39</v>
      </c>
      <c r="P131" s="3">
        <f t="shared" si="157"/>
        <v>10371.39</v>
      </c>
      <c r="Q131" s="3">
        <f t="shared" si="181"/>
        <v>0</v>
      </c>
      <c r="R131" s="3">
        <f t="shared" si="182"/>
        <v>0</v>
      </c>
      <c r="S131" s="3">
        <f t="shared" si="158"/>
        <v>0</v>
      </c>
      <c r="T131" s="3">
        <f t="shared" si="159"/>
        <v>0</v>
      </c>
      <c r="U131" s="3">
        <f t="shared" si="160"/>
        <v>0</v>
      </c>
      <c r="V131" s="3">
        <f t="shared" si="161"/>
        <v>0</v>
      </c>
      <c r="W131" s="3">
        <f t="shared" si="162"/>
        <v>0</v>
      </c>
      <c r="X131" s="3">
        <f t="shared" si="183"/>
        <v>0</v>
      </c>
      <c r="Y131" s="3">
        <f t="shared" si="184"/>
        <v>0</v>
      </c>
      <c r="AA131" s="3">
        <v>55747651</v>
      </c>
      <c r="AB131" s="3">
        <f t="shared" si="163"/>
        <v>41.57</v>
      </c>
      <c r="AC131" s="3">
        <f t="shared" si="185"/>
        <v>41.57</v>
      </c>
      <c r="AD131" s="3">
        <f t="shared" si="186"/>
        <v>0</v>
      </c>
      <c r="AE131" s="3">
        <f t="shared" si="187"/>
        <v>0</v>
      </c>
      <c r="AF131" s="3">
        <f t="shared" si="188"/>
        <v>0</v>
      </c>
      <c r="AG131" s="3">
        <f t="shared" si="164"/>
        <v>0</v>
      </c>
      <c r="AH131" s="3">
        <f t="shared" si="189"/>
        <v>0</v>
      </c>
      <c r="AI131" s="3">
        <f t="shared" si="190"/>
        <v>0</v>
      </c>
      <c r="AJ131" s="3">
        <f t="shared" si="165"/>
        <v>0</v>
      </c>
      <c r="AK131" s="3">
        <v>41.57</v>
      </c>
      <c r="AL131" s="3">
        <v>41.57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90</v>
      </c>
      <c r="AU131" s="3">
        <v>46</v>
      </c>
      <c r="AV131" s="3">
        <v>1</v>
      </c>
      <c r="AW131" s="3">
        <v>1</v>
      </c>
      <c r="AZ131" s="3">
        <v>1</v>
      </c>
      <c r="BA131" s="3">
        <v>1</v>
      </c>
      <c r="BB131" s="3">
        <v>1</v>
      </c>
      <c r="BC131" s="3">
        <v>16.55</v>
      </c>
      <c r="BD131" s="3" t="s">
        <v>3</v>
      </c>
      <c r="BE131" s="3" t="s">
        <v>3</v>
      </c>
      <c r="BF131" s="3" t="s">
        <v>3</v>
      </c>
      <c r="BG131" s="3" t="s">
        <v>3</v>
      </c>
      <c r="BH131" s="3">
        <v>3</v>
      </c>
      <c r="BI131" s="3">
        <v>2</v>
      </c>
      <c r="BJ131" s="3" t="s">
        <v>229</v>
      </c>
      <c r="BM131" s="3">
        <v>73</v>
      </c>
      <c r="BN131" s="3">
        <v>0</v>
      </c>
      <c r="BO131" s="3" t="s">
        <v>227</v>
      </c>
      <c r="BP131" s="3">
        <v>1</v>
      </c>
      <c r="BQ131" s="3">
        <v>40</v>
      </c>
      <c r="BR131" s="3">
        <v>0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 t="s">
        <v>3</v>
      </c>
      <c r="BZ131" s="3">
        <v>90</v>
      </c>
      <c r="CA131" s="3">
        <v>46</v>
      </c>
      <c r="CB131" s="3" t="s">
        <v>3</v>
      </c>
      <c r="CE131" s="3">
        <v>1566</v>
      </c>
      <c r="CF131" s="3">
        <v>0</v>
      </c>
      <c r="CG131" s="3">
        <v>0</v>
      </c>
      <c r="CM131" s="3">
        <v>0</v>
      </c>
      <c r="CN131" s="3" t="s">
        <v>3</v>
      </c>
      <c r="CO131" s="3">
        <v>0</v>
      </c>
      <c r="CP131" s="3">
        <f t="shared" si="166"/>
        <v>10371.39</v>
      </c>
      <c r="CQ131" s="3">
        <f t="shared" si="167"/>
        <v>687.98</v>
      </c>
      <c r="CR131" s="3">
        <f t="shared" si="191"/>
        <v>0</v>
      </c>
      <c r="CS131" s="3">
        <f t="shared" si="192"/>
        <v>0</v>
      </c>
      <c r="CT131" s="3">
        <f t="shared" si="168"/>
        <v>0</v>
      </c>
      <c r="CU131" s="3">
        <f t="shared" si="169"/>
        <v>0</v>
      </c>
      <c r="CV131" s="3">
        <f t="shared" si="170"/>
        <v>0</v>
      </c>
      <c r="CW131" s="3">
        <f t="shared" si="171"/>
        <v>0</v>
      </c>
      <c r="CX131" s="3">
        <f t="shared" si="172"/>
        <v>0</v>
      </c>
      <c r="CY131" s="3">
        <f t="shared" si="193"/>
        <v>0</v>
      </c>
      <c r="CZ131" s="3">
        <f t="shared" si="194"/>
        <v>0</v>
      </c>
      <c r="DC131" s="3" t="s">
        <v>3</v>
      </c>
      <c r="DD131" s="3" t="s">
        <v>3</v>
      </c>
      <c r="DE131" s="3" t="s">
        <v>3</v>
      </c>
      <c r="DF131" s="3" t="s">
        <v>3</v>
      </c>
      <c r="DG131" s="3" t="s">
        <v>3</v>
      </c>
      <c r="DH131" s="3" t="s">
        <v>3</v>
      </c>
      <c r="DI131" s="3" t="s">
        <v>3</v>
      </c>
      <c r="DJ131" s="3" t="s">
        <v>3</v>
      </c>
      <c r="DK131" s="3" t="s">
        <v>3</v>
      </c>
      <c r="DL131" s="3" t="s">
        <v>3</v>
      </c>
      <c r="DM131" s="3" t="s">
        <v>3</v>
      </c>
      <c r="DN131" s="3">
        <v>0</v>
      </c>
      <c r="DO131" s="3">
        <v>0</v>
      </c>
      <c r="DP131" s="3">
        <v>1</v>
      </c>
      <c r="DQ131" s="3">
        <v>1</v>
      </c>
      <c r="DU131" s="3">
        <v>1003</v>
      </c>
      <c r="DV131" s="3" t="s">
        <v>191</v>
      </c>
      <c r="DW131" s="3" t="s">
        <v>191</v>
      </c>
      <c r="DX131" s="3">
        <v>1</v>
      </c>
      <c r="DZ131" s="3" t="s">
        <v>3</v>
      </c>
      <c r="EA131" s="3" t="s">
        <v>3</v>
      </c>
      <c r="EB131" s="3" t="s">
        <v>3</v>
      </c>
      <c r="EC131" s="3" t="s">
        <v>3</v>
      </c>
      <c r="EE131" s="3">
        <v>56938740</v>
      </c>
      <c r="EF131" s="3">
        <v>40</v>
      </c>
      <c r="EG131" s="3" t="s">
        <v>29</v>
      </c>
      <c r="EH131" s="3">
        <v>0</v>
      </c>
      <c r="EI131" s="3" t="s">
        <v>3</v>
      </c>
      <c r="EJ131" s="3">
        <v>2</v>
      </c>
      <c r="EK131" s="3">
        <v>73</v>
      </c>
      <c r="EL131" s="3" t="s">
        <v>85</v>
      </c>
      <c r="EM131" s="3" t="s">
        <v>86</v>
      </c>
      <c r="EO131" s="3" t="s">
        <v>3</v>
      </c>
      <c r="EQ131" s="3">
        <v>0</v>
      </c>
      <c r="ER131" s="3">
        <v>41.57</v>
      </c>
      <c r="ES131" s="3">
        <v>41.57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FQ131" s="3">
        <v>0</v>
      </c>
      <c r="FR131" s="3">
        <v>0</v>
      </c>
      <c r="FS131" s="3">
        <v>0</v>
      </c>
      <c r="FX131" s="3">
        <v>90</v>
      </c>
      <c r="FY131" s="3">
        <v>46</v>
      </c>
      <c r="GA131" s="3" t="s">
        <v>3</v>
      </c>
      <c r="GD131" s="3">
        <v>1</v>
      </c>
      <c r="GF131" s="3">
        <v>-2048145394</v>
      </c>
      <c r="GG131" s="3">
        <v>2</v>
      </c>
      <c r="GH131" s="3">
        <v>1</v>
      </c>
      <c r="GI131" s="3">
        <v>2</v>
      </c>
      <c r="GJ131" s="3">
        <v>0</v>
      </c>
      <c r="GK131" s="3">
        <v>0</v>
      </c>
      <c r="GL131" s="3">
        <f t="shared" si="173"/>
        <v>0</v>
      </c>
      <c r="GM131" s="3">
        <f t="shared" si="174"/>
        <v>10371.39</v>
      </c>
      <c r="GN131" s="3">
        <f t="shared" si="175"/>
        <v>0</v>
      </c>
      <c r="GO131" s="3">
        <f t="shared" si="176"/>
        <v>10371.39</v>
      </c>
      <c r="GP131" s="3">
        <f t="shared" si="177"/>
        <v>0</v>
      </c>
      <c r="GR131" s="3">
        <v>0</v>
      </c>
      <c r="GS131" s="3">
        <v>3</v>
      </c>
      <c r="GT131" s="3">
        <v>0</v>
      </c>
      <c r="GU131" s="3" t="s">
        <v>3</v>
      </c>
      <c r="GV131" s="3">
        <f t="shared" si="178"/>
        <v>0</v>
      </c>
      <c r="GW131" s="3">
        <v>1</v>
      </c>
      <c r="GX131" s="3">
        <f t="shared" si="179"/>
        <v>0</v>
      </c>
      <c r="HA131" s="3">
        <v>0</v>
      </c>
      <c r="HB131" s="3">
        <v>0</v>
      </c>
      <c r="HC131" s="3">
        <f t="shared" si="180"/>
        <v>0</v>
      </c>
      <c r="HE131" s="3" t="s">
        <v>3</v>
      </c>
      <c r="HF131" s="3" t="s">
        <v>3</v>
      </c>
      <c r="HM131" s="3" t="s">
        <v>3</v>
      </c>
      <c r="HN131" s="3" t="s">
        <v>3</v>
      </c>
      <c r="HO131" s="3" t="s">
        <v>3</v>
      </c>
      <c r="HP131" s="3" t="s">
        <v>3</v>
      </c>
      <c r="HQ131" s="3" t="s">
        <v>3</v>
      </c>
      <c r="HS131" s="3">
        <v>0</v>
      </c>
      <c r="IK131" s="3">
        <v>0</v>
      </c>
    </row>
    <row r="132" spans="1:255" x14ac:dyDescent="0.2">
      <c r="A132" s="2">
        <v>17</v>
      </c>
      <c r="B132" s="2">
        <v>1</v>
      </c>
      <c r="C132" s="2"/>
      <c r="D132" s="2"/>
      <c r="E132" s="2" t="s">
        <v>236</v>
      </c>
      <c r="F132" s="2" t="s">
        <v>237</v>
      </c>
      <c r="G132" s="2" t="s">
        <v>238</v>
      </c>
      <c r="H132" s="2" t="s">
        <v>118</v>
      </c>
      <c r="I132" s="2">
        <v>6</v>
      </c>
      <c r="J132" s="2">
        <v>0</v>
      </c>
      <c r="K132" s="2">
        <v>6</v>
      </c>
      <c r="L132" s="2"/>
      <c r="M132" s="2"/>
      <c r="N132" s="2"/>
      <c r="O132" s="2">
        <f t="shared" si="156"/>
        <v>229.08</v>
      </c>
      <c r="P132" s="2">
        <f t="shared" si="157"/>
        <v>229.08</v>
      </c>
      <c r="Q132" s="2">
        <f t="shared" si="181"/>
        <v>0</v>
      </c>
      <c r="R132" s="2">
        <f t="shared" si="182"/>
        <v>0</v>
      </c>
      <c r="S132" s="2">
        <f t="shared" si="158"/>
        <v>0</v>
      </c>
      <c r="T132" s="2">
        <f t="shared" si="159"/>
        <v>0</v>
      </c>
      <c r="U132" s="2">
        <f t="shared" si="160"/>
        <v>0</v>
      </c>
      <c r="V132" s="2">
        <f t="shared" si="161"/>
        <v>0</v>
      </c>
      <c r="W132" s="2">
        <f t="shared" si="162"/>
        <v>0</v>
      </c>
      <c r="X132" s="2">
        <f t="shared" si="183"/>
        <v>0</v>
      </c>
      <c r="Y132" s="2">
        <f t="shared" si="184"/>
        <v>0</v>
      </c>
      <c r="Z132" s="2"/>
      <c r="AA132" s="2">
        <v>55747649</v>
      </c>
      <c r="AB132" s="2">
        <f t="shared" si="163"/>
        <v>38.18</v>
      </c>
      <c r="AC132" s="2">
        <f t="shared" si="185"/>
        <v>38.18</v>
      </c>
      <c r="AD132" s="2">
        <f t="shared" si="186"/>
        <v>0</v>
      </c>
      <c r="AE132" s="2">
        <f t="shared" si="187"/>
        <v>0</v>
      </c>
      <c r="AF132" s="2">
        <f t="shared" si="188"/>
        <v>0</v>
      </c>
      <c r="AG132" s="2">
        <f t="shared" si="164"/>
        <v>0</v>
      </c>
      <c r="AH132" s="2">
        <f t="shared" si="189"/>
        <v>0</v>
      </c>
      <c r="AI132" s="2">
        <f t="shared" si="190"/>
        <v>0</v>
      </c>
      <c r="AJ132" s="2">
        <f t="shared" si="165"/>
        <v>0</v>
      </c>
      <c r="AK132" s="2">
        <v>38.18</v>
      </c>
      <c r="AL132" s="2">
        <v>38.18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1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3</v>
      </c>
      <c r="BI132" s="2">
        <v>1</v>
      </c>
      <c r="BJ132" s="2" t="s">
        <v>239</v>
      </c>
      <c r="BK132" s="2"/>
      <c r="BL132" s="2"/>
      <c r="BM132" s="2">
        <v>1617</v>
      </c>
      <c r="BN132" s="2">
        <v>0</v>
      </c>
      <c r="BO132" s="2" t="s">
        <v>3</v>
      </c>
      <c r="BP132" s="2">
        <v>0</v>
      </c>
      <c r="BQ132" s="2">
        <v>200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0</v>
      </c>
      <c r="CA132" s="2">
        <v>0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3</v>
      </c>
      <c r="CO132" s="2">
        <v>0</v>
      </c>
      <c r="CP132" s="2">
        <f t="shared" si="166"/>
        <v>229.08</v>
      </c>
      <c r="CQ132" s="2">
        <f t="shared" si="167"/>
        <v>38.18</v>
      </c>
      <c r="CR132" s="2">
        <f t="shared" si="191"/>
        <v>0</v>
      </c>
      <c r="CS132" s="2">
        <f t="shared" si="192"/>
        <v>0</v>
      </c>
      <c r="CT132" s="2">
        <f t="shared" si="168"/>
        <v>0</v>
      </c>
      <c r="CU132" s="2">
        <f t="shared" si="169"/>
        <v>0</v>
      </c>
      <c r="CV132" s="2">
        <f t="shared" si="170"/>
        <v>0</v>
      </c>
      <c r="CW132" s="2">
        <f t="shared" si="171"/>
        <v>0</v>
      </c>
      <c r="CX132" s="2">
        <f t="shared" si="172"/>
        <v>0</v>
      </c>
      <c r="CY132" s="2">
        <f t="shared" si="193"/>
        <v>0</v>
      </c>
      <c r="CZ132" s="2">
        <f t="shared" si="194"/>
        <v>0</v>
      </c>
      <c r="DA132" s="2"/>
      <c r="DB132" s="2"/>
      <c r="DC132" s="2" t="s">
        <v>3</v>
      </c>
      <c r="DD132" s="2" t="s">
        <v>3</v>
      </c>
      <c r="DE132" s="2" t="s">
        <v>3</v>
      </c>
      <c r="DF132" s="2" t="s">
        <v>3</v>
      </c>
      <c r="DG132" s="2" t="s">
        <v>3</v>
      </c>
      <c r="DH132" s="2" t="s">
        <v>3</v>
      </c>
      <c r="DI132" s="2" t="s">
        <v>3</v>
      </c>
      <c r="DJ132" s="2" t="s">
        <v>3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1010</v>
      </c>
      <c r="DV132" s="2" t="s">
        <v>118</v>
      </c>
      <c r="DW132" s="2" t="s">
        <v>118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56938763</v>
      </c>
      <c r="EF132" s="2">
        <v>200</v>
      </c>
      <c r="EG132" s="2" t="s">
        <v>132</v>
      </c>
      <c r="EH132" s="2">
        <v>0</v>
      </c>
      <c r="EI132" s="2" t="s">
        <v>3</v>
      </c>
      <c r="EJ132" s="2">
        <v>1</v>
      </c>
      <c r="EK132" s="2">
        <v>1617</v>
      </c>
      <c r="EL132" s="2" t="s">
        <v>133</v>
      </c>
      <c r="EM132" s="2" t="s">
        <v>134</v>
      </c>
      <c r="EN132" s="2"/>
      <c r="EO132" s="2" t="s">
        <v>3</v>
      </c>
      <c r="EP132" s="2"/>
      <c r="EQ132" s="2">
        <v>131072</v>
      </c>
      <c r="ER132" s="2">
        <v>38.18</v>
      </c>
      <c r="ES132" s="2">
        <v>38.18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0</v>
      </c>
      <c r="FY132" s="2">
        <v>0</v>
      </c>
      <c r="FZ132" s="2"/>
      <c r="GA132" s="2" t="s">
        <v>3</v>
      </c>
      <c r="GB132" s="2"/>
      <c r="GC132" s="2"/>
      <c r="GD132" s="2">
        <v>1</v>
      </c>
      <c r="GE132" s="2"/>
      <c r="GF132" s="2">
        <v>790445620</v>
      </c>
      <c r="GG132" s="2">
        <v>2</v>
      </c>
      <c r="GH132" s="2">
        <v>1</v>
      </c>
      <c r="GI132" s="2">
        <v>-2</v>
      </c>
      <c r="GJ132" s="2">
        <v>0</v>
      </c>
      <c r="GK132" s="2">
        <v>0</v>
      </c>
      <c r="GL132" s="2">
        <f t="shared" si="173"/>
        <v>0</v>
      </c>
      <c r="GM132" s="2">
        <f t="shared" si="174"/>
        <v>229.08</v>
      </c>
      <c r="GN132" s="2">
        <f t="shared" si="175"/>
        <v>229.08</v>
      </c>
      <c r="GO132" s="2">
        <f t="shared" si="176"/>
        <v>0</v>
      </c>
      <c r="GP132" s="2">
        <f t="shared" si="177"/>
        <v>0</v>
      </c>
      <c r="GQ132" s="2"/>
      <c r="GR132" s="2">
        <v>0</v>
      </c>
      <c r="GS132" s="2">
        <v>3</v>
      </c>
      <c r="GT132" s="2">
        <v>0</v>
      </c>
      <c r="GU132" s="2" t="s">
        <v>3</v>
      </c>
      <c r="GV132" s="2">
        <f t="shared" si="178"/>
        <v>0</v>
      </c>
      <c r="GW132" s="2">
        <v>1</v>
      </c>
      <c r="GX132" s="2">
        <f t="shared" si="179"/>
        <v>0</v>
      </c>
      <c r="GY132" s="2"/>
      <c r="GZ132" s="2"/>
      <c r="HA132" s="2">
        <v>0</v>
      </c>
      <c r="HB132" s="2">
        <v>0</v>
      </c>
      <c r="HC132" s="2">
        <f t="shared" si="180"/>
        <v>0</v>
      </c>
      <c r="HD132" s="2"/>
      <c r="HE132" s="2" t="s">
        <v>3</v>
      </c>
      <c r="HF132" s="2" t="s">
        <v>3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">
      <c r="A133" s="3">
        <v>17</v>
      </c>
      <c r="B133" s="3">
        <v>1</v>
      </c>
      <c r="E133" s="3" t="s">
        <v>236</v>
      </c>
      <c r="F133" s="3" t="s">
        <v>237</v>
      </c>
      <c r="G133" s="3" t="s">
        <v>238</v>
      </c>
      <c r="H133" s="3" t="s">
        <v>118</v>
      </c>
      <c r="I133" s="3">
        <v>6</v>
      </c>
      <c r="J133" s="3">
        <v>0</v>
      </c>
      <c r="K133" s="3">
        <v>6</v>
      </c>
      <c r="O133" s="3">
        <f t="shared" si="156"/>
        <v>8478.25</v>
      </c>
      <c r="P133" s="3">
        <f t="shared" si="157"/>
        <v>8478.25</v>
      </c>
      <c r="Q133" s="3">
        <f t="shared" si="181"/>
        <v>0</v>
      </c>
      <c r="R133" s="3">
        <f t="shared" si="182"/>
        <v>0</v>
      </c>
      <c r="S133" s="3">
        <f t="shared" si="158"/>
        <v>0</v>
      </c>
      <c r="T133" s="3">
        <f t="shared" si="159"/>
        <v>0</v>
      </c>
      <c r="U133" s="3">
        <f t="shared" si="160"/>
        <v>0</v>
      </c>
      <c r="V133" s="3">
        <f t="shared" si="161"/>
        <v>0</v>
      </c>
      <c r="W133" s="3">
        <f t="shared" si="162"/>
        <v>0</v>
      </c>
      <c r="X133" s="3">
        <f t="shared" si="183"/>
        <v>0</v>
      </c>
      <c r="Y133" s="3">
        <f t="shared" si="184"/>
        <v>0</v>
      </c>
      <c r="AA133" s="3">
        <v>55747651</v>
      </c>
      <c r="AB133" s="3">
        <f t="shared" si="163"/>
        <v>38.18</v>
      </c>
      <c r="AC133" s="3">
        <f t="shared" si="185"/>
        <v>38.18</v>
      </c>
      <c r="AD133" s="3">
        <f t="shared" si="186"/>
        <v>0</v>
      </c>
      <c r="AE133" s="3">
        <f t="shared" si="187"/>
        <v>0</v>
      </c>
      <c r="AF133" s="3">
        <f t="shared" si="188"/>
        <v>0</v>
      </c>
      <c r="AG133" s="3">
        <f t="shared" si="164"/>
        <v>0</v>
      </c>
      <c r="AH133" s="3">
        <f t="shared" si="189"/>
        <v>0</v>
      </c>
      <c r="AI133" s="3">
        <f t="shared" si="190"/>
        <v>0</v>
      </c>
      <c r="AJ133" s="3">
        <f t="shared" si="165"/>
        <v>0</v>
      </c>
      <c r="AK133" s="3">
        <v>38.18</v>
      </c>
      <c r="AL133" s="3">
        <v>38.18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1</v>
      </c>
      <c r="AW133" s="3">
        <v>1</v>
      </c>
      <c r="AZ133" s="3">
        <v>1</v>
      </c>
      <c r="BA133" s="3">
        <v>1</v>
      </c>
      <c r="BB133" s="3">
        <v>1</v>
      </c>
      <c r="BC133" s="3">
        <v>37.01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3</v>
      </c>
      <c r="BI133" s="3">
        <v>1</v>
      </c>
      <c r="BJ133" s="3" t="s">
        <v>239</v>
      </c>
      <c r="BM133" s="3">
        <v>1617</v>
      </c>
      <c r="BN133" s="3">
        <v>0</v>
      </c>
      <c r="BO133" s="3" t="s">
        <v>237</v>
      </c>
      <c r="BP133" s="3">
        <v>1</v>
      </c>
      <c r="BQ133" s="3">
        <v>200</v>
      </c>
      <c r="BR133" s="3">
        <v>0</v>
      </c>
      <c r="BS133" s="3">
        <v>1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0</v>
      </c>
      <c r="CA133" s="3">
        <v>0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3</v>
      </c>
      <c r="CO133" s="3">
        <v>0</v>
      </c>
      <c r="CP133" s="3">
        <f t="shared" si="166"/>
        <v>8478.25</v>
      </c>
      <c r="CQ133" s="3">
        <f t="shared" si="167"/>
        <v>1413.04</v>
      </c>
      <c r="CR133" s="3">
        <f t="shared" si="191"/>
        <v>0</v>
      </c>
      <c r="CS133" s="3">
        <f t="shared" si="192"/>
        <v>0</v>
      </c>
      <c r="CT133" s="3">
        <f t="shared" si="168"/>
        <v>0</v>
      </c>
      <c r="CU133" s="3">
        <f t="shared" si="169"/>
        <v>0</v>
      </c>
      <c r="CV133" s="3">
        <f t="shared" si="170"/>
        <v>0</v>
      </c>
      <c r="CW133" s="3">
        <f t="shared" si="171"/>
        <v>0</v>
      </c>
      <c r="CX133" s="3">
        <f t="shared" si="172"/>
        <v>0</v>
      </c>
      <c r="CY133" s="3">
        <f t="shared" si="193"/>
        <v>0</v>
      </c>
      <c r="CZ133" s="3">
        <f t="shared" si="194"/>
        <v>0</v>
      </c>
      <c r="DC133" s="3" t="s">
        <v>3</v>
      </c>
      <c r="DD133" s="3" t="s">
        <v>3</v>
      </c>
      <c r="DE133" s="3" t="s">
        <v>3</v>
      </c>
      <c r="DF133" s="3" t="s">
        <v>3</v>
      </c>
      <c r="DG133" s="3" t="s">
        <v>3</v>
      </c>
      <c r="DH133" s="3" t="s">
        <v>3</v>
      </c>
      <c r="DI133" s="3" t="s">
        <v>3</v>
      </c>
      <c r="DJ133" s="3" t="s">
        <v>3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1010</v>
      </c>
      <c r="DV133" s="3" t="s">
        <v>118</v>
      </c>
      <c r="DW133" s="3" t="s">
        <v>118</v>
      </c>
      <c r="DX133" s="3">
        <v>1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56938763</v>
      </c>
      <c r="EF133" s="3">
        <v>200</v>
      </c>
      <c r="EG133" s="3" t="s">
        <v>132</v>
      </c>
      <c r="EH133" s="3">
        <v>0</v>
      </c>
      <c r="EI133" s="3" t="s">
        <v>3</v>
      </c>
      <c r="EJ133" s="3">
        <v>1</v>
      </c>
      <c r="EK133" s="3">
        <v>1617</v>
      </c>
      <c r="EL133" s="3" t="s">
        <v>133</v>
      </c>
      <c r="EM133" s="3" t="s">
        <v>134</v>
      </c>
      <c r="EO133" s="3" t="s">
        <v>3</v>
      </c>
      <c r="EQ133" s="3">
        <v>131072</v>
      </c>
      <c r="ER133" s="3">
        <v>38.18</v>
      </c>
      <c r="ES133" s="3">
        <v>38.18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FQ133" s="3">
        <v>0</v>
      </c>
      <c r="FR133" s="3">
        <v>0</v>
      </c>
      <c r="FS133" s="3">
        <v>0</v>
      </c>
      <c r="FX133" s="3">
        <v>0</v>
      </c>
      <c r="FY133" s="3">
        <v>0</v>
      </c>
      <c r="GA133" s="3" t="s">
        <v>3</v>
      </c>
      <c r="GD133" s="3">
        <v>1</v>
      </c>
      <c r="GF133" s="3">
        <v>790445620</v>
      </c>
      <c r="GG133" s="3">
        <v>2</v>
      </c>
      <c r="GH133" s="3">
        <v>1</v>
      </c>
      <c r="GI133" s="3">
        <v>2</v>
      </c>
      <c r="GJ133" s="3">
        <v>0</v>
      </c>
      <c r="GK133" s="3">
        <v>0</v>
      </c>
      <c r="GL133" s="3">
        <f t="shared" si="173"/>
        <v>0</v>
      </c>
      <c r="GM133" s="3">
        <f t="shared" si="174"/>
        <v>8478.25</v>
      </c>
      <c r="GN133" s="3">
        <f t="shared" si="175"/>
        <v>8478.25</v>
      </c>
      <c r="GO133" s="3">
        <f t="shared" si="176"/>
        <v>0</v>
      </c>
      <c r="GP133" s="3">
        <f t="shared" si="177"/>
        <v>0</v>
      </c>
      <c r="GR133" s="3">
        <v>0</v>
      </c>
      <c r="GS133" s="3">
        <v>3</v>
      </c>
      <c r="GT133" s="3">
        <v>0</v>
      </c>
      <c r="GU133" s="3" t="s">
        <v>3</v>
      </c>
      <c r="GV133" s="3">
        <f t="shared" si="178"/>
        <v>0</v>
      </c>
      <c r="GW133" s="3">
        <v>1</v>
      </c>
      <c r="GX133" s="3">
        <f t="shared" si="179"/>
        <v>0</v>
      </c>
      <c r="HA133" s="3">
        <v>0</v>
      </c>
      <c r="HB133" s="3">
        <v>0</v>
      </c>
      <c r="HC133" s="3">
        <f t="shared" si="180"/>
        <v>0</v>
      </c>
      <c r="HE133" s="3" t="s">
        <v>3</v>
      </c>
      <c r="HF133" s="3" t="s">
        <v>3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">
      <c r="A134" s="2">
        <v>17</v>
      </c>
      <c r="B134" s="2">
        <v>1</v>
      </c>
      <c r="C134" s="2"/>
      <c r="D134" s="2"/>
      <c r="E134" s="2" t="s">
        <v>240</v>
      </c>
      <c r="F134" s="2" t="s">
        <v>241</v>
      </c>
      <c r="G134" s="2" t="s">
        <v>242</v>
      </c>
      <c r="H134" s="2" t="s">
        <v>118</v>
      </c>
      <c r="I134" s="2">
        <v>6</v>
      </c>
      <c r="J134" s="2">
        <v>0</v>
      </c>
      <c r="K134" s="2">
        <v>6</v>
      </c>
      <c r="L134" s="2"/>
      <c r="M134" s="2"/>
      <c r="N134" s="2"/>
      <c r="O134" s="2">
        <f t="shared" si="156"/>
        <v>38.82</v>
      </c>
      <c r="P134" s="2">
        <f t="shared" si="157"/>
        <v>38.82</v>
      </c>
      <c r="Q134" s="2">
        <f t="shared" si="181"/>
        <v>0</v>
      </c>
      <c r="R134" s="2">
        <f t="shared" si="182"/>
        <v>0</v>
      </c>
      <c r="S134" s="2">
        <f t="shared" si="158"/>
        <v>0</v>
      </c>
      <c r="T134" s="2">
        <f t="shared" si="159"/>
        <v>0</v>
      </c>
      <c r="U134" s="2">
        <f t="shared" si="160"/>
        <v>0</v>
      </c>
      <c r="V134" s="2">
        <f t="shared" si="161"/>
        <v>0</v>
      </c>
      <c r="W134" s="2">
        <f t="shared" si="162"/>
        <v>0</v>
      </c>
      <c r="X134" s="2">
        <f t="shared" si="183"/>
        <v>0</v>
      </c>
      <c r="Y134" s="2">
        <f t="shared" si="184"/>
        <v>0</v>
      </c>
      <c r="Z134" s="2"/>
      <c r="AA134" s="2">
        <v>55747649</v>
      </c>
      <c r="AB134" s="2">
        <f t="shared" si="163"/>
        <v>6.47</v>
      </c>
      <c r="AC134" s="2">
        <f t="shared" si="185"/>
        <v>6.47</v>
      </c>
      <c r="AD134" s="2">
        <f t="shared" si="186"/>
        <v>0</v>
      </c>
      <c r="AE134" s="2">
        <f t="shared" si="187"/>
        <v>0</v>
      </c>
      <c r="AF134" s="2">
        <f t="shared" si="188"/>
        <v>0</v>
      </c>
      <c r="AG134" s="2">
        <f t="shared" si="164"/>
        <v>0</v>
      </c>
      <c r="AH134" s="2">
        <f t="shared" si="189"/>
        <v>0</v>
      </c>
      <c r="AI134" s="2">
        <f t="shared" si="190"/>
        <v>0</v>
      </c>
      <c r="AJ134" s="2">
        <f t="shared" si="165"/>
        <v>0</v>
      </c>
      <c r="AK134" s="2">
        <v>6.47</v>
      </c>
      <c r="AL134" s="2">
        <v>6.47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1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3</v>
      </c>
      <c r="BI134" s="2">
        <v>1</v>
      </c>
      <c r="BJ134" s="2" t="s">
        <v>243</v>
      </c>
      <c r="BK134" s="2"/>
      <c r="BL134" s="2"/>
      <c r="BM134" s="2">
        <v>1617</v>
      </c>
      <c r="BN134" s="2">
        <v>0</v>
      </c>
      <c r="BO134" s="2" t="s">
        <v>3</v>
      </c>
      <c r="BP134" s="2">
        <v>0</v>
      </c>
      <c r="BQ134" s="2">
        <v>200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0</v>
      </c>
      <c r="CA134" s="2">
        <v>0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3</v>
      </c>
      <c r="CO134" s="2">
        <v>0</v>
      </c>
      <c r="CP134" s="2">
        <f t="shared" si="166"/>
        <v>38.82</v>
      </c>
      <c r="CQ134" s="2">
        <f t="shared" si="167"/>
        <v>6.47</v>
      </c>
      <c r="CR134" s="2">
        <f t="shared" si="191"/>
        <v>0</v>
      </c>
      <c r="CS134" s="2">
        <f t="shared" si="192"/>
        <v>0</v>
      </c>
      <c r="CT134" s="2">
        <f t="shared" si="168"/>
        <v>0</v>
      </c>
      <c r="CU134" s="2">
        <f t="shared" si="169"/>
        <v>0</v>
      </c>
      <c r="CV134" s="2">
        <f t="shared" si="170"/>
        <v>0</v>
      </c>
      <c r="CW134" s="2">
        <f t="shared" si="171"/>
        <v>0</v>
      </c>
      <c r="CX134" s="2">
        <f t="shared" si="172"/>
        <v>0</v>
      </c>
      <c r="CY134" s="2">
        <f t="shared" si="193"/>
        <v>0</v>
      </c>
      <c r="CZ134" s="2">
        <f t="shared" si="194"/>
        <v>0</v>
      </c>
      <c r="DA134" s="2"/>
      <c r="DB134" s="2"/>
      <c r="DC134" s="2" t="s">
        <v>3</v>
      </c>
      <c r="DD134" s="2" t="s">
        <v>3</v>
      </c>
      <c r="DE134" s="2" t="s">
        <v>3</v>
      </c>
      <c r="DF134" s="2" t="s">
        <v>3</v>
      </c>
      <c r="DG134" s="2" t="s">
        <v>3</v>
      </c>
      <c r="DH134" s="2" t="s">
        <v>3</v>
      </c>
      <c r="DI134" s="2" t="s">
        <v>3</v>
      </c>
      <c r="DJ134" s="2" t="s">
        <v>3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1010</v>
      </c>
      <c r="DV134" s="2" t="s">
        <v>118</v>
      </c>
      <c r="DW134" s="2" t="s">
        <v>118</v>
      </c>
      <c r="DX134" s="2">
        <v>1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56938763</v>
      </c>
      <c r="EF134" s="2">
        <v>200</v>
      </c>
      <c r="EG134" s="2" t="s">
        <v>132</v>
      </c>
      <c r="EH134" s="2">
        <v>0</v>
      </c>
      <c r="EI134" s="2" t="s">
        <v>3</v>
      </c>
      <c r="EJ134" s="2">
        <v>1</v>
      </c>
      <c r="EK134" s="2">
        <v>1617</v>
      </c>
      <c r="EL134" s="2" t="s">
        <v>133</v>
      </c>
      <c r="EM134" s="2" t="s">
        <v>134</v>
      </c>
      <c r="EN134" s="2"/>
      <c r="EO134" s="2" t="s">
        <v>3</v>
      </c>
      <c r="EP134" s="2"/>
      <c r="EQ134" s="2">
        <v>131072</v>
      </c>
      <c r="ER134" s="2">
        <v>6.47</v>
      </c>
      <c r="ES134" s="2">
        <v>6.47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0</v>
      </c>
      <c r="FY134" s="2">
        <v>0</v>
      </c>
      <c r="FZ134" s="2"/>
      <c r="GA134" s="2" t="s">
        <v>3</v>
      </c>
      <c r="GB134" s="2"/>
      <c r="GC134" s="2"/>
      <c r="GD134" s="2">
        <v>1</v>
      </c>
      <c r="GE134" s="2"/>
      <c r="GF134" s="2">
        <v>1651073840</v>
      </c>
      <c r="GG134" s="2">
        <v>2</v>
      </c>
      <c r="GH134" s="2">
        <v>1</v>
      </c>
      <c r="GI134" s="2">
        <v>-2</v>
      </c>
      <c r="GJ134" s="2">
        <v>0</v>
      </c>
      <c r="GK134" s="2">
        <v>0</v>
      </c>
      <c r="GL134" s="2">
        <f t="shared" si="173"/>
        <v>0</v>
      </c>
      <c r="GM134" s="2">
        <f t="shared" si="174"/>
        <v>38.82</v>
      </c>
      <c r="GN134" s="2">
        <f t="shared" si="175"/>
        <v>38.82</v>
      </c>
      <c r="GO134" s="2">
        <f t="shared" si="176"/>
        <v>0</v>
      </c>
      <c r="GP134" s="2">
        <f t="shared" si="177"/>
        <v>0</v>
      </c>
      <c r="GQ134" s="2"/>
      <c r="GR134" s="2">
        <v>0</v>
      </c>
      <c r="GS134" s="2">
        <v>3</v>
      </c>
      <c r="GT134" s="2">
        <v>0</v>
      </c>
      <c r="GU134" s="2" t="s">
        <v>3</v>
      </c>
      <c r="GV134" s="2">
        <f t="shared" si="178"/>
        <v>0</v>
      </c>
      <c r="GW134" s="2">
        <v>1</v>
      </c>
      <c r="GX134" s="2">
        <f t="shared" si="179"/>
        <v>0</v>
      </c>
      <c r="GY134" s="2"/>
      <c r="GZ134" s="2"/>
      <c r="HA134" s="2">
        <v>0</v>
      </c>
      <c r="HB134" s="2">
        <v>0</v>
      </c>
      <c r="HC134" s="2">
        <f t="shared" si="180"/>
        <v>0</v>
      </c>
      <c r="HD134" s="2"/>
      <c r="HE134" s="2" t="s">
        <v>3</v>
      </c>
      <c r="HF134" s="2" t="s">
        <v>3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">
      <c r="A135" s="3">
        <v>17</v>
      </c>
      <c r="B135" s="3">
        <v>1</v>
      </c>
      <c r="E135" s="3" t="s">
        <v>240</v>
      </c>
      <c r="F135" s="3" t="s">
        <v>241</v>
      </c>
      <c r="G135" s="3" t="s">
        <v>242</v>
      </c>
      <c r="H135" s="3" t="s">
        <v>118</v>
      </c>
      <c r="I135" s="3">
        <v>6</v>
      </c>
      <c r="J135" s="3">
        <v>0</v>
      </c>
      <c r="K135" s="3">
        <v>6</v>
      </c>
      <c r="O135" s="3">
        <f t="shared" si="156"/>
        <v>438.28</v>
      </c>
      <c r="P135" s="3">
        <f t="shared" si="157"/>
        <v>438.28</v>
      </c>
      <c r="Q135" s="3">
        <f t="shared" si="181"/>
        <v>0</v>
      </c>
      <c r="R135" s="3">
        <f t="shared" si="182"/>
        <v>0</v>
      </c>
      <c r="S135" s="3">
        <f t="shared" si="158"/>
        <v>0</v>
      </c>
      <c r="T135" s="3">
        <f t="shared" si="159"/>
        <v>0</v>
      </c>
      <c r="U135" s="3">
        <f t="shared" si="160"/>
        <v>0</v>
      </c>
      <c r="V135" s="3">
        <f t="shared" si="161"/>
        <v>0</v>
      </c>
      <c r="W135" s="3">
        <f t="shared" si="162"/>
        <v>0</v>
      </c>
      <c r="X135" s="3">
        <f t="shared" si="183"/>
        <v>0</v>
      </c>
      <c r="Y135" s="3">
        <f t="shared" si="184"/>
        <v>0</v>
      </c>
      <c r="AA135" s="3">
        <v>55747651</v>
      </c>
      <c r="AB135" s="3">
        <f t="shared" si="163"/>
        <v>6.47</v>
      </c>
      <c r="AC135" s="3">
        <f t="shared" si="185"/>
        <v>6.47</v>
      </c>
      <c r="AD135" s="3">
        <f t="shared" si="186"/>
        <v>0</v>
      </c>
      <c r="AE135" s="3">
        <f t="shared" si="187"/>
        <v>0</v>
      </c>
      <c r="AF135" s="3">
        <f t="shared" si="188"/>
        <v>0</v>
      </c>
      <c r="AG135" s="3">
        <f t="shared" si="164"/>
        <v>0</v>
      </c>
      <c r="AH135" s="3">
        <f t="shared" si="189"/>
        <v>0</v>
      </c>
      <c r="AI135" s="3">
        <f t="shared" si="190"/>
        <v>0</v>
      </c>
      <c r="AJ135" s="3">
        <f t="shared" si="165"/>
        <v>0</v>
      </c>
      <c r="AK135" s="3">
        <v>6.47</v>
      </c>
      <c r="AL135" s="3">
        <v>6.47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1</v>
      </c>
      <c r="AW135" s="3">
        <v>1</v>
      </c>
      <c r="AZ135" s="3">
        <v>1</v>
      </c>
      <c r="BA135" s="3">
        <v>1</v>
      </c>
      <c r="BB135" s="3">
        <v>1</v>
      </c>
      <c r="BC135" s="3">
        <v>11.29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3</v>
      </c>
      <c r="BI135" s="3">
        <v>1</v>
      </c>
      <c r="BJ135" s="3" t="s">
        <v>243</v>
      </c>
      <c r="BM135" s="3">
        <v>1617</v>
      </c>
      <c r="BN135" s="3">
        <v>0</v>
      </c>
      <c r="BO135" s="3" t="s">
        <v>241</v>
      </c>
      <c r="BP135" s="3">
        <v>1</v>
      </c>
      <c r="BQ135" s="3">
        <v>200</v>
      </c>
      <c r="BR135" s="3">
        <v>0</v>
      </c>
      <c r="BS135" s="3">
        <v>1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0</v>
      </c>
      <c r="CA135" s="3">
        <v>0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3</v>
      </c>
      <c r="CO135" s="3">
        <v>0</v>
      </c>
      <c r="CP135" s="3">
        <f t="shared" si="166"/>
        <v>438.28</v>
      </c>
      <c r="CQ135" s="3">
        <f t="shared" si="167"/>
        <v>73.05</v>
      </c>
      <c r="CR135" s="3">
        <f t="shared" si="191"/>
        <v>0</v>
      </c>
      <c r="CS135" s="3">
        <f t="shared" si="192"/>
        <v>0</v>
      </c>
      <c r="CT135" s="3">
        <f t="shared" si="168"/>
        <v>0</v>
      </c>
      <c r="CU135" s="3">
        <f t="shared" si="169"/>
        <v>0</v>
      </c>
      <c r="CV135" s="3">
        <f t="shared" si="170"/>
        <v>0</v>
      </c>
      <c r="CW135" s="3">
        <f t="shared" si="171"/>
        <v>0</v>
      </c>
      <c r="CX135" s="3">
        <f t="shared" si="172"/>
        <v>0</v>
      </c>
      <c r="CY135" s="3">
        <f t="shared" si="193"/>
        <v>0</v>
      </c>
      <c r="CZ135" s="3">
        <f t="shared" si="194"/>
        <v>0</v>
      </c>
      <c r="DC135" s="3" t="s">
        <v>3</v>
      </c>
      <c r="DD135" s="3" t="s">
        <v>3</v>
      </c>
      <c r="DE135" s="3" t="s">
        <v>3</v>
      </c>
      <c r="DF135" s="3" t="s">
        <v>3</v>
      </c>
      <c r="DG135" s="3" t="s">
        <v>3</v>
      </c>
      <c r="DH135" s="3" t="s">
        <v>3</v>
      </c>
      <c r="DI135" s="3" t="s">
        <v>3</v>
      </c>
      <c r="DJ135" s="3" t="s">
        <v>3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1010</v>
      </c>
      <c r="DV135" s="3" t="s">
        <v>118</v>
      </c>
      <c r="DW135" s="3" t="s">
        <v>118</v>
      </c>
      <c r="DX135" s="3">
        <v>1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56938763</v>
      </c>
      <c r="EF135" s="3">
        <v>200</v>
      </c>
      <c r="EG135" s="3" t="s">
        <v>132</v>
      </c>
      <c r="EH135" s="3">
        <v>0</v>
      </c>
      <c r="EI135" s="3" t="s">
        <v>3</v>
      </c>
      <c r="EJ135" s="3">
        <v>1</v>
      </c>
      <c r="EK135" s="3">
        <v>1617</v>
      </c>
      <c r="EL135" s="3" t="s">
        <v>133</v>
      </c>
      <c r="EM135" s="3" t="s">
        <v>134</v>
      </c>
      <c r="EO135" s="3" t="s">
        <v>3</v>
      </c>
      <c r="EQ135" s="3">
        <v>131072</v>
      </c>
      <c r="ER135" s="3">
        <v>6.47</v>
      </c>
      <c r="ES135" s="3">
        <v>6.47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FQ135" s="3">
        <v>0</v>
      </c>
      <c r="FR135" s="3">
        <v>0</v>
      </c>
      <c r="FS135" s="3">
        <v>0</v>
      </c>
      <c r="FX135" s="3">
        <v>0</v>
      </c>
      <c r="FY135" s="3">
        <v>0</v>
      </c>
      <c r="GA135" s="3" t="s">
        <v>3</v>
      </c>
      <c r="GD135" s="3">
        <v>1</v>
      </c>
      <c r="GF135" s="3">
        <v>1651073840</v>
      </c>
      <c r="GG135" s="3">
        <v>2</v>
      </c>
      <c r="GH135" s="3">
        <v>1</v>
      </c>
      <c r="GI135" s="3">
        <v>2</v>
      </c>
      <c r="GJ135" s="3">
        <v>0</v>
      </c>
      <c r="GK135" s="3">
        <v>0</v>
      </c>
      <c r="GL135" s="3">
        <f t="shared" si="173"/>
        <v>0</v>
      </c>
      <c r="GM135" s="3">
        <f t="shared" si="174"/>
        <v>438.28</v>
      </c>
      <c r="GN135" s="3">
        <f t="shared" si="175"/>
        <v>438.28</v>
      </c>
      <c r="GO135" s="3">
        <f t="shared" si="176"/>
        <v>0</v>
      </c>
      <c r="GP135" s="3">
        <f t="shared" si="177"/>
        <v>0</v>
      </c>
      <c r="GR135" s="3">
        <v>0</v>
      </c>
      <c r="GS135" s="3">
        <v>3</v>
      </c>
      <c r="GT135" s="3">
        <v>0</v>
      </c>
      <c r="GU135" s="3" t="s">
        <v>3</v>
      </c>
      <c r="GV135" s="3">
        <f t="shared" si="178"/>
        <v>0</v>
      </c>
      <c r="GW135" s="3">
        <v>1</v>
      </c>
      <c r="GX135" s="3">
        <f t="shared" si="179"/>
        <v>0</v>
      </c>
      <c r="HA135" s="3">
        <v>0</v>
      </c>
      <c r="HB135" s="3">
        <v>0</v>
      </c>
      <c r="HC135" s="3">
        <f t="shared" si="180"/>
        <v>0</v>
      </c>
      <c r="HE135" s="3" t="s">
        <v>3</v>
      </c>
      <c r="HF135" s="3" t="s">
        <v>3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">
      <c r="A136" s="2">
        <v>17</v>
      </c>
      <c r="B136" s="2">
        <v>1</v>
      </c>
      <c r="C136" s="2"/>
      <c r="D136" s="2"/>
      <c r="E136" s="2" t="s">
        <v>244</v>
      </c>
      <c r="F136" s="2" t="s">
        <v>245</v>
      </c>
      <c r="G136" s="2" t="s">
        <v>246</v>
      </c>
      <c r="H136" s="2" t="s">
        <v>118</v>
      </c>
      <c r="I136" s="2">
        <v>15</v>
      </c>
      <c r="J136" s="2">
        <v>0</v>
      </c>
      <c r="K136" s="2">
        <v>15</v>
      </c>
      <c r="L136" s="2"/>
      <c r="M136" s="2"/>
      <c r="N136" s="2"/>
      <c r="O136" s="2">
        <f t="shared" si="156"/>
        <v>65.7</v>
      </c>
      <c r="P136" s="2">
        <f t="shared" si="157"/>
        <v>65.7</v>
      </c>
      <c r="Q136" s="2">
        <f t="shared" si="181"/>
        <v>0</v>
      </c>
      <c r="R136" s="2">
        <f t="shared" si="182"/>
        <v>0</v>
      </c>
      <c r="S136" s="2">
        <f t="shared" si="158"/>
        <v>0</v>
      </c>
      <c r="T136" s="2">
        <f t="shared" si="159"/>
        <v>0</v>
      </c>
      <c r="U136" s="2">
        <f t="shared" si="160"/>
        <v>0</v>
      </c>
      <c r="V136" s="2">
        <f t="shared" si="161"/>
        <v>0</v>
      </c>
      <c r="W136" s="2">
        <f t="shared" si="162"/>
        <v>0</v>
      </c>
      <c r="X136" s="2">
        <f t="shared" si="183"/>
        <v>0</v>
      </c>
      <c r="Y136" s="2">
        <f t="shared" si="184"/>
        <v>0</v>
      </c>
      <c r="Z136" s="2"/>
      <c r="AA136" s="2">
        <v>55747649</v>
      </c>
      <c r="AB136" s="2">
        <f t="shared" si="163"/>
        <v>4.38</v>
      </c>
      <c r="AC136" s="2">
        <f t="shared" si="185"/>
        <v>4.38</v>
      </c>
      <c r="AD136" s="2">
        <f t="shared" si="186"/>
        <v>0</v>
      </c>
      <c r="AE136" s="2">
        <f t="shared" si="187"/>
        <v>0</v>
      </c>
      <c r="AF136" s="2">
        <f t="shared" si="188"/>
        <v>0</v>
      </c>
      <c r="AG136" s="2">
        <f t="shared" si="164"/>
        <v>0</v>
      </c>
      <c r="AH136" s="2">
        <f t="shared" si="189"/>
        <v>0</v>
      </c>
      <c r="AI136" s="2">
        <f t="shared" si="190"/>
        <v>0</v>
      </c>
      <c r="AJ136" s="2">
        <f t="shared" si="165"/>
        <v>0</v>
      </c>
      <c r="AK136" s="2">
        <v>4.38</v>
      </c>
      <c r="AL136" s="2">
        <v>4.38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247</v>
      </c>
      <c r="BK136" s="2"/>
      <c r="BL136" s="2"/>
      <c r="BM136" s="2">
        <v>1617</v>
      </c>
      <c r="BN136" s="2">
        <v>0</v>
      </c>
      <c r="BO136" s="2" t="s">
        <v>3</v>
      </c>
      <c r="BP136" s="2">
        <v>0</v>
      </c>
      <c r="BQ136" s="2">
        <v>200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0</v>
      </c>
      <c r="CA136" s="2">
        <v>0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3</v>
      </c>
      <c r="CO136" s="2">
        <v>0</v>
      </c>
      <c r="CP136" s="2">
        <f t="shared" si="166"/>
        <v>65.7</v>
      </c>
      <c r="CQ136" s="2">
        <f t="shared" si="167"/>
        <v>4.38</v>
      </c>
      <c r="CR136" s="2">
        <f t="shared" si="191"/>
        <v>0</v>
      </c>
      <c r="CS136" s="2">
        <f t="shared" si="192"/>
        <v>0</v>
      </c>
      <c r="CT136" s="2">
        <f t="shared" si="168"/>
        <v>0</v>
      </c>
      <c r="CU136" s="2">
        <f t="shared" si="169"/>
        <v>0</v>
      </c>
      <c r="CV136" s="2">
        <f t="shared" si="170"/>
        <v>0</v>
      </c>
      <c r="CW136" s="2">
        <f t="shared" si="171"/>
        <v>0</v>
      </c>
      <c r="CX136" s="2">
        <f t="shared" si="172"/>
        <v>0</v>
      </c>
      <c r="CY136" s="2">
        <f t="shared" si="193"/>
        <v>0</v>
      </c>
      <c r="CZ136" s="2">
        <f t="shared" si="194"/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118</v>
      </c>
      <c r="DW136" s="2" t="s">
        <v>118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56938763</v>
      </c>
      <c r="EF136" s="2">
        <v>200</v>
      </c>
      <c r="EG136" s="2" t="s">
        <v>132</v>
      </c>
      <c r="EH136" s="2">
        <v>0</v>
      </c>
      <c r="EI136" s="2" t="s">
        <v>3</v>
      </c>
      <c r="EJ136" s="2">
        <v>1</v>
      </c>
      <c r="EK136" s="2">
        <v>1617</v>
      </c>
      <c r="EL136" s="2" t="s">
        <v>133</v>
      </c>
      <c r="EM136" s="2" t="s">
        <v>134</v>
      </c>
      <c r="EN136" s="2"/>
      <c r="EO136" s="2" t="s">
        <v>3</v>
      </c>
      <c r="EP136" s="2"/>
      <c r="EQ136" s="2">
        <v>131072</v>
      </c>
      <c r="ER136" s="2">
        <v>4.38</v>
      </c>
      <c r="ES136" s="2">
        <v>4.38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0</v>
      </c>
      <c r="FY136" s="2">
        <v>0</v>
      </c>
      <c r="FZ136" s="2"/>
      <c r="GA136" s="2" t="s">
        <v>3</v>
      </c>
      <c r="GB136" s="2"/>
      <c r="GC136" s="2"/>
      <c r="GD136" s="2">
        <v>1</v>
      </c>
      <c r="GE136" s="2"/>
      <c r="GF136" s="2">
        <v>813030253</v>
      </c>
      <c r="GG136" s="2">
        <v>2</v>
      </c>
      <c r="GH136" s="2">
        <v>1</v>
      </c>
      <c r="GI136" s="2">
        <v>-2</v>
      </c>
      <c r="GJ136" s="2">
        <v>0</v>
      </c>
      <c r="GK136" s="2">
        <v>0</v>
      </c>
      <c r="GL136" s="2">
        <f t="shared" si="173"/>
        <v>0</v>
      </c>
      <c r="GM136" s="2">
        <f t="shared" si="174"/>
        <v>65.7</v>
      </c>
      <c r="GN136" s="2">
        <f t="shared" si="175"/>
        <v>65.7</v>
      </c>
      <c r="GO136" s="2">
        <f t="shared" si="176"/>
        <v>0</v>
      </c>
      <c r="GP136" s="2">
        <f t="shared" si="177"/>
        <v>0</v>
      </c>
      <c r="GQ136" s="2"/>
      <c r="GR136" s="2">
        <v>0</v>
      </c>
      <c r="GS136" s="2">
        <v>3</v>
      </c>
      <c r="GT136" s="2">
        <v>0</v>
      </c>
      <c r="GU136" s="2" t="s">
        <v>3</v>
      </c>
      <c r="GV136" s="2">
        <f t="shared" si="178"/>
        <v>0</v>
      </c>
      <c r="GW136" s="2">
        <v>1</v>
      </c>
      <c r="GX136" s="2">
        <f t="shared" si="179"/>
        <v>0</v>
      </c>
      <c r="GY136" s="2"/>
      <c r="GZ136" s="2"/>
      <c r="HA136" s="2">
        <v>0</v>
      </c>
      <c r="HB136" s="2">
        <v>0</v>
      </c>
      <c r="HC136" s="2">
        <f t="shared" si="180"/>
        <v>0</v>
      </c>
      <c r="HD136" s="2"/>
      <c r="HE136" s="2" t="s">
        <v>3</v>
      </c>
      <c r="HF136" s="2" t="s">
        <v>3</v>
      </c>
      <c r="HG136" s="2"/>
      <c r="HH136" s="2"/>
      <c r="HI136" s="2"/>
      <c r="HJ136" s="2"/>
      <c r="HK136" s="2"/>
      <c r="HL136" s="2"/>
      <c r="HM136" s="2" t="s">
        <v>3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">
      <c r="A137" s="3">
        <v>17</v>
      </c>
      <c r="B137" s="3">
        <v>1</v>
      </c>
      <c r="E137" s="3" t="s">
        <v>244</v>
      </c>
      <c r="F137" s="3" t="s">
        <v>245</v>
      </c>
      <c r="G137" s="3" t="s">
        <v>246</v>
      </c>
      <c r="H137" s="3" t="s">
        <v>118</v>
      </c>
      <c r="I137" s="3">
        <v>15</v>
      </c>
      <c r="J137" s="3">
        <v>0</v>
      </c>
      <c r="K137" s="3">
        <v>15</v>
      </c>
      <c r="O137" s="3">
        <f t="shared" si="156"/>
        <v>741.75</v>
      </c>
      <c r="P137" s="3">
        <f t="shared" si="157"/>
        <v>741.75</v>
      </c>
      <c r="Q137" s="3">
        <f t="shared" si="181"/>
        <v>0</v>
      </c>
      <c r="R137" s="3">
        <f t="shared" si="182"/>
        <v>0</v>
      </c>
      <c r="S137" s="3">
        <f t="shared" si="158"/>
        <v>0</v>
      </c>
      <c r="T137" s="3">
        <f t="shared" si="159"/>
        <v>0</v>
      </c>
      <c r="U137" s="3">
        <f t="shared" si="160"/>
        <v>0</v>
      </c>
      <c r="V137" s="3">
        <f t="shared" si="161"/>
        <v>0</v>
      </c>
      <c r="W137" s="3">
        <f t="shared" si="162"/>
        <v>0</v>
      </c>
      <c r="X137" s="3">
        <f t="shared" si="183"/>
        <v>0</v>
      </c>
      <c r="Y137" s="3">
        <f t="shared" si="184"/>
        <v>0</v>
      </c>
      <c r="AA137" s="3">
        <v>55747651</v>
      </c>
      <c r="AB137" s="3">
        <f t="shared" si="163"/>
        <v>4.38</v>
      </c>
      <c r="AC137" s="3">
        <f t="shared" si="185"/>
        <v>4.38</v>
      </c>
      <c r="AD137" s="3">
        <f t="shared" si="186"/>
        <v>0</v>
      </c>
      <c r="AE137" s="3">
        <f t="shared" si="187"/>
        <v>0</v>
      </c>
      <c r="AF137" s="3">
        <f t="shared" si="188"/>
        <v>0</v>
      </c>
      <c r="AG137" s="3">
        <f t="shared" si="164"/>
        <v>0</v>
      </c>
      <c r="AH137" s="3">
        <f t="shared" si="189"/>
        <v>0</v>
      </c>
      <c r="AI137" s="3">
        <f t="shared" si="190"/>
        <v>0</v>
      </c>
      <c r="AJ137" s="3">
        <f t="shared" si="165"/>
        <v>0</v>
      </c>
      <c r="AK137" s="3">
        <v>4.38</v>
      </c>
      <c r="AL137" s="3">
        <v>4.38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11.29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1</v>
      </c>
      <c r="BJ137" s="3" t="s">
        <v>247</v>
      </c>
      <c r="BM137" s="3">
        <v>1617</v>
      </c>
      <c r="BN137" s="3">
        <v>0</v>
      </c>
      <c r="BO137" s="3" t="s">
        <v>245</v>
      </c>
      <c r="BP137" s="3">
        <v>1</v>
      </c>
      <c r="BQ137" s="3">
        <v>200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0</v>
      </c>
      <c r="CA137" s="3">
        <v>0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3</v>
      </c>
      <c r="CO137" s="3">
        <v>0</v>
      </c>
      <c r="CP137" s="3">
        <f t="shared" si="166"/>
        <v>741.75</v>
      </c>
      <c r="CQ137" s="3">
        <f t="shared" si="167"/>
        <v>49.45</v>
      </c>
      <c r="CR137" s="3">
        <f t="shared" si="191"/>
        <v>0</v>
      </c>
      <c r="CS137" s="3">
        <f t="shared" si="192"/>
        <v>0</v>
      </c>
      <c r="CT137" s="3">
        <f t="shared" si="168"/>
        <v>0</v>
      </c>
      <c r="CU137" s="3">
        <f t="shared" si="169"/>
        <v>0</v>
      </c>
      <c r="CV137" s="3">
        <f t="shared" si="170"/>
        <v>0</v>
      </c>
      <c r="CW137" s="3">
        <f t="shared" si="171"/>
        <v>0</v>
      </c>
      <c r="CX137" s="3">
        <f t="shared" si="172"/>
        <v>0</v>
      </c>
      <c r="CY137" s="3">
        <f t="shared" si="193"/>
        <v>0</v>
      </c>
      <c r="CZ137" s="3">
        <f t="shared" si="194"/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118</v>
      </c>
      <c r="DW137" s="3" t="s">
        <v>118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56938763</v>
      </c>
      <c r="EF137" s="3">
        <v>200</v>
      </c>
      <c r="EG137" s="3" t="s">
        <v>132</v>
      </c>
      <c r="EH137" s="3">
        <v>0</v>
      </c>
      <c r="EI137" s="3" t="s">
        <v>3</v>
      </c>
      <c r="EJ137" s="3">
        <v>1</v>
      </c>
      <c r="EK137" s="3">
        <v>1617</v>
      </c>
      <c r="EL137" s="3" t="s">
        <v>133</v>
      </c>
      <c r="EM137" s="3" t="s">
        <v>134</v>
      </c>
      <c r="EO137" s="3" t="s">
        <v>3</v>
      </c>
      <c r="EQ137" s="3">
        <v>131072</v>
      </c>
      <c r="ER137" s="3">
        <v>4.38</v>
      </c>
      <c r="ES137" s="3">
        <v>4.38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FQ137" s="3">
        <v>0</v>
      </c>
      <c r="FR137" s="3">
        <v>0</v>
      </c>
      <c r="FS137" s="3">
        <v>0</v>
      </c>
      <c r="FX137" s="3">
        <v>0</v>
      </c>
      <c r="FY137" s="3">
        <v>0</v>
      </c>
      <c r="GA137" s="3" t="s">
        <v>3</v>
      </c>
      <c r="GD137" s="3">
        <v>1</v>
      </c>
      <c r="GF137" s="3">
        <v>813030253</v>
      </c>
      <c r="GG137" s="3">
        <v>2</v>
      </c>
      <c r="GH137" s="3">
        <v>1</v>
      </c>
      <c r="GI137" s="3">
        <v>2</v>
      </c>
      <c r="GJ137" s="3">
        <v>0</v>
      </c>
      <c r="GK137" s="3">
        <v>0</v>
      </c>
      <c r="GL137" s="3">
        <f t="shared" si="173"/>
        <v>0</v>
      </c>
      <c r="GM137" s="3">
        <f t="shared" si="174"/>
        <v>741.75</v>
      </c>
      <c r="GN137" s="3">
        <f t="shared" si="175"/>
        <v>741.75</v>
      </c>
      <c r="GO137" s="3">
        <f t="shared" si="176"/>
        <v>0</v>
      </c>
      <c r="GP137" s="3">
        <f t="shared" si="177"/>
        <v>0</v>
      </c>
      <c r="GR137" s="3">
        <v>0</v>
      </c>
      <c r="GS137" s="3">
        <v>3</v>
      </c>
      <c r="GT137" s="3">
        <v>0</v>
      </c>
      <c r="GU137" s="3" t="s">
        <v>3</v>
      </c>
      <c r="GV137" s="3">
        <f t="shared" si="178"/>
        <v>0</v>
      </c>
      <c r="GW137" s="3">
        <v>1</v>
      </c>
      <c r="GX137" s="3">
        <f t="shared" si="179"/>
        <v>0</v>
      </c>
      <c r="HA137" s="3">
        <v>0</v>
      </c>
      <c r="HB137" s="3">
        <v>0</v>
      </c>
      <c r="HC137" s="3">
        <f t="shared" si="180"/>
        <v>0</v>
      </c>
      <c r="HE137" s="3" t="s">
        <v>3</v>
      </c>
      <c r="HF137" s="3" t="s">
        <v>3</v>
      </c>
      <c r="HM137" s="3" t="s">
        <v>3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8" spans="1:255" x14ac:dyDescent="0.2">
      <c r="A138" s="2">
        <v>17</v>
      </c>
      <c r="B138" s="2">
        <v>1</v>
      </c>
      <c r="C138" s="2"/>
      <c r="D138" s="2"/>
      <c r="E138" s="2" t="s">
        <v>248</v>
      </c>
      <c r="F138" s="2" t="s">
        <v>249</v>
      </c>
      <c r="G138" s="2" t="s">
        <v>250</v>
      </c>
      <c r="H138" s="2" t="s">
        <v>118</v>
      </c>
      <c r="I138" s="2">
        <v>10</v>
      </c>
      <c r="J138" s="2">
        <v>0</v>
      </c>
      <c r="K138" s="2">
        <v>10</v>
      </c>
      <c r="L138" s="2"/>
      <c r="M138" s="2"/>
      <c r="N138" s="2"/>
      <c r="O138" s="2">
        <f t="shared" si="156"/>
        <v>154.19999999999999</v>
      </c>
      <c r="P138" s="2">
        <f t="shared" si="157"/>
        <v>154.19999999999999</v>
      </c>
      <c r="Q138" s="2">
        <f t="shared" si="181"/>
        <v>0</v>
      </c>
      <c r="R138" s="2">
        <f t="shared" si="182"/>
        <v>0</v>
      </c>
      <c r="S138" s="2">
        <f t="shared" si="158"/>
        <v>0</v>
      </c>
      <c r="T138" s="2">
        <f t="shared" si="159"/>
        <v>0</v>
      </c>
      <c r="U138" s="2">
        <f t="shared" si="160"/>
        <v>0</v>
      </c>
      <c r="V138" s="2">
        <f t="shared" si="161"/>
        <v>0</v>
      </c>
      <c r="W138" s="2">
        <f t="shared" si="162"/>
        <v>0</v>
      </c>
      <c r="X138" s="2">
        <f t="shared" si="183"/>
        <v>0</v>
      </c>
      <c r="Y138" s="2">
        <f t="shared" si="184"/>
        <v>0</v>
      </c>
      <c r="Z138" s="2"/>
      <c r="AA138" s="2">
        <v>55747649</v>
      </c>
      <c r="AB138" s="2">
        <f t="shared" si="163"/>
        <v>15.42</v>
      </c>
      <c r="AC138" s="2">
        <f t="shared" si="185"/>
        <v>15.42</v>
      </c>
      <c r="AD138" s="2">
        <f t="shared" si="186"/>
        <v>0</v>
      </c>
      <c r="AE138" s="2">
        <f t="shared" si="187"/>
        <v>0</v>
      </c>
      <c r="AF138" s="2">
        <f t="shared" si="188"/>
        <v>0</v>
      </c>
      <c r="AG138" s="2">
        <f t="shared" si="164"/>
        <v>0</v>
      </c>
      <c r="AH138" s="2">
        <f t="shared" si="189"/>
        <v>0</v>
      </c>
      <c r="AI138" s="2">
        <f t="shared" si="190"/>
        <v>0</v>
      </c>
      <c r="AJ138" s="2">
        <f t="shared" si="165"/>
        <v>0</v>
      </c>
      <c r="AK138" s="2">
        <v>15.42</v>
      </c>
      <c r="AL138" s="2">
        <v>15.42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1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3</v>
      </c>
      <c r="BI138" s="2">
        <v>1</v>
      </c>
      <c r="BJ138" s="2" t="s">
        <v>251</v>
      </c>
      <c r="BK138" s="2"/>
      <c r="BL138" s="2"/>
      <c r="BM138" s="2">
        <v>1617</v>
      </c>
      <c r="BN138" s="2">
        <v>0</v>
      </c>
      <c r="BO138" s="2" t="s">
        <v>3</v>
      </c>
      <c r="BP138" s="2">
        <v>0</v>
      </c>
      <c r="BQ138" s="2">
        <v>200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0</v>
      </c>
      <c r="CA138" s="2">
        <v>0</v>
      </c>
      <c r="CB138" s="2" t="s">
        <v>3</v>
      </c>
      <c r="CC138" s="2"/>
      <c r="CD138" s="2"/>
      <c r="CE138" s="2">
        <v>1566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3</v>
      </c>
      <c r="CO138" s="2">
        <v>0</v>
      </c>
      <c r="CP138" s="2">
        <f t="shared" si="166"/>
        <v>154.19999999999999</v>
      </c>
      <c r="CQ138" s="2">
        <f t="shared" si="167"/>
        <v>15.42</v>
      </c>
      <c r="CR138" s="2">
        <f t="shared" si="191"/>
        <v>0</v>
      </c>
      <c r="CS138" s="2">
        <f t="shared" si="192"/>
        <v>0</v>
      </c>
      <c r="CT138" s="2">
        <f t="shared" si="168"/>
        <v>0</v>
      </c>
      <c r="CU138" s="2">
        <f t="shared" si="169"/>
        <v>0</v>
      </c>
      <c r="CV138" s="2">
        <f t="shared" si="170"/>
        <v>0</v>
      </c>
      <c r="CW138" s="2">
        <f t="shared" si="171"/>
        <v>0</v>
      </c>
      <c r="CX138" s="2">
        <f t="shared" si="172"/>
        <v>0</v>
      </c>
      <c r="CY138" s="2">
        <f t="shared" si="193"/>
        <v>0</v>
      </c>
      <c r="CZ138" s="2">
        <f t="shared" si="194"/>
        <v>0</v>
      </c>
      <c r="DA138" s="2"/>
      <c r="DB138" s="2"/>
      <c r="DC138" s="2" t="s">
        <v>3</v>
      </c>
      <c r="DD138" s="2" t="s">
        <v>3</v>
      </c>
      <c r="DE138" s="2" t="s">
        <v>3</v>
      </c>
      <c r="DF138" s="2" t="s">
        <v>3</v>
      </c>
      <c r="DG138" s="2" t="s">
        <v>3</v>
      </c>
      <c r="DH138" s="2" t="s">
        <v>3</v>
      </c>
      <c r="DI138" s="2" t="s">
        <v>3</v>
      </c>
      <c r="DJ138" s="2" t="s">
        <v>3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1010</v>
      </c>
      <c r="DV138" s="2" t="s">
        <v>118</v>
      </c>
      <c r="DW138" s="2" t="s">
        <v>118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56938763</v>
      </c>
      <c r="EF138" s="2">
        <v>200</v>
      </c>
      <c r="EG138" s="2" t="s">
        <v>132</v>
      </c>
      <c r="EH138" s="2">
        <v>0</v>
      </c>
      <c r="EI138" s="2" t="s">
        <v>3</v>
      </c>
      <c r="EJ138" s="2">
        <v>1</v>
      </c>
      <c r="EK138" s="2">
        <v>1617</v>
      </c>
      <c r="EL138" s="2" t="s">
        <v>133</v>
      </c>
      <c r="EM138" s="2" t="s">
        <v>134</v>
      </c>
      <c r="EN138" s="2"/>
      <c r="EO138" s="2" t="s">
        <v>3</v>
      </c>
      <c r="EP138" s="2"/>
      <c r="EQ138" s="2">
        <v>131072</v>
      </c>
      <c r="ER138" s="2">
        <v>15.42</v>
      </c>
      <c r="ES138" s="2">
        <v>15.42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0</v>
      </c>
      <c r="FY138" s="2">
        <v>0</v>
      </c>
      <c r="FZ138" s="2"/>
      <c r="GA138" s="2" t="s">
        <v>3</v>
      </c>
      <c r="GB138" s="2"/>
      <c r="GC138" s="2"/>
      <c r="GD138" s="2">
        <v>1</v>
      </c>
      <c r="GE138" s="2"/>
      <c r="GF138" s="2">
        <v>1361731737</v>
      </c>
      <c r="GG138" s="2">
        <v>2</v>
      </c>
      <c r="GH138" s="2">
        <v>1</v>
      </c>
      <c r="GI138" s="2">
        <v>-2</v>
      </c>
      <c r="GJ138" s="2">
        <v>0</v>
      </c>
      <c r="GK138" s="2">
        <v>0</v>
      </c>
      <c r="GL138" s="2">
        <f t="shared" si="173"/>
        <v>0</v>
      </c>
      <c r="GM138" s="2">
        <f t="shared" si="174"/>
        <v>154.19999999999999</v>
      </c>
      <c r="GN138" s="2">
        <f t="shared" si="175"/>
        <v>154.19999999999999</v>
      </c>
      <c r="GO138" s="2">
        <f t="shared" si="176"/>
        <v>0</v>
      </c>
      <c r="GP138" s="2">
        <f t="shared" si="177"/>
        <v>0</v>
      </c>
      <c r="GQ138" s="2"/>
      <c r="GR138" s="2">
        <v>0</v>
      </c>
      <c r="GS138" s="2">
        <v>3</v>
      </c>
      <c r="GT138" s="2">
        <v>0</v>
      </c>
      <c r="GU138" s="2" t="s">
        <v>3</v>
      </c>
      <c r="GV138" s="2">
        <f t="shared" si="178"/>
        <v>0</v>
      </c>
      <c r="GW138" s="2">
        <v>1</v>
      </c>
      <c r="GX138" s="2">
        <f t="shared" si="179"/>
        <v>0</v>
      </c>
      <c r="GY138" s="2"/>
      <c r="GZ138" s="2"/>
      <c r="HA138" s="2">
        <v>0</v>
      </c>
      <c r="HB138" s="2">
        <v>0</v>
      </c>
      <c r="HC138" s="2">
        <f t="shared" si="180"/>
        <v>0</v>
      </c>
      <c r="HD138" s="2"/>
      <c r="HE138" s="2" t="s">
        <v>3</v>
      </c>
      <c r="HF138" s="2" t="s">
        <v>3</v>
      </c>
      <c r="HG138" s="2"/>
      <c r="HH138" s="2"/>
      <c r="HI138" s="2"/>
      <c r="HJ138" s="2"/>
      <c r="HK138" s="2"/>
      <c r="HL138" s="2"/>
      <c r="HM138" s="2" t="s">
        <v>3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">
      <c r="A139" s="3">
        <v>17</v>
      </c>
      <c r="B139" s="3">
        <v>1</v>
      </c>
      <c r="E139" s="3" t="s">
        <v>248</v>
      </c>
      <c r="F139" s="3" t="s">
        <v>249</v>
      </c>
      <c r="G139" s="3" t="s">
        <v>250</v>
      </c>
      <c r="H139" s="3" t="s">
        <v>118</v>
      </c>
      <c r="I139" s="3">
        <v>10</v>
      </c>
      <c r="J139" s="3">
        <v>0</v>
      </c>
      <c r="K139" s="3">
        <v>10</v>
      </c>
      <c r="O139" s="3">
        <f t="shared" si="156"/>
        <v>815.72</v>
      </c>
      <c r="P139" s="3">
        <f t="shared" si="157"/>
        <v>815.72</v>
      </c>
      <c r="Q139" s="3">
        <f t="shared" si="181"/>
        <v>0</v>
      </c>
      <c r="R139" s="3">
        <f t="shared" si="182"/>
        <v>0</v>
      </c>
      <c r="S139" s="3">
        <f t="shared" si="158"/>
        <v>0</v>
      </c>
      <c r="T139" s="3">
        <f t="shared" si="159"/>
        <v>0</v>
      </c>
      <c r="U139" s="3">
        <f t="shared" si="160"/>
        <v>0</v>
      </c>
      <c r="V139" s="3">
        <f t="shared" si="161"/>
        <v>0</v>
      </c>
      <c r="W139" s="3">
        <f t="shared" si="162"/>
        <v>0</v>
      </c>
      <c r="X139" s="3">
        <f t="shared" si="183"/>
        <v>0</v>
      </c>
      <c r="Y139" s="3">
        <f t="shared" si="184"/>
        <v>0</v>
      </c>
      <c r="AA139" s="3">
        <v>55747651</v>
      </c>
      <c r="AB139" s="3">
        <f t="shared" si="163"/>
        <v>15.42</v>
      </c>
      <c r="AC139" s="3">
        <f t="shared" si="185"/>
        <v>15.42</v>
      </c>
      <c r="AD139" s="3">
        <f t="shared" si="186"/>
        <v>0</v>
      </c>
      <c r="AE139" s="3">
        <f t="shared" si="187"/>
        <v>0</v>
      </c>
      <c r="AF139" s="3">
        <f t="shared" si="188"/>
        <v>0</v>
      </c>
      <c r="AG139" s="3">
        <f t="shared" si="164"/>
        <v>0</v>
      </c>
      <c r="AH139" s="3">
        <f t="shared" si="189"/>
        <v>0</v>
      </c>
      <c r="AI139" s="3">
        <f t="shared" si="190"/>
        <v>0</v>
      </c>
      <c r="AJ139" s="3">
        <f t="shared" si="165"/>
        <v>0</v>
      </c>
      <c r="AK139" s="3">
        <v>15.42</v>
      </c>
      <c r="AL139" s="3">
        <v>15.42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1</v>
      </c>
      <c r="AW139" s="3">
        <v>1</v>
      </c>
      <c r="AZ139" s="3">
        <v>1</v>
      </c>
      <c r="BA139" s="3">
        <v>1</v>
      </c>
      <c r="BB139" s="3">
        <v>1</v>
      </c>
      <c r="BC139" s="3">
        <v>5.29</v>
      </c>
      <c r="BD139" s="3" t="s">
        <v>3</v>
      </c>
      <c r="BE139" s="3" t="s">
        <v>3</v>
      </c>
      <c r="BF139" s="3" t="s">
        <v>3</v>
      </c>
      <c r="BG139" s="3" t="s">
        <v>3</v>
      </c>
      <c r="BH139" s="3">
        <v>3</v>
      </c>
      <c r="BI139" s="3">
        <v>1</v>
      </c>
      <c r="BJ139" s="3" t="s">
        <v>251</v>
      </c>
      <c r="BM139" s="3">
        <v>1617</v>
      </c>
      <c r="BN139" s="3">
        <v>0</v>
      </c>
      <c r="BO139" s="3" t="s">
        <v>249</v>
      </c>
      <c r="BP139" s="3">
        <v>1</v>
      </c>
      <c r="BQ139" s="3">
        <v>200</v>
      </c>
      <c r="BR139" s="3">
        <v>0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 t="s">
        <v>3</v>
      </c>
      <c r="BZ139" s="3">
        <v>0</v>
      </c>
      <c r="CA139" s="3">
        <v>0</v>
      </c>
      <c r="CB139" s="3" t="s">
        <v>3</v>
      </c>
      <c r="CE139" s="3">
        <v>1566</v>
      </c>
      <c r="CF139" s="3">
        <v>0</v>
      </c>
      <c r="CG139" s="3">
        <v>0</v>
      </c>
      <c r="CM139" s="3">
        <v>0</v>
      </c>
      <c r="CN139" s="3" t="s">
        <v>3</v>
      </c>
      <c r="CO139" s="3">
        <v>0</v>
      </c>
      <c r="CP139" s="3">
        <f t="shared" si="166"/>
        <v>815.72</v>
      </c>
      <c r="CQ139" s="3">
        <f t="shared" si="167"/>
        <v>81.569999999999993</v>
      </c>
      <c r="CR139" s="3">
        <f t="shared" si="191"/>
        <v>0</v>
      </c>
      <c r="CS139" s="3">
        <f t="shared" si="192"/>
        <v>0</v>
      </c>
      <c r="CT139" s="3">
        <f t="shared" si="168"/>
        <v>0</v>
      </c>
      <c r="CU139" s="3">
        <f t="shared" si="169"/>
        <v>0</v>
      </c>
      <c r="CV139" s="3">
        <f t="shared" si="170"/>
        <v>0</v>
      </c>
      <c r="CW139" s="3">
        <f t="shared" si="171"/>
        <v>0</v>
      </c>
      <c r="CX139" s="3">
        <f t="shared" si="172"/>
        <v>0</v>
      </c>
      <c r="CY139" s="3">
        <f t="shared" si="193"/>
        <v>0</v>
      </c>
      <c r="CZ139" s="3">
        <f t="shared" si="194"/>
        <v>0</v>
      </c>
      <c r="DC139" s="3" t="s">
        <v>3</v>
      </c>
      <c r="DD139" s="3" t="s">
        <v>3</v>
      </c>
      <c r="DE139" s="3" t="s">
        <v>3</v>
      </c>
      <c r="DF139" s="3" t="s">
        <v>3</v>
      </c>
      <c r="DG139" s="3" t="s">
        <v>3</v>
      </c>
      <c r="DH139" s="3" t="s">
        <v>3</v>
      </c>
      <c r="DI139" s="3" t="s">
        <v>3</v>
      </c>
      <c r="DJ139" s="3" t="s">
        <v>3</v>
      </c>
      <c r="DK139" s="3" t="s">
        <v>3</v>
      </c>
      <c r="DL139" s="3" t="s">
        <v>3</v>
      </c>
      <c r="DM139" s="3" t="s">
        <v>3</v>
      </c>
      <c r="DN139" s="3">
        <v>0</v>
      </c>
      <c r="DO139" s="3">
        <v>0</v>
      </c>
      <c r="DP139" s="3">
        <v>1</v>
      </c>
      <c r="DQ139" s="3">
        <v>1</v>
      </c>
      <c r="DU139" s="3">
        <v>1010</v>
      </c>
      <c r="DV139" s="3" t="s">
        <v>118</v>
      </c>
      <c r="DW139" s="3" t="s">
        <v>118</v>
      </c>
      <c r="DX139" s="3">
        <v>1</v>
      </c>
      <c r="DZ139" s="3" t="s">
        <v>3</v>
      </c>
      <c r="EA139" s="3" t="s">
        <v>3</v>
      </c>
      <c r="EB139" s="3" t="s">
        <v>3</v>
      </c>
      <c r="EC139" s="3" t="s">
        <v>3</v>
      </c>
      <c r="EE139" s="3">
        <v>56938763</v>
      </c>
      <c r="EF139" s="3">
        <v>200</v>
      </c>
      <c r="EG139" s="3" t="s">
        <v>132</v>
      </c>
      <c r="EH139" s="3">
        <v>0</v>
      </c>
      <c r="EI139" s="3" t="s">
        <v>3</v>
      </c>
      <c r="EJ139" s="3">
        <v>1</v>
      </c>
      <c r="EK139" s="3">
        <v>1617</v>
      </c>
      <c r="EL139" s="3" t="s">
        <v>133</v>
      </c>
      <c r="EM139" s="3" t="s">
        <v>134</v>
      </c>
      <c r="EO139" s="3" t="s">
        <v>3</v>
      </c>
      <c r="EQ139" s="3">
        <v>131072</v>
      </c>
      <c r="ER139" s="3">
        <v>15.42</v>
      </c>
      <c r="ES139" s="3">
        <v>15.42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FQ139" s="3">
        <v>0</v>
      </c>
      <c r="FR139" s="3">
        <v>0</v>
      </c>
      <c r="FS139" s="3">
        <v>0</v>
      </c>
      <c r="FX139" s="3">
        <v>0</v>
      </c>
      <c r="FY139" s="3">
        <v>0</v>
      </c>
      <c r="GA139" s="3" t="s">
        <v>3</v>
      </c>
      <c r="GD139" s="3">
        <v>1</v>
      </c>
      <c r="GF139" s="3">
        <v>1361731737</v>
      </c>
      <c r="GG139" s="3">
        <v>2</v>
      </c>
      <c r="GH139" s="3">
        <v>1</v>
      </c>
      <c r="GI139" s="3">
        <v>2</v>
      </c>
      <c r="GJ139" s="3">
        <v>0</v>
      </c>
      <c r="GK139" s="3">
        <v>0</v>
      </c>
      <c r="GL139" s="3">
        <f t="shared" si="173"/>
        <v>0</v>
      </c>
      <c r="GM139" s="3">
        <f t="shared" si="174"/>
        <v>815.72</v>
      </c>
      <c r="GN139" s="3">
        <f t="shared" si="175"/>
        <v>815.72</v>
      </c>
      <c r="GO139" s="3">
        <f t="shared" si="176"/>
        <v>0</v>
      </c>
      <c r="GP139" s="3">
        <f t="shared" si="177"/>
        <v>0</v>
      </c>
      <c r="GR139" s="3">
        <v>0</v>
      </c>
      <c r="GS139" s="3">
        <v>3</v>
      </c>
      <c r="GT139" s="3">
        <v>0</v>
      </c>
      <c r="GU139" s="3" t="s">
        <v>3</v>
      </c>
      <c r="GV139" s="3">
        <f t="shared" si="178"/>
        <v>0</v>
      </c>
      <c r="GW139" s="3">
        <v>1</v>
      </c>
      <c r="GX139" s="3">
        <f t="shared" si="179"/>
        <v>0</v>
      </c>
      <c r="HA139" s="3">
        <v>0</v>
      </c>
      <c r="HB139" s="3">
        <v>0</v>
      </c>
      <c r="HC139" s="3">
        <f t="shared" si="180"/>
        <v>0</v>
      </c>
      <c r="HE139" s="3" t="s">
        <v>3</v>
      </c>
      <c r="HF139" s="3" t="s">
        <v>3</v>
      </c>
      <c r="HM139" s="3" t="s">
        <v>3</v>
      </c>
      <c r="HN139" s="3" t="s">
        <v>3</v>
      </c>
      <c r="HO139" s="3" t="s">
        <v>3</v>
      </c>
      <c r="HP139" s="3" t="s">
        <v>3</v>
      </c>
      <c r="HQ139" s="3" t="s">
        <v>3</v>
      </c>
      <c r="HS139" s="3">
        <v>0</v>
      </c>
      <c r="IK139" s="3">
        <v>0</v>
      </c>
    </row>
    <row r="140" spans="1:255" x14ac:dyDescent="0.2">
      <c r="A140" s="2">
        <v>17</v>
      </c>
      <c r="B140" s="2">
        <v>1</v>
      </c>
      <c r="C140" s="2">
        <f>ROW(SmtRes!A394)</f>
        <v>394</v>
      </c>
      <c r="D140" s="2">
        <f>ROW(EtalonRes!A425)</f>
        <v>425</v>
      </c>
      <c r="E140" s="2" t="s">
        <v>3</v>
      </c>
      <c r="F140" s="2" t="s">
        <v>252</v>
      </c>
      <c r="G140" s="2" t="s">
        <v>253</v>
      </c>
      <c r="H140" s="2" t="s">
        <v>254</v>
      </c>
      <c r="I140" s="2">
        <f>ROUND((45+45)/100,9)</f>
        <v>0.9</v>
      </c>
      <c r="J140" s="2">
        <v>0</v>
      </c>
      <c r="K140" s="2">
        <f>ROUND((45+45)/100,9)</f>
        <v>0.9</v>
      </c>
      <c r="L140" s="2"/>
      <c r="M140" s="2"/>
      <c r="N140" s="2"/>
      <c r="O140" s="2">
        <f t="shared" si="156"/>
        <v>356.04</v>
      </c>
      <c r="P140" s="2">
        <f t="shared" si="157"/>
        <v>0</v>
      </c>
      <c r="Q140" s="2">
        <f>(ROUND((ROUND(((((ET140*1.25)*1.2))*AV140*I140),2)*BB140),2)+ROUND((ROUND(((AE140-(((EU140*1.25)*1.2)))*AV140*I140),2)*BS140),2))</f>
        <v>3.65</v>
      </c>
      <c r="R140" s="2">
        <f>(ROUND((ROUND(((((EU140*1.25)*1.2))*AV140*I140),2)*BS140),2)+ROUND((ROUND(((AE140-(((EU140*1.25)*1.2)))*AV140*I140),2)*BS140),2))</f>
        <v>0.56000000000000005</v>
      </c>
      <c r="S140" s="2">
        <f t="shared" si="158"/>
        <v>352.39</v>
      </c>
      <c r="T140" s="2">
        <f t="shared" si="159"/>
        <v>0</v>
      </c>
      <c r="U140" s="2">
        <f t="shared" si="160"/>
        <v>18.090723599999997</v>
      </c>
      <c r="V140" s="2">
        <f t="shared" si="161"/>
        <v>0</v>
      </c>
      <c r="W140" s="2">
        <f t="shared" si="162"/>
        <v>0</v>
      </c>
      <c r="X140" s="2">
        <f>(ROUND((((S140+ROUND((ROUND(((((EU140*1.25)*1.2))*AV140*I140),2)*BS140),2))*AT140)/100),2)+ROUND(((ROUND((ROUND(((AE140-(((EU140*1.25)*1.2)))*AV140*I140),2)*BS140),2)*AT140)/100),2))</f>
        <v>328.24</v>
      </c>
      <c r="Y140" s="2">
        <f>(ROUND((((S140+ROUND((ROUND(((((EU140*1.25)*1.2))*AV140*I140),2)*BS140),2))*AU140)/100),2)+ROUND(((ROUND((ROUND(((AE140-(((EU140*1.25)*1.2)))*AV140*I140),2)*BS140),2)*AU140)/100),2))</f>
        <v>218.83</v>
      </c>
      <c r="Z140" s="2"/>
      <c r="AA140" s="2">
        <v>-1</v>
      </c>
      <c r="AB140" s="2">
        <f t="shared" si="163"/>
        <v>363.94260000000003</v>
      </c>
      <c r="AC140" s="2">
        <f>ROUND((((ES140*1)*1)),6)</f>
        <v>0</v>
      </c>
      <c r="AD140" s="2">
        <f>ROUND((((((ET140*1.25)*1.2))-(((EU140*1.25)*1.2)))+AE140),6)</f>
        <v>3.7349999999999999</v>
      </c>
      <c r="AE140" s="2">
        <f>ROUND((((EU140*1.25)*1.2)),6)</f>
        <v>0.56999999999999995</v>
      </c>
      <c r="AF140" s="2">
        <f>ROUND((((EV140*1.15)*1.2)),6)</f>
        <v>360.20760000000001</v>
      </c>
      <c r="AG140" s="2">
        <f t="shared" si="164"/>
        <v>0</v>
      </c>
      <c r="AH140" s="2">
        <f>(((EW140*1.15)*1.2))</f>
        <v>18.491999999999997</v>
      </c>
      <c r="AI140" s="2">
        <f>(((EX140*1.25)*1.2))</f>
        <v>0</v>
      </c>
      <c r="AJ140" s="2">
        <f t="shared" si="165"/>
        <v>0</v>
      </c>
      <c r="AK140" s="2">
        <v>263.51</v>
      </c>
      <c r="AL140" s="2">
        <v>0</v>
      </c>
      <c r="AM140" s="2">
        <v>2.4900000000000002</v>
      </c>
      <c r="AN140" s="2">
        <v>0.38</v>
      </c>
      <c r="AO140" s="2">
        <v>261.02</v>
      </c>
      <c r="AP140" s="2">
        <v>0</v>
      </c>
      <c r="AQ140" s="2">
        <v>13.4</v>
      </c>
      <c r="AR140" s="2">
        <v>0</v>
      </c>
      <c r="AS140" s="2">
        <v>0</v>
      </c>
      <c r="AT140" s="2">
        <v>93</v>
      </c>
      <c r="AU140" s="2">
        <v>62</v>
      </c>
      <c r="AV140" s="2">
        <v>1.087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0</v>
      </c>
      <c r="BI140" s="2">
        <v>1</v>
      </c>
      <c r="BJ140" s="2" t="s">
        <v>255</v>
      </c>
      <c r="BK140" s="2"/>
      <c r="BL140" s="2"/>
      <c r="BM140" s="2">
        <v>55</v>
      </c>
      <c r="BN140" s="2">
        <v>0</v>
      </c>
      <c r="BO140" s="2" t="s">
        <v>252</v>
      </c>
      <c r="BP140" s="2">
        <v>1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93</v>
      </c>
      <c r="CA140" s="2">
        <v>62</v>
      </c>
      <c r="CB140" s="2" t="s">
        <v>3</v>
      </c>
      <c r="CC140" s="2"/>
      <c r="CD140" s="2"/>
      <c r="CE140" s="2">
        <v>1566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717</v>
      </c>
      <c r="CO140" s="2">
        <v>0</v>
      </c>
      <c r="CP140" s="2">
        <f t="shared" si="166"/>
        <v>356.03999999999996</v>
      </c>
      <c r="CQ140" s="2">
        <f t="shared" si="167"/>
        <v>0</v>
      </c>
      <c r="CR140" s="2">
        <f>(ROUND((ROUND(((((ET140*1.25)*1.2))*AV140*1),2)*BB140),2)+ROUND((ROUND(((AE140-(((EU140*1.25)*1.2)))*AV140*1),2)*BS140),2))</f>
        <v>4.0599999999999996</v>
      </c>
      <c r="CS140" s="2">
        <f>(ROUND((ROUND(((((EU140*1.25)*1.2))*AV140*1),2)*BS140),2)+ROUND((ROUND(((AE140-(((EU140*1.25)*1.2)))*AV140*1),2)*BS140),2))</f>
        <v>0.62</v>
      </c>
      <c r="CT140" s="2">
        <f t="shared" si="168"/>
        <v>391.55</v>
      </c>
      <c r="CU140" s="2">
        <f t="shared" si="169"/>
        <v>0</v>
      </c>
      <c r="CV140" s="2">
        <f t="shared" si="170"/>
        <v>20.100803999999997</v>
      </c>
      <c r="CW140" s="2">
        <f t="shared" si="171"/>
        <v>0</v>
      </c>
      <c r="CX140" s="2">
        <f t="shared" si="172"/>
        <v>0</v>
      </c>
      <c r="CY140" s="2">
        <f>(ROUND((((S140+ROUND((ROUND(((((EU140*1.25)*1.2))*AV140*1),2)*BS140),2))*AT140)/100),2)+ROUND(((ROUND((ROUND(((AE140-(((EU140*1.25)*1.2)))*AV140*1),2)*BS140),2)*AT140)/100),2))</f>
        <v>328.3</v>
      </c>
      <c r="CZ140" s="2">
        <f>(ROUND((((S140+ROUND((ROUND(((((EU140*1.25)*1.2))*AV140*1),2)*BS140),2))*AU140)/100),2)+ROUND(((ROUND((ROUND(((AE140-(((EU140*1.25)*1.2)))*AV140*1),2)*BS140),2)*AU140)/100),2))</f>
        <v>218.87</v>
      </c>
      <c r="DA140" s="2"/>
      <c r="DB140" s="2">
        <v>57</v>
      </c>
      <c r="DC140" s="2" t="s">
        <v>3</v>
      </c>
      <c r="DD140" s="2" t="s">
        <v>38</v>
      </c>
      <c r="DE140" s="2" t="s">
        <v>97</v>
      </c>
      <c r="DF140" s="2" t="s">
        <v>97</v>
      </c>
      <c r="DG140" s="2" t="s">
        <v>98</v>
      </c>
      <c r="DH140" s="2" t="s">
        <v>3</v>
      </c>
      <c r="DI140" s="2" t="s">
        <v>98</v>
      </c>
      <c r="DJ140" s="2" t="s">
        <v>97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254</v>
      </c>
      <c r="DW140" s="2" t="s">
        <v>254</v>
      </c>
      <c r="DX140" s="2">
        <v>100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56938723</v>
      </c>
      <c r="EF140" s="2">
        <v>30</v>
      </c>
      <c r="EG140" s="2" t="s">
        <v>41</v>
      </c>
      <c r="EH140" s="2">
        <v>0</v>
      </c>
      <c r="EI140" s="2" t="s">
        <v>3</v>
      </c>
      <c r="EJ140" s="2">
        <v>1</v>
      </c>
      <c r="EK140" s="2">
        <v>55</v>
      </c>
      <c r="EL140" s="2" t="s">
        <v>256</v>
      </c>
      <c r="EM140" s="2" t="s">
        <v>257</v>
      </c>
      <c r="EN140" s="2"/>
      <c r="EO140" s="2" t="s">
        <v>99</v>
      </c>
      <c r="EP140" s="2"/>
      <c r="EQ140" s="2">
        <v>132096</v>
      </c>
      <c r="ER140" s="2">
        <v>263.51</v>
      </c>
      <c r="ES140" s="2">
        <v>0</v>
      </c>
      <c r="ET140" s="2">
        <v>2.4900000000000002</v>
      </c>
      <c r="EU140" s="2">
        <v>0.38</v>
      </c>
      <c r="EV140" s="2">
        <v>261.02</v>
      </c>
      <c r="EW140" s="2">
        <v>13.4</v>
      </c>
      <c r="EX140" s="2">
        <v>0</v>
      </c>
      <c r="EY140" s="2">
        <v>0</v>
      </c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93</v>
      </c>
      <c r="FY140" s="2">
        <v>62</v>
      </c>
      <c r="FZ140" s="2"/>
      <c r="GA140" s="2" t="s">
        <v>3</v>
      </c>
      <c r="GB140" s="2"/>
      <c r="GC140" s="2"/>
      <c r="GD140" s="2">
        <v>1</v>
      </c>
      <c r="GE140" s="2"/>
      <c r="GF140" s="2">
        <v>-1922285439</v>
      </c>
      <c r="GG140" s="2">
        <v>2</v>
      </c>
      <c r="GH140" s="2">
        <v>1</v>
      </c>
      <c r="GI140" s="2">
        <v>2</v>
      </c>
      <c r="GJ140" s="2">
        <v>0</v>
      </c>
      <c r="GK140" s="2">
        <v>0</v>
      </c>
      <c r="GL140" s="2">
        <f t="shared" si="173"/>
        <v>0</v>
      </c>
      <c r="GM140" s="2">
        <f t="shared" si="174"/>
        <v>903.11</v>
      </c>
      <c r="GN140" s="2">
        <f t="shared" si="175"/>
        <v>903.11</v>
      </c>
      <c r="GO140" s="2">
        <f t="shared" si="176"/>
        <v>0</v>
      </c>
      <c r="GP140" s="2">
        <f t="shared" si="177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178"/>
        <v>0</v>
      </c>
      <c r="GW140" s="2">
        <v>1</v>
      </c>
      <c r="GX140" s="2">
        <f t="shared" si="179"/>
        <v>0</v>
      </c>
      <c r="GY140" s="2"/>
      <c r="GZ140" s="2"/>
      <c r="HA140" s="2">
        <v>0</v>
      </c>
      <c r="HB140" s="2">
        <v>0</v>
      </c>
      <c r="HC140" s="2">
        <f t="shared" si="180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">
      <c r="A141" s="3">
        <v>17</v>
      </c>
      <c r="B141" s="3">
        <v>1</v>
      </c>
      <c r="C141" s="3">
        <f>ROW(SmtRes!A398)</f>
        <v>398</v>
      </c>
      <c r="D141" s="3">
        <f>ROW(EtalonRes!A428)</f>
        <v>428</v>
      </c>
      <c r="E141" s="3" t="s">
        <v>3</v>
      </c>
      <c r="F141" s="3" t="s">
        <v>252</v>
      </c>
      <c r="G141" s="3" t="s">
        <v>253</v>
      </c>
      <c r="H141" s="3" t="s">
        <v>254</v>
      </c>
      <c r="I141" s="3">
        <f>ROUND((45+45)/100,9)</f>
        <v>0.9</v>
      </c>
      <c r="J141" s="3">
        <v>0</v>
      </c>
      <c r="K141" s="3">
        <f>ROUND((45+45)/100,9)</f>
        <v>0.9</v>
      </c>
      <c r="O141" s="3">
        <f t="shared" si="156"/>
        <v>19919.560000000001</v>
      </c>
      <c r="P141" s="3">
        <f t="shared" si="157"/>
        <v>0</v>
      </c>
      <c r="Q141" s="3">
        <f>(ROUND((ROUND(((((ET141*1.25)*1.2))*AV141*I141),2)*BB141),2)+ROUND((ROUND(((AE141-(((EU141*1.25)*1.2)))*AV141*I141),2)*BS141),2))</f>
        <v>62.38</v>
      </c>
      <c r="R141" s="3">
        <f>(ROUND((ROUND(((((EU141*1.25)*1.2))*AV141*I141),2)*BS141),2)+ROUND((ROUND(((AE141-(((EU141*1.25)*1.2)))*AV141*I141),2)*BS141),2))</f>
        <v>31.56</v>
      </c>
      <c r="S141" s="3">
        <f t="shared" si="158"/>
        <v>19857.18</v>
      </c>
      <c r="T141" s="3">
        <f t="shared" si="159"/>
        <v>0</v>
      </c>
      <c r="U141" s="3">
        <f t="shared" si="160"/>
        <v>18.090723599999997</v>
      </c>
      <c r="V141" s="3">
        <f t="shared" si="161"/>
        <v>0</v>
      </c>
      <c r="W141" s="3">
        <f t="shared" si="162"/>
        <v>0</v>
      </c>
      <c r="X141" s="3">
        <f>(ROUND((((S141+ROUND((ROUND(((((EU141*1.25)*1.2))*AV141*I141),2)*BS141),2))*AT141)/100),2)+ROUND(((ROUND((ROUND(((AE141-(((EU141*1.25)*1.2)))*AV141*I141),2)*BS141),2)*AT141)/100),2))</f>
        <v>18496.53</v>
      </c>
      <c r="Y141" s="3">
        <f>(ROUND((((S141+ROUND((ROUND(((((EU141*1.25)*1.2))*AV141*I141),2)*BS141),2))*AU141)/100),2)+ROUND(((ROUND((ROUND(((AE141-(((EU141*1.25)*1.2)))*AV141*I141),2)*BS141),2)*AU141)/100),2))</f>
        <v>12331.02</v>
      </c>
      <c r="AA141" s="3">
        <v>-1</v>
      </c>
      <c r="AB141" s="3">
        <f t="shared" si="163"/>
        <v>363.94260000000003</v>
      </c>
      <c r="AC141" s="3">
        <f>ROUND((((ES141*1)*1)),6)</f>
        <v>0</v>
      </c>
      <c r="AD141" s="3">
        <f>ROUND((((((ET141*1.25)*1.2))-(((EU141*1.25)*1.2)))+AE141),6)</f>
        <v>3.7349999999999999</v>
      </c>
      <c r="AE141" s="3">
        <f>ROUND((((EU141*1.25)*1.2)),6)</f>
        <v>0.56999999999999995</v>
      </c>
      <c r="AF141" s="3">
        <f>ROUND((((EV141*1.15)*1.2)),6)</f>
        <v>360.20760000000001</v>
      </c>
      <c r="AG141" s="3">
        <f t="shared" si="164"/>
        <v>0</v>
      </c>
      <c r="AH141" s="3">
        <f>(((EW141*1.15)*1.2))</f>
        <v>18.491999999999997</v>
      </c>
      <c r="AI141" s="3">
        <f>(((EX141*1.25)*1.2))</f>
        <v>0</v>
      </c>
      <c r="AJ141" s="3">
        <f t="shared" si="165"/>
        <v>0</v>
      </c>
      <c r="AK141" s="3">
        <v>263.51</v>
      </c>
      <c r="AL141" s="3">
        <v>0</v>
      </c>
      <c r="AM141" s="3">
        <v>2.4900000000000002</v>
      </c>
      <c r="AN141" s="3">
        <v>0.38</v>
      </c>
      <c r="AO141" s="3">
        <v>261.02</v>
      </c>
      <c r="AP141" s="3">
        <v>0</v>
      </c>
      <c r="AQ141" s="3">
        <v>13.4</v>
      </c>
      <c r="AR141" s="3">
        <v>0</v>
      </c>
      <c r="AS141" s="3">
        <v>0</v>
      </c>
      <c r="AT141" s="3">
        <v>93</v>
      </c>
      <c r="AU141" s="3">
        <v>62</v>
      </c>
      <c r="AV141" s="3">
        <v>1.087</v>
      </c>
      <c r="AW141" s="3">
        <v>1</v>
      </c>
      <c r="AZ141" s="3">
        <v>1</v>
      </c>
      <c r="BA141" s="3">
        <v>56.35</v>
      </c>
      <c r="BB141" s="3">
        <v>17.09</v>
      </c>
      <c r="BC141" s="3">
        <v>1</v>
      </c>
      <c r="BD141" s="3" t="s">
        <v>3</v>
      </c>
      <c r="BE141" s="3" t="s">
        <v>3</v>
      </c>
      <c r="BF141" s="3" t="s">
        <v>3</v>
      </c>
      <c r="BG141" s="3" t="s">
        <v>3</v>
      </c>
      <c r="BH141" s="3">
        <v>0</v>
      </c>
      <c r="BI141" s="3">
        <v>1</v>
      </c>
      <c r="BJ141" s="3" t="s">
        <v>255</v>
      </c>
      <c r="BM141" s="3">
        <v>55</v>
      </c>
      <c r="BN141" s="3">
        <v>0</v>
      </c>
      <c r="BO141" s="3" t="s">
        <v>252</v>
      </c>
      <c r="BP141" s="3">
        <v>1</v>
      </c>
      <c r="BQ141" s="3">
        <v>30</v>
      </c>
      <c r="BR141" s="3">
        <v>0</v>
      </c>
      <c r="BS141" s="3">
        <v>56.35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 t="s">
        <v>3</v>
      </c>
      <c r="BZ141" s="3">
        <v>93</v>
      </c>
      <c r="CA141" s="3">
        <v>62</v>
      </c>
      <c r="CB141" s="3" t="s">
        <v>3</v>
      </c>
      <c r="CE141" s="3">
        <v>1566</v>
      </c>
      <c r="CF141" s="3">
        <v>0</v>
      </c>
      <c r="CG141" s="3">
        <v>0</v>
      </c>
      <c r="CM141" s="3">
        <v>0</v>
      </c>
      <c r="CN141" s="3" t="s">
        <v>717</v>
      </c>
      <c r="CO141" s="3">
        <v>0</v>
      </c>
      <c r="CP141" s="3">
        <f t="shared" si="166"/>
        <v>19919.560000000001</v>
      </c>
      <c r="CQ141" s="3">
        <f t="shared" si="167"/>
        <v>0</v>
      </c>
      <c r="CR141" s="3">
        <f>(ROUND((ROUND(((((ET141*1.25)*1.2))*AV141*1),2)*BB141),2)+ROUND((ROUND(((AE141-(((EU141*1.25)*1.2)))*AV141*1),2)*BS141),2))</f>
        <v>69.39</v>
      </c>
      <c r="CS141" s="3">
        <f>(ROUND((ROUND(((((EU141*1.25)*1.2))*AV141*1),2)*BS141),2)+ROUND((ROUND(((AE141-(((EU141*1.25)*1.2)))*AV141*1),2)*BS141),2))</f>
        <v>34.94</v>
      </c>
      <c r="CT141" s="3">
        <f t="shared" si="168"/>
        <v>22063.84</v>
      </c>
      <c r="CU141" s="3">
        <f t="shared" si="169"/>
        <v>0</v>
      </c>
      <c r="CV141" s="3">
        <f t="shared" si="170"/>
        <v>20.100803999999997</v>
      </c>
      <c r="CW141" s="3">
        <f t="shared" si="171"/>
        <v>0</v>
      </c>
      <c r="CX141" s="3">
        <f t="shared" si="172"/>
        <v>0</v>
      </c>
      <c r="CY141" s="3">
        <f>(ROUND((((S141+ROUND((ROUND(((((EU141*1.25)*1.2))*AV141*1),2)*BS141),2))*AT141)/100),2)+ROUND(((ROUND((ROUND(((AE141-(((EU141*1.25)*1.2)))*AV141*1),2)*BS141),2)*AT141)/100),2))</f>
        <v>18499.669999999998</v>
      </c>
      <c r="CZ141" s="3">
        <f>(ROUND((((S141+ROUND((ROUND(((((EU141*1.25)*1.2))*AV141*1),2)*BS141),2))*AU141)/100),2)+ROUND(((ROUND((ROUND(((AE141-(((EU141*1.25)*1.2)))*AV141*1),2)*BS141),2)*AU141)/100),2))</f>
        <v>12333.11</v>
      </c>
      <c r="DB141" s="3">
        <v>59</v>
      </c>
      <c r="DC141" s="3" t="s">
        <v>3</v>
      </c>
      <c r="DD141" s="3" t="s">
        <v>38</v>
      </c>
      <c r="DE141" s="3" t="s">
        <v>97</v>
      </c>
      <c r="DF141" s="3" t="s">
        <v>97</v>
      </c>
      <c r="DG141" s="3" t="s">
        <v>98</v>
      </c>
      <c r="DH141" s="3" t="s">
        <v>3</v>
      </c>
      <c r="DI141" s="3" t="s">
        <v>98</v>
      </c>
      <c r="DJ141" s="3" t="s">
        <v>97</v>
      </c>
      <c r="DK141" s="3" t="s">
        <v>3</v>
      </c>
      <c r="DL141" s="3" t="s">
        <v>3</v>
      </c>
      <c r="DM141" s="3" t="s">
        <v>3</v>
      </c>
      <c r="DN141" s="3">
        <v>0</v>
      </c>
      <c r="DO141" s="3">
        <v>0</v>
      </c>
      <c r="DP141" s="3">
        <v>1</v>
      </c>
      <c r="DQ141" s="3">
        <v>1</v>
      </c>
      <c r="DU141" s="3">
        <v>1010</v>
      </c>
      <c r="DV141" s="3" t="s">
        <v>254</v>
      </c>
      <c r="DW141" s="3" t="s">
        <v>254</v>
      </c>
      <c r="DX141" s="3">
        <v>100</v>
      </c>
      <c r="DZ141" s="3" t="s">
        <v>3</v>
      </c>
      <c r="EA141" s="3" t="s">
        <v>3</v>
      </c>
      <c r="EB141" s="3" t="s">
        <v>3</v>
      </c>
      <c r="EC141" s="3" t="s">
        <v>3</v>
      </c>
      <c r="EE141" s="3">
        <v>56938723</v>
      </c>
      <c r="EF141" s="3">
        <v>30</v>
      </c>
      <c r="EG141" s="3" t="s">
        <v>41</v>
      </c>
      <c r="EH141" s="3">
        <v>0</v>
      </c>
      <c r="EI141" s="3" t="s">
        <v>3</v>
      </c>
      <c r="EJ141" s="3">
        <v>1</v>
      </c>
      <c r="EK141" s="3">
        <v>55</v>
      </c>
      <c r="EL141" s="3" t="s">
        <v>256</v>
      </c>
      <c r="EM141" s="3" t="s">
        <v>257</v>
      </c>
      <c r="EO141" s="3" t="s">
        <v>99</v>
      </c>
      <c r="EQ141" s="3">
        <v>132096</v>
      </c>
      <c r="ER141" s="3">
        <v>263.51</v>
      </c>
      <c r="ES141" s="3">
        <v>0</v>
      </c>
      <c r="ET141" s="3">
        <v>2.4900000000000002</v>
      </c>
      <c r="EU141" s="3">
        <v>0.38</v>
      </c>
      <c r="EV141" s="3">
        <v>261.02</v>
      </c>
      <c r="EW141" s="3">
        <v>13.4</v>
      </c>
      <c r="EX141" s="3">
        <v>0</v>
      </c>
      <c r="EY141" s="3">
        <v>0</v>
      </c>
      <c r="FQ141" s="3">
        <v>0</v>
      </c>
      <c r="FR141" s="3">
        <v>0</v>
      </c>
      <c r="FS141" s="3">
        <v>0</v>
      </c>
      <c r="FX141" s="3">
        <v>93</v>
      </c>
      <c r="FY141" s="3">
        <v>62</v>
      </c>
      <c r="GA141" s="3" t="s">
        <v>3</v>
      </c>
      <c r="GD141" s="3">
        <v>1</v>
      </c>
      <c r="GF141" s="3">
        <v>-1922285439</v>
      </c>
      <c r="GG141" s="3">
        <v>2</v>
      </c>
      <c r="GH141" s="3">
        <v>1</v>
      </c>
      <c r="GI141" s="3">
        <v>2</v>
      </c>
      <c r="GJ141" s="3">
        <v>0</v>
      </c>
      <c r="GK141" s="3">
        <v>0</v>
      </c>
      <c r="GL141" s="3">
        <f t="shared" si="173"/>
        <v>0</v>
      </c>
      <c r="GM141" s="3">
        <f t="shared" si="174"/>
        <v>50747.11</v>
      </c>
      <c r="GN141" s="3">
        <f t="shared" si="175"/>
        <v>50747.11</v>
      </c>
      <c r="GO141" s="3">
        <f t="shared" si="176"/>
        <v>0</v>
      </c>
      <c r="GP141" s="3">
        <f t="shared" si="177"/>
        <v>0</v>
      </c>
      <c r="GR141" s="3">
        <v>0</v>
      </c>
      <c r="GS141" s="3">
        <v>3</v>
      </c>
      <c r="GT141" s="3">
        <v>0</v>
      </c>
      <c r="GU141" s="3" t="s">
        <v>3</v>
      </c>
      <c r="GV141" s="3">
        <f t="shared" si="178"/>
        <v>0</v>
      </c>
      <c r="GW141" s="3">
        <v>1</v>
      </c>
      <c r="GX141" s="3">
        <f t="shared" si="179"/>
        <v>0</v>
      </c>
      <c r="HA141" s="3">
        <v>0</v>
      </c>
      <c r="HB141" s="3">
        <v>0</v>
      </c>
      <c r="HC141" s="3">
        <f t="shared" si="180"/>
        <v>0</v>
      </c>
      <c r="HE141" s="3" t="s">
        <v>3</v>
      </c>
      <c r="HF141" s="3" t="s">
        <v>3</v>
      </c>
      <c r="HM141" s="3" t="s">
        <v>3</v>
      </c>
      <c r="HN141" s="3" t="s">
        <v>3</v>
      </c>
      <c r="HO141" s="3" t="s">
        <v>3</v>
      </c>
      <c r="HP141" s="3" t="s">
        <v>3</v>
      </c>
      <c r="HQ141" s="3" t="s">
        <v>3</v>
      </c>
      <c r="HS141" s="3">
        <v>0</v>
      </c>
      <c r="IK141" s="3">
        <v>0</v>
      </c>
    </row>
    <row r="142" spans="1:255" x14ac:dyDescent="0.2">
      <c r="A142" s="2">
        <v>18</v>
      </c>
      <c r="B142" s="2">
        <v>1</v>
      </c>
      <c r="C142" s="2">
        <v>393</v>
      </c>
      <c r="D142" s="2"/>
      <c r="E142" s="2" t="s">
        <v>3</v>
      </c>
      <c r="F142" s="2" t="s">
        <v>258</v>
      </c>
      <c r="G142" s="2" t="s">
        <v>259</v>
      </c>
      <c r="H142" s="2" t="s">
        <v>118</v>
      </c>
      <c r="I142" s="2">
        <f>I140*J142</f>
        <v>45</v>
      </c>
      <c r="J142" s="2">
        <v>50</v>
      </c>
      <c r="K142" s="2">
        <v>50</v>
      </c>
      <c r="L142" s="2"/>
      <c r="M142" s="2"/>
      <c r="N142" s="2"/>
      <c r="O142" s="2">
        <f t="shared" si="156"/>
        <v>595.35</v>
      </c>
      <c r="P142" s="2">
        <f t="shared" si="157"/>
        <v>595.35</v>
      </c>
      <c r="Q142" s="2">
        <f>(ROUND((ROUND(((ET142)*AV142*I142),2)*BB142),2)+ROUND((ROUND(((AE142-(EU142))*AV142*I142),2)*BS142),2))</f>
        <v>0</v>
      </c>
      <c r="R142" s="2">
        <f>(ROUND((ROUND(((EU142)*AV142*I142),2)*BS142),2)+ROUND((ROUND(((AE142-(EU142))*AV142*I142),2)*BS142),2))</f>
        <v>0</v>
      </c>
      <c r="S142" s="2">
        <f t="shared" si="158"/>
        <v>0</v>
      </c>
      <c r="T142" s="2">
        <f t="shared" si="159"/>
        <v>0</v>
      </c>
      <c r="U142" s="2">
        <f t="shared" si="160"/>
        <v>0</v>
      </c>
      <c r="V142" s="2">
        <f t="shared" si="161"/>
        <v>0</v>
      </c>
      <c r="W142" s="2">
        <f t="shared" si="162"/>
        <v>0</v>
      </c>
      <c r="X142" s="2">
        <f>(ROUND((((S142+ROUND((ROUND(((EU142)*AV142*I142),2)*BS142),2))*AT142)/100),2)+ROUND(((ROUND((ROUND(((AE142-(EU142))*AV142*I142),2)*BS142),2)*AT142)/100),2))</f>
        <v>0</v>
      </c>
      <c r="Y142" s="2">
        <f>(ROUND((((S142+ROUND((ROUND(((EU142)*AV142*I142),2)*BS142),2))*AU142)/100),2)+ROUND(((ROUND((ROUND(((AE142-(EU142))*AV142*I142),2)*BS142),2)*AU142)/100),2))</f>
        <v>0</v>
      </c>
      <c r="Z142" s="2"/>
      <c r="AA142" s="2">
        <v>-1</v>
      </c>
      <c r="AB142" s="2">
        <f t="shared" si="163"/>
        <v>13.23</v>
      </c>
      <c r="AC142" s="2">
        <f>ROUND((ES142),6)</f>
        <v>13.23</v>
      </c>
      <c r="AD142" s="2">
        <f>ROUND((((ET142)-(EU142))+AE142),6)</f>
        <v>0</v>
      </c>
      <c r="AE142" s="2">
        <f t="shared" ref="AE142:AF145" si="195">ROUND((EU142),6)</f>
        <v>0</v>
      </c>
      <c r="AF142" s="2">
        <f t="shared" si="195"/>
        <v>0</v>
      </c>
      <c r="AG142" s="2">
        <f t="shared" si="164"/>
        <v>0</v>
      </c>
      <c r="AH142" s="2">
        <f t="shared" ref="AH142:AI145" si="196">(EW142)</f>
        <v>0</v>
      </c>
      <c r="AI142" s="2">
        <f t="shared" si="196"/>
        <v>0</v>
      </c>
      <c r="AJ142" s="2">
        <f t="shared" si="165"/>
        <v>0</v>
      </c>
      <c r="AK142" s="2">
        <v>13.23</v>
      </c>
      <c r="AL142" s="2">
        <v>13.23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93</v>
      </c>
      <c r="AU142" s="2">
        <v>62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260</v>
      </c>
      <c r="BK142" s="2"/>
      <c r="BL142" s="2"/>
      <c r="BM142" s="2">
        <v>55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93</v>
      </c>
      <c r="CA142" s="2">
        <v>62</v>
      </c>
      <c r="CB142" s="2" t="s">
        <v>3</v>
      </c>
      <c r="CC142" s="2"/>
      <c r="CD142" s="2"/>
      <c r="CE142" s="2">
        <v>1566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3</v>
      </c>
      <c r="CO142" s="2">
        <v>0</v>
      </c>
      <c r="CP142" s="2">
        <f t="shared" si="166"/>
        <v>595.35</v>
      </c>
      <c r="CQ142" s="2">
        <f t="shared" si="167"/>
        <v>13.23</v>
      </c>
      <c r="CR142" s="2">
        <f>(ROUND((ROUND(((ET142)*AV142*1),2)*BB142),2)+ROUND((ROUND(((AE142-(EU142))*AV142*1),2)*BS142),2))</f>
        <v>0</v>
      </c>
      <c r="CS142" s="2">
        <f>(ROUND((ROUND(((EU142)*AV142*1),2)*BS142),2)+ROUND((ROUND(((AE142-(EU142))*AV142*1),2)*BS142),2))</f>
        <v>0</v>
      </c>
      <c r="CT142" s="2">
        <f t="shared" si="168"/>
        <v>0</v>
      </c>
      <c r="CU142" s="2">
        <f t="shared" si="169"/>
        <v>0</v>
      </c>
      <c r="CV142" s="2">
        <f t="shared" si="170"/>
        <v>0</v>
      </c>
      <c r="CW142" s="2">
        <f t="shared" si="171"/>
        <v>0</v>
      </c>
      <c r="CX142" s="2">
        <f t="shared" si="172"/>
        <v>0</v>
      </c>
      <c r="CY142" s="2">
        <f>(ROUND((((S142+ROUND((ROUND(((EU142)*AV142*1),2)*BS142),2))*AT142)/100),2)+ROUND(((ROUND((ROUND(((AE142-(EU142))*AV142*1),2)*BS142),2)*AT142)/100),2))</f>
        <v>0</v>
      </c>
      <c r="CZ142" s="2">
        <f>(ROUND((((S142+ROUND((ROUND(((EU142)*AV142*1),2)*BS142),2))*AU142)/100),2)+ROUND(((ROUND((ROUND(((AE142-(EU142))*AV142*1),2)*BS142),2)*AU142)/100),2))</f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1010</v>
      </c>
      <c r="DV142" s="2" t="s">
        <v>118</v>
      </c>
      <c r="DW142" s="2" t="s">
        <v>118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56938723</v>
      </c>
      <c r="EF142" s="2">
        <v>30</v>
      </c>
      <c r="EG142" s="2" t="s">
        <v>41</v>
      </c>
      <c r="EH142" s="2">
        <v>0</v>
      </c>
      <c r="EI142" s="2" t="s">
        <v>3</v>
      </c>
      <c r="EJ142" s="2">
        <v>1</v>
      </c>
      <c r="EK142" s="2">
        <v>55</v>
      </c>
      <c r="EL142" s="2" t="s">
        <v>256</v>
      </c>
      <c r="EM142" s="2" t="s">
        <v>257</v>
      </c>
      <c r="EN142" s="2"/>
      <c r="EO142" s="2" t="s">
        <v>3</v>
      </c>
      <c r="EP142" s="2"/>
      <c r="EQ142" s="2">
        <v>1024</v>
      </c>
      <c r="ER142" s="2">
        <v>13.23</v>
      </c>
      <c r="ES142" s="2">
        <v>13.23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93</v>
      </c>
      <c r="FY142" s="2">
        <v>62</v>
      </c>
      <c r="FZ142" s="2"/>
      <c r="GA142" s="2" t="s">
        <v>3</v>
      </c>
      <c r="GB142" s="2"/>
      <c r="GC142" s="2"/>
      <c r="GD142" s="2">
        <v>1</v>
      </c>
      <c r="GE142" s="2"/>
      <c r="GF142" s="2">
        <v>-335723436</v>
      </c>
      <c r="GG142" s="2">
        <v>2</v>
      </c>
      <c r="GH142" s="2">
        <v>1</v>
      </c>
      <c r="GI142" s="2">
        <v>-2</v>
      </c>
      <c r="GJ142" s="2">
        <v>0</v>
      </c>
      <c r="GK142" s="2">
        <v>0</v>
      </c>
      <c r="GL142" s="2">
        <f t="shared" si="173"/>
        <v>0</v>
      </c>
      <c r="GM142" s="2">
        <f t="shared" si="174"/>
        <v>595.35</v>
      </c>
      <c r="GN142" s="2">
        <f t="shared" si="175"/>
        <v>595.35</v>
      </c>
      <c r="GO142" s="2">
        <f t="shared" si="176"/>
        <v>0</v>
      </c>
      <c r="GP142" s="2">
        <f t="shared" si="177"/>
        <v>0</v>
      </c>
      <c r="GQ142" s="2"/>
      <c r="GR142" s="2">
        <v>0</v>
      </c>
      <c r="GS142" s="2">
        <v>3</v>
      </c>
      <c r="GT142" s="2">
        <v>0</v>
      </c>
      <c r="GU142" s="2" t="s">
        <v>3</v>
      </c>
      <c r="GV142" s="2">
        <f t="shared" si="178"/>
        <v>0</v>
      </c>
      <c r="GW142" s="2">
        <v>1</v>
      </c>
      <c r="GX142" s="2">
        <f t="shared" si="179"/>
        <v>0</v>
      </c>
      <c r="GY142" s="2"/>
      <c r="GZ142" s="2"/>
      <c r="HA142" s="2">
        <v>0</v>
      </c>
      <c r="HB142" s="2">
        <v>0</v>
      </c>
      <c r="HC142" s="2">
        <f t="shared" si="180"/>
        <v>0</v>
      </c>
      <c r="HD142" s="2"/>
      <c r="HE142" s="2" t="s">
        <v>3</v>
      </c>
      <c r="HF142" s="2" t="s">
        <v>3</v>
      </c>
      <c r="HG142" s="2"/>
      <c r="HH142" s="2"/>
      <c r="HI142" s="2"/>
      <c r="HJ142" s="2"/>
      <c r="HK142" s="2"/>
      <c r="HL142" s="2"/>
      <c r="HM142" s="2" t="s">
        <v>3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">
      <c r="A143" s="3">
        <v>18</v>
      </c>
      <c r="B143" s="3">
        <v>1</v>
      </c>
      <c r="C143" s="3">
        <v>397</v>
      </c>
      <c r="E143" s="3" t="s">
        <v>3</v>
      </c>
      <c r="F143" s="3" t="s">
        <v>258</v>
      </c>
      <c r="G143" s="3" t="s">
        <v>259</v>
      </c>
      <c r="H143" s="3" t="s">
        <v>118</v>
      </c>
      <c r="I143" s="3">
        <f>I141*J143</f>
        <v>45</v>
      </c>
      <c r="J143" s="3">
        <v>50</v>
      </c>
      <c r="K143" s="3">
        <v>50</v>
      </c>
      <c r="O143" s="3">
        <f t="shared" si="156"/>
        <v>8608.76</v>
      </c>
      <c r="P143" s="3">
        <f t="shared" si="157"/>
        <v>8608.76</v>
      </c>
      <c r="Q143" s="3">
        <f>(ROUND((ROUND(((ET143)*AV143*I143),2)*BB143),2)+ROUND((ROUND(((AE143-(EU143))*AV143*I143),2)*BS143),2))</f>
        <v>0</v>
      </c>
      <c r="R143" s="3">
        <f>(ROUND((ROUND(((EU143)*AV143*I143),2)*BS143),2)+ROUND((ROUND(((AE143-(EU143))*AV143*I143),2)*BS143),2))</f>
        <v>0</v>
      </c>
      <c r="S143" s="3">
        <f t="shared" si="158"/>
        <v>0</v>
      </c>
      <c r="T143" s="3">
        <f t="shared" si="159"/>
        <v>0</v>
      </c>
      <c r="U143" s="3">
        <f t="shared" si="160"/>
        <v>0</v>
      </c>
      <c r="V143" s="3">
        <f t="shared" si="161"/>
        <v>0</v>
      </c>
      <c r="W143" s="3">
        <f t="shared" si="162"/>
        <v>0</v>
      </c>
      <c r="X143" s="3">
        <f>(ROUND((((S143+ROUND((ROUND(((EU143)*AV143*I143),2)*BS143),2))*AT143)/100),2)+ROUND(((ROUND((ROUND(((AE143-(EU143))*AV143*I143),2)*BS143),2)*AT143)/100),2))</f>
        <v>0</v>
      </c>
      <c r="Y143" s="3">
        <f>(ROUND((((S143+ROUND((ROUND(((EU143)*AV143*I143),2)*BS143),2))*AU143)/100),2)+ROUND(((ROUND((ROUND(((AE143-(EU143))*AV143*I143),2)*BS143),2)*AU143)/100),2))</f>
        <v>0</v>
      </c>
      <c r="AA143" s="3">
        <v>-1</v>
      </c>
      <c r="AB143" s="3">
        <f t="shared" si="163"/>
        <v>13.23</v>
      </c>
      <c r="AC143" s="3">
        <f>ROUND((ES143),6)</f>
        <v>13.23</v>
      </c>
      <c r="AD143" s="3">
        <f>ROUND((((ET143)-(EU143))+AE143),6)</f>
        <v>0</v>
      </c>
      <c r="AE143" s="3">
        <f t="shared" si="195"/>
        <v>0</v>
      </c>
      <c r="AF143" s="3">
        <f t="shared" si="195"/>
        <v>0</v>
      </c>
      <c r="AG143" s="3">
        <f t="shared" si="164"/>
        <v>0</v>
      </c>
      <c r="AH143" s="3">
        <f t="shared" si="196"/>
        <v>0</v>
      </c>
      <c r="AI143" s="3">
        <f t="shared" si="196"/>
        <v>0</v>
      </c>
      <c r="AJ143" s="3">
        <f t="shared" si="165"/>
        <v>0</v>
      </c>
      <c r="AK143" s="3">
        <v>13.23</v>
      </c>
      <c r="AL143" s="3">
        <v>13.23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93</v>
      </c>
      <c r="AU143" s="3">
        <v>62</v>
      </c>
      <c r="AV143" s="3">
        <v>1</v>
      </c>
      <c r="AW143" s="3">
        <v>1</v>
      </c>
      <c r="AZ143" s="3">
        <v>1</v>
      </c>
      <c r="BA143" s="3">
        <v>1</v>
      </c>
      <c r="BB143" s="3">
        <v>1</v>
      </c>
      <c r="BC143" s="3">
        <v>14.46</v>
      </c>
      <c r="BD143" s="3" t="s">
        <v>3</v>
      </c>
      <c r="BE143" s="3" t="s">
        <v>3</v>
      </c>
      <c r="BF143" s="3" t="s">
        <v>3</v>
      </c>
      <c r="BG143" s="3" t="s">
        <v>3</v>
      </c>
      <c r="BH143" s="3">
        <v>3</v>
      </c>
      <c r="BI143" s="3">
        <v>1</v>
      </c>
      <c r="BJ143" s="3" t="s">
        <v>260</v>
      </c>
      <c r="BM143" s="3">
        <v>55</v>
      </c>
      <c r="BN143" s="3">
        <v>0</v>
      </c>
      <c r="BO143" s="3" t="s">
        <v>258</v>
      </c>
      <c r="BP143" s="3">
        <v>1</v>
      </c>
      <c r="BQ143" s="3">
        <v>30</v>
      </c>
      <c r="BR143" s="3">
        <v>0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 t="s">
        <v>3</v>
      </c>
      <c r="BZ143" s="3">
        <v>93</v>
      </c>
      <c r="CA143" s="3">
        <v>62</v>
      </c>
      <c r="CB143" s="3" t="s">
        <v>3</v>
      </c>
      <c r="CE143" s="3">
        <v>1566</v>
      </c>
      <c r="CF143" s="3">
        <v>0</v>
      </c>
      <c r="CG143" s="3">
        <v>0</v>
      </c>
      <c r="CM143" s="3">
        <v>0</v>
      </c>
      <c r="CN143" s="3" t="s">
        <v>3</v>
      </c>
      <c r="CO143" s="3">
        <v>0</v>
      </c>
      <c r="CP143" s="3">
        <f t="shared" si="166"/>
        <v>8608.76</v>
      </c>
      <c r="CQ143" s="3">
        <f t="shared" si="167"/>
        <v>191.31</v>
      </c>
      <c r="CR143" s="3">
        <f>(ROUND((ROUND(((ET143)*AV143*1),2)*BB143),2)+ROUND((ROUND(((AE143-(EU143))*AV143*1),2)*BS143),2))</f>
        <v>0</v>
      </c>
      <c r="CS143" s="3">
        <f>(ROUND((ROUND(((EU143)*AV143*1),2)*BS143),2)+ROUND((ROUND(((AE143-(EU143))*AV143*1),2)*BS143),2))</f>
        <v>0</v>
      </c>
      <c r="CT143" s="3">
        <f t="shared" si="168"/>
        <v>0</v>
      </c>
      <c r="CU143" s="3">
        <f t="shared" si="169"/>
        <v>0</v>
      </c>
      <c r="CV143" s="3">
        <f t="shared" si="170"/>
        <v>0</v>
      </c>
      <c r="CW143" s="3">
        <f t="shared" si="171"/>
        <v>0</v>
      </c>
      <c r="CX143" s="3">
        <f t="shared" si="172"/>
        <v>0</v>
      </c>
      <c r="CY143" s="3">
        <f>(ROUND((((S143+ROUND((ROUND(((EU143)*AV143*1),2)*BS143),2))*AT143)/100),2)+ROUND(((ROUND((ROUND(((AE143-(EU143))*AV143*1),2)*BS143),2)*AT143)/100),2))</f>
        <v>0</v>
      </c>
      <c r="CZ143" s="3">
        <f>(ROUND((((S143+ROUND((ROUND(((EU143)*AV143*1),2)*BS143),2))*AU143)/100),2)+ROUND(((ROUND((ROUND(((AE143-(EU143))*AV143*1),2)*BS143),2)*AU143)/100),2))</f>
        <v>0</v>
      </c>
      <c r="DC143" s="3" t="s">
        <v>3</v>
      </c>
      <c r="DD143" s="3" t="s">
        <v>3</v>
      </c>
      <c r="DE143" s="3" t="s">
        <v>3</v>
      </c>
      <c r="DF143" s="3" t="s">
        <v>3</v>
      </c>
      <c r="DG143" s="3" t="s">
        <v>3</v>
      </c>
      <c r="DH143" s="3" t="s">
        <v>3</v>
      </c>
      <c r="DI143" s="3" t="s">
        <v>3</v>
      </c>
      <c r="DJ143" s="3" t="s">
        <v>3</v>
      </c>
      <c r="DK143" s="3" t="s">
        <v>3</v>
      </c>
      <c r="DL143" s="3" t="s">
        <v>3</v>
      </c>
      <c r="DM143" s="3" t="s">
        <v>3</v>
      </c>
      <c r="DN143" s="3">
        <v>0</v>
      </c>
      <c r="DO143" s="3">
        <v>0</v>
      </c>
      <c r="DP143" s="3">
        <v>1</v>
      </c>
      <c r="DQ143" s="3">
        <v>1</v>
      </c>
      <c r="DU143" s="3">
        <v>1010</v>
      </c>
      <c r="DV143" s="3" t="s">
        <v>118</v>
      </c>
      <c r="DW143" s="3" t="s">
        <v>118</v>
      </c>
      <c r="DX143" s="3">
        <v>1</v>
      </c>
      <c r="DZ143" s="3" t="s">
        <v>3</v>
      </c>
      <c r="EA143" s="3" t="s">
        <v>3</v>
      </c>
      <c r="EB143" s="3" t="s">
        <v>3</v>
      </c>
      <c r="EC143" s="3" t="s">
        <v>3</v>
      </c>
      <c r="EE143" s="3">
        <v>56938723</v>
      </c>
      <c r="EF143" s="3">
        <v>30</v>
      </c>
      <c r="EG143" s="3" t="s">
        <v>41</v>
      </c>
      <c r="EH143" s="3">
        <v>0</v>
      </c>
      <c r="EI143" s="3" t="s">
        <v>3</v>
      </c>
      <c r="EJ143" s="3">
        <v>1</v>
      </c>
      <c r="EK143" s="3">
        <v>55</v>
      </c>
      <c r="EL143" s="3" t="s">
        <v>256</v>
      </c>
      <c r="EM143" s="3" t="s">
        <v>257</v>
      </c>
      <c r="EO143" s="3" t="s">
        <v>3</v>
      </c>
      <c r="EQ143" s="3">
        <v>1024</v>
      </c>
      <c r="ER143" s="3">
        <v>13.23</v>
      </c>
      <c r="ES143" s="3">
        <v>13.23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FQ143" s="3">
        <v>0</v>
      </c>
      <c r="FR143" s="3">
        <v>0</v>
      </c>
      <c r="FS143" s="3">
        <v>0</v>
      </c>
      <c r="FX143" s="3">
        <v>93</v>
      </c>
      <c r="FY143" s="3">
        <v>62</v>
      </c>
      <c r="GA143" s="3" t="s">
        <v>3</v>
      </c>
      <c r="GD143" s="3">
        <v>1</v>
      </c>
      <c r="GF143" s="3">
        <v>-335723436</v>
      </c>
      <c r="GG143" s="3">
        <v>2</v>
      </c>
      <c r="GH143" s="3">
        <v>1</v>
      </c>
      <c r="GI143" s="3">
        <v>2</v>
      </c>
      <c r="GJ143" s="3">
        <v>0</v>
      </c>
      <c r="GK143" s="3">
        <v>0</v>
      </c>
      <c r="GL143" s="3">
        <f t="shared" si="173"/>
        <v>0</v>
      </c>
      <c r="GM143" s="3">
        <f t="shared" si="174"/>
        <v>8608.76</v>
      </c>
      <c r="GN143" s="3">
        <f t="shared" si="175"/>
        <v>8608.76</v>
      </c>
      <c r="GO143" s="3">
        <f t="shared" si="176"/>
        <v>0</v>
      </c>
      <c r="GP143" s="3">
        <f t="shared" si="177"/>
        <v>0</v>
      </c>
      <c r="GR143" s="3">
        <v>0</v>
      </c>
      <c r="GS143" s="3">
        <v>3</v>
      </c>
      <c r="GT143" s="3">
        <v>0</v>
      </c>
      <c r="GU143" s="3" t="s">
        <v>3</v>
      </c>
      <c r="GV143" s="3">
        <f t="shared" si="178"/>
        <v>0</v>
      </c>
      <c r="GW143" s="3">
        <v>1</v>
      </c>
      <c r="GX143" s="3">
        <f t="shared" si="179"/>
        <v>0</v>
      </c>
      <c r="HA143" s="3">
        <v>0</v>
      </c>
      <c r="HB143" s="3">
        <v>0</v>
      </c>
      <c r="HC143" s="3">
        <f t="shared" si="180"/>
        <v>0</v>
      </c>
      <c r="HE143" s="3" t="s">
        <v>3</v>
      </c>
      <c r="HF143" s="3" t="s">
        <v>3</v>
      </c>
      <c r="HM143" s="3" t="s">
        <v>3</v>
      </c>
      <c r="HN143" s="3" t="s">
        <v>3</v>
      </c>
      <c r="HO143" s="3" t="s">
        <v>3</v>
      </c>
      <c r="HP143" s="3" t="s">
        <v>3</v>
      </c>
      <c r="HQ143" s="3" t="s">
        <v>3</v>
      </c>
      <c r="HS143" s="3">
        <v>0</v>
      </c>
      <c r="IK143" s="3">
        <v>0</v>
      </c>
    </row>
    <row r="144" spans="1:255" x14ac:dyDescent="0.2">
      <c r="A144" s="2">
        <v>18</v>
      </c>
      <c r="B144" s="2">
        <v>1</v>
      </c>
      <c r="C144" s="2">
        <v>394</v>
      </c>
      <c r="D144" s="2"/>
      <c r="E144" s="2" t="s">
        <v>3</v>
      </c>
      <c r="F144" s="2" t="s">
        <v>261</v>
      </c>
      <c r="G144" s="2" t="s">
        <v>262</v>
      </c>
      <c r="H144" s="2" t="s">
        <v>254</v>
      </c>
      <c r="I144" s="2">
        <f>I140*J144</f>
        <v>0.45</v>
      </c>
      <c r="J144" s="2">
        <v>0.5</v>
      </c>
      <c r="K144" s="2">
        <v>0.5</v>
      </c>
      <c r="L144" s="2"/>
      <c r="M144" s="2"/>
      <c r="N144" s="2"/>
      <c r="O144" s="2">
        <f t="shared" si="156"/>
        <v>147.83000000000001</v>
      </c>
      <c r="P144" s="2">
        <f t="shared" si="157"/>
        <v>147.83000000000001</v>
      </c>
      <c r="Q144" s="2">
        <f>(ROUND((ROUND(((ET144)*AV144*I144),2)*BB144),2)+ROUND((ROUND(((AE144-(EU144))*AV144*I144),2)*BS144),2))</f>
        <v>0</v>
      </c>
      <c r="R144" s="2">
        <f>(ROUND((ROUND(((EU144)*AV144*I144),2)*BS144),2)+ROUND((ROUND(((AE144-(EU144))*AV144*I144),2)*BS144),2))</f>
        <v>0</v>
      </c>
      <c r="S144" s="2">
        <f t="shared" si="158"/>
        <v>0</v>
      </c>
      <c r="T144" s="2">
        <f t="shared" si="159"/>
        <v>0</v>
      </c>
      <c r="U144" s="2">
        <f t="shared" si="160"/>
        <v>0</v>
      </c>
      <c r="V144" s="2">
        <f t="shared" si="161"/>
        <v>0</v>
      </c>
      <c r="W144" s="2">
        <f t="shared" si="162"/>
        <v>0</v>
      </c>
      <c r="X144" s="2">
        <f>(ROUND((((S144+ROUND((ROUND(((EU144)*AV144*I144),2)*BS144),2))*AT144)/100),2)+ROUND(((ROUND((ROUND(((AE144-(EU144))*AV144*I144),2)*BS144),2)*AT144)/100),2))</f>
        <v>0</v>
      </c>
      <c r="Y144" s="2">
        <f>(ROUND((((S144+ROUND((ROUND(((EU144)*AV144*I144),2)*BS144),2))*AU144)/100),2)+ROUND(((ROUND((ROUND(((AE144-(EU144))*AV144*I144),2)*BS144),2)*AU144)/100),2))</f>
        <v>0</v>
      </c>
      <c r="Z144" s="2"/>
      <c r="AA144" s="2">
        <v>-1</v>
      </c>
      <c r="AB144" s="2">
        <f t="shared" si="163"/>
        <v>328.5</v>
      </c>
      <c r="AC144" s="2">
        <f>ROUND((ES144),6)</f>
        <v>328.5</v>
      </c>
      <c r="AD144" s="2">
        <f>ROUND((((ET144)-(EU144))+AE144),6)</f>
        <v>0</v>
      </c>
      <c r="AE144" s="2">
        <f t="shared" si="195"/>
        <v>0</v>
      </c>
      <c r="AF144" s="2">
        <f t="shared" si="195"/>
        <v>0</v>
      </c>
      <c r="AG144" s="2">
        <f t="shared" si="164"/>
        <v>0</v>
      </c>
      <c r="AH144" s="2">
        <f t="shared" si="196"/>
        <v>0</v>
      </c>
      <c r="AI144" s="2">
        <f t="shared" si="196"/>
        <v>0</v>
      </c>
      <c r="AJ144" s="2">
        <f t="shared" si="165"/>
        <v>0</v>
      </c>
      <c r="AK144" s="2">
        <v>328.5</v>
      </c>
      <c r="AL144" s="2">
        <v>328.5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93</v>
      </c>
      <c r="AU144" s="2">
        <v>62</v>
      </c>
      <c r="AV144" s="2">
        <v>1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3</v>
      </c>
      <c r="BI144" s="2">
        <v>1</v>
      </c>
      <c r="BJ144" s="2" t="s">
        <v>263</v>
      </c>
      <c r="BK144" s="2"/>
      <c r="BL144" s="2"/>
      <c r="BM144" s="2">
        <v>55</v>
      </c>
      <c r="BN144" s="2">
        <v>0</v>
      </c>
      <c r="BO144" s="2" t="s">
        <v>3</v>
      </c>
      <c r="BP144" s="2">
        <v>0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93</v>
      </c>
      <c r="CA144" s="2">
        <v>62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3</v>
      </c>
      <c r="CO144" s="2">
        <v>0</v>
      </c>
      <c r="CP144" s="2">
        <f t="shared" si="166"/>
        <v>147.83000000000001</v>
      </c>
      <c r="CQ144" s="2">
        <f t="shared" si="167"/>
        <v>328.5</v>
      </c>
      <c r="CR144" s="2">
        <f>(ROUND((ROUND(((ET144)*AV144*1),2)*BB144),2)+ROUND((ROUND(((AE144-(EU144))*AV144*1),2)*BS144),2))</f>
        <v>0</v>
      </c>
      <c r="CS144" s="2">
        <f>(ROUND((ROUND(((EU144)*AV144*1),2)*BS144),2)+ROUND((ROUND(((AE144-(EU144))*AV144*1),2)*BS144),2))</f>
        <v>0</v>
      </c>
      <c r="CT144" s="2">
        <f t="shared" si="168"/>
        <v>0</v>
      </c>
      <c r="CU144" s="2">
        <f t="shared" si="169"/>
        <v>0</v>
      </c>
      <c r="CV144" s="2">
        <f t="shared" si="170"/>
        <v>0</v>
      </c>
      <c r="CW144" s="2">
        <f t="shared" si="171"/>
        <v>0</v>
      </c>
      <c r="CX144" s="2">
        <f t="shared" si="172"/>
        <v>0</v>
      </c>
      <c r="CY144" s="2">
        <f>(ROUND((((S144+ROUND((ROUND(((EU144)*AV144*1),2)*BS144),2))*AT144)/100),2)+ROUND(((ROUND((ROUND(((AE144-(EU144))*AV144*1),2)*BS144),2)*AT144)/100),2))</f>
        <v>0</v>
      </c>
      <c r="CZ144" s="2">
        <f>(ROUND((((S144+ROUND((ROUND(((EU144)*AV144*1),2)*BS144),2))*AU144)/100),2)+ROUND(((ROUND((ROUND(((AE144-(EU144))*AV144*1),2)*BS144),2)*AU144)/100),2))</f>
        <v>0</v>
      </c>
      <c r="DA144" s="2"/>
      <c r="DB144" s="2"/>
      <c r="DC144" s="2" t="s">
        <v>3</v>
      </c>
      <c r="DD144" s="2" t="s">
        <v>3</v>
      </c>
      <c r="DE144" s="2" t="s">
        <v>3</v>
      </c>
      <c r="DF144" s="2" t="s">
        <v>3</v>
      </c>
      <c r="DG144" s="2" t="s">
        <v>3</v>
      </c>
      <c r="DH144" s="2" t="s">
        <v>3</v>
      </c>
      <c r="DI144" s="2" t="s">
        <v>3</v>
      </c>
      <c r="DJ144" s="2" t="s">
        <v>3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1010</v>
      </c>
      <c r="DV144" s="2" t="s">
        <v>254</v>
      </c>
      <c r="DW144" s="2" t="s">
        <v>254</v>
      </c>
      <c r="DX144" s="2">
        <v>100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56938723</v>
      </c>
      <c r="EF144" s="2">
        <v>30</v>
      </c>
      <c r="EG144" s="2" t="s">
        <v>41</v>
      </c>
      <c r="EH144" s="2">
        <v>0</v>
      </c>
      <c r="EI144" s="2" t="s">
        <v>3</v>
      </c>
      <c r="EJ144" s="2">
        <v>1</v>
      </c>
      <c r="EK144" s="2">
        <v>55</v>
      </c>
      <c r="EL144" s="2" t="s">
        <v>256</v>
      </c>
      <c r="EM144" s="2" t="s">
        <v>257</v>
      </c>
      <c r="EN144" s="2"/>
      <c r="EO144" s="2" t="s">
        <v>3</v>
      </c>
      <c r="EP144" s="2"/>
      <c r="EQ144" s="2">
        <v>1024</v>
      </c>
      <c r="ER144" s="2">
        <v>328.5</v>
      </c>
      <c r="ES144" s="2">
        <v>328.5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93</v>
      </c>
      <c r="FY144" s="2">
        <v>62</v>
      </c>
      <c r="FZ144" s="2"/>
      <c r="GA144" s="2" t="s">
        <v>3</v>
      </c>
      <c r="GB144" s="2"/>
      <c r="GC144" s="2"/>
      <c r="GD144" s="2">
        <v>1</v>
      </c>
      <c r="GE144" s="2"/>
      <c r="GF144" s="2">
        <v>745037488</v>
      </c>
      <c r="GG144" s="2">
        <v>2</v>
      </c>
      <c r="GH144" s="2">
        <v>1</v>
      </c>
      <c r="GI144" s="2">
        <v>-2</v>
      </c>
      <c r="GJ144" s="2">
        <v>0</v>
      </c>
      <c r="GK144" s="2">
        <v>0</v>
      </c>
      <c r="GL144" s="2">
        <f t="shared" si="173"/>
        <v>0</v>
      </c>
      <c r="GM144" s="2">
        <f t="shared" si="174"/>
        <v>147.83000000000001</v>
      </c>
      <c r="GN144" s="2">
        <f t="shared" si="175"/>
        <v>147.83000000000001</v>
      </c>
      <c r="GO144" s="2">
        <f t="shared" si="176"/>
        <v>0</v>
      </c>
      <c r="GP144" s="2">
        <f t="shared" si="177"/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si="178"/>
        <v>0</v>
      </c>
      <c r="GW144" s="2">
        <v>1</v>
      </c>
      <c r="GX144" s="2">
        <f t="shared" si="179"/>
        <v>0</v>
      </c>
      <c r="GY144" s="2"/>
      <c r="GZ144" s="2"/>
      <c r="HA144" s="2">
        <v>0</v>
      </c>
      <c r="HB144" s="2">
        <v>0</v>
      </c>
      <c r="HC144" s="2">
        <f t="shared" si="180"/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">
      <c r="A145" s="3">
        <v>18</v>
      </c>
      <c r="B145" s="3">
        <v>1</v>
      </c>
      <c r="C145" s="3">
        <v>398</v>
      </c>
      <c r="E145" s="3" t="s">
        <v>3</v>
      </c>
      <c r="F145" s="3" t="s">
        <v>261</v>
      </c>
      <c r="G145" s="3" t="s">
        <v>262</v>
      </c>
      <c r="H145" s="3" t="s">
        <v>254</v>
      </c>
      <c r="I145" s="3">
        <f>I141*J145</f>
        <v>0.45</v>
      </c>
      <c r="J145" s="3">
        <v>0.5</v>
      </c>
      <c r="K145" s="3">
        <v>0.5</v>
      </c>
      <c r="O145" s="3">
        <f t="shared" si="156"/>
        <v>2378.58</v>
      </c>
      <c r="P145" s="3">
        <f t="shared" si="157"/>
        <v>2378.58</v>
      </c>
      <c r="Q145" s="3">
        <f>(ROUND((ROUND(((ET145)*AV145*I145),2)*BB145),2)+ROUND((ROUND(((AE145-(EU145))*AV145*I145),2)*BS145),2))</f>
        <v>0</v>
      </c>
      <c r="R145" s="3">
        <f>(ROUND((ROUND(((EU145)*AV145*I145),2)*BS145),2)+ROUND((ROUND(((AE145-(EU145))*AV145*I145),2)*BS145),2))</f>
        <v>0</v>
      </c>
      <c r="S145" s="3">
        <f t="shared" si="158"/>
        <v>0</v>
      </c>
      <c r="T145" s="3">
        <f t="shared" si="159"/>
        <v>0</v>
      </c>
      <c r="U145" s="3">
        <f t="shared" si="160"/>
        <v>0</v>
      </c>
      <c r="V145" s="3">
        <f t="shared" si="161"/>
        <v>0</v>
      </c>
      <c r="W145" s="3">
        <f t="shared" si="162"/>
        <v>0</v>
      </c>
      <c r="X145" s="3">
        <f>(ROUND((((S145+ROUND((ROUND(((EU145)*AV145*I145),2)*BS145),2))*AT145)/100),2)+ROUND(((ROUND((ROUND(((AE145-(EU145))*AV145*I145),2)*BS145),2)*AT145)/100),2))</f>
        <v>0</v>
      </c>
      <c r="Y145" s="3">
        <f>(ROUND((((S145+ROUND((ROUND(((EU145)*AV145*I145),2)*BS145),2))*AU145)/100),2)+ROUND(((ROUND((ROUND(((AE145-(EU145))*AV145*I145),2)*BS145),2)*AU145)/100),2))</f>
        <v>0</v>
      </c>
      <c r="AA145" s="3">
        <v>-1</v>
      </c>
      <c r="AB145" s="3">
        <f t="shared" si="163"/>
        <v>328.5</v>
      </c>
      <c r="AC145" s="3">
        <f>ROUND((ES145),6)</f>
        <v>328.5</v>
      </c>
      <c r="AD145" s="3">
        <f>ROUND((((ET145)-(EU145))+AE145),6)</f>
        <v>0</v>
      </c>
      <c r="AE145" s="3">
        <f t="shared" si="195"/>
        <v>0</v>
      </c>
      <c r="AF145" s="3">
        <f t="shared" si="195"/>
        <v>0</v>
      </c>
      <c r="AG145" s="3">
        <f t="shared" si="164"/>
        <v>0</v>
      </c>
      <c r="AH145" s="3">
        <f t="shared" si="196"/>
        <v>0</v>
      </c>
      <c r="AI145" s="3">
        <f t="shared" si="196"/>
        <v>0</v>
      </c>
      <c r="AJ145" s="3">
        <f t="shared" si="165"/>
        <v>0</v>
      </c>
      <c r="AK145" s="3">
        <v>328.5</v>
      </c>
      <c r="AL145" s="3">
        <v>328.5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93</v>
      </c>
      <c r="AU145" s="3">
        <v>62</v>
      </c>
      <c r="AV145" s="3">
        <v>1</v>
      </c>
      <c r="AW145" s="3">
        <v>1</v>
      </c>
      <c r="AZ145" s="3">
        <v>1</v>
      </c>
      <c r="BA145" s="3">
        <v>1</v>
      </c>
      <c r="BB145" s="3">
        <v>1</v>
      </c>
      <c r="BC145" s="3">
        <v>16.09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3</v>
      </c>
      <c r="BI145" s="3">
        <v>1</v>
      </c>
      <c r="BJ145" s="3" t="s">
        <v>263</v>
      </c>
      <c r="BM145" s="3">
        <v>55</v>
      </c>
      <c r="BN145" s="3">
        <v>0</v>
      </c>
      <c r="BO145" s="3" t="s">
        <v>261</v>
      </c>
      <c r="BP145" s="3">
        <v>1</v>
      </c>
      <c r="BQ145" s="3">
        <v>30</v>
      </c>
      <c r="BR145" s="3">
        <v>0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93</v>
      </c>
      <c r="CA145" s="3">
        <v>62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3</v>
      </c>
      <c r="CO145" s="3">
        <v>0</v>
      </c>
      <c r="CP145" s="3">
        <f t="shared" si="166"/>
        <v>2378.58</v>
      </c>
      <c r="CQ145" s="3">
        <f t="shared" si="167"/>
        <v>5285.57</v>
      </c>
      <c r="CR145" s="3">
        <f>(ROUND((ROUND(((ET145)*AV145*1),2)*BB145),2)+ROUND((ROUND(((AE145-(EU145))*AV145*1),2)*BS145),2))</f>
        <v>0</v>
      </c>
      <c r="CS145" s="3">
        <f>(ROUND((ROUND(((EU145)*AV145*1),2)*BS145),2)+ROUND((ROUND(((AE145-(EU145))*AV145*1),2)*BS145),2))</f>
        <v>0</v>
      </c>
      <c r="CT145" s="3">
        <f t="shared" si="168"/>
        <v>0</v>
      </c>
      <c r="CU145" s="3">
        <f t="shared" si="169"/>
        <v>0</v>
      </c>
      <c r="CV145" s="3">
        <f t="shared" si="170"/>
        <v>0</v>
      </c>
      <c r="CW145" s="3">
        <f t="shared" si="171"/>
        <v>0</v>
      </c>
      <c r="CX145" s="3">
        <f t="shared" si="172"/>
        <v>0</v>
      </c>
      <c r="CY145" s="3">
        <f>(ROUND((((S145+ROUND((ROUND(((EU145)*AV145*1),2)*BS145),2))*AT145)/100),2)+ROUND(((ROUND((ROUND(((AE145-(EU145))*AV145*1),2)*BS145),2)*AT145)/100),2))</f>
        <v>0</v>
      </c>
      <c r="CZ145" s="3">
        <f>(ROUND((((S145+ROUND((ROUND(((EU145)*AV145*1),2)*BS145),2))*AU145)/100),2)+ROUND(((ROUND((ROUND(((AE145-(EU145))*AV145*1),2)*BS145),2)*AU145)/100),2))</f>
        <v>0</v>
      </c>
      <c r="DC145" s="3" t="s">
        <v>3</v>
      </c>
      <c r="DD145" s="3" t="s">
        <v>3</v>
      </c>
      <c r="DE145" s="3" t="s">
        <v>3</v>
      </c>
      <c r="DF145" s="3" t="s">
        <v>3</v>
      </c>
      <c r="DG145" s="3" t="s">
        <v>3</v>
      </c>
      <c r="DH145" s="3" t="s">
        <v>3</v>
      </c>
      <c r="DI145" s="3" t="s">
        <v>3</v>
      </c>
      <c r="DJ145" s="3" t="s">
        <v>3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1010</v>
      </c>
      <c r="DV145" s="3" t="s">
        <v>254</v>
      </c>
      <c r="DW145" s="3" t="s">
        <v>254</v>
      </c>
      <c r="DX145" s="3">
        <v>100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56938723</v>
      </c>
      <c r="EF145" s="3">
        <v>30</v>
      </c>
      <c r="EG145" s="3" t="s">
        <v>41</v>
      </c>
      <c r="EH145" s="3">
        <v>0</v>
      </c>
      <c r="EI145" s="3" t="s">
        <v>3</v>
      </c>
      <c r="EJ145" s="3">
        <v>1</v>
      </c>
      <c r="EK145" s="3">
        <v>55</v>
      </c>
      <c r="EL145" s="3" t="s">
        <v>256</v>
      </c>
      <c r="EM145" s="3" t="s">
        <v>257</v>
      </c>
      <c r="EO145" s="3" t="s">
        <v>3</v>
      </c>
      <c r="EQ145" s="3">
        <v>1024</v>
      </c>
      <c r="ER145" s="3">
        <v>328.5</v>
      </c>
      <c r="ES145" s="3">
        <v>328.5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FQ145" s="3">
        <v>0</v>
      </c>
      <c r="FR145" s="3">
        <v>0</v>
      </c>
      <c r="FS145" s="3">
        <v>0</v>
      </c>
      <c r="FX145" s="3">
        <v>93</v>
      </c>
      <c r="FY145" s="3">
        <v>62</v>
      </c>
      <c r="GA145" s="3" t="s">
        <v>3</v>
      </c>
      <c r="GD145" s="3">
        <v>1</v>
      </c>
      <c r="GF145" s="3">
        <v>745037488</v>
      </c>
      <c r="GG145" s="3">
        <v>2</v>
      </c>
      <c r="GH145" s="3">
        <v>1</v>
      </c>
      <c r="GI145" s="3">
        <v>2</v>
      </c>
      <c r="GJ145" s="3">
        <v>0</v>
      </c>
      <c r="GK145" s="3">
        <v>0</v>
      </c>
      <c r="GL145" s="3">
        <f t="shared" si="173"/>
        <v>0</v>
      </c>
      <c r="GM145" s="3">
        <f t="shared" si="174"/>
        <v>2378.58</v>
      </c>
      <c r="GN145" s="3">
        <f t="shared" si="175"/>
        <v>2378.58</v>
      </c>
      <c r="GO145" s="3">
        <f t="shared" si="176"/>
        <v>0</v>
      </c>
      <c r="GP145" s="3">
        <f t="shared" si="177"/>
        <v>0</v>
      </c>
      <c r="GR145" s="3">
        <v>0</v>
      </c>
      <c r="GS145" s="3">
        <v>3</v>
      </c>
      <c r="GT145" s="3">
        <v>0</v>
      </c>
      <c r="GU145" s="3" t="s">
        <v>3</v>
      </c>
      <c r="GV145" s="3">
        <f t="shared" si="178"/>
        <v>0</v>
      </c>
      <c r="GW145" s="3">
        <v>1</v>
      </c>
      <c r="GX145" s="3">
        <f t="shared" si="179"/>
        <v>0</v>
      </c>
      <c r="HA145" s="3">
        <v>0</v>
      </c>
      <c r="HB145" s="3">
        <v>0</v>
      </c>
      <c r="HC145" s="3">
        <f t="shared" si="180"/>
        <v>0</v>
      </c>
      <c r="HE145" s="3" t="s">
        <v>3</v>
      </c>
      <c r="HF145" s="3" t="s">
        <v>3</v>
      </c>
      <c r="HM145" s="3" t="s">
        <v>3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">
      <c r="A146" s="2">
        <v>17</v>
      </c>
      <c r="B146" s="2">
        <v>1</v>
      </c>
      <c r="C146" s="2">
        <f>ROW(SmtRes!A402)</f>
        <v>402</v>
      </c>
      <c r="D146" s="2">
        <f>ROW(EtalonRes!A431)</f>
        <v>431</v>
      </c>
      <c r="E146" s="2" t="s">
        <v>264</v>
      </c>
      <c r="F146" s="2" t="s">
        <v>265</v>
      </c>
      <c r="G146" s="2" t="s">
        <v>253</v>
      </c>
      <c r="H146" s="2" t="s">
        <v>254</v>
      </c>
      <c r="I146" s="2">
        <f>ROUND((45+45)/100,9)</f>
        <v>0.9</v>
      </c>
      <c r="J146" s="2">
        <v>0</v>
      </c>
      <c r="K146" s="2">
        <f>ROUND((45+45)/100,9)</f>
        <v>0.9</v>
      </c>
      <c r="L146" s="2"/>
      <c r="M146" s="2"/>
      <c r="N146" s="2"/>
      <c r="O146" s="2">
        <f t="shared" si="156"/>
        <v>266.63</v>
      </c>
      <c r="P146" s="2">
        <f t="shared" si="157"/>
        <v>0</v>
      </c>
      <c r="Q146" s="2">
        <f>(ROUND((ROUND(((((ET146*1.2)*1.25))*AV146*I146),2)*BB146),2)+ROUND((ROUND(((AE146-(((EU146*1.2)*1.25)))*AV146*I146),2)*BS146),2))</f>
        <v>3.65</v>
      </c>
      <c r="R146" s="2">
        <f>(ROUND((ROUND(((((EU146*1.2)*1.25))*AV146*I146),2)*BS146),2)+ROUND((ROUND(((AE146-(((EU146*1.2)*1.25)))*AV146*I146),2)*BS146),2))</f>
        <v>0.56000000000000005</v>
      </c>
      <c r="S146" s="2">
        <f t="shared" si="158"/>
        <v>262.98</v>
      </c>
      <c r="T146" s="2">
        <f t="shared" si="159"/>
        <v>0</v>
      </c>
      <c r="U146" s="2">
        <f t="shared" si="160"/>
        <v>18.090723599999997</v>
      </c>
      <c r="V146" s="2">
        <f t="shared" si="161"/>
        <v>0</v>
      </c>
      <c r="W146" s="2">
        <f t="shared" si="162"/>
        <v>0</v>
      </c>
      <c r="X146" s="2">
        <f>(ROUND((((S146+ROUND((ROUND(((((EU146*1.2)*1.25))*AV146*I146),2)*BS146),2))*AT146)/100),2)+ROUND(((ROUND((ROUND(((AE146-(((EU146*1.2)*1.25)))*AV146*I146),2)*BS146),2)*AT146)/100),2))</f>
        <v>245.09</v>
      </c>
      <c r="Y146" s="2">
        <f>(ROUND((((S146+ROUND((ROUND(((((EU146*1.2)*1.25))*AV146*I146),2)*BS146),2))*AU146)/100),2)+ROUND(((ROUND((ROUND(((AE146-(((EU146*1.2)*1.25)))*AV146*I146),2)*BS146),2)*AU146)/100),2))</f>
        <v>163.38999999999999</v>
      </c>
      <c r="Z146" s="2"/>
      <c r="AA146" s="2">
        <v>55747649</v>
      </c>
      <c r="AB146" s="2">
        <f t="shared" si="163"/>
        <v>272.54520000000002</v>
      </c>
      <c r="AC146" s="2">
        <f>ROUND((((ES146*1)*1)),6)</f>
        <v>0</v>
      </c>
      <c r="AD146" s="2">
        <f>ROUND((((((ET146*1.2)*1.25))-(((EU146*1.2)*1.25)))+AE146),6)</f>
        <v>3.7349999999999999</v>
      </c>
      <c r="AE146" s="2">
        <f>ROUND((((EU146*1.2)*1.25)),6)</f>
        <v>0.56999999999999995</v>
      </c>
      <c r="AF146" s="2">
        <f>ROUND((((EV146*1.2)*1.15)),6)</f>
        <v>268.81020000000001</v>
      </c>
      <c r="AG146" s="2">
        <f t="shared" si="164"/>
        <v>0</v>
      </c>
      <c r="AH146" s="2">
        <f>(((EW146*1.2)*1.15))</f>
        <v>18.491999999999997</v>
      </c>
      <c r="AI146" s="2">
        <f>(((EX146*1.2)*1.25))</f>
        <v>0</v>
      </c>
      <c r="AJ146" s="2">
        <f t="shared" si="165"/>
        <v>0</v>
      </c>
      <c r="AK146" s="2">
        <v>197.28</v>
      </c>
      <c r="AL146" s="2">
        <v>0</v>
      </c>
      <c r="AM146" s="2">
        <v>2.4900000000000002</v>
      </c>
      <c r="AN146" s="2">
        <v>0.38</v>
      </c>
      <c r="AO146" s="2">
        <v>194.79</v>
      </c>
      <c r="AP146" s="2">
        <v>0</v>
      </c>
      <c r="AQ146" s="2">
        <v>13.4</v>
      </c>
      <c r="AR146" s="2">
        <v>0</v>
      </c>
      <c r="AS146" s="2">
        <v>0</v>
      </c>
      <c r="AT146" s="2">
        <v>93</v>
      </c>
      <c r="AU146" s="2">
        <v>62</v>
      </c>
      <c r="AV146" s="2">
        <v>1.087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1</v>
      </c>
      <c r="BJ146" s="2" t="s">
        <v>266</v>
      </c>
      <c r="BK146" s="2"/>
      <c r="BL146" s="2"/>
      <c r="BM146" s="2">
        <v>13</v>
      </c>
      <c r="BN146" s="2">
        <v>0</v>
      </c>
      <c r="BO146" s="2" t="s">
        <v>265</v>
      </c>
      <c r="BP146" s="2">
        <v>1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93</v>
      </c>
      <c r="CA146" s="2">
        <v>62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715</v>
      </c>
      <c r="CO146" s="2">
        <v>0</v>
      </c>
      <c r="CP146" s="2">
        <f t="shared" si="166"/>
        <v>266.63</v>
      </c>
      <c r="CQ146" s="2">
        <f t="shared" si="167"/>
        <v>0</v>
      </c>
      <c r="CR146" s="2">
        <f>(ROUND((ROUND(((((ET146*1.2)*1.25))*AV146*1),2)*BB146),2)+ROUND((ROUND(((AE146-(((EU146*1.2)*1.25)))*AV146*1),2)*BS146),2))</f>
        <v>4.0599999999999996</v>
      </c>
      <c r="CS146" s="2">
        <f>(ROUND((ROUND(((((EU146*1.2)*1.25))*AV146*1),2)*BS146),2)+ROUND((ROUND(((AE146-(((EU146*1.2)*1.25)))*AV146*1),2)*BS146),2))</f>
        <v>0.62</v>
      </c>
      <c r="CT146" s="2">
        <f t="shared" si="168"/>
        <v>292.2</v>
      </c>
      <c r="CU146" s="2">
        <f t="shared" si="169"/>
        <v>0</v>
      </c>
      <c r="CV146" s="2">
        <f t="shared" si="170"/>
        <v>20.100803999999997</v>
      </c>
      <c r="CW146" s="2">
        <f t="shared" si="171"/>
        <v>0</v>
      </c>
      <c r="CX146" s="2">
        <f t="shared" si="172"/>
        <v>0</v>
      </c>
      <c r="CY146" s="2">
        <f>(ROUND((((S146+ROUND((ROUND(((((EU146*1.2)*1.25))*AV146*1),2)*BS146),2))*AT146)/100),2)+ROUND(((ROUND((ROUND(((AE146-(((EU146*1.2)*1.25)))*AV146*1),2)*BS146),2)*AT146)/100),2))</f>
        <v>245.15</v>
      </c>
      <c r="CZ146" s="2">
        <f>(ROUND((((S146+ROUND((ROUND(((((EU146*1.2)*1.25))*AV146*1),2)*BS146),2))*AU146)/100),2)+ROUND(((ROUND((ROUND(((AE146-(((EU146*1.2)*1.25)))*AV146*1),2)*BS146),2)*AU146)/100),2))</f>
        <v>163.43</v>
      </c>
      <c r="DA146" s="2"/>
      <c r="DB146" s="2">
        <v>61</v>
      </c>
      <c r="DC146" s="2" t="s">
        <v>3</v>
      </c>
      <c r="DD146" s="2" t="s">
        <v>38</v>
      </c>
      <c r="DE146" s="2" t="s">
        <v>39</v>
      </c>
      <c r="DF146" s="2" t="s">
        <v>39</v>
      </c>
      <c r="DG146" s="2" t="s">
        <v>40</v>
      </c>
      <c r="DH146" s="2" t="s">
        <v>3</v>
      </c>
      <c r="DI146" s="2" t="s">
        <v>40</v>
      </c>
      <c r="DJ146" s="2" t="s">
        <v>39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1010</v>
      </c>
      <c r="DV146" s="2" t="s">
        <v>254</v>
      </c>
      <c r="DW146" s="2" t="s">
        <v>254</v>
      </c>
      <c r="DX146" s="2">
        <v>100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56938679</v>
      </c>
      <c r="EF146" s="2">
        <v>30</v>
      </c>
      <c r="EG146" s="2" t="s">
        <v>41</v>
      </c>
      <c r="EH146" s="2">
        <v>0</v>
      </c>
      <c r="EI146" s="2" t="s">
        <v>3</v>
      </c>
      <c r="EJ146" s="2">
        <v>1</v>
      </c>
      <c r="EK146" s="2">
        <v>13</v>
      </c>
      <c r="EL146" s="2" t="s">
        <v>267</v>
      </c>
      <c r="EM146" s="2" t="s">
        <v>268</v>
      </c>
      <c r="EN146" s="2"/>
      <c r="EO146" s="2" t="s">
        <v>44</v>
      </c>
      <c r="EP146" s="2"/>
      <c r="EQ146" s="2">
        <v>0</v>
      </c>
      <c r="ER146" s="2">
        <v>197.28</v>
      </c>
      <c r="ES146" s="2">
        <v>0</v>
      </c>
      <c r="ET146" s="2">
        <v>2.4900000000000002</v>
      </c>
      <c r="EU146" s="2">
        <v>0.38</v>
      </c>
      <c r="EV146" s="2">
        <v>194.79</v>
      </c>
      <c r="EW146" s="2">
        <v>13.4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93</v>
      </c>
      <c r="FY146" s="2">
        <v>62</v>
      </c>
      <c r="FZ146" s="2"/>
      <c r="GA146" s="2" t="s">
        <v>3</v>
      </c>
      <c r="GB146" s="2"/>
      <c r="GC146" s="2"/>
      <c r="GD146" s="2">
        <v>1</v>
      </c>
      <c r="GE146" s="2"/>
      <c r="GF146" s="2">
        <v>-1557177518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si="173"/>
        <v>0</v>
      </c>
      <c r="GM146" s="2">
        <f t="shared" si="174"/>
        <v>675.11</v>
      </c>
      <c r="GN146" s="2">
        <f t="shared" si="175"/>
        <v>675.11</v>
      </c>
      <c r="GO146" s="2">
        <f t="shared" si="176"/>
        <v>0</v>
      </c>
      <c r="GP146" s="2">
        <f t="shared" si="177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178"/>
        <v>0</v>
      </c>
      <c r="GW146" s="2">
        <v>1</v>
      </c>
      <c r="GX146" s="2">
        <f t="shared" si="179"/>
        <v>0</v>
      </c>
      <c r="GY146" s="2"/>
      <c r="GZ146" s="2"/>
      <c r="HA146" s="2">
        <v>0</v>
      </c>
      <c r="HB146" s="2">
        <v>0</v>
      </c>
      <c r="HC146" s="2">
        <f t="shared" si="180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">
      <c r="A147" s="3">
        <v>17</v>
      </c>
      <c r="B147" s="3">
        <v>1</v>
      </c>
      <c r="C147" s="3">
        <f>ROW(SmtRes!A406)</f>
        <v>406</v>
      </c>
      <c r="D147" s="3">
        <f>ROW(EtalonRes!A434)</f>
        <v>434</v>
      </c>
      <c r="E147" s="3" t="s">
        <v>264</v>
      </c>
      <c r="F147" s="3" t="s">
        <v>265</v>
      </c>
      <c r="G147" s="3" t="s">
        <v>253</v>
      </c>
      <c r="H147" s="3" t="s">
        <v>254</v>
      </c>
      <c r="I147" s="3">
        <f>ROUND((45+45)/100,9)</f>
        <v>0.9</v>
      </c>
      <c r="J147" s="3">
        <v>0</v>
      </c>
      <c r="K147" s="3">
        <f>ROUND((45+45)/100,9)</f>
        <v>0.9</v>
      </c>
      <c r="O147" s="3">
        <f t="shared" si="156"/>
        <v>14881.3</v>
      </c>
      <c r="P147" s="3">
        <f t="shared" si="157"/>
        <v>0</v>
      </c>
      <c r="Q147" s="3">
        <f>(ROUND((ROUND(((((ET147*1.2)*1.25))*AV147*I147),2)*BB147),2)+ROUND((ROUND(((AE147-(((EU147*1.2)*1.25)))*AV147*I147),2)*BS147),2))</f>
        <v>62.38</v>
      </c>
      <c r="R147" s="3">
        <f>(ROUND((ROUND(((((EU147*1.2)*1.25))*AV147*I147),2)*BS147),2)+ROUND((ROUND(((AE147-(((EU147*1.2)*1.25)))*AV147*I147),2)*BS147),2))</f>
        <v>31.56</v>
      </c>
      <c r="S147" s="3">
        <f t="shared" si="158"/>
        <v>14818.92</v>
      </c>
      <c r="T147" s="3">
        <f t="shared" si="159"/>
        <v>0</v>
      </c>
      <c r="U147" s="3">
        <f t="shared" si="160"/>
        <v>18.090723599999997</v>
      </c>
      <c r="V147" s="3">
        <f t="shared" si="161"/>
        <v>0</v>
      </c>
      <c r="W147" s="3">
        <f t="shared" si="162"/>
        <v>0</v>
      </c>
      <c r="X147" s="3">
        <f>(ROUND((((S147+ROUND((ROUND(((((EU147*1.2)*1.25))*AV147*I147),2)*BS147),2))*AT147)/100),2)+ROUND(((ROUND((ROUND(((AE147-(((EU147*1.2)*1.25)))*AV147*I147),2)*BS147),2)*AT147)/100),2))</f>
        <v>13810.95</v>
      </c>
      <c r="Y147" s="3">
        <f>(ROUND((((S147+ROUND((ROUND(((((EU147*1.2)*1.25))*AV147*I147),2)*BS147),2))*AU147)/100),2)+ROUND(((ROUND((ROUND(((AE147-(((EU147*1.2)*1.25)))*AV147*I147),2)*BS147),2)*AU147)/100),2))</f>
        <v>9207.2999999999993</v>
      </c>
      <c r="AA147" s="3">
        <v>55747651</v>
      </c>
      <c r="AB147" s="3">
        <f t="shared" si="163"/>
        <v>272.54520000000002</v>
      </c>
      <c r="AC147" s="3">
        <f>ROUND((((ES147*1)*1)),6)</f>
        <v>0</v>
      </c>
      <c r="AD147" s="3">
        <f>ROUND((((((ET147*1.2)*1.25))-(((EU147*1.2)*1.25)))+AE147),6)</f>
        <v>3.7349999999999999</v>
      </c>
      <c r="AE147" s="3">
        <f>ROUND((((EU147*1.2)*1.25)),6)</f>
        <v>0.56999999999999995</v>
      </c>
      <c r="AF147" s="3">
        <f>ROUND((((EV147*1.2)*1.15)),6)</f>
        <v>268.81020000000001</v>
      </c>
      <c r="AG147" s="3">
        <f t="shared" si="164"/>
        <v>0</v>
      </c>
      <c r="AH147" s="3">
        <f>(((EW147*1.2)*1.15))</f>
        <v>18.491999999999997</v>
      </c>
      <c r="AI147" s="3">
        <f>(((EX147*1.2)*1.25))</f>
        <v>0</v>
      </c>
      <c r="AJ147" s="3">
        <f t="shared" si="165"/>
        <v>0</v>
      </c>
      <c r="AK147" s="3">
        <v>197.28</v>
      </c>
      <c r="AL147" s="3">
        <v>0</v>
      </c>
      <c r="AM147" s="3">
        <v>2.4900000000000002</v>
      </c>
      <c r="AN147" s="3">
        <v>0.38</v>
      </c>
      <c r="AO147" s="3">
        <v>194.79</v>
      </c>
      <c r="AP147" s="3">
        <v>0</v>
      </c>
      <c r="AQ147" s="3">
        <v>13.4</v>
      </c>
      <c r="AR147" s="3">
        <v>0</v>
      </c>
      <c r="AS147" s="3">
        <v>0</v>
      </c>
      <c r="AT147" s="3">
        <v>93</v>
      </c>
      <c r="AU147" s="3">
        <v>62</v>
      </c>
      <c r="AV147" s="3">
        <v>1.087</v>
      </c>
      <c r="AW147" s="3">
        <v>1</v>
      </c>
      <c r="AZ147" s="3">
        <v>1</v>
      </c>
      <c r="BA147" s="3">
        <v>56.35</v>
      </c>
      <c r="BB147" s="3">
        <v>17.09</v>
      </c>
      <c r="BC147" s="3">
        <v>1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1</v>
      </c>
      <c r="BJ147" s="3" t="s">
        <v>266</v>
      </c>
      <c r="BM147" s="3">
        <v>13</v>
      </c>
      <c r="BN147" s="3">
        <v>0</v>
      </c>
      <c r="BO147" s="3" t="s">
        <v>265</v>
      </c>
      <c r="BP147" s="3">
        <v>1</v>
      </c>
      <c r="BQ147" s="3">
        <v>30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93</v>
      </c>
      <c r="CA147" s="3">
        <v>62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715</v>
      </c>
      <c r="CO147" s="3">
        <v>0</v>
      </c>
      <c r="CP147" s="3">
        <f t="shared" si="166"/>
        <v>14881.3</v>
      </c>
      <c r="CQ147" s="3">
        <f t="shared" si="167"/>
        <v>0</v>
      </c>
      <c r="CR147" s="3">
        <f>(ROUND((ROUND(((((ET147*1.2)*1.25))*AV147*1),2)*BB147),2)+ROUND((ROUND(((AE147-(((EU147*1.2)*1.25)))*AV147*1),2)*BS147),2))</f>
        <v>69.39</v>
      </c>
      <c r="CS147" s="3">
        <f>(ROUND((ROUND(((((EU147*1.2)*1.25))*AV147*1),2)*BS147),2)+ROUND((ROUND(((AE147-(((EU147*1.2)*1.25)))*AV147*1),2)*BS147),2))</f>
        <v>34.94</v>
      </c>
      <c r="CT147" s="3">
        <f t="shared" si="168"/>
        <v>16465.47</v>
      </c>
      <c r="CU147" s="3">
        <f t="shared" si="169"/>
        <v>0</v>
      </c>
      <c r="CV147" s="3">
        <f t="shared" si="170"/>
        <v>20.100803999999997</v>
      </c>
      <c r="CW147" s="3">
        <f t="shared" si="171"/>
        <v>0</v>
      </c>
      <c r="CX147" s="3">
        <f t="shared" si="172"/>
        <v>0</v>
      </c>
      <c r="CY147" s="3">
        <f>(ROUND((((S147+ROUND((ROUND(((((EU147*1.2)*1.25))*AV147*1),2)*BS147),2))*AT147)/100),2)+ROUND(((ROUND((ROUND(((AE147-(((EU147*1.2)*1.25)))*AV147*1),2)*BS147),2)*AT147)/100),2))</f>
        <v>13814.09</v>
      </c>
      <c r="CZ147" s="3">
        <f>(ROUND((((S147+ROUND((ROUND(((((EU147*1.2)*1.25))*AV147*1),2)*BS147),2))*AU147)/100),2)+ROUND(((ROUND((ROUND(((AE147-(((EU147*1.2)*1.25)))*AV147*1),2)*BS147),2)*AU147)/100),2))</f>
        <v>9209.39</v>
      </c>
      <c r="DB147" s="3">
        <v>63</v>
      </c>
      <c r="DC147" s="3" t="s">
        <v>3</v>
      </c>
      <c r="DD147" s="3" t="s">
        <v>38</v>
      </c>
      <c r="DE147" s="3" t="s">
        <v>39</v>
      </c>
      <c r="DF147" s="3" t="s">
        <v>39</v>
      </c>
      <c r="DG147" s="3" t="s">
        <v>40</v>
      </c>
      <c r="DH147" s="3" t="s">
        <v>3</v>
      </c>
      <c r="DI147" s="3" t="s">
        <v>40</v>
      </c>
      <c r="DJ147" s="3" t="s">
        <v>39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1010</v>
      </c>
      <c r="DV147" s="3" t="s">
        <v>254</v>
      </c>
      <c r="DW147" s="3" t="s">
        <v>254</v>
      </c>
      <c r="DX147" s="3">
        <v>100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56938679</v>
      </c>
      <c r="EF147" s="3">
        <v>30</v>
      </c>
      <c r="EG147" s="3" t="s">
        <v>41</v>
      </c>
      <c r="EH147" s="3">
        <v>0</v>
      </c>
      <c r="EI147" s="3" t="s">
        <v>3</v>
      </c>
      <c r="EJ147" s="3">
        <v>1</v>
      </c>
      <c r="EK147" s="3">
        <v>13</v>
      </c>
      <c r="EL147" s="3" t="s">
        <v>267</v>
      </c>
      <c r="EM147" s="3" t="s">
        <v>268</v>
      </c>
      <c r="EO147" s="3" t="s">
        <v>44</v>
      </c>
      <c r="EQ147" s="3">
        <v>0</v>
      </c>
      <c r="ER147" s="3">
        <v>197.28</v>
      </c>
      <c r="ES147" s="3">
        <v>0</v>
      </c>
      <c r="ET147" s="3">
        <v>2.4900000000000002</v>
      </c>
      <c r="EU147" s="3">
        <v>0.38</v>
      </c>
      <c r="EV147" s="3">
        <v>194.79</v>
      </c>
      <c r="EW147" s="3">
        <v>13.4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93</v>
      </c>
      <c r="FY147" s="3">
        <v>62</v>
      </c>
      <c r="GA147" s="3" t="s">
        <v>3</v>
      </c>
      <c r="GD147" s="3">
        <v>1</v>
      </c>
      <c r="GF147" s="3">
        <v>-1557177518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73"/>
        <v>0</v>
      </c>
      <c r="GM147" s="3">
        <f t="shared" si="174"/>
        <v>37899.550000000003</v>
      </c>
      <c r="GN147" s="3">
        <f t="shared" si="175"/>
        <v>37899.550000000003</v>
      </c>
      <c r="GO147" s="3">
        <f t="shared" si="176"/>
        <v>0</v>
      </c>
      <c r="GP147" s="3">
        <f t="shared" si="177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78"/>
        <v>0</v>
      </c>
      <c r="GW147" s="3">
        <v>1</v>
      </c>
      <c r="GX147" s="3">
        <f t="shared" si="179"/>
        <v>0</v>
      </c>
      <c r="HA147" s="3">
        <v>0</v>
      </c>
      <c r="HB147" s="3">
        <v>0</v>
      </c>
      <c r="HC147" s="3">
        <f t="shared" si="180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">
      <c r="A148" s="2">
        <v>18</v>
      </c>
      <c r="B148" s="2">
        <v>1</v>
      </c>
      <c r="C148" s="2">
        <v>401</v>
      </c>
      <c r="D148" s="2"/>
      <c r="E148" s="2" t="s">
        <v>269</v>
      </c>
      <c r="F148" s="2" t="s">
        <v>258</v>
      </c>
      <c r="G148" s="2" t="s">
        <v>259</v>
      </c>
      <c r="H148" s="2" t="s">
        <v>118</v>
      </c>
      <c r="I148" s="2">
        <f>I146*J148</f>
        <v>45</v>
      </c>
      <c r="J148" s="2">
        <v>50</v>
      </c>
      <c r="K148" s="2">
        <v>50</v>
      </c>
      <c r="L148" s="2"/>
      <c r="M148" s="2"/>
      <c r="N148" s="2"/>
      <c r="O148" s="2">
        <f t="shared" si="156"/>
        <v>595.35</v>
      </c>
      <c r="P148" s="2">
        <f t="shared" si="157"/>
        <v>595.35</v>
      </c>
      <c r="Q148" s="2">
        <f>(ROUND((ROUND(((ET148)*AV148*I148),2)*BB148),2)+ROUND((ROUND(((AE148-(EU148))*AV148*I148),2)*BS148),2))</f>
        <v>0</v>
      </c>
      <c r="R148" s="2">
        <f>(ROUND((ROUND(((EU148)*AV148*I148),2)*BS148),2)+ROUND((ROUND(((AE148-(EU148))*AV148*I148),2)*BS148),2))</f>
        <v>0</v>
      </c>
      <c r="S148" s="2">
        <f t="shared" si="158"/>
        <v>0</v>
      </c>
      <c r="T148" s="2">
        <f t="shared" si="159"/>
        <v>0</v>
      </c>
      <c r="U148" s="2">
        <f t="shared" si="160"/>
        <v>0</v>
      </c>
      <c r="V148" s="2">
        <f t="shared" si="161"/>
        <v>0</v>
      </c>
      <c r="W148" s="2">
        <f t="shared" si="162"/>
        <v>0</v>
      </c>
      <c r="X148" s="2">
        <f>(ROUND((((S148+ROUND((ROUND(((EU148)*AV148*I148),2)*BS148),2))*AT148)/100),2)+ROUND(((ROUND((ROUND(((AE148-(EU148))*AV148*I148),2)*BS148),2)*AT148)/100),2))</f>
        <v>0</v>
      </c>
      <c r="Y148" s="2">
        <f>(ROUND((((S148+ROUND((ROUND(((EU148)*AV148*I148),2)*BS148),2))*AU148)/100),2)+ROUND(((ROUND((ROUND(((AE148-(EU148))*AV148*I148),2)*BS148),2)*AU148)/100),2))</f>
        <v>0</v>
      </c>
      <c r="Z148" s="2"/>
      <c r="AA148" s="2">
        <v>55747649</v>
      </c>
      <c r="AB148" s="2">
        <f t="shared" si="163"/>
        <v>13.23</v>
      </c>
      <c r="AC148" s="2">
        <f>ROUND((ES148),6)</f>
        <v>13.23</v>
      </c>
      <c r="AD148" s="2">
        <f>ROUND((((ET148)-(EU148))+AE148),6)</f>
        <v>0</v>
      </c>
      <c r="AE148" s="2">
        <f t="shared" ref="AE148:AF151" si="197">ROUND((EU148),6)</f>
        <v>0</v>
      </c>
      <c r="AF148" s="2">
        <f t="shared" si="197"/>
        <v>0</v>
      </c>
      <c r="AG148" s="2">
        <f t="shared" si="164"/>
        <v>0</v>
      </c>
      <c r="AH148" s="2">
        <f t="shared" ref="AH148:AI151" si="198">(EW148)</f>
        <v>0</v>
      </c>
      <c r="AI148" s="2">
        <f t="shared" si="198"/>
        <v>0</v>
      </c>
      <c r="AJ148" s="2">
        <f t="shared" si="165"/>
        <v>0</v>
      </c>
      <c r="AK148" s="2">
        <v>13.23</v>
      </c>
      <c r="AL148" s="2">
        <v>13.23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93</v>
      </c>
      <c r="AU148" s="2">
        <v>62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1</v>
      </c>
      <c r="BJ148" s="2" t="s">
        <v>260</v>
      </c>
      <c r="BK148" s="2"/>
      <c r="BL148" s="2"/>
      <c r="BM148" s="2">
        <v>13</v>
      </c>
      <c r="BN148" s="2">
        <v>0</v>
      </c>
      <c r="BO148" s="2" t="s">
        <v>3</v>
      </c>
      <c r="BP148" s="2">
        <v>0</v>
      </c>
      <c r="BQ148" s="2">
        <v>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93</v>
      </c>
      <c r="CA148" s="2">
        <v>62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719</v>
      </c>
      <c r="CO148" s="2">
        <v>0</v>
      </c>
      <c r="CP148" s="2">
        <f t="shared" si="166"/>
        <v>595.35</v>
      </c>
      <c r="CQ148" s="2">
        <f t="shared" si="167"/>
        <v>13.23</v>
      </c>
      <c r="CR148" s="2">
        <f>(ROUND((ROUND(((ET148)*AV148*1),2)*BB148),2)+ROUND((ROUND(((AE148-(EU148))*AV148*1),2)*BS148),2))</f>
        <v>0</v>
      </c>
      <c r="CS148" s="2">
        <f>(ROUND((ROUND(((EU148)*AV148*1),2)*BS148),2)+ROUND((ROUND(((AE148-(EU148))*AV148*1),2)*BS148),2))</f>
        <v>0</v>
      </c>
      <c r="CT148" s="2">
        <f t="shared" si="168"/>
        <v>0</v>
      </c>
      <c r="CU148" s="2">
        <f t="shared" si="169"/>
        <v>0</v>
      </c>
      <c r="CV148" s="2">
        <f t="shared" si="170"/>
        <v>0</v>
      </c>
      <c r="CW148" s="2">
        <f t="shared" si="171"/>
        <v>0</v>
      </c>
      <c r="CX148" s="2">
        <f t="shared" si="172"/>
        <v>0</v>
      </c>
      <c r="CY148" s="2">
        <f>(ROUND((((S148+ROUND((ROUND(((EU148)*AV148*1),2)*BS148),2))*AT148)/100),2)+ROUND(((ROUND((ROUND(((AE148-(EU148))*AV148*1),2)*BS148),2)*AT148)/100),2))</f>
        <v>0</v>
      </c>
      <c r="CZ148" s="2">
        <f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118</v>
      </c>
      <c r="DW148" s="2" t="s">
        <v>118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56938679</v>
      </c>
      <c r="EF148" s="2">
        <v>30</v>
      </c>
      <c r="EG148" s="2" t="s">
        <v>41</v>
      </c>
      <c r="EH148" s="2">
        <v>0</v>
      </c>
      <c r="EI148" s="2" t="s">
        <v>3</v>
      </c>
      <c r="EJ148" s="2">
        <v>1</v>
      </c>
      <c r="EK148" s="2">
        <v>13</v>
      </c>
      <c r="EL148" s="2" t="s">
        <v>267</v>
      </c>
      <c r="EM148" s="2" t="s">
        <v>268</v>
      </c>
      <c r="EN148" s="2"/>
      <c r="EO148" s="2" t="s">
        <v>270</v>
      </c>
      <c r="EP148" s="2"/>
      <c r="EQ148" s="2">
        <v>0</v>
      </c>
      <c r="ER148" s="2">
        <v>13.23</v>
      </c>
      <c r="ES148" s="2">
        <v>13.23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93</v>
      </c>
      <c r="FY148" s="2">
        <v>62</v>
      </c>
      <c r="FZ148" s="2"/>
      <c r="GA148" s="2" t="s">
        <v>3</v>
      </c>
      <c r="GB148" s="2"/>
      <c r="GC148" s="2"/>
      <c r="GD148" s="2">
        <v>1</v>
      </c>
      <c r="GE148" s="2"/>
      <c r="GF148" s="2">
        <v>-335723436</v>
      </c>
      <c r="GG148" s="2">
        <v>2</v>
      </c>
      <c r="GH148" s="2">
        <v>1</v>
      </c>
      <c r="GI148" s="2">
        <v>-2</v>
      </c>
      <c r="GJ148" s="2">
        <v>0</v>
      </c>
      <c r="GK148" s="2">
        <v>0</v>
      </c>
      <c r="GL148" s="2">
        <f t="shared" si="173"/>
        <v>0</v>
      </c>
      <c r="GM148" s="2">
        <f t="shared" si="174"/>
        <v>595.35</v>
      </c>
      <c r="GN148" s="2">
        <f t="shared" si="175"/>
        <v>595.35</v>
      </c>
      <c r="GO148" s="2">
        <f t="shared" si="176"/>
        <v>0</v>
      </c>
      <c r="GP148" s="2">
        <f t="shared" si="177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78"/>
        <v>0</v>
      </c>
      <c r="GW148" s="2">
        <v>1</v>
      </c>
      <c r="GX148" s="2">
        <f t="shared" si="179"/>
        <v>0</v>
      </c>
      <c r="GY148" s="2"/>
      <c r="GZ148" s="2"/>
      <c r="HA148" s="2">
        <v>0</v>
      </c>
      <c r="HB148" s="2">
        <v>0</v>
      </c>
      <c r="HC148" s="2">
        <f t="shared" si="180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38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">
      <c r="A149" s="3">
        <v>18</v>
      </c>
      <c r="B149" s="3">
        <v>1</v>
      </c>
      <c r="C149" s="3">
        <v>405</v>
      </c>
      <c r="E149" s="3" t="s">
        <v>269</v>
      </c>
      <c r="F149" s="3" t="s">
        <v>258</v>
      </c>
      <c r="G149" s="3" t="s">
        <v>259</v>
      </c>
      <c r="H149" s="3" t="s">
        <v>118</v>
      </c>
      <c r="I149" s="3">
        <f>I147*J149</f>
        <v>45</v>
      </c>
      <c r="J149" s="3">
        <v>50</v>
      </c>
      <c r="K149" s="3">
        <v>50</v>
      </c>
      <c r="O149" s="3">
        <f t="shared" si="156"/>
        <v>8608.76</v>
      </c>
      <c r="P149" s="3">
        <f t="shared" si="157"/>
        <v>8608.76</v>
      </c>
      <c r="Q149" s="3">
        <f>(ROUND((ROUND(((ET149)*AV149*I149),2)*BB149),2)+ROUND((ROUND(((AE149-(EU149))*AV149*I149),2)*BS149),2))</f>
        <v>0</v>
      </c>
      <c r="R149" s="3">
        <f>(ROUND((ROUND(((EU149)*AV149*I149),2)*BS149),2)+ROUND((ROUND(((AE149-(EU149))*AV149*I149),2)*BS149),2))</f>
        <v>0</v>
      </c>
      <c r="S149" s="3">
        <f t="shared" si="158"/>
        <v>0</v>
      </c>
      <c r="T149" s="3">
        <f t="shared" si="159"/>
        <v>0</v>
      </c>
      <c r="U149" s="3">
        <f t="shared" si="160"/>
        <v>0</v>
      </c>
      <c r="V149" s="3">
        <f t="shared" si="161"/>
        <v>0</v>
      </c>
      <c r="W149" s="3">
        <f t="shared" si="162"/>
        <v>0</v>
      </c>
      <c r="X149" s="3">
        <f>(ROUND((((S149+ROUND((ROUND(((EU149)*AV149*I149),2)*BS149),2))*AT149)/100),2)+ROUND(((ROUND((ROUND(((AE149-(EU149))*AV149*I149),2)*BS149),2)*AT149)/100),2))</f>
        <v>0</v>
      </c>
      <c r="Y149" s="3">
        <f>(ROUND((((S149+ROUND((ROUND(((EU149)*AV149*I149),2)*BS149),2))*AU149)/100),2)+ROUND(((ROUND((ROUND(((AE149-(EU149))*AV149*I149),2)*BS149),2)*AU149)/100),2))</f>
        <v>0</v>
      </c>
      <c r="AA149" s="3">
        <v>55747651</v>
      </c>
      <c r="AB149" s="3">
        <f t="shared" si="163"/>
        <v>13.23</v>
      </c>
      <c r="AC149" s="3">
        <f>ROUND((ES149),6)</f>
        <v>13.23</v>
      </c>
      <c r="AD149" s="3">
        <f>ROUND((((ET149)-(EU149))+AE149),6)</f>
        <v>0</v>
      </c>
      <c r="AE149" s="3">
        <f t="shared" si="197"/>
        <v>0</v>
      </c>
      <c r="AF149" s="3">
        <f t="shared" si="197"/>
        <v>0</v>
      </c>
      <c r="AG149" s="3">
        <f t="shared" si="164"/>
        <v>0</v>
      </c>
      <c r="AH149" s="3">
        <f t="shared" si="198"/>
        <v>0</v>
      </c>
      <c r="AI149" s="3">
        <f t="shared" si="198"/>
        <v>0</v>
      </c>
      <c r="AJ149" s="3">
        <f t="shared" si="165"/>
        <v>0</v>
      </c>
      <c r="AK149" s="3">
        <v>13.23</v>
      </c>
      <c r="AL149" s="3">
        <v>13.23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93</v>
      </c>
      <c r="AU149" s="3">
        <v>62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14.46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1</v>
      </c>
      <c r="BJ149" s="3" t="s">
        <v>260</v>
      </c>
      <c r="BM149" s="3">
        <v>13</v>
      </c>
      <c r="BN149" s="3">
        <v>0</v>
      </c>
      <c r="BO149" s="3" t="s">
        <v>258</v>
      </c>
      <c r="BP149" s="3">
        <v>1</v>
      </c>
      <c r="BQ149" s="3">
        <v>30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93</v>
      </c>
      <c r="CA149" s="3">
        <v>62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719</v>
      </c>
      <c r="CO149" s="3">
        <v>0</v>
      </c>
      <c r="CP149" s="3">
        <f t="shared" si="166"/>
        <v>8608.76</v>
      </c>
      <c r="CQ149" s="3">
        <f t="shared" si="167"/>
        <v>191.31</v>
      </c>
      <c r="CR149" s="3">
        <f>(ROUND((ROUND(((ET149)*AV149*1),2)*BB149),2)+ROUND((ROUND(((AE149-(EU149))*AV149*1),2)*BS149),2))</f>
        <v>0</v>
      </c>
      <c r="CS149" s="3">
        <f>(ROUND((ROUND(((EU149)*AV149*1),2)*BS149),2)+ROUND((ROUND(((AE149-(EU149))*AV149*1),2)*BS149),2))</f>
        <v>0</v>
      </c>
      <c r="CT149" s="3">
        <f t="shared" si="168"/>
        <v>0</v>
      </c>
      <c r="CU149" s="3">
        <f t="shared" si="169"/>
        <v>0</v>
      </c>
      <c r="CV149" s="3">
        <f t="shared" si="170"/>
        <v>0</v>
      </c>
      <c r="CW149" s="3">
        <f t="shared" si="171"/>
        <v>0</v>
      </c>
      <c r="CX149" s="3">
        <f t="shared" si="172"/>
        <v>0</v>
      </c>
      <c r="CY149" s="3">
        <f>(ROUND((((S149+ROUND((ROUND(((EU149)*AV149*1),2)*BS149),2))*AT149)/100),2)+ROUND(((ROUND((ROUND(((AE149-(EU149))*AV149*1),2)*BS149),2)*AT149)/100),2))</f>
        <v>0</v>
      </c>
      <c r="CZ149" s="3">
        <f>(ROUND((((S149+ROUND((ROUND(((EU149)*AV149*1),2)*BS149),2))*AU149)/100),2)+ROUND(((ROUND((ROUND(((AE149-(EU149))*AV149*1),2)*BS149),2)*AU149)/100),2))</f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118</v>
      </c>
      <c r="DW149" s="3" t="s">
        <v>118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56938679</v>
      </c>
      <c r="EF149" s="3">
        <v>30</v>
      </c>
      <c r="EG149" s="3" t="s">
        <v>41</v>
      </c>
      <c r="EH149" s="3">
        <v>0</v>
      </c>
      <c r="EI149" s="3" t="s">
        <v>3</v>
      </c>
      <c r="EJ149" s="3">
        <v>1</v>
      </c>
      <c r="EK149" s="3">
        <v>13</v>
      </c>
      <c r="EL149" s="3" t="s">
        <v>267</v>
      </c>
      <c r="EM149" s="3" t="s">
        <v>268</v>
      </c>
      <c r="EO149" s="3" t="s">
        <v>270</v>
      </c>
      <c r="EQ149" s="3">
        <v>0</v>
      </c>
      <c r="ER149" s="3">
        <v>13.23</v>
      </c>
      <c r="ES149" s="3">
        <v>13.23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FQ149" s="3">
        <v>0</v>
      </c>
      <c r="FR149" s="3">
        <v>0</v>
      </c>
      <c r="FS149" s="3">
        <v>0</v>
      </c>
      <c r="FX149" s="3">
        <v>93</v>
      </c>
      <c r="FY149" s="3">
        <v>62</v>
      </c>
      <c r="GA149" s="3" t="s">
        <v>3</v>
      </c>
      <c r="GD149" s="3">
        <v>1</v>
      </c>
      <c r="GF149" s="3">
        <v>-335723436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73"/>
        <v>0</v>
      </c>
      <c r="GM149" s="3">
        <f t="shared" si="174"/>
        <v>8608.76</v>
      </c>
      <c r="GN149" s="3">
        <f t="shared" si="175"/>
        <v>8608.76</v>
      </c>
      <c r="GO149" s="3">
        <f t="shared" si="176"/>
        <v>0</v>
      </c>
      <c r="GP149" s="3">
        <f t="shared" si="177"/>
        <v>0</v>
      </c>
      <c r="GR149" s="3">
        <v>0</v>
      </c>
      <c r="GS149" s="3">
        <v>3</v>
      </c>
      <c r="GT149" s="3">
        <v>0</v>
      </c>
      <c r="GU149" s="3" t="s">
        <v>3</v>
      </c>
      <c r="GV149" s="3">
        <f t="shared" si="178"/>
        <v>0</v>
      </c>
      <c r="GW149" s="3">
        <v>1</v>
      </c>
      <c r="GX149" s="3">
        <f t="shared" si="179"/>
        <v>0</v>
      </c>
      <c r="HA149" s="3">
        <v>0</v>
      </c>
      <c r="HB149" s="3">
        <v>0</v>
      </c>
      <c r="HC149" s="3">
        <f t="shared" si="180"/>
        <v>0</v>
      </c>
      <c r="HE149" s="3" t="s">
        <v>3</v>
      </c>
      <c r="HF149" s="3" t="s">
        <v>3</v>
      </c>
      <c r="HM149" s="3" t="s">
        <v>38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">
      <c r="A150" s="2">
        <v>18</v>
      </c>
      <c r="B150" s="2">
        <v>1</v>
      </c>
      <c r="C150" s="2">
        <v>402</v>
      </c>
      <c r="D150" s="2"/>
      <c r="E150" s="2" t="s">
        <v>271</v>
      </c>
      <c r="F150" s="2" t="s">
        <v>261</v>
      </c>
      <c r="G150" s="2" t="s">
        <v>262</v>
      </c>
      <c r="H150" s="2" t="s">
        <v>254</v>
      </c>
      <c r="I150" s="2">
        <f>I146*J150</f>
        <v>0.45</v>
      </c>
      <c r="J150" s="2">
        <v>0.5</v>
      </c>
      <c r="K150" s="2">
        <v>0.5</v>
      </c>
      <c r="L150" s="2"/>
      <c r="M150" s="2"/>
      <c r="N150" s="2"/>
      <c r="O150" s="2">
        <f t="shared" si="156"/>
        <v>147.83000000000001</v>
      </c>
      <c r="P150" s="2">
        <f t="shared" si="157"/>
        <v>147.83000000000001</v>
      </c>
      <c r="Q150" s="2">
        <f>(ROUND((ROUND(((ET150)*AV150*I150),2)*BB150),2)+ROUND((ROUND(((AE150-(EU150))*AV150*I150),2)*BS150),2))</f>
        <v>0</v>
      </c>
      <c r="R150" s="2">
        <f>(ROUND((ROUND(((EU150)*AV150*I150),2)*BS150),2)+ROUND((ROUND(((AE150-(EU150))*AV150*I150),2)*BS150),2))</f>
        <v>0</v>
      </c>
      <c r="S150" s="2">
        <f t="shared" si="158"/>
        <v>0</v>
      </c>
      <c r="T150" s="2">
        <f t="shared" si="159"/>
        <v>0</v>
      </c>
      <c r="U150" s="2">
        <f t="shared" si="160"/>
        <v>0</v>
      </c>
      <c r="V150" s="2">
        <f t="shared" si="161"/>
        <v>0</v>
      </c>
      <c r="W150" s="2">
        <f t="shared" si="162"/>
        <v>0</v>
      </c>
      <c r="X150" s="2">
        <f>(ROUND((((S150+ROUND((ROUND(((EU150)*AV150*I150),2)*BS150),2))*AT150)/100),2)+ROUND(((ROUND((ROUND(((AE150-(EU150))*AV150*I150),2)*BS150),2)*AT150)/100),2))</f>
        <v>0</v>
      </c>
      <c r="Y150" s="2">
        <f>(ROUND((((S150+ROUND((ROUND(((EU150)*AV150*I150),2)*BS150),2))*AU150)/100),2)+ROUND(((ROUND((ROUND(((AE150-(EU150))*AV150*I150),2)*BS150),2)*AU150)/100),2))</f>
        <v>0</v>
      </c>
      <c r="Z150" s="2"/>
      <c r="AA150" s="2">
        <v>55747649</v>
      </c>
      <c r="AB150" s="2">
        <f t="shared" si="163"/>
        <v>328.5</v>
      </c>
      <c r="AC150" s="2">
        <f>ROUND((ES150),6)</f>
        <v>328.5</v>
      </c>
      <c r="AD150" s="2">
        <f>ROUND((((ET150)-(EU150))+AE150),6)</f>
        <v>0</v>
      </c>
      <c r="AE150" s="2">
        <f t="shared" si="197"/>
        <v>0</v>
      </c>
      <c r="AF150" s="2">
        <f t="shared" si="197"/>
        <v>0</v>
      </c>
      <c r="AG150" s="2">
        <f t="shared" si="164"/>
        <v>0</v>
      </c>
      <c r="AH150" s="2">
        <f t="shared" si="198"/>
        <v>0</v>
      </c>
      <c r="AI150" s="2">
        <f t="shared" si="198"/>
        <v>0</v>
      </c>
      <c r="AJ150" s="2">
        <f t="shared" si="165"/>
        <v>0</v>
      </c>
      <c r="AK150" s="2">
        <v>328.5</v>
      </c>
      <c r="AL150" s="2">
        <v>328.5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93</v>
      </c>
      <c r="AU150" s="2">
        <v>62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1</v>
      </c>
      <c r="BJ150" s="2" t="s">
        <v>263</v>
      </c>
      <c r="BK150" s="2"/>
      <c r="BL150" s="2"/>
      <c r="BM150" s="2">
        <v>13</v>
      </c>
      <c r="BN150" s="2">
        <v>0</v>
      </c>
      <c r="BO150" s="2" t="s">
        <v>3</v>
      </c>
      <c r="BP150" s="2">
        <v>0</v>
      </c>
      <c r="BQ150" s="2">
        <v>30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93</v>
      </c>
      <c r="CA150" s="2">
        <v>62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719</v>
      </c>
      <c r="CO150" s="2">
        <v>0</v>
      </c>
      <c r="CP150" s="2">
        <f t="shared" si="166"/>
        <v>147.83000000000001</v>
      </c>
      <c r="CQ150" s="2">
        <f t="shared" si="167"/>
        <v>328.5</v>
      </c>
      <c r="CR150" s="2">
        <f>(ROUND((ROUND(((ET150)*AV150*1),2)*BB150),2)+ROUND((ROUND(((AE150-(EU150))*AV150*1),2)*BS150),2))</f>
        <v>0</v>
      </c>
      <c r="CS150" s="2">
        <f>(ROUND((ROUND(((EU150)*AV150*1),2)*BS150),2)+ROUND((ROUND(((AE150-(EU150))*AV150*1),2)*BS150),2))</f>
        <v>0</v>
      </c>
      <c r="CT150" s="2">
        <f t="shared" si="168"/>
        <v>0</v>
      </c>
      <c r="CU150" s="2">
        <f t="shared" si="169"/>
        <v>0</v>
      </c>
      <c r="CV150" s="2">
        <f t="shared" si="170"/>
        <v>0</v>
      </c>
      <c r="CW150" s="2">
        <f t="shared" si="171"/>
        <v>0</v>
      </c>
      <c r="CX150" s="2">
        <f t="shared" si="172"/>
        <v>0</v>
      </c>
      <c r="CY150" s="2">
        <f>(ROUND((((S150+ROUND((ROUND(((EU150)*AV150*1),2)*BS150),2))*AT150)/100),2)+ROUND(((ROUND((ROUND(((AE150-(EU150))*AV150*1),2)*BS150),2)*AT150)/100),2))</f>
        <v>0</v>
      </c>
      <c r="CZ150" s="2">
        <f>(ROUND((((S150+ROUND((ROUND(((EU150)*AV150*1),2)*BS150),2))*AU150)/100),2)+ROUND(((ROUND((ROUND(((AE150-(EU150))*AV150*1),2)*BS150),2)*AU150)/100),2))</f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254</v>
      </c>
      <c r="DW150" s="2" t="s">
        <v>254</v>
      </c>
      <c r="DX150" s="2">
        <v>100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56938679</v>
      </c>
      <c r="EF150" s="2">
        <v>30</v>
      </c>
      <c r="EG150" s="2" t="s">
        <v>41</v>
      </c>
      <c r="EH150" s="2">
        <v>0</v>
      </c>
      <c r="EI150" s="2" t="s">
        <v>3</v>
      </c>
      <c r="EJ150" s="2">
        <v>1</v>
      </c>
      <c r="EK150" s="2">
        <v>13</v>
      </c>
      <c r="EL150" s="2" t="s">
        <v>267</v>
      </c>
      <c r="EM150" s="2" t="s">
        <v>268</v>
      </c>
      <c r="EN150" s="2"/>
      <c r="EO150" s="2" t="s">
        <v>270</v>
      </c>
      <c r="EP150" s="2"/>
      <c r="EQ150" s="2">
        <v>0</v>
      </c>
      <c r="ER150" s="2">
        <v>328.5</v>
      </c>
      <c r="ES150" s="2">
        <v>328.5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93</v>
      </c>
      <c r="FY150" s="2">
        <v>62</v>
      </c>
      <c r="FZ150" s="2"/>
      <c r="GA150" s="2" t="s">
        <v>3</v>
      </c>
      <c r="GB150" s="2"/>
      <c r="GC150" s="2"/>
      <c r="GD150" s="2">
        <v>1</v>
      </c>
      <c r="GE150" s="2"/>
      <c r="GF150" s="2">
        <v>745037488</v>
      </c>
      <c r="GG150" s="2">
        <v>2</v>
      </c>
      <c r="GH150" s="2">
        <v>1</v>
      </c>
      <c r="GI150" s="2">
        <v>-2</v>
      </c>
      <c r="GJ150" s="2">
        <v>0</v>
      </c>
      <c r="GK150" s="2">
        <v>0</v>
      </c>
      <c r="GL150" s="2">
        <f t="shared" si="173"/>
        <v>0</v>
      </c>
      <c r="GM150" s="2">
        <f t="shared" si="174"/>
        <v>147.83000000000001</v>
      </c>
      <c r="GN150" s="2">
        <f t="shared" si="175"/>
        <v>147.83000000000001</v>
      </c>
      <c r="GO150" s="2">
        <f t="shared" si="176"/>
        <v>0</v>
      </c>
      <c r="GP150" s="2">
        <f t="shared" si="177"/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si="178"/>
        <v>0</v>
      </c>
      <c r="GW150" s="2">
        <v>1</v>
      </c>
      <c r="GX150" s="2">
        <f t="shared" si="179"/>
        <v>0</v>
      </c>
      <c r="GY150" s="2"/>
      <c r="GZ150" s="2"/>
      <c r="HA150" s="2">
        <v>0</v>
      </c>
      <c r="HB150" s="2">
        <v>0</v>
      </c>
      <c r="HC150" s="2">
        <f t="shared" si="180"/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38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">
      <c r="A151" s="3">
        <v>18</v>
      </c>
      <c r="B151" s="3">
        <v>1</v>
      </c>
      <c r="C151" s="3">
        <v>406</v>
      </c>
      <c r="E151" s="3" t="s">
        <v>271</v>
      </c>
      <c r="F151" s="3" t="s">
        <v>261</v>
      </c>
      <c r="G151" s="3" t="s">
        <v>262</v>
      </c>
      <c r="H151" s="3" t="s">
        <v>254</v>
      </c>
      <c r="I151" s="3">
        <f>I147*J151</f>
        <v>0.45</v>
      </c>
      <c r="J151" s="3">
        <v>0.5</v>
      </c>
      <c r="K151" s="3">
        <v>0.5</v>
      </c>
      <c r="O151" s="3">
        <f t="shared" si="156"/>
        <v>2378.58</v>
      </c>
      <c r="P151" s="3">
        <f t="shared" si="157"/>
        <v>2378.58</v>
      </c>
      <c r="Q151" s="3">
        <f>(ROUND((ROUND(((ET151)*AV151*I151),2)*BB151),2)+ROUND((ROUND(((AE151-(EU151))*AV151*I151),2)*BS151),2))</f>
        <v>0</v>
      </c>
      <c r="R151" s="3">
        <f>(ROUND((ROUND(((EU151)*AV151*I151),2)*BS151),2)+ROUND((ROUND(((AE151-(EU151))*AV151*I151),2)*BS151),2))</f>
        <v>0</v>
      </c>
      <c r="S151" s="3">
        <f t="shared" si="158"/>
        <v>0</v>
      </c>
      <c r="T151" s="3">
        <f t="shared" si="159"/>
        <v>0</v>
      </c>
      <c r="U151" s="3">
        <f t="shared" si="160"/>
        <v>0</v>
      </c>
      <c r="V151" s="3">
        <f t="shared" si="161"/>
        <v>0</v>
      </c>
      <c r="W151" s="3">
        <f t="shared" si="162"/>
        <v>0</v>
      </c>
      <c r="X151" s="3">
        <f>(ROUND((((S151+ROUND((ROUND(((EU151)*AV151*I151),2)*BS151),2))*AT151)/100),2)+ROUND(((ROUND((ROUND(((AE151-(EU151))*AV151*I151),2)*BS151),2)*AT151)/100),2))</f>
        <v>0</v>
      </c>
      <c r="Y151" s="3">
        <f>(ROUND((((S151+ROUND((ROUND(((EU151)*AV151*I151),2)*BS151),2))*AU151)/100),2)+ROUND(((ROUND((ROUND(((AE151-(EU151))*AV151*I151),2)*BS151),2)*AU151)/100),2))</f>
        <v>0</v>
      </c>
      <c r="AA151" s="3">
        <v>55747651</v>
      </c>
      <c r="AB151" s="3">
        <f t="shared" si="163"/>
        <v>328.5</v>
      </c>
      <c r="AC151" s="3">
        <f>ROUND((ES151),6)</f>
        <v>328.5</v>
      </c>
      <c r="AD151" s="3">
        <f>ROUND((((ET151)-(EU151))+AE151),6)</f>
        <v>0</v>
      </c>
      <c r="AE151" s="3">
        <f t="shared" si="197"/>
        <v>0</v>
      </c>
      <c r="AF151" s="3">
        <f t="shared" si="197"/>
        <v>0</v>
      </c>
      <c r="AG151" s="3">
        <f t="shared" si="164"/>
        <v>0</v>
      </c>
      <c r="AH151" s="3">
        <f t="shared" si="198"/>
        <v>0</v>
      </c>
      <c r="AI151" s="3">
        <f t="shared" si="198"/>
        <v>0</v>
      </c>
      <c r="AJ151" s="3">
        <f t="shared" si="165"/>
        <v>0</v>
      </c>
      <c r="AK151" s="3">
        <v>328.5</v>
      </c>
      <c r="AL151" s="3">
        <v>328.5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93</v>
      </c>
      <c r="AU151" s="3">
        <v>62</v>
      </c>
      <c r="AV151" s="3">
        <v>1</v>
      </c>
      <c r="AW151" s="3">
        <v>1</v>
      </c>
      <c r="AZ151" s="3">
        <v>1</v>
      </c>
      <c r="BA151" s="3">
        <v>1</v>
      </c>
      <c r="BB151" s="3">
        <v>1</v>
      </c>
      <c r="BC151" s="3">
        <v>16.09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1</v>
      </c>
      <c r="BJ151" s="3" t="s">
        <v>263</v>
      </c>
      <c r="BM151" s="3">
        <v>13</v>
      </c>
      <c r="BN151" s="3">
        <v>0</v>
      </c>
      <c r="BO151" s="3" t="s">
        <v>261</v>
      </c>
      <c r="BP151" s="3">
        <v>1</v>
      </c>
      <c r="BQ151" s="3">
        <v>30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93</v>
      </c>
      <c r="CA151" s="3">
        <v>62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719</v>
      </c>
      <c r="CO151" s="3">
        <v>0</v>
      </c>
      <c r="CP151" s="3">
        <f t="shared" si="166"/>
        <v>2378.58</v>
      </c>
      <c r="CQ151" s="3">
        <f t="shared" si="167"/>
        <v>5285.57</v>
      </c>
      <c r="CR151" s="3">
        <f>(ROUND((ROUND(((ET151)*AV151*1),2)*BB151),2)+ROUND((ROUND(((AE151-(EU151))*AV151*1),2)*BS151),2))</f>
        <v>0</v>
      </c>
      <c r="CS151" s="3">
        <f>(ROUND((ROUND(((EU151)*AV151*1),2)*BS151),2)+ROUND((ROUND(((AE151-(EU151))*AV151*1),2)*BS151),2))</f>
        <v>0</v>
      </c>
      <c r="CT151" s="3">
        <f t="shared" si="168"/>
        <v>0</v>
      </c>
      <c r="CU151" s="3">
        <f t="shared" si="169"/>
        <v>0</v>
      </c>
      <c r="CV151" s="3">
        <f t="shared" si="170"/>
        <v>0</v>
      </c>
      <c r="CW151" s="3">
        <f t="shared" si="171"/>
        <v>0</v>
      </c>
      <c r="CX151" s="3">
        <f t="shared" si="172"/>
        <v>0</v>
      </c>
      <c r="CY151" s="3">
        <f>(ROUND((((S151+ROUND((ROUND(((EU151)*AV151*1),2)*BS151),2))*AT151)/100),2)+ROUND(((ROUND((ROUND(((AE151-(EU151))*AV151*1),2)*BS151),2)*AT151)/100),2))</f>
        <v>0</v>
      </c>
      <c r="CZ151" s="3">
        <f>(ROUND((((S151+ROUND((ROUND(((EU151)*AV151*1),2)*BS151),2))*AU151)/100),2)+ROUND(((ROUND((ROUND(((AE151-(EU151))*AV151*1),2)*BS151),2)*AU151)/100),2))</f>
        <v>0</v>
      </c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1010</v>
      </c>
      <c r="DV151" s="3" t="s">
        <v>254</v>
      </c>
      <c r="DW151" s="3" t="s">
        <v>254</v>
      </c>
      <c r="DX151" s="3">
        <v>100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56938679</v>
      </c>
      <c r="EF151" s="3">
        <v>30</v>
      </c>
      <c r="EG151" s="3" t="s">
        <v>41</v>
      </c>
      <c r="EH151" s="3">
        <v>0</v>
      </c>
      <c r="EI151" s="3" t="s">
        <v>3</v>
      </c>
      <c r="EJ151" s="3">
        <v>1</v>
      </c>
      <c r="EK151" s="3">
        <v>13</v>
      </c>
      <c r="EL151" s="3" t="s">
        <v>267</v>
      </c>
      <c r="EM151" s="3" t="s">
        <v>268</v>
      </c>
      <c r="EO151" s="3" t="s">
        <v>270</v>
      </c>
      <c r="EQ151" s="3">
        <v>0</v>
      </c>
      <c r="ER151" s="3">
        <v>328.5</v>
      </c>
      <c r="ES151" s="3">
        <v>328.5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FQ151" s="3">
        <v>0</v>
      </c>
      <c r="FR151" s="3">
        <v>0</v>
      </c>
      <c r="FS151" s="3">
        <v>0</v>
      </c>
      <c r="FX151" s="3">
        <v>93</v>
      </c>
      <c r="FY151" s="3">
        <v>62</v>
      </c>
      <c r="GA151" s="3" t="s">
        <v>3</v>
      </c>
      <c r="GD151" s="3">
        <v>1</v>
      </c>
      <c r="GF151" s="3">
        <v>745037488</v>
      </c>
      <c r="GG151" s="3">
        <v>2</v>
      </c>
      <c r="GH151" s="3">
        <v>1</v>
      </c>
      <c r="GI151" s="3">
        <v>2</v>
      </c>
      <c r="GJ151" s="3">
        <v>0</v>
      </c>
      <c r="GK151" s="3">
        <v>0</v>
      </c>
      <c r="GL151" s="3">
        <f t="shared" si="173"/>
        <v>0</v>
      </c>
      <c r="GM151" s="3">
        <f t="shared" si="174"/>
        <v>2378.58</v>
      </c>
      <c r="GN151" s="3">
        <f t="shared" si="175"/>
        <v>2378.58</v>
      </c>
      <c r="GO151" s="3">
        <f t="shared" si="176"/>
        <v>0</v>
      </c>
      <c r="GP151" s="3">
        <f t="shared" si="177"/>
        <v>0</v>
      </c>
      <c r="GR151" s="3">
        <v>0</v>
      </c>
      <c r="GS151" s="3">
        <v>3</v>
      </c>
      <c r="GT151" s="3">
        <v>0</v>
      </c>
      <c r="GU151" s="3" t="s">
        <v>3</v>
      </c>
      <c r="GV151" s="3">
        <f t="shared" si="178"/>
        <v>0</v>
      </c>
      <c r="GW151" s="3">
        <v>1</v>
      </c>
      <c r="GX151" s="3">
        <f t="shared" si="179"/>
        <v>0</v>
      </c>
      <c r="HA151" s="3">
        <v>0</v>
      </c>
      <c r="HB151" s="3">
        <v>0</v>
      </c>
      <c r="HC151" s="3">
        <f t="shared" si="180"/>
        <v>0</v>
      </c>
      <c r="HE151" s="3" t="s">
        <v>3</v>
      </c>
      <c r="HF151" s="3" t="s">
        <v>3</v>
      </c>
      <c r="HM151" s="3" t="s">
        <v>38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">
      <c r="A152" s="2">
        <v>17</v>
      </c>
      <c r="B152" s="2">
        <v>1</v>
      </c>
      <c r="C152" s="2">
        <f>ROW(SmtRes!A413)</f>
        <v>413</v>
      </c>
      <c r="D152" s="2">
        <f>ROW(EtalonRes!A441)</f>
        <v>441</v>
      </c>
      <c r="E152" s="2" t="s">
        <v>272</v>
      </c>
      <c r="F152" s="2" t="s">
        <v>273</v>
      </c>
      <c r="G152" s="2" t="s">
        <v>274</v>
      </c>
      <c r="H152" s="2" t="s">
        <v>275</v>
      </c>
      <c r="I152" s="2">
        <f>ROUND((20*0.72+40*0.48+60*0.37+15*0.26+15*0.18+15*0.16)/100,9)</f>
        <v>0.64800000000000002</v>
      </c>
      <c r="J152" s="2">
        <v>0</v>
      </c>
      <c r="K152" s="2">
        <f>ROUND((20*0.72+40*0.48+60*0.37+15*0.26+15*0.18+15*0.16)/100,9)</f>
        <v>0.64800000000000002</v>
      </c>
      <c r="L152" s="2"/>
      <c r="M152" s="2"/>
      <c r="N152" s="2"/>
      <c r="O152" s="2">
        <f t="shared" si="156"/>
        <v>89.41</v>
      </c>
      <c r="P152" s="2">
        <f t="shared" si="157"/>
        <v>6.12</v>
      </c>
      <c r="Q152" s="2">
        <f>(ROUND((ROUND(((((ET152*1.2)*1.25))*AV152*I152),2)*BB152),2)+ROUND((ROUND(((AE152-(((EU152*1.2)*1.25)))*AV152*I152),2)*BS152),2))</f>
        <v>13.88</v>
      </c>
      <c r="R152" s="2">
        <f>(ROUND((ROUND(((((EU152*1.2)*1.25))*AV152*I152),2)*BS152),2)+ROUND((ROUND(((AE152-(((EU152*1.2)*1.25)))*AV152*I152),2)*BS152),2))</f>
        <v>0.25</v>
      </c>
      <c r="S152" s="2">
        <f t="shared" si="158"/>
        <v>69.41</v>
      </c>
      <c r="T152" s="2">
        <f t="shared" si="159"/>
        <v>0</v>
      </c>
      <c r="U152" s="2">
        <f t="shared" si="160"/>
        <v>4.9715898767999986</v>
      </c>
      <c r="V152" s="2">
        <f t="shared" si="161"/>
        <v>0</v>
      </c>
      <c r="W152" s="2">
        <f t="shared" si="162"/>
        <v>0</v>
      </c>
      <c r="X152" s="2">
        <f>(ROUND((((S152+ROUND((ROUND(((((EU152*1.2)*1.25))*AV152*I152),2)*BS152),2))*AT152)/100),2)+ROUND(((ROUND((ROUND(((AE152-(((EU152*1.2)*1.25)))*AV152*I152),2)*BS152),2)*AT152)/100),2))</f>
        <v>65.48</v>
      </c>
      <c r="Y152" s="2">
        <f>(ROUND((((S152+ROUND((ROUND(((((EU152*1.2)*1.25))*AV152*I152),2)*BS152),2))*AU152)/100),2)+ROUND(((ROUND((ROUND(((AE152-(((EU152*1.2)*1.25)))*AV152*I152),2)*BS152),2)*AU152)/100),2))</f>
        <v>35.53</v>
      </c>
      <c r="Z152" s="2"/>
      <c r="AA152" s="2">
        <v>55747649</v>
      </c>
      <c r="AB152" s="2">
        <f t="shared" si="163"/>
        <v>132.1994</v>
      </c>
      <c r="AC152" s="2">
        <f>ROUND((((ES152*1)*1)),6)</f>
        <v>9.44</v>
      </c>
      <c r="AD152" s="2">
        <f>ROUND((((((ET152*1.2)*1.25))-(((EU152*1.2)*1.25)))+AE152),6)</f>
        <v>20.46</v>
      </c>
      <c r="AE152" s="2">
        <f>ROUND((((EU152*1.2)*1.25)),6)</f>
        <v>0.375</v>
      </c>
      <c r="AF152" s="2">
        <f>ROUND((((EV152*1.2)*1.15)),6)</f>
        <v>102.29940000000001</v>
      </c>
      <c r="AG152" s="2">
        <f t="shared" si="164"/>
        <v>0</v>
      </c>
      <c r="AH152" s="2">
        <f>(((EW152*1.2)*1.15))</f>
        <v>7.3277999999999981</v>
      </c>
      <c r="AI152" s="2">
        <f>(((EX152*1.2)*1.25))</f>
        <v>0</v>
      </c>
      <c r="AJ152" s="2">
        <f t="shared" si="165"/>
        <v>0</v>
      </c>
      <c r="AK152" s="2">
        <v>97.21</v>
      </c>
      <c r="AL152" s="2">
        <v>9.44</v>
      </c>
      <c r="AM152" s="2">
        <v>13.64</v>
      </c>
      <c r="AN152" s="2">
        <v>0.25</v>
      </c>
      <c r="AO152" s="2">
        <v>74.13</v>
      </c>
      <c r="AP152" s="2">
        <v>0</v>
      </c>
      <c r="AQ152" s="2">
        <v>5.31</v>
      </c>
      <c r="AR152" s="2">
        <v>0</v>
      </c>
      <c r="AS152" s="2">
        <v>0</v>
      </c>
      <c r="AT152" s="2">
        <v>94</v>
      </c>
      <c r="AU152" s="2">
        <v>51</v>
      </c>
      <c r="AV152" s="2">
        <v>1.0469999999999999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1</v>
      </c>
      <c r="BJ152" s="2" t="s">
        <v>276</v>
      </c>
      <c r="BK152" s="2"/>
      <c r="BL152" s="2"/>
      <c r="BM152" s="2">
        <v>17</v>
      </c>
      <c r="BN152" s="2">
        <v>0</v>
      </c>
      <c r="BO152" s="2" t="s">
        <v>273</v>
      </c>
      <c r="BP152" s="2">
        <v>1</v>
      </c>
      <c r="BQ152" s="2">
        <v>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94</v>
      </c>
      <c r="CA152" s="2">
        <v>51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715</v>
      </c>
      <c r="CO152" s="2">
        <v>0</v>
      </c>
      <c r="CP152" s="2">
        <f t="shared" si="166"/>
        <v>89.41</v>
      </c>
      <c r="CQ152" s="2">
        <f t="shared" si="167"/>
        <v>9.44</v>
      </c>
      <c r="CR152" s="2">
        <f>(ROUND((ROUND(((((ET152*1.2)*1.25))*AV152*1),2)*BB152),2)+ROUND((ROUND(((AE152-(((EU152*1.2)*1.25)))*AV152*1),2)*BS152),2))</f>
        <v>21.42</v>
      </c>
      <c r="CS152" s="2">
        <f>(ROUND((ROUND(((((EU152*1.2)*1.25))*AV152*1),2)*BS152),2)+ROUND((ROUND(((AE152-(((EU152*1.2)*1.25)))*AV152*1),2)*BS152),2))</f>
        <v>0.39</v>
      </c>
      <c r="CT152" s="2">
        <f t="shared" si="168"/>
        <v>107.11</v>
      </c>
      <c r="CU152" s="2">
        <f t="shared" si="169"/>
        <v>0</v>
      </c>
      <c r="CV152" s="2">
        <f t="shared" si="170"/>
        <v>7.6722065999999973</v>
      </c>
      <c r="CW152" s="2">
        <f t="shared" si="171"/>
        <v>0</v>
      </c>
      <c r="CX152" s="2">
        <f t="shared" si="172"/>
        <v>0</v>
      </c>
      <c r="CY152" s="2">
        <f>(ROUND((((S152+ROUND((ROUND(((((EU152*1.2)*1.25))*AV152*1),2)*BS152),2))*AT152)/100),2)+ROUND(((ROUND((ROUND(((AE152-(((EU152*1.2)*1.25)))*AV152*1),2)*BS152),2)*AT152)/100),2))</f>
        <v>65.61</v>
      </c>
      <c r="CZ152" s="2">
        <f>(ROUND((((S152+ROUND((ROUND(((((EU152*1.2)*1.25))*AV152*1),2)*BS152),2))*AU152)/100),2)+ROUND(((ROUND((ROUND(((AE152-(((EU152*1.2)*1.25)))*AV152*1),2)*BS152),2)*AU152)/100),2))</f>
        <v>35.6</v>
      </c>
      <c r="DA152" s="2"/>
      <c r="DB152" s="2">
        <v>65</v>
      </c>
      <c r="DC152" s="2" t="s">
        <v>3</v>
      </c>
      <c r="DD152" s="2" t="s">
        <v>38</v>
      </c>
      <c r="DE152" s="2" t="s">
        <v>39</v>
      </c>
      <c r="DF152" s="2" t="s">
        <v>39</v>
      </c>
      <c r="DG152" s="2" t="s">
        <v>40</v>
      </c>
      <c r="DH152" s="2" t="s">
        <v>3</v>
      </c>
      <c r="DI152" s="2" t="s">
        <v>40</v>
      </c>
      <c r="DJ152" s="2" t="s">
        <v>39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1005</v>
      </c>
      <c r="DV152" s="2" t="s">
        <v>275</v>
      </c>
      <c r="DW152" s="2" t="s">
        <v>275</v>
      </c>
      <c r="DX152" s="2">
        <v>100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56938683</v>
      </c>
      <c r="EF152" s="2">
        <v>30</v>
      </c>
      <c r="EG152" s="2" t="s">
        <v>41</v>
      </c>
      <c r="EH152" s="2">
        <v>0</v>
      </c>
      <c r="EI152" s="2" t="s">
        <v>3</v>
      </c>
      <c r="EJ152" s="2">
        <v>1</v>
      </c>
      <c r="EK152" s="2">
        <v>17</v>
      </c>
      <c r="EL152" s="2" t="s">
        <v>277</v>
      </c>
      <c r="EM152" s="2" t="s">
        <v>278</v>
      </c>
      <c r="EN152" s="2"/>
      <c r="EO152" s="2" t="s">
        <v>44</v>
      </c>
      <c r="EP152" s="2"/>
      <c r="EQ152" s="2">
        <v>131072</v>
      </c>
      <c r="ER152" s="2">
        <v>97.21</v>
      </c>
      <c r="ES152" s="2">
        <v>9.44</v>
      </c>
      <c r="ET152" s="2">
        <v>13.64</v>
      </c>
      <c r="EU152" s="2">
        <v>0.25</v>
      </c>
      <c r="EV152" s="2">
        <v>74.13</v>
      </c>
      <c r="EW152" s="2">
        <v>5.31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94</v>
      </c>
      <c r="FY152" s="2">
        <v>51</v>
      </c>
      <c r="FZ152" s="2"/>
      <c r="GA152" s="2" t="s">
        <v>3</v>
      </c>
      <c r="GB152" s="2"/>
      <c r="GC152" s="2"/>
      <c r="GD152" s="2">
        <v>1</v>
      </c>
      <c r="GE152" s="2"/>
      <c r="GF152" s="2">
        <v>-979455668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si="173"/>
        <v>0</v>
      </c>
      <c r="GM152" s="2">
        <f t="shared" si="174"/>
        <v>190.42</v>
      </c>
      <c r="GN152" s="2">
        <f t="shared" si="175"/>
        <v>190.42</v>
      </c>
      <c r="GO152" s="2">
        <f t="shared" si="176"/>
        <v>0</v>
      </c>
      <c r="GP152" s="2">
        <f t="shared" si="177"/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si="178"/>
        <v>0</v>
      </c>
      <c r="GW152" s="2">
        <v>1</v>
      </c>
      <c r="GX152" s="2">
        <f t="shared" si="179"/>
        <v>0</v>
      </c>
      <c r="GY152" s="2"/>
      <c r="GZ152" s="2"/>
      <c r="HA152" s="2">
        <v>0</v>
      </c>
      <c r="HB152" s="2">
        <v>0</v>
      </c>
      <c r="HC152" s="2">
        <f t="shared" si="180"/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 s="3">
        <v>17</v>
      </c>
      <c r="B153" s="3">
        <v>1</v>
      </c>
      <c r="C153" s="3">
        <f>ROW(SmtRes!A420)</f>
        <v>420</v>
      </c>
      <c r="D153" s="3">
        <f>ROW(EtalonRes!A448)</f>
        <v>448</v>
      </c>
      <c r="E153" s="3" t="s">
        <v>272</v>
      </c>
      <c r="F153" s="3" t="s">
        <v>273</v>
      </c>
      <c r="G153" s="3" t="s">
        <v>274</v>
      </c>
      <c r="H153" s="3" t="s">
        <v>275</v>
      </c>
      <c r="I153" s="3">
        <f>ROUND((20*0.72+40*0.48+60*0.37+15*0.26+15*0.18+15*0.16)/100,9)</f>
        <v>0.64800000000000002</v>
      </c>
      <c r="J153" s="3">
        <v>0</v>
      </c>
      <c r="K153" s="3">
        <f>ROUND((20*0.72+40*0.48+60*0.37+15*0.26+15*0.18+15*0.16)/100,9)</f>
        <v>0.64800000000000002</v>
      </c>
      <c r="O153" s="3">
        <f t="shared" si="156"/>
        <v>4288.91</v>
      </c>
      <c r="P153" s="3">
        <f t="shared" si="157"/>
        <v>213.04</v>
      </c>
      <c r="Q153" s="3">
        <f>(ROUND((ROUND(((((ET153*1.2)*1.25))*AV153*I153),2)*BB153),2)+ROUND((ROUND(((AE153-(((EU153*1.2)*1.25)))*AV153*I153),2)*BS153),2))</f>
        <v>164.62</v>
      </c>
      <c r="R153" s="3">
        <f>(ROUND((ROUND(((((EU153*1.2)*1.25))*AV153*I153),2)*BS153),2)+ROUND((ROUND(((AE153-(((EU153*1.2)*1.25)))*AV153*I153),2)*BS153),2))</f>
        <v>14.09</v>
      </c>
      <c r="S153" s="3">
        <f t="shared" si="158"/>
        <v>3911.25</v>
      </c>
      <c r="T153" s="3">
        <f t="shared" si="159"/>
        <v>0</v>
      </c>
      <c r="U153" s="3">
        <f t="shared" si="160"/>
        <v>4.9715898767999986</v>
      </c>
      <c r="V153" s="3">
        <f t="shared" si="161"/>
        <v>0</v>
      </c>
      <c r="W153" s="3">
        <f t="shared" si="162"/>
        <v>0</v>
      </c>
      <c r="X153" s="3">
        <f>(ROUND((((S153+ROUND((ROUND(((((EU153*1.2)*1.25))*AV153*I153),2)*BS153),2))*AT153)/100),2)+ROUND(((ROUND((ROUND(((AE153-(((EU153*1.2)*1.25)))*AV153*I153),2)*BS153),2)*AT153)/100),2))</f>
        <v>3689.82</v>
      </c>
      <c r="Y153" s="3">
        <f>(ROUND((((S153+ROUND((ROUND(((((EU153*1.2)*1.25))*AV153*I153),2)*BS153),2))*AU153)/100),2)+ROUND(((ROUND((ROUND(((AE153-(((EU153*1.2)*1.25)))*AV153*I153),2)*BS153),2)*AU153)/100),2))</f>
        <v>2001.92</v>
      </c>
      <c r="AA153" s="3">
        <v>55747651</v>
      </c>
      <c r="AB153" s="3">
        <f t="shared" si="163"/>
        <v>132.1994</v>
      </c>
      <c r="AC153" s="3">
        <f>ROUND((((ES153*1)*1)),6)</f>
        <v>9.44</v>
      </c>
      <c r="AD153" s="3">
        <f>ROUND((((((ET153*1.2)*1.25))-(((EU153*1.2)*1.25)))+AE153),6)</f>
        <v>20.46</v>
      </c>
      <c r="AE153" s="3">
        <f>ROUND((((EU153*1.2)*1.25)),6)</f>
        <v>0.375</v>
      </c>
      <c r="AF153" s="3">
        <f>ROUND((((EV153*1.2)*1.15)),6)</f>
        <v>102.29940000000001</v>
      </c>
      <c r="AG153" s="3">
        <f t="shared" si="164"/>
        <v>0</v>
      </c>
      <c r="AH153" s="3">
        <f>(((EW153*1.2)*1.15))</f>
        <v>7.3277999999999981</v>
      </c>
      <c r="AI153" s="3">
        <f>(((EX153*1.2)*1.25))</f>
        <v>0</v>
      </c>
      <c r="AJ153" s="3">
        <f t="shared" si="165"/>
        <v>0</v>
      </c>
      <c r="AK153" s="3">
        <v>97.21</v>
      </c>
      <c r="AL153" s="3">
        <v>9.44</v>
      </c>
      <c r="AM153" s="3">
        <v>13.64</v>
      </c>
      <c r="AN153" s="3">
        <v>0.25</v>
      </c>
      <c r="AO153" s="3">
        <v>74.13</v>
      </c>
      <c r="AP153" s="3">
        <v>0</v>
      </c>
      <c r="AQ153" s="3">
        <v>5.31</v>
      </c>
      <c r="AR153" s="3">
        <v>0</v>
      </c>
      <c r="AS153" s="3">
        <v>0</v>
      </c>
      <c r="AT153" s="3">
        <v>94</v>
      </c>
      <c r="AU153" s="3">
        <v>51</v>
      </c>
      <c r="AV153" s="3">
        <v>1.0469999999999999</v>
      </c>
      <c r="AW153" s="3">
        <v>1</v>
      </c>
      <c r="AZ153" s="3">
        <v>1</v>
      </c>
      <c r="BA153" s="3">
        <v>56.35</v>
      </c>
      <c r="BB153" s="3">
        <v>11.86</v>
      </c>
      <c r="BC153" s="3">
        <v>34.81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1</v>
      </c>
      <c r="BJ153" s="3" t="s">
        <v>276</v>
      </c>
      <c r="BM153" s="3">
        <v>17</v>
      </c>
      <c r="BN153" s="3">
        <v>0</v>
      </c>
      <c r="BO153" s="3" t="s">
        <v>273</v>
      </c>
      <c r="BP153" s="3">
        <v>1</v>
      </c>
      <c r="BQ153" s="3">
        <v>30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94</v>
      </c>
      <c r="CA153" s="3">
        <v>51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715</v>
      </c>
      <c r="CO153" s="3">
        <v>0</v>
      </c>
      <c r="CP153" s="3">
        <f t="shared" si="166"/>
        <v>4288.91</v>
      </c>
      <c r="CQ153" s="3">
        <f t="shared" si="167"/>
        <v>328.61</v>
      </c>
      <c r="CR153" s="3">
        <f>(ROUND((ROUND(((((ET153*1.2)*1.25))*AV153*1),2)*BB153),2)+ROUND((ROUND(((AE153-(((EU153*1.2)*1.25)))*AV153*1),2)*BS153),2))</f>
        <v>254.04</v>
      </c>
      <c r="CS153" s="3">
        <f>(ROUND((ROUND(((((EU153*1.2)*1.25))*AV153*1),2)*BS153),2)+ROUND((ROUND(((AE153-(((EU153*1.2)*1.25)))*AV153*1),2)*BS153),2))</f>
        <v>21.98</v>
      </c>
      <c r="CT153" s="3">
        <f t="shared" si="168"/>
        <v>6035.65</v>
      </c>
      <c r="CU153" s="3">
        <f t="shared" si="169"/>
        <v>0</v>
      </c>
      <c r="CV153" s="3">
        <f t="shared" si="170"/>
        <v>7.6722065999999973</v>
      </c>
      <c r="CW153" s="3">
        <f t="shared" si="171"/>
        <v>0</v>
      </c>
      <c r="CX153" s="3">
        <f t="shared" si="172"/>
        <v>0</v>
      </c>
      <c r="CY153" s="3">
        <f>(ROUND((((S153+ROUND((ROUND(((((EU153*1.2)*1.25))*AV153*1),2)*BS153),2))*AT153)/100),2)+ROUND(((ROUND((ROUND(((AE153-(((EU153*1.2)*1.25)))*AV153*1),2)*BS153),2)*AT153)/100),2))</f>
        <v>3697.24</v>
      </c>
      <c r="CZ153" s="3">
        <f>(ROUND((((S153+ROUND((ROUND(((((EU153*1.2)*1.25))*AV153*1),2)*BS153),2))*AU153)/100),2)+ROUND(((ROUND((ROUND(((AE153-(((EU153*1.2)*1.25)))*AV153*1),2)*BS153),2)*AU153)/100),2))</f>
        <v>2005.95</v>
      </c>
      <c r="DB153" s="3">
        <v>67</v>
      </c>
      <c r="DC153" s="3" t="s">
        <v>3</v>
      </c>
      <c r="DD153" s="3" t="s">
        <v>38</v>
      </c>
      <c r="DE153" s="3" t="s">
        <v>39</v>
      </c>
      <c r="DF153" s="3" t="s">
        <v>39</v>
      </c>
      <c r="DG153" s="3" t="s">
        <v>40</v>
      </c>
      <c r="DH153" s="3" t="s">
        <v>3</v>
      </c>
      <c r="DI153" s="3" t="s">
        <v>40</v>
      </c>
      <c r="DJ153" s="3" t="s">
        <v>39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1005</v>
      </c>
      <c r="DV153" s="3" t="s">
        <v>275</v>
      </c>
      <c r="DW153" s="3" t="s">
        <v>275</v>
      </c>
      <c r="DX153" s="3">
        <v>100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56938683</v>
      </c>
      <c r="EF153" s="3">
        <v>30</v>
      </c>
      <c r="EG153" s="3" t="s">
        <v>41</v>
      </c>
      <c r="EH153" s="3">
        <v>0</v>
      </c>
      <c r="EI153" s="3" t="s">
        <v>3</v>
      </c>
      <c r="EJ153" s="3">
        <v>1</v>
      </c>
      <c r="EK153" s="3">
        <v>17</v>
      </c>
      <c r="EL153" s="3" t="s">
        <v>277</v>
      </c>
      <c r="EM153" s="3" t="s">
        <v>278</v>
      </c>
      <c r="EO153" s="3" t="s">
        <v>44</v>
      </c>
      <c r="EQ153" s="3">
        <v>131072</v>
      </c>
      <c r="ER153" s="3">
        <v>97.21</v>
      </c>
      <c r="ES153" s="3">
        <v>9.44</v>
      </c>
      <c r="ET153" s="3">
        <v>13.64</v>
      </c>
      <c r="EU153" s="3">
        <v>0.25</v>
      </c>
      <c r="EV153" s="3">
        <v>74.13</v>
      </c>
      <c r="EW153" s="3">
        <v>5.31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94</v>
      </c>
      <c r="FY153" s="3">
        <v>51</v>
      </c>
      <c r="GA153" s="3" t="s">
        <v>3</v>
      </c>
      <c r="GD153" s="3">
        <v>1</v>
      </c>
      <c r="GF153" s="3">
        <v>-979455668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73"/>
        <v>0</v>
      </c>
      <c r="GM153" s="3">
        <f t="shared" si="174"/>
        <v>9980.65</v>
      </c>
      <c r="GN153" s="3">
        <f t="shared" si="175"/>
        <v>9980.65</v>
      </c>
      <c r="GO153" s="3">
        <f t="shared" si="176"/>
        <v>0</v>
      </c>
      <c r="GP153" s="3">
        <f t="shared" si="177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78"/>
        <v>0</v>
      </c>
      <c r="GW153" s="3">
        <v>1</v>
      </c>
      <c r="GX153" s="3">
        <f t="shared" si="179"/>
        <v>0</v>
      </c>
      <c r="HA153" s="3">
        <v>0</v>
      </c>
      <c r="HB153" s="3">
        <v>0</v>
      </c>
      <c r="HC153" s="3">
        <f t="shared" si="180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">
      <c r="A154" s="2">
        <v>18</v>
      </c>
      <c r="B154" s="2">
        <v>1</v>
      </c>
      <c r="C154" s="2">
        <v>412</v>
      </c>
      <c r="D154" s="2"/>
      <c r="E154" s="2" t="s">
        <v>279</v>
      </c>
      <c r="F154" s="2" t="s">
        <v>280</v>
      </c>
      <c r="G154" s="2" t="s">
        <v>281</v>
      </c>
      <c r="H154" s="2" t="s">
        <v>282</v>
      </c>
      <c r="I154" s="2">
        <f>I152*J154</f>
        <v>5.8320000000000012E-3</v>
      </c>
      <c r="J154" s="2">
        <v>9.0000000000000011E-3</v>
      </c>
      <c r="K154" s="2">
        <v>8.9999999999999993E-3</v>
      </c>
      <c r="L154" s="2"/>
      <c r="M154" s="2"/>
      <c r="N154" s="2"/>
      <c r="O154" s="2">
        <f t="shared" si="156"/>
        <v>108.78</v>
      </c>
      <c r="P154" s="2">
        <f t="shared" si="157"/>
        <v>108.78</v>
      </c>
      <c r="Q154" s="2">
        <f>(ROUND((ROUND(((ET154)*AV154*I154),2)*BB154),2)+ROUND((ROUND(((AE154-(EU154))*AV154*I154),2)*BS154),2))</f>
        <v>0</v>
      </c>
      <c r="R154" s="2">
        <f>(ROUND((ROUND(((EU154)*AV154*I154),2)*BS154),2)+ROUND((ROUND(((AE154-(EU154))*AV154*I154),2)*BS154),2))</f>
        <v>0</v>
      </c>
      <c r="S154" s="2">
        <f t="shared" si="158"/>
        <v>0</v>
      </c>
      <c r="T154" s="2">
        <f t="shared" si="159"/>
        <v>0</v>
      </c>
      <c r="U154" s="2">
        <f t="shared" si="160"/>
        <v>0</v>
      </c>
      <c r="V154" s="2">
        <f t="shared" si="161"/>
        <v>0</v>
      </c>
      <c r="W154" s="2">
        <f t="shared" si="162"/>
        <v>0</v>
      </c>
      <c r="X154" s="2">
        <f>(ROUND((((S154+ROUND((ROUND(((EU154)*AV154*I154),2)*BS154),2))*AT154)/100),2)+ROUND(((ROUND((ROUND(((AE154-(EU154))*AV154*I154),2)*BS154),2)*AT154)/100),2))</f>
        <v>0</v>
      </c>
      <c r="Y154" s="2">
        <f>(ROUND((((S154+ROUND((ROUND(((EU154)*AV154*I154),2)*BS154),2))*AU154)/100),2)+ROUND(((ROUND((ROUND(((AE154-(EU154))*AV154*I154),2)*BS154),2)*AU154)/100),2))</f>
        <v>0</v>
      </c>
      <c r="Z154" s="2"/>
      <c r="AA154" s="2">
        <v>55747649</v>
      </c>
      <c r="AB154" s="2">
        <f t="shared" si="163"/>
        <v>18653.07</v>
      </c>
      <c r="AC154" s="2">
        <f>ROUND((ES154),6)</f>
        <v>18653.07</v>
      </c>
      <c r="AD154" s="2">
        <f>ROUND((((ET154)-(EU154))+AE154),6)</f>
        <v>0</v>
      </c>
      <c r="AE154" s="2">
        <f>ROUND((EU154),6)</f>
        <v>0</v>
      </c>
      <c r="AF154" s="2">
        <f>ROUND((EV154),6)</f>
        <v>0</v>
      </c>
      <c r="AG154" s="2">
        <f t="shared" si="164"/>
        <v>0</v>
      </c>
      <c r="AH154" s="2">
        <f>(EW154)</f>
        <v>0</v>
      </c>
      <c r="AI154" s="2">
        <f>(EX154)</f>
        <v>0</v>
      </c>
      <c r="AJ154" s="2">
        <f t="shared" si="165"/>
        <v>0</v>
      </c>
      <c r="AK154" s="2">
        <v>18653.07</v>
      </c>
      <c r="AL154" s="2">
        <v>18653.07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94</v>
      </c>
      <c r="AU154" s="2">
        <v>51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1</v>
      </c>
      <c r="BJ154" s="2" t="s">
        <v>283</v>
      </c>
      <c r="BK154" s="2"/>
      <c r="BL154" s="2"/>
      <c r="BM154" s="2">
        <v>17</v>
      </c>
      <c r="BN154" s="2">
        <v>0</v>
      </c>
      <c r="BO154" s="2" t="s">
        <v>3</v>
      </c>
      <c r="BP154" s="2">
        <v>0</v>
      </c>
      <c r="BQ154" s="2">
        <v>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94</v>
      </c>
      <c r="CA154" s="2">
        <v>51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719</v>
      </c>
      <c r="CO154" s="2">
        <v>0</v>
      </c>
      <c r="CP154" s="2">
        <f t="shared" si="166"/>
        <v>108.78</v>
      </c>
      <c r="CQ154" s="2">
        <f t="shared" si="167"/>
        <v>18653.07</v>
      </c>
      <c r="CR154" s="2">
        <f>(ROUND((ROUND(((ET154)*AV154*1),2)*BB154),2)+ROUND((ROUND(((AE154-(EU154))*AV154*1),2)*BS154),2))</f>
        <v>0</v>
      </c>
      <c r="CS154" s="2">
        <f>(ROUND((ROUND(((EU154)*AV154*1),2)*BS154),2)+ROUND((ROUND(((AE154-(EU154))*AV154*1),2)*BS154),2))</f>
        <v>0</v>
      </c>
      <c r="CT154" s="2">
        <f t="shared" si="168"/>
        <v>0</v>
      </c>
      <c r="CU154" s="2">
        <f t="shared" si="169"/>
        <v>0</v>
      </c>
      <c r="CV154" s="2">
        <f t="shared" si="170"/>
        <v>0</v>
      </c>
      <c r="CW154" s="2">
        <f t="shared" si="171"/>
        <v>0</v>
      </c>
      <c r="CX154" s="2">
        <f t="shared" si="172"/>
        <v>0</v>
      </c>
      <c r="CY154" s="2">
        <f>(ROUND((((S154+ROUND((ROUND(((EU154)*AV154*1),2)*BS154),2))*AT154)/100),2)+ROUND(((ROUND((ROUND(((AE154-(EU154))*AV154*1),2)*BS154),2)*AT154)/100),2))</f>
        <v>0</v>
      </c>
      <c r="CZ154" s="2">
        <f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1009</v>
      </c>
      <c r="DV154" s="2" t="s">
        <v>282</v>
      </c>
      <c r="DW154" s="2" t="s">
        <v>282</v>
      </c>
      <c r="DX154" s="2">
        <v>1000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56938683</v>
      </c>
      <c r="EF154" s="2">
        <v>30</v>
      </c>
      <c r="EG154" s="2" t="s">
        <v>41</v>
      </c>
      <c r="EH154" s="2">
        <v>0</v>
      </c>
      <c r="EI154" s="2" t="s">
        <v>3</v>
      </c>
      <c r="EJ154" s="2">
        <v>1</v>
      </c>
      <c r="EK154" s="2">
        <v>17</v>
      </c>
      <c r="EL154" s="2" t="s">
        <v>277</v>
      </c>
      <c r="EM154" s="2" t="s">
        <v>278</v>
      </c>
      <c r="EN154" s="2"/>
      <c r="EO154" s="2" t="s">
        <v>270</v>
      </c>
      <c r="EP154" s="2"/>
      <c r="EQ154" s="2">
        <v>0</v>
      </c>
      <c r="ER154" s="2">
        <v>18653.07</v>
      </c>
      <c r="ES154" s="2">
        <v>18653.07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94</v>
      </c>
      <c r="FY154" s="2">
        <v>51</v>
      </c>
      <c r="FZ154" s="2"/>
      <c r="GA154" s="2" t="s">
        <v>3</v>
      </c>
      <c r="GB154" s="2"/>
      <c r="GC154" s="2"/>
      <c r="GD154" s="2">
        <v>1</v>
      </c>
      <c r="GE154" s="2"/>
      <c r="GF154" s="2">
        <v>650902129</v>
      </c>
      <c r="GG154" s="2">
        <v>2</v>
      </c>
      <c r="GH154" s="2">
        <v>1</v>
      </c>
      <c r="GI154" s="2">
        <v>-2</v>
      </c>
      <c r="GJ154" s="2">
        <v>0</v>
      </c>
      <c r="GK154" s="2">
        <v>0</v>
      </c>
      <c r="GL154" s="2">
        <f t="shared" si="173"/>
        <v>0</v>
      </c>
      <c r="GM154" s="2">
        <f t="shared" si="174"/>
        <v>108.78</v>
      </c>
      <c r="GN154" s="2">
        <f t="shared" si="175"/>
        <v>108.78</v>
      </c>
      <c r="GO154" s="2">
        <f t="shared" si="176"/>
        <v>0</v>
      </c>
      <c r="GP154" s="2">
        <f t="shared" si="177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78"/>
        <v>0</v>
      </c>
      <c r="GW154" s="2">
        <v>1</v>
      </c>
      <c r="GX154" s="2">
        <f t="shared" si="179"/>
        <v>0</v>
      </c>
      <c r="GY154" s="2"/>
      <c r="GZ154" s="2"/>
      <c r="HA154" s="2">
        <v>0</v>
      </c>
      <c r="HB154" s="2">
        <v>0</v>
      </c>
      <c r="HC154" s="2">
        <f t="shared" si="180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38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 s="3">
        <v>18</v>
      </c>
      <c r="B155" s="3">
        <v>1</v>
      </c>
      <c r="C155" s="3">
        <v>419</v>
      </c>
      <c r="E155" s="3" t="s">
        <v>279</v>
      </c>
      <c r="F155" s="3" t="s">
        <v>280</v>
      </c>
      <c r="G155" s="3" t="s">
        <v>281</v>
      </c>
      <c r="H155" s="3" t="s">
        <v>282</v>
      </c>
      <c r="I155" s="3">
        <f>I153*J155</f>
        <v>5.8320000000000012E-3</v>
      </c>
      <c r="J155" s="3">
        <v>9.0000000000000011E-3</v>
      </c>
      <c r="K155" s="3">
        <v>8.9999999999999993E-3</v>
      </c>
      <c r="O155" s="3">
        <f t="shared" si="156"/>
        <v>390.52</v>
      </c>
      <c r="P155" s="3">
        <f t="shared" si="157"/>
        <v>390.52</v>
      </c>
      <c r="Q155" s="3">
        <f>(ROUND((ROUND(((ET155)*AV155*I155),2)*BB155),2)+ROUND((ROUND(((AE155-(EU155))*AV155*I155),2)*BS155),2))</f>
        <v>0</v>
      </c>
      <c r="R155" s="3">
        <f>(ROUND((ROUND(((EU155)*AV155*I155),2)*BS155),2)+ROUND((ROUND(((AE155-(EU155))*AV155*I155),2)*BS155),2))</f>
        <v>0</v>
      </c>
      <c r="S155" s="3">
        <f t="shared" si="158"/>
        <v>0</v>
      </c>
      <c r="T155" s="3">
        <f t="shared" si="159"/>
        <v>0</v>
      </c>
      <c r="U155" s="3">
        <f t="shared" si="160"/>
        <v>0</v>
      </c>
      <c r="V155" s="3">
        <f t="shared" si="161"/>
        <v>0</v>
      </c>
      <c r="W155" s="3">
        <f t="shared" si="162"/>
        <v>0</v>
      </c>
      <c r="X155" s="3">
        <f>(ROUND((((S155+ROUND((ROUND(((EU155)*AV155*I155),2)*BS155),2))*AT155)/100),2)+ROUND(((ROUND((ROUND(((AE155-(EU155))*AV155*I155),2)*BS155),2)*AT155)/100),2))</f>
        <v>0</v>
      </c>
      <c r="Y155" s="3">
        <f>(ROUND((((S155+ROUND((ROUND(((EU155)*AV155*I155),2)*BS155),2))*AU155)/100),2)+ROUND(((ROUND((ROUND(((AE155-(EU155))*AV155*I155),2)*BS155),2)*AU155)/100),2))</f>
        <v>0</v>
      </c>
      <c r="AA155" s="3">
        <v>55747651</v>
      </c>
      <c r="AB155" s="3">
        <f t="shared" si="163"/>
        <v>18653.07</v>
      </c>
      <c r="AC155" s="3">
        <f>ROUND((ES155),6)</f>
        <v>18653.07</v>
      </c>
      <c r="AD155" s="3">
        <f>ROUND((((ET155)-(EU155))+AE155),6)</f>
        <v>0</v>
      </c>
      <c r="AE155" s="3">
        <f>ROUND((EU155),6)</f>
        <v>0</v>
      </c>
      <c r="AF155" s="3">
        <f>ROUND((EV155),6)</f>
        <v>0</v>
      </c>
      <c r="AG155" s="3">
        <f t="shared" si="164"/>
        <v>0</v>
      </c>
      <c r="AH155" s="3">
        <f>(EW155)</f>
        <v>0</v>
      </c>
      <c r="AI155" s="3">
        <f>(EX155)</f>
        <v>0</v>
      </c>
      <c r="AJ155" s="3">
        <f t="shared" si="165"/>
        <v>0</v>
      </c>
      <c r="AK155" s="3">
        <v>18653.07</v>
      </c>
      <c r="AL155" s="3">
        <v>18653.07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94</v>
      </c>
      <c r="AU155" s="3">
        <v>51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3.59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1</v>
      </c>
      <c r="BJ155" s="3" t="s">
        <v>283</v>
      </c>
      <c r="BM155" s="3">
        <v>17</v>
      </c>
      <c r="BN155" s="3">
        <v>0</v>
      </c>
      <c r="BO155" s="3" t="s">
        <v>280</v>
      </c>
      <c r="BP155" s="3">
        <v>1</v>
      </c>
      <c r="BQ155" s="3">
        <v>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94</v>
      </c>
      <c r="CA155" s="3">
        <v>51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719</v>
      </c>
      <c r="CO155" s="3">
        <v>0</v>
      </c>
      <c r="CP155" s="3">
        <f t="shared" si="166"/>
        <v>390.52</v>
      </c>
      <c r="CQ155" s="3">
        <f t="shared" si="167"/>
        <v>66964.52</v>
      </c>
      <c r="CR155" s="3">
        <f>(ROUND((ROUND(((ET155)*AV155*1),2)*BB155),2)+ROUND((ROUND(((AE155-(EU155))*AV155*1),2)*BS155),2))</f>
        <v>0</v>
      </c>
      <c r="CS155" s="3">
        <f>(ROUND((ROUND(((EU155)*AV155*1),2)*BS155),2)+ROUND((ROUND(((AE155-(EU155))*AV155*1),2)*BS155),2))</f>
        <v>0</v>
      </c>
      <c r="CT155" s="3">
        <f t="shared" si="168"/>
        <v>0</v>
      </c>
      <c r="CU155" s="3">
        <f t="shared" si="169"/>
        <v>0</v>
      </c>
      <c r="CV155" s="3">
        <f t="shared" si="170"/>
        <v>0</v>
      </c>
      <c r="CW155" s="3">
        <f t="shared" si="171"/>
        <v>0</v>
      </c>
      <c r="CX155" s="3">
        <f t="shared" si="172"/>
        <v>0</v>
      </c>
      <c r="CY155" s="3">
        <f>(ROUND((((S155+ROUND((ROUND(((EU155)*AV155*1),2)*BS155),2))*AT155)/100),2)+ROUND(((ROUND((ROUND(((AE155-(EU155))*AV155*1),2)*BS155),2)*AT155)/100),2))</f>
        <v>0</v>
      </c>
      <c r="CZ155" s="3">
        <f>(ROUND((((S155+ROUND((ROUND(((EU155)*AV155*1),2)*BS155),2))*AU155)/100),2)+ROUND(((ROUND((ROUND(((AE155-(EU155))*AV155*1),2)*BS155),2)*AU155)/100),2))</f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1009</v>
      </c>
      <c r="DV155" s="3" t="s">
        <v>282</v>
      </c>
      <c r="DW155" s="3" t="s">
        <v>282</v>
      </c>
      <c r="DX155" s="3">
        <v>1000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56938683</v>
      </c>
      <c r="EF155" s="3">
        <v>30</v>
      </c>
      <c r="EG155" s="3" t="s">
        <v>41</v>
      </c>
      <c r="EH155" s="3">
        <v>0</v>
      </c>
      <c r="EI155" s="3" t="s">
        <v>3</v>
      </c>
      <c r="EJ155" s="3">
        <v>1</v>
      </c>
      <c r="EK155" s="3">
        <v>17</v>
      </c>
      <c r="EL155" s="3" t="s">
        <v>277</v>
      </c>
      <c r="EM155" s="3" t="s">
        <v>278</v>
      </c>
      <c r="EO155" s="3" t="s">
        <v>270</v>
      </c>
      <c r="EQ155" s="3">
        <v>0</v>
      </c>
      <c r="ER155" s="3">
        <v>18653.07</v>
      </c>
      <c r="ES155" s="3">
        <v>18653.07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FQ155" s="3">
        <v>0</v>
      </c>
      <c r="FR155" s="3">
        <v>0</v>
      </c>
      <c r="FS155" s="3">
        <v>0</v>
      </c>
      <c r="FX155" s="3">
        <v>94</v>
      </c>
      <c r="FY155" s="3">
        <v>51</v>
      </c>
      <c r="GA155" s="3" t="s">
        <v>3</v>
      </c>
      <c r="GD155" s="3">
        <v>1</v>
      </c>
      <c r="GF155" s="3">
        <v>650902129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73"/>
        <v>0</v>
      </c>
      <c r="GM155" s="3">
        <f t="shared" si="174"/>
        <v>390.52</v>
      </c>
      <c r="GN155" s="3">
        <f t="shared" si="175"/>
        <v>390.52</v>
      </c>
      <c r="GO155" s="3">
        <f t="shared" si="176"/>
        <v>0</v>
      </c>
      <c r="GP155" s="3">
        <f t="shared" si="177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78"/>
        <v>0</v>
      </c>
      <c r="GW155" s="3">
        <v>1</v>
      </c>
      <c r="GX155" s="3">
        <f t="shared" si="179"/>
        <v>0</v>
      </c>
      <c r="HA155" s="3">
        <v>0</v>
      </c>
      <c r="HB155" s="3">
        <v>0</v>
      </c>
      <c r="HC155" s="3">
        <f t="shared" si="180"/>
        <v>0</v>
      </c>
      <c r="HE155" s="3" t="s">
        <v>3</v>
      </c>
      <c r="HF155" s="3" t="s">
        <v>3</v>
      </c>
      <c r="HM155" s="3" t="s">
        <v>38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">
      <c r="A156" s="2">
        <v>17</v>
      </c>
      <c r="B156" s="2">
        <v>1</v>
      </c>
      <c r="C156" s="2">
        <f>ROW(SmtRes!A425)</f>
        <v>425</v>
      </c>
      <c r="D156" s="2">
        <f>ROW(EtalonRes!A453)</f>
        <v>453</v>
      </c>
      <c r="E156" s="2" t="s">
        <v>284</v>
      </c>
      <c r="F156" s="2" t="s">
        <v>285</v>
      </c>
      <c r="G156" s="2" t="s">
        <v>286</v>
      </c>
      <c r="H156" s="2" t="s">
        <v>275</v>
      </c>
      <c r="I156" s="2">
        <f>ROUND((64.8)/100,9)</f>
        <v>0.64800000000000002</v>
      </c>
      <c r="J156" s="2">
        <v>0</v>
      </c>
      <c r="K156" s="2">
        <f>ROUND((64.8)/100,9)</f>
        <v>0.64800000000000002</v>
      </c>
      <c r="L156" s="2"/>
      <c r="M156" s="2"/>
      <c r="N156" s="2"/>
      <c r="O156" s="2">
        <f t="shared" ref="O156:O165" si="199">ROUND(CP156,2)</f>
        <v>212.08</v>
      </c>
      <c r="P156" s="2">
        <f t="shared" ref="P156:P165" si="200">ROUND((ROUND((AC156*AW156*I156),2)*BC156),2)</f>
        <v>186.33</v>
      </c>
      <c r="Q156" s="2">
        <f>(ROUND((ROUND(((((ET156*1.2)*1.25))*AV156*I156),2)*BB156),2)+ROUND((ROUND(((AE156-(((EU156*1.2)*1.25)))*AV156*I156),2)*BS156),2))</f>
        <v>2.02</v>
      </c>
      <c r="R156" s="2">
        <f>(ROUND((ROUND(((((EU156*1.2)*1.25))*AV156*I156),2)*BS156),2)+ROUND((ROUND(((AE156-(((EU156*1.2)*1.25)))*AV156*I156),2)*BS156),2))</f>
        <v>0.25</v>
      </c>
      <c r="S156" s="2">
        <f t="shared" ref="S156:S165" si="201">ROUND((ROUND((AF156*AV156*I156),2)*BA156),2)</f>
        <v>23.73</v>
      </c>
      <c r="T156" s="2">
        <f t="shared" ref="T156:T165" si="202">ROUND(CU156*I156,2)</f>
        <v>0</v>
      </c>
      <c r="U156" s="2">
        <f t="shared" ref="U156:U165" si="203">CV156*I156</f>
        <v>1.9942535663999994</v>
      </c>
      <c r="V156" s="2">
        <f t="shared" ref="V156:V165" si="204">CW156*I156</f>
        <v>0</v>
      </c>
      <c r="W156" s="2">
        <f t="shared" ref="W156:W165" si="205">ROUND(CX156*I156,2)</f>
        <v>0</v>
      </c>
      <c r="X156" s="2">
        <f>(ROUND((((S156+ROUND((ROUND(((((EU156*1.2)*1.25))*AV156*I156),2)*BS156),2))*AT156)/100),2)+ROUND(((ROUND((ROUND(((AE156-(((EU156*1.2)*1.25)))*AV156*I156),2)*BS156),2)*AT156)/100),2))</f>
        <v>22.54</v>
      </c>
      <c r="Y156" s="2">
        <f>(ROUND((((S156+ROUND((ROUND(((((EU156*1.2)*1.25))*AV156*I156),2)*BS156),2))*AU156)/100),2)+ROUND(((ROUND((ROUND(((AE156-(((EU156*1.2)*1.25)))*AV156*I156),2)*BS156),2)*AU156)/100),2))</f>
        <v>12.23</v>
      </c>
      <c r="Z156" s="2"/>
      <c r="AA156" s="2">
        <v>55747649</v>
      </c>
      <c r="AB156" s="2">
        <f t="shared" ref="AB156:AB165" si="206">ROUND((AC156+AD156+AF156),6)</f>
        <v>325.49299999999999</v>
      </c>
      <c r="AC156" s="2">
        <f>ROUND((((ES156*1)*1)),6)</f>
        <v>287.54000000000002</v>
      </c>
      <c r="AD156" s="2">
        <f>ROUND((((((ET156*1.2)*1.25))-(((EU156*1.2)*1.25)))+AE156),6)</f>
        <v>2.97</v>
      </c>
      <c r="AE156" s="2">
        <f>ROUND((((EU156*1.2)*1.25)),6)</f>
        <v>0.375</v>
      </c>
      <c r="AF156" s="2">
        <f>ROUND((((EV156*1.2)*1.15)),6)</f>
        <v>34.982999999999997</v>
      </c>
      <c r="AG156" s="2">
        <f t="shared" ref="AG156:AG165" si="207">ROUND((AP156),6)</f>
        <v>0</v>
      </c>
      <c r="AH156" s="2">
        <f>(((EW156*1.2)*1.15))</f>
        <v>2.9393999999999991</v>
      </c>
      <c r="AI156" s="2">
        <f>(((EX156*1.2)*1.25))</f>
        <v>0</v>
      </c>
      <c r="AJ156" s="2">
        <f t="shared" ref="AJ156:AJ165" si="208">(AS156)</f>
        <v>0</v>
      </c>
      <c r="AK156" s="2">
        <v>314.87</v>
      </c>
      <c r="AL156" s="2">
        <v>287.54000000000002</v>
      </c>
      <c r="AM156" s="2">
        <v>1.98</v>
      </c>
      <c r="AN156" s="2">
        <v>0.25</v>
      </c>
      <c r="AO156" s="2">
        <v>25.35</v>
      </c>
      <c r="AP156" s="2">
        <v>0</v>
      </c>
      <c r="AQ156" s="2">
        <v>2.13</v>
      </c>
      <c r="AR156" s="2">
        <v>0</v>
      </c>
      <c r="AS156" s="2">
        <v>0</v>
      </c>
      <c r="AT156" s="2">
        <v>94</v>
      </c>
      <c r="AU156" s="2">
        <v>51</v>
      </c>
      <c r="AV156" s="2">
        <v>1.0469999999999999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0</v>
      </c>
      <c r="BI156" s="2">
        <v>1</v>
      </c>
      <c r="BJ156" s="2" t="s">
        <v>287</v>
      </c>
      <c r="BK156" s="2"/>
      <c r="BL156" s="2"/>
      <c r="BM156" s="2">
        <v>17</v>
      </c>
      <c r="BN156" s="2">
        <v>0</v>
      </c>
      <c r="BO156" s="2" t="s">
        <v>285</v>
      </c>
      <c r="BP156" s="2">
        <v>1</v>
      </c>
      <c r="BQ156" s="2">
        <v>30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94</v>
      </c>
      <c r="CA156" s="2">
        <v>51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715</v>
      </c>
      <c r="CO156" s="2">
        <v>0</v>
      </c>
      <c r="CP156" s="2">
        <f t="shared" ref="CP156:CP165" si="209">(P156+Q156+S156)</f>
        <v>212.08</v>
      </c>
      <c r="CQ156" s="2">
        <f t="shared" ref="CQ156:CQ165" si="210">ROUND((ROUND((AC156*AW156*1),2)*BC156),2)</f>
        <v>287.54000000000002</v>
      </c>
      <c r="CR156" s="2">
        <f>(ROUND((ROUND(((((ET156*1.2)*1.25))*AV156*1),2)*BB156),2)+ROUND((ROUND(((AE156-(((EU156*1.2)*1.25)))*AV156*1),2)*BS156),2))</f>
        <v>3.11</v>
      </c>
      <c r="CS156" s="2">
        <f>(ROUND((ROUND(((((EU156*1.2)*1.25))*AV156*1),2)*BS156),2)+ROUND((ROUND(((AE156-(((EU156*1.2)*1.25)))*AV156*1),2)*BS156),2))</f>
        <v>0.39</v>
      </c>
      <c r="CT156" s="2">
        <f t="shared" ref="CT156:CT165" si="211">ROUND((ROUND((AF156*AV156*1),2)*BA156),2)</f>
        <v>36.630000000000003</v>
      </c>
      <c r="CU156" s="2">
        <f t="shared" ref="CU156:CU165" si="212">AG156</f>
        <v>0</v>
      </c>
      <c r="CV156" s="2">
        <f t="shared" ref="CV156:CV165" si="213">(AH156*AV156)</f>
        <v>3.0775517999999988</v>
      </c>
      <c r="CW156" s="2">
        <f t="shared" ref="CW156:CW165" si="214">AI156</f>
        <v>0</v>
      </c>
      <c r="CX156" s="2">
        <f t="shared" ref="CX156:CX165" si="215">AJ156</f>
        <v>0</v>
      </c>
      <c r="CY156" s="2">
        <f>(ROUND((((S156+ROUND((ROUND(((((EU156*1.2)*1.25))*AV156*1),2)*BS156),2))*AT156)/100),2)+ROUND(((ROUND((ROUND(((AE156-(((EU156*1.2)*1.25)))*AV156*1),2)*BS156),2)*AT156)/100),2))</f>
        <v>22.67</v>
      </c>
      <c r="CZ156" s="2">
        <f>(ROUND((((S156+ROUND((ROUND(((((EU156*1.2)*1.25))*AV156*1),2)*BS156),2))*AU156)/100),2)+ROUND(((ROUND((ROUND(((AE156-(((EU156*1.2)*1.25)))*AV156*1),2)*BS156),2)*AU156)/100),2))</f>
        <v>12.3</v>
      </c>
      <c r="DA156" s="2"/>
      <c r="DB156" s="2">
        <v>69</v>
      </c>
      <c r="DC156" s="2" t="s">
        <v>3</v>
      </c>
      <c r="DD156" s="2" t="s">
        <v>38</v>
      </c>
      <c r="DE156" s="2" t="s">
        <v>39</v>
      </c>
      <c r="DF156" s="2" t="s">
        <v>39</v>
      </c>
      <c r="DG156" s="2" t="s">
        <v>40</v>
      </c>
      <c r="DH156" s="2" t="s">
        <v>3</v>
      </c>
      <c r="DI156" s="2" t="s">
        <v>40</v>
      </c>
      <c r="DJ156" s="2" t="s">
        <v>39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1005</v>
      </c>
      <c r="DV156" s="2" t="s">
        <v>275</v>
      </c>
      <c r="DW156" s="2" t="s">
        <v>275</v>
      </c>
      <c r="DX156" s="2">
        <v>100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56938683</v>
      </c>
      <c r="EF156" s="2">
        <v>30</v>
      </c>
      <c r="EG156" s="2" t="s">
        <v>41</v>
      </c>
      <c r="EH156" s="2">
        <v>0</v>
      </c>
      <c r="EI156" s="2" t="s">
        <v>3</v>
      </c>
      <c r="EJ156" s="2">
        <v>1</v>
      </c>
      <c r="EK156" s="2">
        <v>17</v>
      </c>
      <c r="EL156" s="2" t="s">
        <v>277</v>
      </c>
      <c r="EM156" s="2" t="s">
        <v>278</v>
      </c>
      <c r="EN156" s="2"/>
      <c r="EO156" s="2" t="s">
        <v>44</v>
      </c>
      <c r="EP156" s="2"/>
      <c r="EQ156" s="2">
        <v>131072</v>
      </c>
      <c r="ER156" s="2">
        <v>314.87</v>
      </c>
      <c r="ES156" s="2">
        <v>287.54000000000002</v>
      </c>
      <c r="ET156" s="2">
        <v>1.98</v>
      </c>
      <c r="EU156" s="2">
        <v>0.25</v>
      </c>
      <c r="EV156" s="2">
        <v>25.35</v>
      </c>
      <c r="EW156" s="2">
        <v>2.13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94</v>
      </c>
      <c r="FY156" s="2">
        <v>51</v>
      </c>
      <c r="FZ156" s="2"/>
      <c r="GA156" s="2" t="s">
        <v>3</v>
      </c>
      <c r="GB156" s="2"/>
      <c r="GC156" s="2"/>
      <c r="GD156" s="2">
        <v>1</v>
      </c>
      <c r="GE156" s="2"/>
      <c r="GF156" s="2">
        <v>1419895163</v>
      </c>
      <c r="GG156" s="2">
        <v>2</v>
      </c>
      <c r="GH156" s="2">
        <v>1</v>
      </c>
      <c r="GI156" s="2">
        <v>2</v>
      </c>
      <c r="GJ156" s="2">
        <v>0</v>
      </c>
      <c r="GK156" s="2">
        <v>0</v>
      </c>
      <c r="GL156" s="2">
        <f t="shared" ref="GL156:GL165" si="216">ROUND(IF(AND(BH156=3,BI156=3,FS156&lt;&gt;0),P156,0),2)</f>
        <v>0</v>
      </c>
      <c r="GM156" s="2">
        <f t="shared" ref="GM156:GM165" si="217">ROUND(O156+X156+Y156,2)+GX156</f>
        <v>246.85</v>
      </c>
      <c r="GN156" s="2">
        <f t="shared" ref="GN156:GN165" si="218">IF(OR(BI156=0,BI156=1),GM156-GX156,0)</f>
        <v>246.85</v>
      </c>
      <c r="GO156" s="2">
        <f t="shared" ref="GO156:GO165" si="219">IF(BI156=2,GM156-GX156,0)</f>
        <v>0</v>
      </c>
      <c r="GP156" s="2">
        <f t="shared" ref="GP156:GP165" si="220">IF(BI156=4,GM156-GX156,0)</f>
        <v>0</v>
      </c>
      <c r="GQ156" s="2"/>
      <c r="GR156" s="2">
        <v>0</v>
      </c>
      <c r="GS156" s="2">
        <v>3</v>
      </c>
      <c r="GT156" s="2">
        <v>0</v>
      </c>
      <c r="GU156" s="2" t="s">
        <v>3</v>
      </c>
      <c r="GV156" s="2">
        <f t="shared" ref="GV156:GV165" si="221">ROUND((GT156),6)</f>
        <v>0</v>
      </c>
      <c r="GW156" s="2">
        <v>1</v>
      </c>
      <c r="GX156" s="2">
        <f t="shared" ref="GX156:GX165" si="222">ROUND(HC156*I156,2)</f>
        <v>0</v>
      </c>
      <c r="GY156" s="2"/>
      <c r="GZ156" s="2"/>
      <c r="HA156" s="2">
        <v>0</v>
      </c>
      <c r="HB156" s="2">
        <v>0</v>
      </c>
      <c r="HC156" s="2">
        <f t="shared" ref="HC156:HC165" si="223">GV156*GW156</f>
        <v>0</v>
      </c>
      <c r="HD156" s="2"/>
      <c r="HE156" s="2" t="s">
        <v>3</v>
      </c>
      <c r="HF156" s="2" t="s">
        <v>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 s="3">
        <v>17</v>
      </c>
      <c r="B157" s="3">
        <v>1</v>
      </c>
      <c r="C157" s="3">
        <f>ROW(SmtRes!A430)</f>
        <v>430</v>
      </c>
      <c r="D157" s="3">
        <f>ROW(EtalonRes!A458)</f>
        <v>458</v>
      </c>
      <c r="E157" s="3" t="s">
        <v>284</v>
      </c>
      <c r="F157" s="3" t="s">
        <v>285</v>
      </c>
      <c r="G157" s="3" t="s">
        <v>286</v>
      </c>
      <c r="H157" s="3" t="s">
        <v>275</v>
      </c>
      <c r="I157" s="3">
        <f>ROUND((64.8)/100,9)</f>
        <v>0.64800000000000002</v>
      </c>
      <c r="J157" s="3">
        <v>0</v>
      </c>
      <c r="K157" s="3">
        <f>ROUND((64.8)/100,9)</f>
        <v>0.64800000000000002</v>
      </c>
      <c r="O157" s="3">
        <f t="shared" si="199"/>
        <v>2013.44</v>
      </c>
      <c r="P157" s="3">
        <f t="shared" si="200"/>
        <v>642.84</v>
      </c>
      <c r="Q157" s="3">
        <f>(ROUND((ROUND(((((ET157*1.2)*1.25))*AV157*I157),2)*BB157),2)+ROUND((ROUND(((AE157-(((EU157*1.2)*1.25)))*AV157*I157),2)*BS157),2))</f>
        <v>33.409999999999997</v>
      </c>
      <c r="R157" s="3">
        <f>(ROUND((ROUND(((((EU157*1.2)*1.25))*AV157*I157),2)*BS157),2)+ROUND((ROUND(((AE157-(((EU157*1.2)*1.25)))*AV157*I157),2)*BS157),2))</f>
        <v>14.09</v>
      </c>
      <c r="S157" s="3">
        <f t="shared" si="201"/>
        <v>1337.19</v>
      </c>
      <c r="T157" s="3">
        <f t="shared" si="202"/>
        <v>0</v>
      </c>
      <c r="U157" s="3">
        <f t="shared" si="203"/>
        <v>1.9942535663999994</v>
      </c>
      <c r="V157" s="3">
        <f t="shared" si="204"/>
        <v>0</v>
      </c>
      <c r="W157" s="3">
        <f t="shared" si="205"/>
        <v>0</v>
      </c>
      <c r="X157" s="3">
        <f>(ROUND((((S157+ROUND((ROUND(((((EU157*1.2)*1.25))*AV157*I157),2)*BS157),2))*AT157)/100),2)+ROUND(((ROUND((ROUND(((AE157-(((EU157*1.2)*1.25)))*AV157*I157),2)*BS157),2)*AT157)/100),2))</f>
        <v>1270.2</v>
      </c>
      <c r="Y157" s="3">
        <f>(ROUND((((S157+ROUND((ROUND(((((EU157*1.2)*1.25))*AV157*I157),2)*BS157),2))*AU157)/100),2)+ROUND(((ROUND((ROUND(((AE157-(((EU157*1.2)*1.25)))*AV157*I157),2)*BS157),2)*AU157)/100),2))</f>
        <v>689.15</v>
      </c>
      <c r="AA157" s="3">
        <v>55747651</v>
      </c>
      <c r="AB157" s="3">
        <f t="shared" si="206"/>
        <v>325.49299999999999</v>
      </c>
      <c r="AC157" s="3">
        <f>ROUND((((ES157*1)*1)),6)</f>
        <v>287.54000000000002</v>
      </c>
      <c r="AD157" s="3">
        <f>ROUND((((((ET157*1.2)*1.25))-(((EU157*1.2)*1.25)))+AE157),6)</f>
        <v>2.97</v>
      </c>
      <c r="AE157" s="3">
        <f>ROUND((((EU157*1.2)*1.25)),6)</f>
        <v>0.375</v>
      </c>
      <c r="AF157" s="3">
        <f>ROUND((((EV157*1.2)*1.15)),6)</f>
        <v>34.982999999999997</v>
      </c>
      <c r="AG157" s="3">
        <f t="shared" si="207"/>
        <v>0</v>
      </c>
      <c r="AH157" s="3">
        <f>(((EW157*1.2)*1.15))</f>
        <v>2.9393999999999991</v>
      </c>
      <c r="AI157" s="3">
        <f>(((EX157*1.2)*1.25))</f>
        <v>0</v>
      </c>
      <c r="AJ157" s="3">
        <f t="shared" si="208"/>
        <v>0</v>
      </c>
      <c r="AK157" s="3">
        <v>314.87</v>
      </c>
      <c r="AL157" s="3">
        <v>287.54000000000002</v>
      </c>
      <c r="AM157" s="3">
        <v>1.98</v>
      </c>
      <c r="AN157" s="3">
        <v>0.25</v>
      </c>
      <c r="AO157" s="3">
        <v>25.35</v>
      </c>
      <c r="AP157" s="3">
        <v>0</v>
      </c>
      <c r="AQ157" s="3">
        <v>2.13</v>
      </c>
      <c r="AR157" s="3">
        <v>0</v>
      </c>
      <c r="AS157" s="3">
        <v>0</v>
      </c>
      <c r="AT157" s="3">
        <v>94</v>
      </c>
      <c r="AU157" s="3">
        <v>51</v>
      </c>
      <c r="AV157" s="3">
        <v>1.0469999999999999</v>
      </c>
      <c r="AW157" s="3">
        <v>1</v>
      </c>
      <c r="AZ157" s="3">
        <v>1</v>
      </c>
      <c r="BA157" s="3">
        <v>56.35</v>
      </c>
      <c r="BB157" s="3">
        <v>16.54</v>
      </c>
      <c r="BC157" s="3">
        <v>3.45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0</v>
      </c>
      <c r="BI157" s="3">
        <v>1</v>
      </c>
      <c r="BJ157" s="3" t="s">
        <v>287</v>
      </c>
      <c r="BM157" s="3">
        <v>17</v>
      </c>
      <c r="BN157" s="3">
        <v>0</v>
      </c>
      <c r="BO157" s="3" t="s">
        <v>285</v>
      </c>
      <c r="BP157" s="3">
        <v>1</v>
      </c>
      <c r="BQ157" s="3">
        <v>30</v>
      </c>
      <c r="BR157" s="3">
        <v>0</v>
      </c>
      <c r="BS157" s="3">
        <v>56.35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94</v>
      </c>
      <c r="CA157" s="3">
        <v>51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715</v>
      </c>
      <c r="CO157" s="3">
        <v>0</v>
      </c>
      <c r="CP157" s="3">
        <f t="shared" si="209"/>
        <v>2013.44</v>
      </c>
      <c r="CQ157" s="3">
        <f t="shared" si="210"/>
        <v>992.01</v>
      </c>
      <c r="CR157" s="3">
        <f>(ROUND((ROUND(((((ET157*1.2)*1.25))*AV157*1),2)*BB157),2)+ROUND((ROUND(((AE157-(((EU157*1.2)*1.25)))*AV157*1),2)*BS157),2))</f>
        <v>51.44</v>
      </c>
      <c r="CS157" s="3">
        <f>(ROUND((ROUND(((((EU157*1.2)*1.25))*AV157*1),2)*BS157),2)+ROUND((ROUND(((AE157-(((EU157*1.2)*1.25)))*AV157*1),2)*BS157),2))</f>
        <v>21.98</v>
      </c>
      <c r="CT157" s="3">
        <f t="shared" si="211"/>
        <v>2064.1</v>
      </c>
      <c r="CU157" s="3">
        <f t="shared" si="212"/>
        <v>0</v>
      </c>
      <c r="CV157" s="3">
        <f t="shared" si="213"/>
        <v>3.0775517999999988</v>
      </c>
      <c r="CW157" s="3">
        <f t="shared" si="214"/>
        <v>0</v>
      </c>
      <c r="CX157" s="3">
        <f t="shared" si="215"/>
        <v>0</v>
      </c>
      <c r="CY157" s="3">
        <f>(ROUND((((S157+ROUND((ROUND(((((EU157*1.2)*1.25))*AV157*1),2)*BS157),2))*AT157)/100),2)+ROUND(((ROUND((ROUND(((AE157-(((EU157*1.2)*1.25)))*AV157*1),2)*BS157),2)*AT157)/100),2))</f>
        <v>1277.6199999999999</v>
      </c>
      <c r="CZ157" s="3">
        <f>(ROUND((((S157+ROUND((ROUND(((((EU157*1.2)*1.25))*AV157*1),2)*BS157),2))*AU157)/100),2)+ROUND(((ROUND((ROUND(((AE157-(((EU157*1.2)*1.25)))*AV157*1),2)*BS157),2)*AU157)/100),2))</f>
        <v>693.18</v>
      </c>
      <c r="DB157" s="3">
        <v>71</v>
      </c>
      <c r="DC157" s="3" t="s">
        <v>3</v>
      </c>
      <c r="DD157" s="3" t="s">
        <v>38</v>
      </c>
      <c r="DE157" s="3" t="s">
        <v>39</v>
      </c>
      <c r="DF157" s="3" t="s">
        <v>39</v>
      </c>
      <c r="DG157" s="3" t="s">
        <v>40</v>
      </c>
      <c r="DH157" s="3" t="s">
        <v>3</v>
      </c>
      <c r="DI157" s="3" t="s">
        <v>40</v>
      </c>
      <c r="DJ157" s="3" t="s">
        <v>39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1005</v>
      </c>
      <c r="DV157" s="3" t="s">
        <v>275</v>
      </c>
      <c r="DW157" s="3" t="s">
        <v>275</v>
      </c>
      <c r="DX157" s="3">
        <v>100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56938683</v>
      </c>
      <c r="EF157" s="3">
        <v>30</v>
      </c>
      <c r="EG157" s="3" t="s">
        <v>41</v>
      </c>
      <c r="EH157" s="3">
        <v>0</v>
      </c>
      <c r="EI157" s="3" t="s">
        <v>3</v>
      </c>
      <c r="EJ157" s="3">
        <v>1</v>
      </c>
      <c r="EK157" s="3">
        <v>17</v>
      </c>
      <c r="EL157" s="3" t="s">
        <v>277</v>
      </c>
      <c r="EM157" s="3" t="s">
        <v>278</v>
      </c>
      <c r="EO157" s="3" t="s">
        <v>44</v>
      </c>
      <c r="EQ157" s="3">
        <v>131072</v>
      </c>
      <c r="ER157" s="3">
        <v>314.87</v>
      </c>
      <c r="ES157" s="3">
        <v>287.54000000000002</v>
      </c>
      <c r="ET157" s="3">
        <v>1.98</v>
      </c>
      <c r="EU157" s="3">
        <v>0.25</v>
      </c>
      <c r="EV157" s="3">
        <v>25.35</v>
      </c>
      <c r="EW157" s="3">
        <v>2.13</v>
      </c>
      <c r="EX157" s="3">
        <v>0</v>
      </c>
      <c r="EY157" s="3">
        <v>0</v>
      </c>
      <c r="FQ157" s="3">
        <v>0</v>
      </c>
      <c r="FR157" s="3">
        <v>0</v>
      </c>
      <c r="FS157" s="3">
        <v>0</v>
      </c>
      <c r="FX157" s="3">
        <v>94</v>
      </c>
      <c r="FY157" s="3">
        <v>51</v>
      </c>
      <c r="GA157" s="3" t="s">
        <v>3</v>
      </c>
      <c r="GD157" s="3">
        <v>1</v>
      </c>
      <c r="GF157" s="3">
        <v>1419895163</v>
      </c>
      <c r="GG157" s="3">
        <v>2</v>
      </c>
      <c r="GH157" s="3">
        <v>1</v>
      </c>
      <c r="GI157" s="3">
        <v>2</v>
      </c>
      <c r="GJ157" s="3">
        <v>0</v>
      </c>
      <c r="GK157" s="3">
        <v>0</v>
      </c>
      <c r="GL157" s="3">
        <f t="shared" si="216"/>
        <v>0</v>
      </c>
      <c r="GM157" s="3">
        <f t="shared" si="217"/>
        <v>3972.79</v>
      </c>
      <c r="GN157" s="3">
        <f t="shared" si="218"/>
        <v>3972.79</v>
      </c>
      <c r="GO157" s="3">
        <f t="shared" si="219"/>
        <v>0</v>
      </c>
      <c r="GP157" s="3">
        <f t="shared" si="220"/>
        <v>0</v>
      </c>
      <c r="GR157" s="3">
        <v>0</v>
      </c>
      <c r="GS157" s="3">
        <v>3</v>
      </c>
      <c r="GT157" s="3">
        <v>0</v>
      </c>
      <c r="GU157" s="3" t="s">
        <v>3</v>
      </c>
      <c r="GV157" s="3">
        <f t="shared" si="221"/>
        <v>0</v>
      </c>
      <c r="GW157" s="3">
        <v>1</v>
      </c>
      <c r="GX157" s="3">
        <f t="shared" si="222"/>
        <v>0</v>
      </c>
      <c r="HA157" s="3">
        <v>0</v>
      </c>
      <c r="HB157" s="3">
        <v>0</v>
      </c>
      <c r="HC157" s="3">
        <f t="shared" si="223"/>
        <v>0</v>
      </c>
      <c r="HE157" s="3" t="s">
        <v>3</v>
      </c>
      <c r="HF157" s="3" t="s">
        <v>3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">
      <c r="A158" s="2">
        <v>17</v>
      </c>
      <c r="B158" s="2">
        <v>1</v>
      </c>
      <c r="C158" s="2">
        <f>ROW(SmtRes!A437)</f>
        <v>437</v>
      </c>
      <c r="D158" s="2">
        <f>ROW(EtalonRes!A465)</f>
        <v>465</v>
      </c>
      <c r="E158" s="2" t="s">
        <v>3</v>
      </c>
      <c r="F158" s="2" t="s">
        <v>288</v>
      </c>
      <c r="G158" s="2" t="s">
        <v>289</v>
      </c>
      <c r="H158" s="2" t="s">
        <v>25</v>
      </c>
      <c r="I158" s="2">
        <f>ROUND(1,9)</f>
        <v>1</v>
      </c>
      <c r="J158" s="2">
        <v>0</v>
      </c>
      <c r="K158" s="2">
        <f>ROUND(1,9)</f>
        <v>1</v>
      </c>
      <c r="L158" s="2"/>
      <c r="M158" s="2"/>
      <c r="N158" s="2"/>
      <c r="O158" s="2">
        <f t="shared" si="199"/>
        <v>156.83000000000001</v>
      </c>
      <c r="P158" s="2">
        <f t="shared" si="200"/>
        <v>4.45</v>
      </c>
      <c r="Q158" s="2">
        <f>(ROUND((ROUND((((ET158*1.2))*AV158*I158),2)*BB158),2)+ROUND((ROUND(((AE158-((EU158*1.2)))*AV158*I158),2)*BS158),2))</f>
        <v>15.03</v>
      </c>
      <c r="R158" s="2">
        <f>(ROUND((ROUND((((EU158*1.2))*AV158*I158),2)*BS158),2)+ROUND((ROUND(((AE158-((EU158*1.2)))*AV158*I158),2)*BS158),2))</f>
        <v>0.49</v>
      </c>
      <c r="S158" s="2">
        <f t="shared" si="201"/>
        <v>137.35</v>
      </c>
      <c r="T158" s="2">
        <f t="shared" si="202"/>
        <v>0</v>
      </c>
      <c r="U158" s="2">
        <f t="shared" si="203"/>
        <v>10.883399999999998</v>
      </c>
      <c r="V158" s="2">
        <f t="shared" si="204"/>
        <v>0</v>
      </c>
      <c r="W158" s="2">
        <f t="shared" si="205"/>
        <v>0</v>
      </c>
      <c r="X158" s="2">
        <f>(ROUND((((S158+ROUND((ROUND((((EU158*1.2))*AV158*I158),2)*BS158),2))*AT158)/100),2)+ROUND(((ROUND((ROUND(((AE158-((EU158*1.2)))*AV158*I158),2)*BS158),2)*AT158)/100),2))</f>
        <v>124.06</v>
      </c>
      <c r="Y158" s="2">
        <f>(ROUND((((S158+ROUND((ROUND((((EU158*1.2))*AV158*I158),2)*BS158),2))*AU158)/100),2)+ROUND(((ROUND((ROUND(((AE158-((EU158*1.2)))*AV158*I158),2)*BS158),2)*AU158)/100),2))</f>
        <v>63.41</v>
      </c>
      <c r="Z158" s="2"/>
      <c r="AA158" s="2">
        <v>-1</v>
      </c>
      <c r="AB158" s="2">
        <f t="shared" si="206"/>
        <v>147.142</v>
      </c>
      <c r="AC158" s="2">
        <f>ROUND(((ES158*1)),6)</f>
        <v>4.33</v>
      </c>
      <c r="AD158" s="2">
        <f>ROUND(((((ET158*1.2))-((EU158*1.2)))+AE158),6)</f>
        <v>14.087999999999999</v>
      </c>
      <c r="AE158" s="2">
        <f>ROUND(((EU158*1.2)),6)</f>
        <v>0.45600000000000002</v>
      </c>
      <c r="AF158" s="2">
        <f>ROUND(((EV158*1.2)),6)</f>
        <v>128.72399999999999</v>
      </c>
      <c r="AG158" s="2">
        <f t="shared" si="207"/>
        <v>0</v>
      </c>
      <c r="AH158" s="2">
        <f>((EW158*1.2))</f>
        <v>10.199999999999999</v>
      </c>
      <c r="AI158" s="2">
        <f>((EX158*1.2))</f>
        <v>0</v>
      </c>
      <c r="AJ158" s="2">
        <f t="shared" si="208"/>
        <v>0</v>
      </c>
      <c r="AK158" s="2">
        <v>123.34</v>
      </c>
      <c r="AL158" s="2">
        <v>4.33</v>
      </c>
      <c r="AM158" s="2">
        <v>11.74</v>
      </c>
      <c r="AN158" s="2">
        <v>0.38</v>
      </c>
      <c r="AO158" s="2">
        <v>107.27</v>
      </c>
      <c r="AP158" s="2">
        <v>0</v>
      </c>
      <c r="AQ158" s="2">
        <v>8.5</v>
      </c>
      <c r="AR158" s="2">
        <v>0</v>
      </c>
      <c r="AS158" s="2">
        <v>0</v>
      </c>
      <c r="AT158" s="2">
        <v>90</v>
      </c>
      <c r="AU158" s="2">
        <v>46</v>
      </c>
      <c r="AV158" s="2">
        <v>1.0669999999999999</v>
      </c>
      <c r="AW158" s="2">
        <v>1.028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290</v>
      </c>
      <c r="BK158" s="2"/>
      <c r="BL158" s="2"/>
      <c r="BM158" s="2">
        <v>73</v>
      </c>
      <c r="BN158" s="2">
        <v>0</v>
      </c>
      <c r="BO158" s="2" t="s">
        <v>288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90</v>
      </c>
      <c r="CA158" s="2">
        <v>46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716</v>
      </c>
      <c r="CO158" s="2">
        <v>0</v>
      </c>
      <c r="CP158" s="2">
        <f t="shared" si="209"/>
        <v>156.82999999999998</v>
      </c>
      <c r="CQ158" s="2">
        <f t="shared" si="210"/>
        <v>4.45</v>
      </c>
      <c r="CR158" s="2">
        <f>(ROUND((ROUND((((ET158*1.2))*AV158*1),2)*BB158),2)+ROUND((ROUND(((AE158-((EU158*1.2)))*AV158*1),2)*BS158),2))</f>
        <v>15.03</v>
      </c>
      <c r="CS158" s="2">
        <f>(ROUND((ROUND((((EU158*1.2))*AV158*1),2)*BS158),2)+ROUND((ROUND(((AE158-((EU158*1.2)))*AV158*1),2)*BS158),2))</f>
        <v>0.49</v>
      </c>
      <c r="CT158" s="2">
        <f t="shared" si="211"/>
        <v>137.35</v>
      </c>
      <c r="CU158" s="2">
        <f t="shared" si="212"/>
        <v>0</v>
      </c>
      <c r="CV158" s="2">
        <f t="shared" si="213"/>
        <v>10.883399999999998</v>
      </c>
      <c r="CW158" s="2">
        <f t="shared" si="214"/>
        <v>0</v>
      </c>
      <c r="CX158" s="2">
        <f t="shared" si="215"/>
        <v>0</v>
      </c>
      <c r="CY158" s="2">
        <f>(ROUND((((S158+ROUND((ROUND((((EU158*1.2))*AV158*1),2)*BS158),2))*AT158)/100),2)+ROUND(((ROUND((ROUND(((AE158-((EU158*1.2)))*AV158*1),2)*BS158),2)*AT158)/100),2))</f>
        <v>124.06</v>
      </c>
      <c r="CZ158" s="2">
        <f>(ROUND((((S158+ROUND((ROUND((((EU158*1.2))*AV158*1),2)*BS158),2))*AU158)/100),2)+ROUND(((ROUND((ROUND(((AE158-((EU158*1.2)))*AV158*1),2)*BS158),2)*AU158)/100),2))</f>
        <v>63.41</v>
      </c>
      <c r="DA158" s="2"/>
      <c r="DB158" s="2">
        <v>73</v>
      </c>
      <c r="DC158" s="2" t="s">
        <v>3</v>
      </c>
      <c r="DD158" s="2" t="s">
        <v>48</v>
      </c>
      <c r="DE158" s="2" t="s">
        <v>49</v>
      </c>
      <c r="DF158" s="2" t="s">
        <v>49</v>
      </c>
      <c r="DG158" s="2" t="s">
        <v>49</v>
      </c>
      <c r="DH158" s="2" t="s">
        <v>3</v>
      </c>
      <c r="DI158" s="2" t="s">
        <v>49</v>
      </c>
      <c r="DJ158" s="2" t="s">
        <v>49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25</v>
      </c>
      <c r="DW158" s="2" t="s">
        <v>25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56938740</v>
      </c>
      <c r="EF158" s="2">
        <v>40</v>
      </c>
      <c r="EG158" s="2" t="s">
        <v>29</v>
      </c>
      <c r="EH158" s="2">
        <v>0</v>
      </c>
      <c r="EI158" s="2" t="s">
        <v>3</v>
      </c>
      <c r="EJ158" s="2">
        <v>2</v>
      </c>
      <c r="EK158" s="2">
        <v>73</v>
      </c>
      <c r="EL158" s="2" t="s">
        <v>85</v>
      </c>
      <c r="EM158" s="2" t="s">
        <v>86</v>
      </c>
      <c r="EN158" s="2"/>
      <c r="EO158" s="2" t="s">
        <v>50</v>
      </c>
      <c r="EP158" s="2"/>
      <c r="EQ158" s="2">
        <v>132096</v>
      </c>
      <c r="ER158" s="2">
        <v>123.34</v>
      </c>
      <c r="ES158" s="2">
        <v>4.33</v>
      </c>
      <c r="ET158" s="2">
        <v>11.74</v>
      </c>
      <c r="EU158" s="2">
        <v>0.38</v>
      </c>
      <c r="EV158" s="2">
        <v>107.27</v>
      </c>
      <c r="EW158" s="2">
        <v>8.5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2</v>
      </c>
      <c r="FT158" s="2"/>
      <c r="FU158" s="2"/>
      <c r="FV158" s="2"/>
      <c r="FW158" s="2"/>
      <c r="FX158" s="2">
        <v>90</v>
      </c>
      <c r="FY158" s="2">
        <v>46</v>
      </c>
      <c r="FZ158" s="2"/>
      <c r="GA158" s="2" t="s">
        <v>3</v>
      </c>
      <c r="GB158" s="2"/>
      <c r="GC158" s="2"/>
      <c r="GD158" s="2">
        <v>1</v>
      </c>
      <c r="GE158" s="2"/>
      <c r="GF158" s="2">
        <v>-1550498539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216"/>
        <v>0</v>
      </c>
      <c r="GM158" s="2">
        <f t="shared" si="217"/>
        <v>344.3</v>
      </c>
      <c r="GN158" s="2">
        <f t="shared" si="218"/>
        <v>0</v>
      </c>
      <c r="GO158" s="2">
        <f t="shared" si="219"/>
        <v>344.3</v>
      </c>
      <c r="GP158" s="2">
        <f t="shared" si="220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221"/>
        <v>0</v>
      </c>
      <c r="GW158" s="2">
        <v>1</v>
      </c>
      <c r="GX158" s="2">
        <f t="shared" si="222"/>
        <v>0</v>
      </c>
      <c r="GY158" s="2"/>
      <c r="GZ158" s="2"/>
      <c r="HA158" s="2">
        <v>0</v>
      </c>
      <c r="HB158" s="2">
        <v>0</v>
      </c>
      <c r="HC158" s="2">
        <f t="shared" si="223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 s="3">
        <v>17</v>
      </c>
      <c r="B159" s="3">
        <v>1</v>
      </c>
      <c r="C159" s="3">
        <f>ROW(SmtRes!A444)</f>
        <v>444</v>
      </c>
      <c r="D159" s="3">
        <f>ROW(EtalonRes!A472)</f>
        <v>472</v>
      </c>
      <c r="E159" s="3" t="s">
        <v>3</v>
      </c>
      <c r="F159" s="3" t="s">
        <v>288</v>
      </c>
      <c r="G159" s="3" t="s">
        <v>289</v>
      </c>
      <c r="H159" s="3" t="s">
        <v>25</v>
      </c>
      <c r="I159" s="3">
        <f>ROUND(1,9)</f>
        <v>1</v>
      </c>
      <c r="J159" s="3">
        <v>0</v>
      </c>
      <c r="K159" s="3">
        <f>ROUND(1,9)</f>
        <v>1</v>
      </c>
      <c r="O159" s="3">
        <f t="shared" si="199"/>
        <v>8000.53</v>
      </c>
      <c r="P159" s="3">
        <f t="shared" si="200"/>
        <v>47.13</v>
      </c>
      <c r="Q159" s="3">
        <f>(ROUND((ROUND((((ET159*1.2))*AV159*I159),2)*BB159),2)+ROUND((ROUND(((AE159-((EU159*1.2)))*AV159*I159),2)*BS159),2))</f>
        <v>213.73</v>
      </c>
      <c r="R159" s="3">
        <f>(ROUND((ROUND((((EU159*1.2))*AV159*I159),2)*BS159),2)+ROUND((ROUND(((AE159-((EU159*1.2)))*AV159*I159),2)*BS159),2))</f>
        <v>27.61</v>
      </c>
      <c r="S159" s="3">
        <f t="shared" si="201"/>
        <v>7739.67</v>
      </c>
      <c r="T159" s="3">
        <f t="shared" si="202"/>
        <v>0</v>
      </c>
      <c r="U159" s="3">
        <f t="shared" si="203"/>
        <v>10.883399999999998</v>
      </c>
      <c r="V159" s="3">
        <f t="shared" si="204"/>
        <v>0</v>
      </c>
      <c r="W159" s="3">
        <f t="shared" si="205"/>
        <v>0</v>
      </c>
      <c r="X159" s="3">
        <f>(ROUND((((S159+ROUND((ROUND((((EU159*1.2))*AV159*I159),2)*BS159),2))*AT159)/100),2)+ROUND(((ROUND((ROUND(((AE159-((EU159*1.2)))*AV159*I159),2)*BS159),2)*AT159)/100),2))</f>
        <v>6990.55</v>
      </c>
      <c r="Y159" s="3">
        <f>(ROUND((((S159+ROUND((ROUND((((EU159*1.2))*AV159*I159),2)*BS159),2))*AU159)/100),2)+ROUND(((ROUND((ROUND(((AE159-((EU159*1.2)))*AV159*I159),2)*BS159),2)*AU159)/100),2))</f>
        <v>3572.95</v>
      </c>
      <c r="AA159" s="3">
        <v>-1</v>
      </c>
      <c r="AB159" s="3">
        <f t="shared" si="206"/>
        <v>147.142</v>
      </c>
      <c r="AC159" s="3">
        <f>ROUND(((ES159*1)),6)</f>
        <v>4.33</v>
      </c>
      <c r="AD159" s="3">
        <f>ROUND(((((ET159*1.2))-((EU159*1.2)))+AE159),6)</f>
        <v>14.087999999999999</v>
      </c>
      <c r="AE159" s="3">
        <f>ROUND(((EU159*1.2)),6)</f>
        <v>0.45600000000000002</v>
      </c>
      <c r="AF159" s="3">
        <f>ROUND(((EV159*1.2)),6)</f>
        <v>128.72399999999999</v>
      </c>
      <c r="AG159" s="3">
        <f t="shared" si="207"/>
        <v>0</v>
      </c>
      <c r="AH159" s="3">
        <f>((EW159*1.2))</f>
        <v>10.199999999999999</v>
      </c>
      <c r="AI159" s="3">
        <f>((EX159*1.2))</f>
        <v>0</v>
      </c>
      <c r="AJ159" s="3">
        <f t="shared" si="208"/>
        <v>0</v>
      </c>
      <c r="AK159" s="3">
        <v>123.34</v>
      </c>
      <c r="AL159" s="3">
        <v>4.33</v>
      </c>
      <c r="AM159" s="3">
        <v>11.74</v>
      </c>
      <c r="AN159" s="3">
        <v>0.38</v>
      </c>
      <c r="AO159" s="3">
        <v>107.27</v>
      </c>
      <c r="AP159" s="3">
        <v>0</v>
      </c>
      <c r="AQ159" s="3">
        <v>8.5</v>
      </c>
      <c r="AR159" s="3">
        <v>0</v>
      </c>
      <c r="AS159" s="3">
        <v>0</v>
      </c>
      <c r="AT159" s="3">
        <v>90</v>
      </c>
      <c r="AU159" s="3">
        <v>46</v>
      </c>
      <c r="AV159" s="3">
        <v>1.0669999999999999</v>
      </c>
      <c r="AW159" s="3">
        <v>1.028</v>
      </c>
      <c r="AZ159" s="3">
        <v>1</v>
      </c>
      <c r="BA159" s="3">
        <v>56.35</v>
      </c>
      <c r="BB159" s="3">
        <v>14.22</v>
      </c>
      <c r="BC159" s="3">
        <v>10.59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0</v>
      </c>
      <c r="BI159" s="3">
        <v>2</v>
      </c>
      <c r="BJ159" s="3" t="s">
        <v>290</v>
      </c>
      <c r="BM159" s="3">
        <v>73</v>
      </c>
      <c r="BN159" s="3">
        <v>0</v>
      </c>
      <c r="BO159" s="3" t="s">
        <v>288</v>
      </c>
      <c r="BP159" s="3">
        <v>1</v>
      </c>
      <c r="BQ159" s="3">
        <v>40</v>
      </c>
      <c r="BR159" s="3">
        <v>0</v>
      </c>
      <c r="BS159" s="3">
        <v>56.35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90</v>
      </c>
      <c r="CA159" s="3">
        <v>46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716</v>
      </c>
      <c r="CO159" s="3">
        <v>0</v>
      </c>
      <c r="CP159" s="3">
        <f t="shared" si="209"/>
        <v>8000.53</v>
      </c>
      <c r="CQ159" s="3">
        <f t="shared" si="210"/>
        <v>47.13</v>
      </c>
      <c r="CR159" s="3">
        <f>(ROUND((ROUND((((ET159*1.2))*AV159*1),2)*BB159),2)+ROUND((ROUND(((AE159-((EU159*1.2)))*AV159*1),2)*BS159),2))</f>
        <v>213.73</v>
      </c>
      <c r="CS159" s="3">
        <f>(ROUND((ROUND((((EU159*1.2))*AV159*1),2)*BS159),2)+ROUND((ROUND(((AE159-((EU159*1.2)))*AV159*1),2)*BS159),2))</f>
        <v>27.61</v>
      </c>
      <c r="CT159" s="3">
        <f t="shared" si="211"/>
        <v>7739.67</v>
      </c>
      <c r="CU159" s="3">
        <f t="shared" si="212"/>
        <v>0</v>
      </c>
      <c r="CV159" s="3">
        <f t="shared" si="213"/>
        <v>10.883399999999998</v>
      </c>
      <c r="CW159" s="3">
        <f t="shared" si="214"/>
        <v>0</v>
      </c>
      <c r="CX159" s="3">
        <f t="shared" si="215"/>
        <v>0</v>
      </c>
      <c r="CY159" s="3">
        <f>(ROUND((((S159+ROUND((ROUND((((EU159*1.2))*AV159*1),2)*BS159),2))*AT159)/100),2)+ROUND(((ROUND((ROUND(((AE159-((EU159*1.2)))*AV159*1),2)*BS159),2)*AT159)/100),2))</f>
        <v>6990.55</v>
      </c>
      <c r="CZ159" s="3">
        <f>(ROUND((((S159+ROUND((ROUND((((EU159*1.2))*AV159*1),2)*BS159),2))*AU159)/100),2)+ROUND(((ROUND((ROUND(((AE159-((EU159*1.2)))*AV159*1),2)*BS159),2)*AU159)/100),2))</f>
        <v>3572.95</v>
      </c>
      <c r="DB159" s="3">
        <v>74</v>
      </c>
      <c r="DC159" s="3" t="s">
        <v>3</v>
      </c>
      <c r="DD159" s="3" t="s">
        <v>48</v>
      </c>
      <c r="DE159" s="3" t="s">
        <v>49</v>
      </c>
      <c r="DF159" s="3" t="s">
        <v>49</v>
      </c>
      <c r="DG159" s="3" t="s">
        <v>49</v>
      </c>
      <c r="DH159" s="3" t="s">
        <v>3</v>
      </c>
      <c r="DI159" s="3" t="s">
        <v>49</v>
      </c>
      <c r="DJ159" s="3" t="s">
        <v>49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25</v>
      </c>
      <c r="DW159" s="3" t="s">
        <v>25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56938740</v>
      </c>
      <c r="EF159" s="3">
        <v>40</v>
      </c>
      <c r="EG159" s="3" t="s">
        <v>29</v>
      </c>
      <c r="EH159" s="3">
        <v>0</v>
      </c>
      <c r="EI159" s="3" t="s">
        <v>3</v>
      </c>
      <c r="EJ159" s="3">
        <v>2</v>
      </c>
      <c r="EK159" s="3">
        <v>73</v>
      </c>
      <c r="EL159" s="3" t="s">
        <v>85</v>
      </c>
      <c r="EM159" s="3" t="s">
        <v>86</v>
      </c>
      <c r="EO159" s="3" t="s">
        <v>50</v>
      </c>
      <c r="EQ159" s="3">
        <v>132096</v>
      </c>
      <c r="ER159" s="3">
        <v>123.34</v>
      </c>
      <c r="ES159" s="3">
        <v>4.33</v>
      </c>
      <c r="ET159" s="3">
        <v>11.74</v>
      </c>
      <c r="EU159" s="3">
        <v>0.38</v>
      </c>
      <c r="EV159" s="3">
        <v>107.27</v>
      </c>
      <c r="EW159" s="3">
        <v>8.5</v>
      </c>
      <c r="EX159" s="3">
        <v>0</v>
      </c>
      <c r="EY159" s="3">
        <v>0</v>
      </c>
      <c r="FQ159" s="3">
        <v>0</v>
      </c>
      <c r="FR159" s="3">
        <v>0</v>
      </c>
      <c r="FS159" s="3">
        <v>2</v>
      </c>
      <c r="FX159" s="3">
        <v>90</v>
      </c>
      <c r="FY159" s="3">
        <v>46</v>
      </c>
      <c r="GA159" s="3" t="s">
        <v>3</v>
      </c>
      <c r="GD159" s="3">
        <v>1</v>
      </c>
      <c r="GF159" s="3">
        <v>-1550498539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216"/>
        <v>0</v>
      </c>
      <c r="GM159" s="3">
        <f t="shared" si="217"/>
        <v>18564.03</v>
      </c>
      <c r="GN159" s="3">
        <f t="shared" si="218"/>
        <v>0</v>
      </c>
      <c r="GO159" s="3">
        <f t="shared" si="219"/>
        <v>18564.03</v>
      </c>
      <c r="GP159" s="3">
        <f t="shared" si="220"/>
        <v>0</v>
      </c>
      <c r="GR159" s="3">
        <v>0</v>
      </c>
      <c r="GS159" s="3">
        <v>3</v>
      </c>
      <c r="GT159" s="3">
        <v>0</v>
      </c>
      <c r="GU159" s="3" t="s">
        <v>3</v>
      </c>
      <c r="GV159" s="3">
        <f t="shared" si="221"/>
        <v>0</v>
      </c>
      <c r="GW159" s="3">
        <v>1</v>
      </c>
      <c r="GX159" s="3">
        <f t="shared" si="222"/>
        <v>0</v>
      </c>
      <c r="HA159" s="3">
        <v>0</v>
      </c>
      <c r="HB159" s="3">
        <v>0</v>
      </c>
      <c r="HC159" s="3">
        <f t="shared" si="223"/>
        <v>0</v>
      </c>
      <c r="HE159" s="3" t="s">
        <v>3</v>
      </c>
      <c r="HF159" s="3" t="s">
        <v>3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">
      <c r="A160" s="2">
        <v>18</v>
      </c>
      <c r="B160" s="2">
        <v>1</v>
      </c>
      <c r="C160" s="2">
        <v>437</v>
      </c>
      <c r="D160" s="2"/>
      <c r="E160" s="2" t="s">
        <v>3</v>
      </c>
      <c r="F160" s="2" t="s">
        <v>291</v>
      </c>
      <c r="G160" s="2" t="s">
        <v>292</v>
      </c>
      <c r="H160" s="2" t="s">
        <v>118</v>
      </c>
      <c r="I160" s="2">
        <f>I158*J160</f>
        <v>1</v>
      </c>
      <c r="J160" s="2">
        <v>1</v>
      </c>
      <c r="K160" s="2">
        <v>1</v>
      </c>
      <c r="L160" s="2"/>
      <c r="M160" s="2"/>
      <c r="N160" s="2"/>
      <c r="O160" s="2">
        <f t="shared" si="199"/>
        <v>2638.17</v>
      </c>
      <c r="P160" s="2">
        <f t="shared" si="200"/>
        <v>2638.17</v>
      </c>
      <c r="Q160" s="2">
        <f>(ROUND((ROUND(((ET160)*AV160*I160),2)*BB160),2)+ROUND((ROUND(((AE160-(EU160))*AV160*I160),2)*BS160),2))</f>
        <v>0</v>
      </c>
      <c r="R160" s="2">
        <f>(ROUND((ROUND(((EU160)*AV160*I160),2)*BS160),2)+ROUND((ROUND(((AE160-(EU160))*AV160*I160),2)*BS160),2))</f>
        <v>0</v>
      </c>
      <c r="S160" s="2">
        <f t="shared" si="201"/>
        <v>0</v>
      </c>
      <c r="T160" s="2">
        <f t="shared" si="202"/>
        <v>0</v>
      </c>
      <c r="U160" s="2">
        <f t="shared" si="203"/>
        <v>0</v>
      </c>
      <c r="V160" s="2">
        <f t="shared" si="204"/>
        <v>0</v>
      </c>
      <c r="W160" s="2">
        <f t="shared" si="205"/>
        <v>0</v>
      </c>
      <c r="X160" s="2">
        <f>(ROUND((((S160+ROUND((ROUND(((EU160)*AV160*I160),2)*BS160),2))*AT160)/100),2)+ROUND(((ROUND((ROUND(((AE160-(EU160))*AV160*I160),2)*BS160),2)*AT160)/100),2))</f>
        <v>0</v>
      </c>
      <c r="Y160" s="2">
        <f>(ROUND((((S160+ROUND((ROUND(((EU160)*AV160*I160),2)*BS160),2))*AU160)/100),2)+ROUND(((ROUND((ROUND(((AE160-(EU160))*AV160*I160),2)*BS160),2)*AU160)/100),2))</f>
        <v>0</v>
      </c>
      <c r="Z160" s="2"/>
      <c r="AA160" s="2">
        <v>-1</v>
      </c>
      <c r="AB160" s="2">
        <f t="shared" si="206"/>
        <v>2638.17</v>
      </c>
      <c r="AC160" s="2">
        <f>ROUND((ES160),6)</f>
        <v>2638.17</v>
      </c>
      <c r="AD160" s="2">
        <f>ROUND((((ET160)-(EU160))+AE160),6)</f>
        <v>0</v>
      </c>
      <c r="AE160" s="2">
        <f>ROUND((EU160),6)</f>
        <v>0</v>
      </c>
      <c r="AF160" s="2">
        <f>ROUND((EV160),6)</f>
        <v>0</v>
      </c>
      <c r="AG160" s="2">
        <f t="shared" si="207"/>
        <v>0</v>
      </c>
      <c r="AH160" s="2">
        <f>(EW160)</f>
        <v>0</v>
      </c>
      <c r="AI160" s="2">
        <f>(EX160)</f>
        <v>0</v>
      </c>
      <c r="AJ160" s="2">
        <f t="shared" si="208"/>
        <v>0</v>
      </c>
      <c r="AK160" s="2">
        <v>2638.17</v>
      </c>
      <c r="AL160" s="2">
        <v>2638.17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90</v>
      </c>
      <c r="AU160" s="2">
        <v>46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2</v>
      </c>
      <c r="BJ160" s="2" t="s">
        <v>3</v>
      </c>
      <c r="BK160" s="2"/>
      <c r="BL160" s="2"/>
      <c r="BM160" s="2">
        <v>73</v>
      </c>
      <c r="BN160" s="2">
        <v>0</v>
      </c>
      <c r="BO160" s="2" t="s">
        <v>3</v>
      </c>
      <c r="BP160" s="2">
        <v>0</v>
      </c>
      <c r="BQ160" s="2">
        <v>40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90</v>
      </c>
      <c r="CA160" s="2">
        <v>46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718</v>
      </c>
      <c r="CO160" s="2">
        <v>0</v>
      </c>
      <c r="CP160" s="2">
        <f t="shared" si="209"/>
        <v>2638.17</v>
      </c>
      <c r="CQ160" s="2">
        <f t="shared" si="210"/>
        <v>2638.17</v>
      </c>
      <c r="CR160" s="2">
        <f>(ROUND((ROUND(((ET160)*AV160*1),2)*BB160),2)+ROUND((ROUND(((AE160-(EU160))*AV160*1),2)*BS160),2))</f>
        <v>0</v>
      </c>
      <c r="CS160" s="2">
        <f>(ROUND((ROUND(((EU160)*AV160*1),2)*BS160),2)+ROUND((ROUND(((AE160-(EU160))*AV160*1),2)*BS160),2))</f>
        <v>0</v>
      </c>
      <c r="CT160" s="2">
        <f t="shared" si="211"/>
        <v>0</v>
      </c>
      <c r="CU160" s="2">
        <f t="shared" si="212"/>
        <v>0</v>
      </c>
      <c r="CV160" s="2">
        <f t="shared" si="213"/>
        <v>0</v>
      </c>
      <c r="CW160" s="2">
        <f t="shared" si="214"/>
        <v>0</v>
      </c>
      <c r="CX160" s="2">
        <f t="shared" si="215"/>
        <v>0</v>
      </c>
      <c r="CY160" s="2">
        <f>(ROUND((((S160+ROUND((ROUND(((EU160)*AV160*1),2)*BS160),2))*AT160)/100),2)+ROUND(((ROUND((ROUND(((AE160-(EU160))*AV160*1),2)*BS160),2)*AT160)/100),2))</f>
        <v>0</v>
      </c>
      <c r="CZ160" s="2">
        <f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1010</v>
      </c>
      <c r="DV160" s="2" t="s">
        <v>118</v>
      </c>
      <c r="DW160" s="2" t="s">
        <v>118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56938740</v>
      </c>
      <c r="EF160" s="2">
        <v>40</v>
      </c>
      <c r="EG160" s="2" t="s">
        <v>29</v>
      </c>
      <c r="EH160" s="2">
        <v>0</v>
      </c>
      <c r="EI160" s="2" t="s">
        <v>3</v>
      </c>
      <c r="EJ160" s="2">
        <v>2</v>
      </c>
      <c r="EK160" s="2">
        <v>73</v>
      </c>
      <c r="EL160" s="2" t="s">
        <v>85</v>
      </c>
      <c r="EM160" s="2" t="s">
        <v>86</v>
      </c>
      <c r="EN160" s="2"/>
      <c r="EO160" s="2" t="s">
        <v>50</v>
      </c>
      <c r="EP160" s="2"/>
      <c r="EQ160" s="2">
        <v>1024</v>
      </c>
      <c r="ER160" s="2">
        <v>0</v>
      </c>
      <c r="ES160" s="2">
        <v>2638.17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90</v>
      </c>
      <c r="FY160" s="2">
        <v>46</v>
      </c>
      <c r="FZ160" s="2"/>
      <c r="GA160" s="2" t="s">
        <v>293</v>
      </c>
      <c r="GB160" s="2"/>
      <c r="GC160" s="2"/>
      <c r="GD160" s="2">
        <v>1</v>
      </c>
      <c r="GE160" s="2"/>
      <c r="GF160" s="2">
        <v>988859924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216"/>
        <v>0</v>
      </c>
      <c r="GM160" s="2">
        <f t="shared" si="217"/>
        <v>2638.17</v>
      </c>
      <c r="GN160" s="2">
        <f t="shared" si="218"/>
        <v>0</v>
      </c>
      <c r="GO160" s="2">
        <f t="shared" si="219"/>
        <v>2638.17</v>
      </c>
      <c r="GP160" s="2">
        <f t="shared" si="220"/>
        <v>0</v>
      </c>
      <c r="GQ160" s="2"/>
      <c r="GR160" s="2">
        <v>0</v>
      </c>
      <c r="GS160" s="2">
        <v>2</v>
      </c>
      <c r="GT160" s="2">
        <v>0</v>
      </c>
      <c r="GU160" s="2" t="s">
        <v>3</v>
      </c>
      <c r="GV160" s="2">
        <f t="shared" si="221"/>
        <v>0</v>
      </c>
      <c r="GW160" s="2">
        <v>1</v>
      </c>
      <c r="GX160" s="2">
        <f t="shared" si="222"/>
        <v>0</v>
      </c>
      <c r="GY160" s="2"/>
      <c r="GZ160" s="2"/>
      <c r="HA160" s="2">
        <v>0</v>
      </c>
      <c r="HB160" s="2">
        <v>0</v>
      </c>
      <c r="HC160" s="2">
        <f t="shared" si="223"/>
        <v>0</v>
      </c>
      <c r="HD160" s="2"/>
      <c r="HE160" s="2" t="s">
        <v>294</v>
      </c>
      <c r="HF160" s="2" t="s">
        <v>51</v>
      </c>
      <c r="HG160" s="2"/>
      <c r="HH160" s="2"/>
      <c r="HI160" s="2"/>
      <c r="HJ160" s="2"/>
      <c r="HK160" s="2"/>
      <c r="HL160" s="2"/>
      <c r="HM160" s="2" t="s">
        <v>48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 s="3">
        <v>18</v>
      </c>
      <c r="B161" s="3">
        <v>1</v>
      </c>
      <c r="C161" s="3">
        <v>444</v>
      </c>
      <c r="E161" s="3" t="s">
        <v>3</v>
      </c>
      <c r="F161" s="3" t="s">
        <v>291</v>
      </c>
      <c r="G161" s="3" t="s">
        <v>292</v>
      </c>
      <c r="H161" s="3" t="s">
        <v>118</v>
      </c>
      <c r="I161" s="3">
        <f>I159*J161</f>
        <v>1</v>
      </c>
      <c r="J161" s="3">
        <v>1</v>
      </c>
      <c r="K161" s="3">
        <v>1</v>
      </c>
      <c r="O161" s="3">
        <f t="shared" si="199"/>
        <v>25959.59</v>
      </c>
      <c r="P161" s="3">
        <f t="shared" si="200"/>
        <v>25959.59</v>
      </c>
      <c r="Q161" s="3">
        <f>(ROUND((ROUND(((ET161)*AV161*I161),2)*BB161),2)+ROUND((ROUND(((AE161-(EU161))*AV161*I161),2)*BS161),2))</f>
        <v>0</v>
      </c>
      <c r="R161" s="3">
        <f>(ROUND((ROUND(((EU161)*AV161*I161),2)*BS161),2)+ROUND((ROUND(((AE161-(EU161))*AV161*I161),2)*BS161),2))</f>
        <v>0</v>
      </c>
      <c r="S161" s="3">
        <f t="shared" si="201"/>
        <v>0</v>
      </c>
      <c r="T161" s="3">
        <f t="shared" si="202"/>
        <v>0</v>
      </c>
      <c r="U161" s="3">
        <f t="shared" si="203"/>
        <v>0</v>
      </c>
      <c r="V161" s="3">
        <f t="shared" si="204"/>
        <v>0</v>
      </c>
      <c r="W161" s="3">
        <f t="shared" si="205"/>
        <v>0</v>
      </c>
      <c r="X161" s="3">
        <f>(ROUND((((S161+ROUND((ROUND(((EU161)*AV161*I161),2)*BS161),2))*AT161)/100),2)+ROUND(((ROUND((ROUND(((AE161-(EU161))*AV161*I161),2)*BS161),2)*AT161)/100),2))</f>
        <v>0</v>
      </c>
      <c r="Y161" s="3">
        <f>(ROUND((((S161+ROUND((ROUND(((EU161)*AV161*I161),2)*BS161),2))*AU161)/100),2)+ROUND(((ROUND((ROUND(((AE161-(EU161))*AV161*I161),2)*BS161),2)*AU161)/100),2))</f>
        <v>0</v>
      </c>
      <c r="AA161" s="3">
        <v>-1</v>
      </c>
      <c r="AB161" s="3">
        <f t="shared" si="206"/>
        <v>2638.17</v>
      </c>
      <c r="AC161" s="3">
        <f>ROUND((ES161),6)</f>
        <v>2638.17</v>
      </c>
      <c r="AD161" s="3">
        <f>ROUND((((ET161)-(EU161))+AE161),6)</f>
        <v>0</v>
      </c>
      <c r="AE161" s="3">
        <f>ROUND((EU161),6)</f>
        <v>0</v>
      </c>
      <c r="AF161" s="3">
        <f>ROUND((EV161),6)</f>
        <v>0</v>
      </c>
      <c r="AG161" s="3">
        <f t="shared" si="207"/>
        <v>0</v>
      </c>
      <c r="AH161" s="3">
        <f>(EW161)</f>
        <v>0</v>
      </c>
      <c r="AI161" s="3">
        <f>(EX161)</f>
        <v>0</v>
      </c>
      <c r="AJ161" s="3">
        <f t="shared" si="208"/>
        <v>0</v>
      </c>
      <c r="AK161" s="3">
        <v>2638.17</v>
      </c>
      <c r="AL161" s="3">
        <v>2638.17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90</v>
      </c>
      <c r="AU161" s="3">
        <v>46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9.84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2</v>
      </c>
      <c r="BJ161" s="3" t="s">
        <v>3</v>
      </c>
      <c r="BM161" s="3">
        <v>73</v>
      </c>
      <c r="BN161" s="3">
        <v>0</v>
      </c>
      <c r="BO161" s="3" t="s">
        <v>3</v>
      </c>
      <c r="BP161" s="3">
        <v>0</v>
      </c>
      <c r="BQ161" s="3">
        <v>40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90</v>
      </c>
      <c r="CA161" s="3">
        <v>46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718</v>
      </c>
      <c r="CO161" s="3">
        <v>0</v>
      </c>
      <c r="CP161" s="3">
        <f t="shared" si="209"/>
        <v>25959.59</v>
      </c>
      <c r="CQ161" s="3">
        <f t="shared" si="210"/>
        <v>25959.59</v>
      </c>
      <c r="CR161" s="3">
        <f>(ROUND((ROUND(((ET161)*AV161*1),2)*BB161),2)+ROUND((ROUND(((AE161-(EU161))*AV161*1),2)*BS161),2))</f>
        <v>0</v>
      </c>
      <c r="CS161" s="3">
        <f>(ROUND((ROUND(((EU161)*AV161*1),2)*BS161),2)+ROUND((ROUND(((AE161-(EU161))*AV161*1),2)*BS161),2))</f>
        <v>0</v>
      </c>
      <c r="CT161" s="3">
        <f t="shared" si="211"/>
        <v>0</v>
      </c>
      <c r="CU161" s="3">
        <f t="shared" si="212"/>
        <v>0</v>
      </c>
      <c r="CV161" s="3">
        <f t="shared" si="213"/>
        <v>0</v>
      </c>
      <c r="CW161" s="3">
        <f t="shared" si="214"/>
        <v>0</v>
      </c>
      <c r="CX161" s="3">
        <f t="shared" si="215"/>
        <v>0</v>
      </c>
      <c r="CY161" s="3">
        <f>(ROUND((((S161+ROUND((ROUND(((EU161)*AV161*1),2)*BS161),2))*AT161)/100),2)+ROUND(((ROUND((ROUND(((AE161-(EU161))*AV161*1),2)*BS161),2)*AT161)/100),2))</f>
        <v>0</v>
      </c>
      <c r="CZ161" s="3">
        <f>(ROUND((((S161+ROUND((ROUND(((EU161)*AV161*1),2)*BS161),2))*AU161)/100),2)+ROUND(((ROUND((ROUND(((AE161-(EU161))*AV161*1),2)*BS161),2)*AU161)/100),2))</f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1010</v>
      </c>
      <c r="DV161" s="3" t="s">
        <v>118</v>
      </c>
      <c r="DW161" s="3" t="s">
        <v>118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56938740</v>
      </c>
      <c r="EF161" s="3">
        <v>40</v>
      </c>
      <c r="EG161" s="3" t="s">
        <v>29</v>
      </c>
      <c r="EH161" s="3">
        <v>0</v>
      </c>
      <c r="EI161" s="3" t="s">
        <v>3</v>
      </c>
      <c r="EJ161" s="3">
        <v>2</v>
      </c>
      <c r="EK161" s="3">
        <v>73</v>
      </c>
      <c r="EL161" s="3" t="s">
        <v>85</v>
      </c>
      <c r="EM161" s="3" t="s">
        <v>86</v>
      </c>
      <c r="EO161" s="3" t="s">
        <v>50</v>
      </c>
      <c r="EQ161" s="3">
        <v>1024</v>
      </c>
      <c r="ER161" s="3">
        <v>2638.17</v>
      </c>
      <c r="ES161" s="3">
        <v>2638.17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Z161" s="3">
        <v>5</v>
      </c>
      <c r="FC161" s="3">
        <v>1</v>
      </c>
      <c r="FD161" s="3">
        <v>18</v>
      </c>
      <c r="FF161" s="3">
        <v>31049.7</v>
      </c>
      <c r="FQ161" s="3">
        <v>0</v>
      </c>
      <c r="FR161" s="3">
        <v>0</v>
      </c>
      <c r="FS161" s="3">
        <v>0</v>
      </c>
      <c r="FX161" s="3">
        <v>90</v>
      </c>
      <c r="FY161" s="3">
        <v>46</v>
      </c>
      <c r="GA161" s="3" t="s">
        <v>293</v>
      </c>
      <c r="GD161" s="3">
        <v>1</v>
      </c>
      <c r="GF161" s="3">
        <v>988859924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216"/>
        <v>0</v>
      </c>
      <c r="GM161" s="3">
        <f t="shared" si="217"/>
        <v>25959.59</v>
      </c>
      <c r="GN161" s="3">
        <f t="shared" si="218"/>
        <v>0</v>
      </c>
      <c r="GO161" s="3">
        <f t="shared" si="219"/>
        <v>25959.59</v>
      </c>
      <c r="GP161" s="3">
        <f t="shared" si="220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221"/>
        <v>0</v>
      </c>
      <c r="GW161" s="3">
        <v>1</v>
      </c>
      <c r="GX161" s="3">
        <f t="shared" si="222"/>
        <v>0</v>
      </c>
      <c r="HA161" s="3">
        <v>0</v>
      </c>
      <c r="HB161" s="3">
        <v>0</v>
      </c>
      <c r="HC161" s="3">
        <f t="shared" si="223"/>
        <v>0</v>
      </c>
      <c r="HE161" s="3" t="s">
        <v>294</v>
      </c>
      <c r="HF161" s="3" t="s">
        <v>51</v>
      </c>
      <c r="HM161" s="3" t="s">
        <v>48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">
      <c r="A162" s="2">
        <v>17</v>
      </c>
      <c r="B162" s="2">
        <v>1</v>
      </c>
      <c r="C162" s="2">
        <f>ROW(SmtRes!A450)</f>
        <v>450</v>
      </c>
      <c r="D162" s="2">
        <f>ROW(EtalonRes!A479)</f>
        <v>479</v>
      </c>
      <c r="E162" s="2" t="s">
        <v>295</v>
      </c>
      <c r="F162" s="2" t="s">
        <v>155</v>
      </c>
      <c r="G162" s="2" t="s">
        <v>156</v>
      </c>
      <c r="H162" s="2" t="s">
        <v>25</v>
      </c>
      <c r="I162" s="2">
        <v>1</v>
      </c>
      <c r="J162" s="2">
        <v>0</v>
      </c>
      <c r="K162" s="2">
        <v>1</v>
      </c>
      <c r="L162" s="2"/>
      <c r="M162" s="2"/>
      <c r="N162" s="2"/>
      <c r="O162" s="2">
        <f t="shared" si="199"/>
        <v>102.03</v>
      </c>
      <c r="P162" s="2">
        <f t="shared" si="200"/>
        <v>4.45</v>
      </c>
      <c r="Q162" s="2">
        <f>(ROUND((ROUND((((ET162*1.2))*AV162*I162),2)*BB162),2)+ROUND((ROUND(((AE162-((EU162*1.2)))*AV162*I162),2)*BS162),2))</f>
        <v>10.32</v>
      </c>
      <c r="R162" s="2">
        <f>(ROUND((ROUND((((EU162*1.2))*AV162*I162),2)*BS162),2)+ROUND((ROUND(((AE162-((EU162*1.2)))*AV162*I162),2)*BS162),2))</f>
        <v>0.32</v>
      </c>
      <c r="S162" s="2">
        <f t="shared" si="201"/>
        <v>87.26</v>
      </c>
      <c r="T162" s="2">
        <f t="shared" si="202"/>
        <v>0</v>
      </c>
      <c r="U162" s="2">
        <f t="shared" si="203"/>
        <v>6.9141599999999999</v>
      </c>
      <c r="V162" s="2">
        <f t="shared" si="204"/>
        <v>0</v>
      </c>
      <c r="W162" s="2">
        <f t="shared" si="205"/>
        <v>0</v>
      </c>
      <c r="X162" s="2">
        <f>(ROUND((((S162+ROUND((ROUND((((EU162*1.2))*AV162*I162),2)*BS162),2))*AT162)/100),2)+ROUND(((ROUND((ROUND(((AE162-((EU162*1.2)))*AV162*I162),2)*BS162),2)*AT162)/100),2))</f>
        <v>78.819999999999993</v>
      </c>
      <c r="Y162" s="2">
        <f>(ROUND((((S162+ROUND((ROUND((((EU162*1.2))*AV162*I162),2)*BS162),2))*AU162)/100),2)+ROUND(((ROUND((ROUND(((AE162-((EU162*1.2)))*AV162*I162),2)*BS162),2)*AU162)/100),2))</f>
        <v>40.29</v>
      </c>
      <c r="Z162" s="2"/>
      <c r="AA162" s="2">
        <v>55747649</v>
      </c>
      <c r="AB162" s="2">
        <f t="shared" si="206"/>
        <v>95.781999999999996</v>
      </c>
      <c r="AC162" s="2">
        <f>ROUND(((ES162*1)),6)</f>
        <v>4.33</v>
      </c>
      <c r="AD162" s="2">
        <f>ROUND(((((ET162*1.2))-((EU162*1.2)))+AE162),6)</f>
        <v>9.6720000000000006</v>
      </c>
      <c r="AE162" s="2">
        <f>ROUND(((EU162*1.2)),6)</f>
        <v>0.3</v>
      </c>
      <c r="AF162" s="2">
        <f>ROUND(((EV162*1.2)),6)</f>
        <v>81.78</v>
      </c>
      <c r="AG162" s="2">
        <f t="shared" si="207"/>
        <v>0</v>
      </c>
      <c r="AH162" s="2">
        <f>((EW162*1.2))</f>
        <v>6.48</v>
      </c>
      <c r="AI162" s="2">
        <f>((EX162*1.2))</f>
        <v>0</v>
      </c>
      <c r="AJ162" s="2">
        <f t="shared" si="208"/>
        <v>0</v>
      </c>
      <c r="AK162" s="2">
        <v>80.540000000000006</v>
      </c>
      <c r="AL162" s="2">
        <v>4.33</v>
      </c>
      <c r="AM162" s="2">
        <v>8.06</v>
      </c>
      <c r="AN162" s="2">
        <v>0.25</v>
      </c>
      <c r="AO162" s="2">
        <v>68.150000000000006</v>
      </c>
      <c r="AP162" s="2">
        <v>0</v>
      </c>
      <c r="AQ162" s="2">
        <v>5.4</v>
      </c>
      <c r="AR162" s="2">
        <v>0</v>
      </c>
      <c r="AS162" s="2">
        <v>0</v>
      </c>
      <c r="AT162" s="2">
        <v>90</v>
      </c>
      <c r="AU162" s="2">
        <v>46</v>
      </c>
      <c r="AV162" s="2">
        <v>1.0669999999999999</v>
      </c>
      <c r="AW162" s="2">
        <v>1.028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2</v>
      </c>
      <c r="BJ162" s="2" t="s">
        <v>157</v>
      </c>
      <c r="BK162" s="2"/>
      <c r="BL162" s="2"/>
      <c r="BM162" s="2">
        <v>73</v>
      </c>
      <c r="BN162" s="2">
        <v>0</v>
      </c>
      <c r="BO162" s="2" t="s">
        <v>155</v>
      </c>
      <c r="BP162" s="2">
        <v>1</v>
      </c>
      <c r="BQ162" s="2">
        <v>40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90</v>
      </c>
      <c r="CA162" s="2">
        <v>46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716</v>
      </c>
      <c r="CO162" s="2">
        <v>0</v>
      </c>
      <c r="CP162" s="2">
        <f t="shared" si="209"/>
        <v>102.03</v>
      </c>
      <c r="CQ162" s="2">
        <f t="shared" si="210"/>
        <v>4.45</v>
      </c>
      <c r="CR162" s="2">
        <f>(ROUND((ROUND((((ET162*1.2))*AV162*1),2)*BB162),2)+ROUND((ROUND(((AE162-((EU162*1.2)))*AV162*1),2)*BS162),2))</f>
        <v>10.32</v>
      </c>
      <c r="CS162" s="2">
        <f>(ROUND((ROUND((((EU162*1.2))*AV162*1),2)*BS162),2)+ROUND((ROUND(((AE162-((EU162*1.2)))*AV162*1),2)*BS162),2))</f>
        <v>0.32</v>
      </c>
      <c r="CT162" s="2">
        <f t="shared" si="211"/>
        <v>87.26</v>
      </c>
      <c r="CU162" s="2">
        <f t="shared" si="212"/>
        <v>0</v>
      </c>
      <c r="CV162" s="2">
        <f t="shared" si="213"/>
        <v>6.9141599999999999</v>
      </c>
      <c r="CW162" s="2">
        <f t="shared" si="214"/>
        <v>0</v>
      </c>
      <c r="CX162" s="2">
        <f t="shared" si="215"/>
        <v>0</v>
      </c>
      <c r="CY162" s="2">
        <f>(ROUND((((S162+ROUND((ROUND((((EU162*1.2))*AV162*1),2)*BS162),2))*AT162)/100),2)+ROUND(((ROUND((ROUND(((AE162-((EU162*1.2)))*AV162*1),2)*BS162),2)*AT162)/100),2))</f>
        <v>78.819999999999993</v>
      </c>
      <c r="CZ162" s="2">
        <f>(ROUND((((S162+ROUND((ROUND((((EU162*1.2))*AV162*1),2)*BS162),2))*AU162)/100),2)+ROUND(((ROUND((ROUND(((AE162-((EU162*1.2)))*AV162*1),2)*BS162),2)*AU162)/100),2))</f>
        <v>40.29</v>
      </c>
      <c r="DA162" s="2"/>
      <c r="DB162" s="2">
        <v>75</v>
      </c>
      <c r="DC162" s="2" t="s">
        <v>3</v>
      </c>
      <c r="DD162" s="2" t="s">
        <v>48</v>
      </c>
      <c r="DE162" s="2" t="s">
        <v>49</v>
      </c>
      <c r="DF162" s="2" t="s">
        <v>49</v>
      </c>
      <c r="DG162" s="2" t="s">
        <v>49</v>
      </c>
      <c r="DH162" s="2" t="s">
        <v>3</v>
      </c>
      <c r="DI162" s="2" t="s">
        <v>49</v>
      </c>
      <c r="DJ162" s="2" t="s">
        <v>49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25</v>
      </c>
      <c r="DW162" s="2" t="s">
        <v>25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56938740</v>
      </c>
      <c r="EF162" s="2">
        <v>40</v>
      </c>
      <c r="EG162" s="2" t="s">
        <v>29</v>
      </c>
      <c r="EH162" s="2">
        <v>0</v>
      </c>
      <c r="EI162" s="2" t="s">
        <v>3</v>
      </c>
      <c r="EJ162" s="2">
        <v>2</v>
      </c>
      <c r="EK162" s="2">
        <v>73</v>
      </c>
      <c r="EL162" s="2" t="s">
        <v>85</v>
      </c>
      <c r="EM162" s="2" t="s">
        <v>86</v>
      </c>
      <c r="EN162" s="2"/>
      <c r="EO162" s="2" t="s">
        <v>50</v>
      </c>
      <c r="EP162" s="2"/>
      <c r="EQ162" s="2">
        <v>0</v>
      </c>
      <c r="ER162" s="2">
        <v>80.540000000000006</v>
      </c>
      <c r="ES162" s="2">
        <v>4.33</v>
      </c>
      <c r="ET162" s="2">
        <v>8.06</v>
      </c>
      <c r="EU162" s="2">
        <v>0.25</v>
      </c>
      <c r="EV162" s="2">
        <v>68.150000000000006</v>
      </c>
      <c r="EW162" s="2">
        <v>5.4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2</v>
      </c>
      <c r="FT162" s="2"/>
      <c r="FU162" s="2"/>
      <c r="FV162" s="2"/>
      <c r="FW162" s="2"/>
      <c r="FX162" s="2">
        <v>90</v>
      </c>
      <c r="FY162" s="2">
        <v>46</v>
      </c>
      <c r="FZ162" s="2"/>
      <c r="GA162" s="2" t="s">
        <v>3</v>
      </c>
      <c r="GB162" s="2"/>
      <c r="GC162" s="2"/>
      <c r="GD162" s="2">
        <v>1</v>
      </c>
      <c r="GE162" s="2"/>
      <c r="GF162" s="2">
        <v>-914769333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216"/>
        <v>0</v>
      </c>
      <c r="GM162" s="2">
        <f t="shared" si="217"/>
        <v>221.14</v>
      </c>
      <c r="GN162" s="2">
        <f t="shared" si="218"/>
        <v>0</v>
      </c>
      <c r="GO162" s="2">
        <f t="shared" si="219"/>
        <v>221.14</v>
      </c>
      <c r="GP162" s="2">
        <f t="shared" si="220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221"/>
        <v>0</v>
      </c>
      <c r="GW162" s="2">
        <v>1</v>
      </c>
      <c r="GX162" s="2">
        <f t="shared" si="222"/>
        <v>0</v>
      </c>
      <c r="GY162" s="2"/>
      <c r="GZ162" s="2"/>
      <c r="HA162" s="2">
        <v>0</v>
      </c>
      <c r="HB162" s="2">
        <v>0</v>
      </c>
      <c r="HC162" s="2">
        <f t="shared" si="223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 s="3">
        <v>17</v>
      </c>
      <c r="B163" s="3">
        <v>1</v>
      </c>
      <c r="C163" s="3">
        <f>ROW(SmtRes!A456)</f>
        <v>456</v>
      </c>
      <c r="D163" s="3">
        <f>ROW(EtalonRes!A486)</f>
        <v>486</v>
      </c>
      <c r="E163" s="3" t="s">
        <v>295</v>
      </c>
      <c r="F163" s="3" t="s">
        <v>155</v>
      </c>
      <c r="G163" s="3" t="s">
        <v>156</v>
      </c>
      <c r="H163" s="3" t="s">
        <v>25</v>
      </c>
      <c r="I163" s="3">
        <v>1</v>
      </c>
      <c r="J163" s="3">
        <v>0</v>
      </c>
      <c r="K163" s="3">
        <v>1</v>
      </c>
      <c r="O163" s="3">
        <f t="shared" si="199"/>
        <v>5110.88</v>
      </c>
      <c r="P163" s="3">
        <f t="shared" si="200"/>
        <v>47.13</v>
      </c>
      <c r="Q163" s="3">
        <f>(ROUND((ROUND((((ET163*1.2))*AV163*I163),2)*BB163),2)+ROUND((ROUND(((AE163-((EU163*1.2)))*AV163*I163),2)*BS163),2))</f>
        <v>146.65</v>
      </c>
      <c r="R163" s="3">
        <f>(ROUND((ROUND((((EU163*1.2))*AV163*I163),2)*BS163),2)+ROUND((ROUND(((AE163-((EU163*1.2)))*AV163*I163),2)*BS163),2))</f>
        <v>18.03</v>
      </c>
      <c r="S163" s="3">
        <f t="shared" si="201"/>
        <v>4917.1000000000004</v>
      </c>
      <c r="T163" s="3">
        <f t="shared" si="202"/>
        <v>0</v>
      </c>
      <c r="U163" s="3">
        <f t="shared" si="203"/>
        <v>6.9141599999999999</v>
      </c>
      <c r="V163" s="3">
        <f t="shared" si="204"/>
        <v>0</v>
      </c>
      <c r="W163" s="3">
        <f t="shared" si="205"/>
        <v>0</v>
      </c>
      <c r="X163" s="3">
        <f>(ROUND((((S163+ROUND((ROUND((((EU163*1.2))*AV163*I163),2)*BS163),2))*AT163)/100),2)+ROUND(((ROUND((ROUND(((AE163-((EU163*1.2)))*AV163*I163),2)*BS163),2)*AT163)/100),2))</f>
        <v>4441.62</v>
      </c>
      <c r="Y163" s="3">
        <f>(ROUND((((S163+ROUND((ROUND((((EU163*1.2))*AV163*I163),2)*BS163),2))*AU163)/100),2)+ROUND(((ROUND((ROUND(((AE163-((EU163*1.2)))*AV163*I163),2)*BS163),2)*AU163)/100),2))</f>
        <v>2270.16</v>
      </c>
      <c r="AA163" s="3">
        <v>55747651</v>
      </c>
      <c r="AB163" s="3">
        <f t="shared" si="206"/>
        <v>95.781999999999996</v>
      </c>
      <c r="AC163" s="3">
        <f>ROUND(((ES163*1)),6)</f>
        <v>4.33</v>
      </c>
      <c r="AD163" s="3">
        <f>ROUND(((((ET163*1.2))-((EU163*1.2)))+AE163),6)</f>
        <v>9.6720000000000006</v>
      </c>
      <c r="AE163" s="3">
        <f>ROUND(((EU163*1.2)),6)</f>
        <v>0.3</v>
      </c>
      <c r="AF163" s="3">
        <f>ROUND(((EV163*1.2)),6)</f>
        <v>81.78</v>
      </c>
      <c r="AG163" s="3">
        <f t="shared" si="207"/>
        <v>0</v>
      </c>
      <c r="AH163" s="3">
        <f>((EW163*1.2))</f>
        <v>6.48</v>
      </c>
      <c r="AI163" s="3">
        <f>((EX163*1.2))</f>
        <v>0</v>
      </c>
      <c r="AJ163" s="3">
        <f t="shared" si="208"/>
        <v>0</v>
      </c>
      <c r="AK163" s="3">
        <v>80.540000000000006</v>
      </c>
      <c r="AL163" s="3">
        <v>4.33</v>
      </c>
      <c r="AM163" s="3">
        <v>8.06</v>
      </c>
      <c r="AN163" s="3">
        <v>0.25</v>
      </c>
      <c r="AO163" s="3">
        <v>68.150000000000006</v>
      </c>
      <c r="AP163" s="3">
        <v>0</v>
      </c>
      <c r="AQ163" s="3">
        <v>5.4</v>
      </c>
      <c r="AR163" s="3">
        <v>0</v>
      </c>
      <c r="AS163" s="3">
        <v>0</v>
      </c>
      <c r="AT163" s="3">
        <v>90</v>
      </c>
      <c r="AU163" s="3">
        <v>46</v>
      </c>
      <c r="AV163" s="3">
        <v>1.0669999999999999</v>
      </c>
      <c r="AW163" s="3">
        <v>1.028</v>
      </c>
      <c r="AZ163" s="3">
        <v>1</v>
      </c>
      <c r="BA163" s="3">
        <v>56.35</v>
      </c>
      <c r="BB163" s="3">
        <v>14.21</v>
      </c>
      <c r="BC163" s="3">
        <v>10.59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0</v>
      </c>
      <c r="BI163" s="3">
        <v>2</v>
      </c>
      <c r="BJ163" s="3" t="s">
        <v>157</v>
      </c>
      <c r="BM163" s="3">
        <v>73</v>
      </c>
      <c r="BN163" s="3">
        <v>0</v>
      </c>
      <c r="BO163" s="3" t="s">
        <v>155</v>
      </c>
      <c r="BP163" s="3">
        <v>1</v>
      </c>
      <c r="BQ163" s="3">
        <v>40</v>
      </c>
      <c r="BR163" s="3">
        <v>0</v>
      </c>
      <c r="BS163" s="3">
        <v>56.35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90</v>
      </c>
      <c r="CA163" s="3">
        <v>46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716</v>
      </c>
      <c r="CO163" s="3">
        <v>0</v>
      </c>
      <c r="CP163" s="3">
        <f t="shared" si="209"/>
        <v>5110.88</v>
      </c>
      <c r="CQ163" s="3">
        <f t="shared" si="210"/>
        <v>47.13</v>
      </c>
      <c r="CR163" s="3">
        <f>(ROUND((ROUND((((ET163*1.2))*AV163*1),2)*BB163),2)+ROUND((ROUND(((AE163-((EU163*1.2)))*AV163*1),2)*BS163),2))</f>
        <v>146.65</v>
      </c>
      <c r="CS163" s="3">
        <f>(ROUND((ROUND((((EU163*1.2))*AV163*1),2)*BS163),2)+ROUND((ROUND(((AE163-((EU163*1.2)))*AV163*1),2)*BS163),2))</f>
        <v>18.03</v>
      </c>
      <c r="CT163" s="3">
        <f t="shared" si="211"/>
        <v>4917.1000000000004</v>
      </c>
      <c r="CU163" s="3">
        <f t="shared" si="212"/>
        <v>0</v>
      </c>
      <c r="CV163" s="3">
        <f t="shared" si="213"/>
        <v>6.9141599999999999</v>
      </c>
      <c r="CW163" s="3">
        <f t="shared" si="214"/>
        <v>0</v>
      </c>
      <c r="CX163" s="3">
        <f t="shared" si="215"/>
        <v>0</v>
      </c>
      <c r="CY163" s="3">
        <f>(ROUND((((S163+ROUND((ROUND((((EU163*1.2))*AV163*1),2)*BS163),2))*AT163)/100),2)+ROUND(((ROUND((ROUND(((AE163-((EU163*1.2)))*AV163*1),2)*BS163),2)*AT163)/100),2))</f>
        <v>4441.62</v>
      </c>
      <c r="CZ163" s="3">
        <f>(ROUND((((S163+ROUND((ROUND((((EU163*1.2))*AV163*1),2)*BS163),2))*AU163)/100),2)+ROUND(((ROUND((ROUND(((AE163-((EU163*1.2)))*AV163*1),2)*BS163),2)*AU163)/100),2))</f>
        <v>2270.16</v>
      </c>
      <c r="DB163" s="3">
        <v>76</v>
      </c>
      <c r="DC163" s="3" t="s">
        <v>3</v>
      </c>
      <c r="DD163" s="3" t="s">
        <v>48</v>
      </c>
      <c r="DE163" s="3" t="s">
        <v>49</v>
      </c>
      <c r="DF163" s="3" t="s">
        <v>49</v>
      </c>
      <c r="DG163" s="3" t="s">
        <v>49</v>
      </c>
      <c r="DH163" s="3" t="s">
        <v>3</v>
      </c>
      <c r="DI163" s="3" t="s">
        <v>49</v>
      </c>
      <c r="DJ163" s="3" t="s">
        <v>49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1013</v>
      </c>
      <c r="DV163" s="3" t="s">
        <v>25</v>
      </c>
      <c r="DW163" s="3" t="s">
        <v>25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56938740</v>
      </c>
      <c r="EF163" s="3">
        <v>40</v>
      </c>
      <c r="EG163" s="3" t="s">
        <v>29</v>
      </c>
      <c r="EH163" s="3">
        <v>0</v>
      </c>
      <c r="EI163" s="3" t="s">
        <v>3</v>
      </c>
      <c r="EJ163" s="3">
        <v>2</v>
      </c>
      <c r="EK163" s="3">
        <v>73</v>
      </c>
      <c r="EL163" s="3" t="s">
        <v>85</v>
      </c>
      <c r="EM163" s="3" t="s">
        <v>86</v>
      </c>
      <c r="EO163" s="3" t="s">
        <v>50</v>
      </c>
      <c r="EQ163" s="3">
        <v>0</v>
      </c>
      <c r="ER163" s="3">
        <v>80.540000000000006</v>
      </c>
      <c r="ES163" s="3">
        <v>4.33</v>
      </c>
      <c r="ET163" s="3">
        <v>8.06</v>
      </c>
      <c r="EU163" s="3">
        <v>0.25</v>
      </c>
      <c r="EV163" s="3">
        <v>68.150000000000006</v>
      </c>
      <c r="EW163" s="3">
        <v>5.4</v>
      </c>
      <c r="EX163" s="3">
        <v>0</v>
      </c>
      <c r="EY163" s="3">
        <v>0</v>
      </c>
      <c r="FQ163" s="3">
        <v>0</v>
      </c>
      <c r="FR163" s="3">
        <v>0</v>
      </c>
      <c r="FS163" s="3">
        <v>2</v>
      </c>
      <c r="FX163" s="3">
        <v>90</v>
      </c>
      <c r="FY163" s="3">
        <v>46</v>
      </c>
      <c r="GA163" s="3" t="s">
        <v>3</v>
      </c>
      <c r="GD163" s="3">
        <v>1</v>
      </c>
      <c r="GF163" s="3">
        <v>-914769333</v>
      </c>
      <c r="GG163" s="3">
        <v>2</v>
      </c>
      <c r="GH163" s="3">
        <v>1</v>
      </c>
      <c r="GI163" s="3">
        <v>2</v>
      </c>
      <c r="GJ163" s="3">
        <v>0</v>
      </c>
      <c r="GK163" s="3">
        <v>0</v>
      </c>
      <c r="GL163" s="3">
        <f t="shared" si="216"/>
        <v>0</v>
      </c>
      <c r="GM163" s="3">
        <f t="shared" si="217"/>
        <v>11822.66</v>
      </c>
      <c r="GN163" s="3">
        <f t="shared" si="218"/>
        <v>0</v>
      </c>
      <c r="GO163" s="3">
        <f t="shared" si="219"/>
        <v>11822.66</v>
      </c>
      <c r="GP163" s="3">
        <f t="shared" si="220"/>
        <v>0</v>
      </c>
      <c r="GR163" s="3">
        <v>0</v>
      </c>
      <c r="GS163" s="3">
        <v>3</v>
      </c>
      <c r="GT163" s="3">
        <v>0</v>
      </c>
      <c r="GU163" s="3" t="s">
        <v>3</v>
      </c>
      <c r="GV163" s="3">
        <f t="shared" si="221"/>
        <v>0</v>
      </c>
      <c r="GW163" s="3">
        <v>1</v>
      </c>
      <c r="GX163" s="3">
        <f t="shared" si="222"/>
        <v>0</v>
      </c>
      <c r="HA163" s="3">
        <v>0</v>
      </c>
      <c r="HB163" s="3">
        <v>0</v>
      </c>
      <c r="HC163" s="3">
        <f t="shared" si="223"/>
        <v>0</v>
      </c>
      <c r="HE163" s="3" t="s">
        <v>3</v>
      </c>
      <c r="HF163" s="3" t="s">
        <v>3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">
      <c r="A164" s="2">
        <v>17</v>
      </c>
      <c r="B164" s="2">
        <v>1</v>
      </c>
      <c r="C164" s="2"/>
      <c r="D164" s="2"/>
      <c r="E164" s="2" t="s">
        <v>296</v>
      </c>
      <c r="F164" s="2" t="s">
        <v>291</v>
      </c>
      <c r="G164" s="2" t="s">
        <v>292</v>
      </c>
      <c r="H164" s="2" t="s">
        <v>118</v>
      </c>
      <c r="I164" s="2">
        <v>1</v>
      </c>
      <c r="J164" s="2">
        <v>0</v>
      </c>
      <c r="K164" s="2">
        <v>1</v>
      </c>
      <c r="L164" s="2"/>
      <c r="M164" s="2"/>
      <c r="N164" s="2"/>
      <c r="O164" s="2">
        <f t="shared" si="199"/>
        <v>2638.17</v>
      </c>
      <c r="P164" s="2">
        <f t="shared" si="200"/>
        <v>2638.17</v>
      </c>
      <c r="Q164" s="2">
        <f>(ROUND((ROUND(((ET164)*AV164*I164),2)*BB164),2)+ROUND((ROUND(((AE164-(EU164))*AV164*I164),2)*BS164),2))</f>
        <v>0</v>
      </c>
      <c r="R164" s="2">
        <f>(ROUND((ROUND(((EU164)*AV164*I164),2)*BS164),2)+ROUND((ROUND(((AE164-(EU164))*AV164*I164),2)*BS164),2))</f>
        <v>0</v>
      </c>
      <c r="S164" s="2">
        <f t="shared" si="201"/>
        <v>0</v>
      </c>
      <c r="T164" s="2">
        <f t="shared" si="202"/>
        <v>0</v>
      </c>
      <c r="U164" s="2">
        <f t="shared" si="203"/>
        <v>0</v>
      </c>
      <c r="V164" s="2">
        <f t="shared" si="204"/>
        <v>0</v>
      </c>
      <c r="W164" s="2">
        <f t="shared" si="205"/>
        <v>0</v>
      </c>
      <c r="X164" s="2">
        <f>(ROUND((((S164+ROUND((ROUND(((EU164)*AV164*I164),2)*BS164),2))*AT164)/100),2)+ROUND(((ROUND((ROUND(((AE164-(EU164))*AV164*I164),2)*BS164),2)*AT164)/100),2))</f>
        <v>0</v>
      </c>
      <c r="Y164" s="2">
        <f>(ROUND((((S164+ROUND((ROUND(((EU164)*AV164*I164),2)*BS164),2))*AU164)/100),2)+ROUND(((ROUND((ROUND(((AE164-(EU164))*AV164*I164),2)*BS164),2)*AU164)/100),2))</f>
        <v>0</v>
      </c>
      <c r="Z164" s="2"/>
      <c r="AA164" s="2">
        <v>55747649</v>
      </c>
      <c r="AB164" s="2">
        <f t="shared" si="206"/>
        <v>2638.17</v>
      </c>
      <c r="AC164" s="2">
        <f>ROUND((ES164),6)</f>
        <v>2638.17</v>
      </c>
      <c r="AD164" s="2">
        <f>ROUND((((ET164)-(EU164))+AE164),6)</f>
        <v>0</v>
      </c>
      <c r="AE164" s="2">
        <f>ROUND((EU164),6)</f>
        <v>0</v>
      </c>
      <c r="AF164" s="2">
        <f>ROUND((EV164),6)</f>
        <v>0</v>
      </c>
      <c r="AG164" s="2">
        <f t="shared" si="207"/>
        <v>0</v>
      </c>
      <c r="AH164" s="2">
        <f>(EW164)</f>
        <v>0</v>
      </c>
      <c r="AI164" s="2">
        <f>(EX164)</f>
        <v>0</v>
      </c>
      <c r="AJ164" s="2">
        <f t="shared" si="208"/>
        <v>0</v>
      </c>
      <c r="AK164" s="2">
        <v>2638.17</v>
      </c>
      <c r="AL164" s="2">
        <v>2638.17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90</v>
      </c>
      <c r="AU164" s="2">
        <v>46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2</v>
      </c>
      <c r="BJ164" s="2" t="s">
        <v>3</v>
      </c>
      <c r="BK164" s="2"/>
      <c r="BL164" s="2"/>
      <c r="BM164" s="2">
        <v>73</v>
      </c>
      <c r="BN164" s="2">
        <v>0</v>
      </c>
      <c r="BO164" s="2" t="s">
        <v>3</v>
      </c>
      <c r="BP164" s="2">
        <v>0</v>
      </c>
      <c r="BQ164" s="2">
        <v>40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90</v>
      </c>
      <c r="CA164" s="2">
        <v>46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209"/>
        <v>2638.17</v>
      </c>
      <c r="CQ164" s="2">
        <f t="shared" si="210"/>
        <v>2638.17</v>
      </c>
      <c r="CR164" s="2">
        <f>(ROUND((ROUND(((ET164)*AV164*1),2)*BB164),2)+ROUND((ROUND(((AE164-(EU164))*AV164*1),2)*BS164),2))</f>
        <v>0</v>
      </c>
      <c r="CS164" s="2">
        <f>(ROUND((ROUND(((EU164)*AV164*1),2)*BS164),2)+ROUND((ROUND(((AE164-(EU164))*AV164*1),2)*BS164),2))</f>
        <v>0</v>
      </c>
      <c r="CT164" s="2">
        <f t="shared" si="211"/>
        <v>0</v>
      </c>
      <c r="CU164" s="2">
        <f t="shared" si="212"/>
        <v>0</v>
      </c>
      <c r="CV164" s="2">
        <f t="shared" si="213"/>
        <v>0</v>
      </c>
      <c r="CW164" s="2">
        <f t="shared" si="214"/>
        <v>0</v>
      </c>
      <c r="CX164" s="2">
        <f t="shared" si="215"/>
        <v>0</v>
      </c>
      <c r="CY164" s="2">
        <f>(ROUND((((S164+ROUND((ROUND(((EU164)*AV164*1),2)*BS164),2))*AT164)/100),2)+ROUND(((ROUND((ROUND(((AE164-(EU164))*AV164*1),2)*BS164),2)*AT164)/100),2))</f>
        <v>0</v>
      </c>
      <c r="CZ164" s="2">
        <f>(ROUND((((S164+ROUND((ROUND(((EU164)*AV164*1),2)*BS164),2))*AU164)/100),2)+ROUND(((ROUND((ROUND(((AE164-(EU164))*AV164*1),2)*BS164),2)*AU164)/100),2))</f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1010</v>
      </c>
      <c r="DV164" s="2" t="s">
        <v>118</v>
      </c>
      <c r="DW164" s="2" t="s">
        <v>118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56938740</v>
      </c>
      <c r="EF164" s="2">
        <v>40</v>
      </c>
      <c r="EG164" s="2" t="s">
        <v>29</v>
      </c>
      <c r="EH164" s="2">
        <v>0</v>
      </c>
      <c r="EI164" s="2" t="s">
        <v>3</v>
      </c>
      <c r="EJ164" s="2">
        <v>2</v>
      </c>
      <c r="EK164" s="2">
        <v>73</v>
      </c>
      <c r="EL164" s="2" t="s">
        <v>85</v>
      </c>
      <c r="EM164" s="2" t="s">
        <v>86</v>
      </c>
      <c r="EN164" s="2"/>
      <c r="EO164" s="2" t="s">
        <v>3</v>
      </c>
      <c r="EP164" s="2"/>
      <c r="EQ164" s="2">
        <v>0</v>
      </c>
      <c r="ER164" s="2">
        <v>0</v>
      </c>
      <c r="ES164" s="2">
        <v>2638.17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v>0</v>
      </c>
      <c r="FS164" s="2">
        <v>0</v>
      </c>
      <c r="FT164" s="2"/>
      <c r="FU164" s="2"/>
      <c r="FV164" s="2"/>
      <c r="FW164" s="2"/>
      <c r="FX164" s="2">
        <v>90</v>
      </c>
      <c r="FY164" s="2">
        <v>46</v>
      </c>
      <c r="FZ164" s="2"/>
      <c r="GA164" s="2" t="s">
        <v>293</v>
      </c>
      <c r="GB164" s="2"/>
      <c r="GC164" s="2"/>
      <c r="GD164" s="2">
        <v>1</v>
      </c>
      <c r="GE164" s="2"/>
      <c r="GF164" s="2">
        <v>988859924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216"/>
        <v>0</v>
      </c>
      <c r="GM164" s="2">
        <f t="shared" si="217"/>
        <v>2638.17</v>
      </c>
      <c r="GN164" s="2">
        <f t="shared" si="218"/>
        <v>0</v>
      </c>
      <c r="GO164" s="2">
        <f t="shared" si="219"/>
        <v>2638.17</v>
      </c>
      <c r="GP164" s="2">
        <f t="shared" si="220"/>
        <v>0</v>
      </c>
      <c r="GQ164" s="2"/>
      <c r="GR164" s="2">
        <v>0</v>
      </c>
      <c r="GS164" s="2">
        <v>2</v>
      </c>
      <c r="GT164" s="2">
        <v>0</v>
      </c>
      <c r="GU164" s="2" t="s">
        <v>3</v>
      </c>
      <c r="GV164" s="2">
        <f t="shared" si="221"/>
        <v>0</v>
      </c>
      <c r="GW164" s="2">
        <v>1</v>
      </c>
      <c r="GX164" s="2">
        <f t="shared" si="222"/>
        <v>0</v>
      </c>
      <c r="GY164" s="2"/>
      <c r="GZ164" s="2"/>
      <c r="HA164" s="2">
        <v>0</v>
      </c>
      <c r="HB164" s="2">
        <v>0</v>
      </c>
      <c r="HC164" s="2">
        <f t="shared" si="223"/>
        <v>0</v>
      </c>
      <c r="HD164" s="2"/>
      <c r="HE164" s="2" t="s">
        <v>294</v>
      </c>
      <c r="HF164" s="2" t="s">
        <v>51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 s="3">
        <v>17</v>
      </c>
      <c r="B165" s="3">
        <v>1</v>
      </c>
      <c r="E165" s="3" t="s">
        <v>296</v>
      </c>
      <c r="F165" s="3" t="s">
        <v>291</v>
      </c>
      <c r="G165" s="3" t="s">
        <v>292</v>
      </c>
      <c r="H165" s="3" t="s">
        <v>118</v>
      </c>
      <c r="I165" s="3">
        <v>1</v>
      </c>
      <c r="J165" s="3">
        <v>0</v>
      </c>
      <c r="K165" s="3">
        <v>1</v>
      </c>
      <c r="O165" s="3">
        <f t="shared" si="199"/>
        <v>25959.59</v>
      </c>
      <c r="P165" s="3">
        <f t="shared" si="200"/>
        <v>25959.59</v>
      </c>
      <c r="Q165" s="3">
        <f>(ROUND((ROUND(((ET165)*AV165*I165),2)*BB165),2)+ROUND((ROUND(((AE165-(EU165))*AV165*I165),2)*BS165),2))</f>
        <v>0</v>
      </c>
      <c r="R165" s="3">
        <f>(ROUND((ROUND(((EU165)*AV165*I165),2)*BS165),2)+ROUND((ROUND(((AE165-(EU165))*AV165*I165),2)*BS165),2))</f>
        <v>0</v>
      </c>
      <c r="S165" s="3">
        <f t="shared" si="201"/>
        <v>0</v>
      </c>
      <c r="T165" s="3">
        <f t="shared" si="202"/>
        <v>0</v>
      </c>
      <c r="U165" s="3">
        <f t="shared" si="203"/>
        <v>0</v>
      </c>
      <c r="V165" s="3">
        <f t="shared" si="204"/>
        <v>0</v>
      </c>
      <c r="W165" s="3">
        <f t="shared" si="205"/>
        <v>0</v>
      </c>
      <c r="X165" s="3">
        <f>(ROUND((((S165+ROUND((ROUND(((EU165)*AV165*I165),2)*BS165),2))*AT165)/100),2)+ROUND(((ROUND((ROUND(((AE165-(EU165))*AV165*I165),2)*BS165),2)*AT165)/100),2))</f>
        <v>0</v>
      </c>
      <c r="Y165" s="3">
        <f>(ROUND((((S165+ROUND((ROUND(((EU165)*AV165*I165),2)*BS165),2))*AU165)/100),2)+ROUND(((ROUND((ROUND(((AE165-(EU165))*AV165*I165),2)*BS165),2)*AU165)/100),2))</f>
        <v>0</v>
      </c>
      <c r="AA165" s="3">
        <v>55747651</v>
      </c>
      <c r="AB165" s="3">
        <f t="shared" si="206"/>
        <v>2638.17</v>
      </c>
      <c r="AC165" s="3">
        <f>ROUND((ES165),6)</f>
        <v>2638.17</v>
      </c>
      <c r="AD165" s="3">
        <f>ROUND((((ET165)-(EU165))+AE165),6)</f>
        <v>0</v>
      </c>
      <c r="AE165" s="3">
        <f>ROUND((EU165),6)</f>
        <v>0</v>
      </c>
      <c r="AF165" s="3">
        <f>ROUND((EV165),6)</f>
        <v>0</v>
      </c>
      <c r="AG165" s="3">
        <f t="shared" si="207"/>
        <v>0</v>
      </c>
      <c r="AH165" s="3">
        <f>(EW165)</f>
        <v>0</v>
      </c>
      <c r="AI165" s="3">
        <f>(EX165)</f>
        <v>0</v>
      </c>
      <c r="AJ165" s="3">
        <f t="shared" si="208"/>
        <v>0</v>
      </c>
      <c r="AK165" s="3">
        <v>2638.17</v>
      </c>
      <c r="AL165" s="3">
        <v>2638.17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90</v>
      </c>
      <c r="AU165" s="3">
        <v>46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9.84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2</v>
      </c>
      <c r="BJ165" s="3" t="s">
        <v>3</v>
      </c>
      <c r="BM165" s="3">
        <v>73</v>
      </c>
      <c r="BN165" s="3">
        <v>0</v>
      </c>
      <c r="BO165" s="3" t="s">
        <v>3</v>
      </c>
      <c r="BP165" s="3">
        <v>0</v>
      </c>
      <c r="BQ165" s="3">
        <v>40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90</v>
      </c>
      <c r="CA165" s="3">
        <v>46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209"/>
        <v>25959.59</v>
      </c>
      <c r="CQ165" s="3">
        <f t="shared" si="210"/>
        <v>25959.59</v>
      </c>
      <c r="CR165" s="3">
        <f>(ROUND((ROUND(((ET165)*AV165*1),2)*BB165),2)+ROUND((ROUND(((AE165-(EU165))*AV165*1),2)*BS165),2))</f>
        <v>0</v>
      </c>
      <c r="CS165" s="3">
        <f>(ROUND((ROUND(((EU165)*AV165*1),2)*BS165),2)+ROUND((ROUND(((AE165-(EU165))*AV165*1),2)*BS165),2))</f>
        <v>0</v>
      </c>
      <c r="CT165" s="3">
        <f t="shared" si="211"/>
        <v>0</v>
      </c>
      <c r="CU165" s="3">
        <f t="shared" si="212"/>
        <v>0</v>
      </c>
      <c r="CV165" s="3">
        <f t="shared" si="213"/>
        <v>0</v>
      </c>
      <c r="CW165" s="3">
        <f t="shared" si="214"/>
        <v>0</v>
      </c>
      <c r="CX165" s="3">
        <f t="shared" si="215"/>
        <v>0</v>
      </c>
      <c r="CY165" s="3">
        <f>(ROUND((((S165+ROUND((ROUND(((EU165)*AV165*1),2)*BS165),2))*AT165)/100),2)+ROUND(((ROUND((ROUND(((AE165-(EU165))*AV165*1),2)*BS165),2)*AT165)/100),2))</f>
        <v>0</v>
      </c>
      <c r="CZ165" s="3">
        <f>(ROUND((((S165+ROUND((ROUND(((EU165)*AV165*1),2)*BS165),2))*AU165)/100),2)+ROUND(((ROUND((ROUND(((AE165-(EU165))*AV165*1),2)*BS165),2)*AU165)/100),2))</f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1010</v>
      </c>
      <c r="DV165" s="3" t="s">
        <v>118</v>
      </c>
      <c r="DW165" s="3" t="s">
        <v>118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56938740</v>
      </c>
      <c r="EF165" s="3">
        <v>40</v>
      </c>
      <c r="EG165" s="3" t="s">
        <v>29</v>
      </c>
      <c r="EH165" s="3">
        <v>0</v>
      </c>
      <c r="EI165" s="3" t="s">
        <v>3</v>
      </c>
      <c r="EJ165" s="3">
        <v>2</v>
      </c>
      <c r="EK165" s="3">
        <v>73</v>
      </c>
      <c r="EL165" s="3" t="s">
        <v>85</v>
      </c>
      <c r="EM165" s="3" t="s">
        <v>86</v>
      </c>
      <c r="EO165" s="3" t="s">
        <v>3</v>
      </c>
      <c r="EQ165" s="3">
        <v>0</v>
      </c>
      <c r="ER165" s="3">
        <v>2638.17</v>
      </c>
      <c r="ES165" s="3">
        <v>2638.17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5</v>
      </c>
      <c r="FC165" s="3">
        <v>1</v>
      </c>
      <c r="FD165" s="3">
        <v>18</v>
      </c>
      <c r="FF165" s="3">
        <v>31049.7</v>
      </c>
      <c r="FQ165" s="3">
        <v>0</v>
      </c>
      <c r="FR165" s="3">
        <v>0</v>
      </c>
      <c r="FS165" s="3">
        <v>0</v>
      </c>
      <c r="FX165" s="3">
        <v>90</v>
      </c>
      <c r="FY165" s="3">
        <v>46</v>
      </c>
      <c r="GA165" s="3" t="s">
        <v>293</v>
      </c>
      <c r="GD165" s="3">
        <v>1</v>
      </c>
      <c r="GF165" s="3">
        <v>988859924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216"/>
        <v>0</v>
      </c>
      <c r="GM165" s="3">
        <f t="shared" si="217"/>
        <v>25959.59</v>
      </c>
      <c r="GN165" s="3">
        <f t="shared" si="218"/>
        <v>0</v>
      </c>
      <c r="GO165" s="3">
        <f t="shared" si="219"/>
        <v>25959.59</v>
      </c>
      <c r="GP165" s="3">
        <f t="shared" si="220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221"/>
        <v>0</v>
      </c>
      <c r="GW165" s="3">
        <v>1</v>
      </c>
      <c r="GX165" s="3">
        <f t="shared" si="222"/>
        <v>0</v>
      </c>
      <c r="HA165" s="3">
        <v>0</v>
      </c>
      <c r="HB165" s="3">
        <v>0</v>
      </c>
      <c r="HC165" s="3">
        <f t="shared" si="223"/>
        <v>0</v>
      </c>
      <c r="HE165" s="3" t="s">
        <v>294</v>
      </c>
      <c r="HF165" s="3" t="s">
        <v>51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7" spans="1:255" x14ac:dyDescent="0.2">
      <c r="A167" s="11">
        <v>51</v>
      </c>
      <c r="B167" s="11">
        <f>B24</f>
        <v>1</v>
      </c>
      <c r="C167" s="11">
        <f>A24</f>
        <v>4</v>
      </c>
      <c r="D167" s="11">
        <f>ROW(A24)</f>
        <v>24</v>
      </c>
      <c r="E167" s="11"/>
      <c r="F167" s="11" t="str">
        <f>IF(F24&lt;&gt;"",F24,"")</f>
        <v>Новый раздел</v>
      </c>
      <c r="G167" s="11" t="str">
        <f>IF(G24&lt;&gt;"",G24,"")</f>
        <v>Насосная установка.</v>
      </c>
      <c r="H167" s="11">
        <v>0</v>
      </c>
      <c r="I167" s="11"/>
      <c r="J167" s="11"/>
      <c r="K167" s="11"/>
      <c r="L167" s="11"/>
      <c r="M167" s="11"/>
      <c r="N167" s="11"/>
      <c r="O167" s="11">
        <f t="shared" ref="O167:T167" si="224">ROUND(AB167,2)</f>
        <v>278528.64000000001</v>
      </c>
      <c r="P167" s="11">
        <f t="shared" si="224"/>
        <v>270042.49</v>
      </c>
      <c r="Q167" s="11">
        <f t="shared" si="224"/>
        <v>1757.79</v>
      </c>
      <c r="R167" s="11">
        <f t="shared" si="224"/>
        <v>297.02</v>
      </c>
      <c r="S167" s="11">
        <f t="shared" si="224"/>
        <v>6728.36</v>
      </c>
      <c r="T167" s="11">
        <f t="shared" si="224"/>
        <v>0</v>
      </c>
      <c r="U167" s="11">
        <f>AH167</f>
        <v>531.97169104319994</v>
      </c>
      <c r="V167" s="11">
        <f>AI167</f>
        <v>0</v>
      </c>
      <c r="W167" s="11">
        <f>ROUND(AJ167,2)</f>
        <v>0</v>
      </c>
      <c r="X167" s="11">
        <f>ROUND(AK167,2)</f>
        <v>6500.06</v>
      </c>
      <c r="Y167" s="11">
        <f>ROUND(AL167,2)</f>
        <v>3417.39</v>
      </c>
      <c r="Z167" s="11"/>
      <c r="AA167" s="11"/>
      <c r="AB167" s="11">
        <f>ROUND(SUMIF(AA28:AA165,"=55747649",O28:O165),2)</f>
        <v>278528.64000000001</v>
      </c>
      <c r="AC167" s="11">
        <f>ROUND(SUMIF(AA28:AA165,"=55747649",P28:P165),2)</f>
        <v>270042.49</v>
      </c>
      <c r="AD167" s="11">
        <f>ROUND(SUMIF(AA28:AA165,"=55747649",Q28:Q165),2)</f>
        <v>1757.79</v>
      </c>
      <c r="AE167" s="11">
        <f>ROUND(SUMIF(AA28:AA165,"=55747649",R28:R165),2)</f>
        <v>297.02</v>
      </c>
      <c r="AF167" s="11">
        <f>ROUND(SUMIF(AA28:AA165,"=55747649",S28:S165),2)</f>
        <v>6728.36</v>
      </c>
      <c r="AG167" s="11">
        <f>ROUND(SUMIF(AA28:AA165,"=55747649",T28:T165),2)</f>
        <v>0</v>
      </c>
      <c r="AH167" s="11">
        <f>SUMIF(AA28:AA165,"=55747649",U28:U165)</f>
        <v>531.97169104319994</v>
      </c>
      <c r="AI167" s="11">
        <f>SUMIF(AA28:AA165,"=55747649",V28:V165)</f>
        <v>0</v>
      </c>
      <c r="AJ167" s="11">
        <f>ROUND(SUMIF(AA28:AA165,"=55747649",W28:W165),2)</f>
        <v>0</v>
      </c>
      <c r="AK167" s="11">
        <f>ROUND(SUMIF(AA28:AA165,"=55747649",X28:X165),2)</f>
        <v>6500.06</v>
      </c>
      <c r="AL167" s="11">
        <f>ROUND(SUMIF(AA28:AA165,"=55747649",Y28:Y165),2)</f>
        <v>3417.39</v>
      </c>
      <c r="AM167" s="11"/>
      <c r="AN167" s="11"/>
      <c r="AO167" s="11">
        <f t="shared" ref="AO167:BD167" si="225">ROUND(BX167,2)</f>
        <v>0</v>
      </c>
      <c r="AP167" s="11">
        <f t="shared" si="225"/>
        <v>206993.46</v>
      </c>
      <c r="AQ167" s="11">
        <f t="shared" si="225"/>
        <v>0</v>
      </c>
      <c r="AR167" s="11">
        <f t="shared" si="225"/>
        <v>288446.09000000003</v>
      </c>
      <c r="AS167" s="11">
        <f t="shared" si="225"/>
        <v>6823.44</v>
      </c>
      <c r="AT167" s="11">
        <f t="shared" si="225"/>
        <v>74629.19</v>
      </c>
      <c r="AU167" s="11">
        <f t="shared" si="225"/>
        <v>0</v>
      </c>
      <c r="AV167" s="11">
        <f t="shared" si="225"/>
        <v>270042.49</v>
      </c>
      <c r="AW167" s="11">
        <f t="shared" si="225"/>
        <v>63049.03</v>
      </c>
      <c r="AX167" s="11">
        <f t="shared" si="225"/>
        <v>0</v>
      </c>
      <c r="AY167" s="11">
        <f t="shared" si="225"/>
        <v>63049.03</v>
      </c>
      <c r="AZ167" s="11">
        <f t="shared" si="225"/>
        <v>206993.46</v>
      </c>
      <c r="BA167" s="11">
        <f t="shared" si="225"/>
        <v>0</v>
      </c>
      <c r="BB167" s="11">
        <f t="shared" si="225"/>
        <v>0</v>
      </c>
      <c r="BC167" s="11">
        <f t="shared" si="225"/>
        <v>0</v>
      </c>
      <c r="BD167" s="11">
        <f t="shared" si="225"/>
        <v>0</v>
      </c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>
        <f>ROUND(SUMIF(AA28:AA165,"=55747649",FQ28:FQ165),2)</f>
        <v>0</v>
      </c>
      <c r="BY167" s="11">
        <f>ROUND(SUMIF(AA28:AA165,"=55747649",FR28:FR165),2)</f>
        <v>206993.46</v>
      </c>
      <c r="BZ167" s="11">
        <f>ROUND(SUMIF(AA28:AA165,"=55747649",GL28:GL165),2)</f>
        <v>0</v>
      </c>
      <c r="CA167" s="11">
        <f>ROUND(SUMIF(AA28:AA165,"=55747649",GM28:GM165),2)</f>
        <v>288446.09000000003</v>
      </c>
      <c r="CB167" s="11">
        <f>ROUND(SUMIF(AA28:AA165,"=55747649",GN28:GN165),2)</f>
        <v>6823.44</v>
      </c>
      <c r="CC167" s="11">
        <f>ROUND(SUMIF(AA28:AA165,"=55747649",GO28:GO165),2)</f>
        <v>74629.19</v>
      </c>
      <c r="CD167" s="11">
        <f>ROUND(SUMIF(AA28:AA165,"=55747649",GP28:GP165),2)</f>
        <v>0</v>
      </c>
      <c r="CE167" s="11">
        <f>AC167-BX167</f>
        <v>270042.49</v>
      </c>
      <c r="CF167" s="11">
        <f>AC167-BY167</f>
        <v>63049.03</v>
      </c>
      <c r="CG167" s="11">
        <f>BX167-BZ167</f>
        <v>0</v>
      </c>
      <c r="CH167" s="11">
        <f>AC167-BX167-BY167+BZ167</f>
        <v>63049.03</v>
      </c>
      <c r="CI167" s="11">
        <f>BY167-BZ167</f>
        <v>206993.46</v>
      </c>
      <c r="CJ167" s="11">
        <f>ROUND(SUMIF(AA28:AA165,"=55747649",GX28:GX165),2)</f>
        <v>0</v>
      </c>
      <c r="CK167" s="11">
        <f>ROUND(SUMIF(AA28:AA165,"=55747649",GY28:GY165),2)</f>
        <v>0</v>
      </c>
      <c r="CL167" s="11">
        <f>ROUND(SUMIF(AA28:AA165,"=55747649",GZ28:GZ165),2)</f>
        <v>0</v>
      </c>
      <c r="CM167" s="11">
        <f>ROUND(SUMIF(AA28:AA165,"=55747649",HD28:HD165),2)</f>
        <v>0</v>
      </c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2">
        <f t="shared" ref="DG167:DL167" si="226">ROUND(DT167,2)</f>
        <v>2302346.4900000002</v>
      </c>
      <c r="DH167" s="12">
        <f t="shared" si="226"/>
        <v>1889218.95</v>
      </c>
      <c r="DI167" s="12">
        <f t="shared" si="226"/>
        <v>33984.449999999997</v>
      </c>
      <c r="DJ167" s="12">
        <f t="shared" si="226"/>
        <v>16737.080000000002</v>
      </c>
      <c r="DK167" s="12">
        <f t="shared" si="226"/>
        <v>379143.09</v>
      </c>
      <c r="DL167" s="12">
        <f t="shared" si="226"/>
        <v>0</v>
      </c>
      <c r="DM167" s="12">
        <f>DZ167</f>
        <v>531.97169104319994</v>
      </c>
      <c r="DN167" s="12">
        <f>EA167</f>
        <v>0</v>
      </c>
      <c r="DO167" s="12">
        <f>ROUND(EB167,2)</f>
        <v>0</v>
      </c>
      <c r="DP167" s="12">
        <f>ROUND(EC167,2)</f>
        <v>366278.32</v>
      </c>
      <c r="DQ167" s="12">
        <f>ROUND(ED167,2)</f>
        <v>192569.58</v>
      </c>
      <c r="DR167" s="12"/>
      <c r="DS167" s="12"/>
      <c r="DT167" s="12">
        <f>ROUND(SUMIF(AA28:AA165,"=55747651",O28:O165),2)</f>
        <v>2302346.4900000002</v>
      </c>
      <c r="DU167" s="12">
        <f>ROUND(SUMIF(AA28:AA165,"=55747651",P28:P165),2)</f>
        <v>1889218.95</v>
      </c>
      <c r="DV167" s="12">
        <f>ROUND(SUMIF(AA28:AA165,"=55747651",Q28:Q165),2)</f>
        <v>33984.449999999997</v>
      </c>
      <c r="DW167" s="12">
        <f>ROUND(SUMIF(AA28:AA165,"=55747651",R28:R165),2)</f>
        <v>16737.080000000002</v>
      </c>
      <c r="DX167" s="12">
        <f>ROUND(SUMIF(AA28:AA165,"=55747651",S28:S165),2)</f>
        <v>379143.09</v>
      </c>
      <c r="DY167" s="12">
        <f>ROUND(SUMIF(AA28:AA165,"=55747651",T28:T165),2)</f>
        <v>0</v>
      </c>
      <c r="DZ167" s="12">
        <f>SUMIF(AA28:AA165,"=55747651",U28:U165)</f>
        <v>531.97169104319994</v>
      </c>
      <c r="EA167" s="12">
        <f>SUMIF(AA28:AA165,"=55747651",V28:V165)</f>
        <v>0</v>
      </c>
      <c r="EB167" s="12">
        <f>ROUND(SUMIF(AA28:AA165,"=55747651",W28:W165),2)</f>
        <v>0</v>
      </c>
      <c r="EC167" s="12">
        <f>ROUND(SUMIF(AA28:AA165,"=55747651",X28:X165),2)</f>
        <v>366278.32</v>
      </c>
      <c r="ED167" s="12">
        <f>ROUND(SUMIF(AA28:AA165,"=55747651",Y28:Y165),2)</f>
        <v>192569.58</v>
      </c>
      <c r="EE167" s="12"/>
      <c r="EF167" s="12"/>
      <c r="EG167" s="12">
        <f t="shared" ref="EG167:EV167" si="227">ROUND(FP167,2)</f>
        <v>0</v>
      </c>
      <c r="EH167" s="12">
        <f t="shared" si="227"/>
        <v>1566940.49</v>
      </c>
      <c r="EI167" s="12">
        <f t="shared" si="227"/>
        <v>0</v>
      </c>
      <c r="EJ167" s="12">
        <f t="shared" si="227"/>
        <v>2861194.39</v>
      </c>
      <c r="EK167" s="12">
        <f t="shared" si="227"/>
        <v>180376.25</v>
      </c>
      <c r="EL167" s="12">
        <f t="shared" si="227"/>
        <v>1113877.6499999999</v>
      </c>
      <c r="EM167" s="12">
        <f t="shared" si="227"/>
        <v>0</v>
      </c>
      <c r="EN167" s="12">
        <f t="shared" si="227"/>
        <v>1889218.95</v>
      </c>
      <c r="EO167" s="12">
        <f t="shared" si="227"/>
        <v>322278.46000000002</v>
      </c>
      <c r="EP167" s="12">
        <f t="shared" si="227"/>
        <v>0</v>
      </c>
      <c r="EQ167" s="12">
        <f t="shared" si="227"/>
        <v>322278.46000000002</v>
      </c>
      <c r="ER167" s="12">
        <f t="shared" si="227"/>
        <v>1566940.49</v>
      </c>
      <c r="ES167" s="12">
        <f t="shared" si="227"/>
        <v>0</v>
      </c>
      <c r="ET167" s="12">
        <f t="shared" si="227"/>
        <v>0</v>
      </c>
      <c r="EU167" s="12">
        <f t="shared" si="227"/>
        <v>0</v>
      </c>
      <c r="EV167" s="12">
        <f t="shared" si="227"/>
        <v>0</v>
      </c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>
        <f>ROUND(SUMIF(AA28:AA165,"=55747651",FQ28:FQ165),2)</f>
        <v>0</v>
      </c>
      <c r="FQ167" s="12">
        <f>ROUND(SUMIF(AA28:AA165,"=55747651",FR28:FR165),2)</f>
        <v>1566940.49</v>
      </c>
      <c r="FR167" s="12">
        <f>ROUND(SUMIF(AA28:AA165,"=55747651",GL28:GL165),2)</f>
        <v>0</v>
      </c>
      <c r="FS167" s="12">
        <f>ROUND(SUMIF(AA28:AA165,"=55747651",GM28:GM165),2)</f>
        <v>2861194.39</v>
      </c>
      <c r="FT167" s="12">
        <f>ROUND(SUMIF(AA28:AA165,"=55747651",GN28:GN165),2)</f>
        <v>180376.25</v>
      </c>
      <c r="FU167" s="12">
        <f>ROUND(SUMIF(AA28:AA165,"=55747651",GO28:GO165),2)</f>
        <v>1113877.6499999999</v>
      </c>
      <c r="FV167" s="12">
        <f>ROUND(SUMIF(AA28:AA165,"=55747651",GP28:GP165),2)</f>
        <v>0</v>
      </c>
      <c r="FW167" s="12">
        <f>DU167-FP167</f>
        <v>1889218.95</v>
      </c>
      <c r="FX167" s="12">
        <f>DU167-FQ167</f>
        <v>322278.45999999996</v>
      </c>
      <c r="FY167" s="12">
        <f>FP167-FR167</f>
        <v>0</v>
      </c>
      <c r="FZ167" s="12">
        <f>DU167-FP167-FQ167+FR167</f>
        <v>322278.45999999996</v>
      </c>
      <c r="GA167" s="12">
        <f>FQ167-FR167</f>
        <v>1566940.49</v>
      </c>
      <c r="GB167" s="12">
        <f>ROUND(SUMIF(AA28:AA165,"=55747651",GX28:GX165),2)</f>
        <v>0</v>
      </c>
      <c r="GC167" s="12">
        <f>ROUND(SUMIF(AA28:AA165,"=55747651",GY28:GY165),2)</f>
        <v>0</v>
      </c>
      <c r="GD167" s="12">
        <f>ROUND(SUMIF(AA28:AA165,"=55747651",GZ28:GZ165),2)</f>
        <v>0</v>
      </c>
      <c r="GE167" s="12">
        <f>ROUND(SUMIF(AA28:AA165,"=55747651",HD28:HD165),2)</f>
        <v>0</v>
      </c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>
        <v>0</v>
      </c>
    </row>
    <row r="169" spans="1:255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201</v>
      </c>
      <c r="F169" s="13">
        <f>ROUND(Source!O167,O169)</f>
        <v>278528.64000000001</v>
      </c>
      <c r="G169" s="13" t="s">
        <v>297</v>
      </c>
      <c r="H169" s="13" t="s">
        <v>298</v>
      </c>
      <c r="I169" s="13"/>
      <c r="J169" s="13"/>
      <c r="K169" s="13">
        <v>201</v>
      </c>
      <c r="L169" s="13">
        <v>1</v>
      </c>
      <c r="M169" s="13">
        <v>3</v>
      </c>
      <c r="N169" s="13" t="s">
        <v>3</v>
      </c>
      <c r="O169" s="13">
        <v>2</v>
      </c>
      <c r="P169" s="13">
        <f>ROUND(Source!DG167,O169)</f>
        <v>2302346.4900000002</v>
      </c>
      <c r="Q169" s="13"/>
      <c r="R169" s="13"/>
      <c r="S169" s="13"/>
      <c r="T169" s="13"/>
      <c r="U169" s="13"/>
      <c r="V169" s="13"/>
      <c r="W169" s="13">
        <v>278528.64000000001</v>
      </c>
      <c r="X169" s="13">
        <v>1</v>
      </c>
      <c r="Y169" s="13">
        <v>278528.64000000001</v>
      </c>
      <c r="Z169" s="13">
        <v>2302346.4900000002</v>
      </c>
      <c r="AA169" s="13">
        <v>1</v>
      </c>
      <c r="AB169" s="13">
        <v>2302346.4900000002</v>
      </c>
    </row>
    <row r="170" spans="1:255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202</v>
      </c>
      <c r="F170" s="13">
        <f>ROUND(Source!P167,O170)</f>
        <v>270042.49</v>
      </c>
      <c r="G170" s="13" t="s">
        <v>299</v>
      </c>
      <c r="H170" s="13" t="s">
        <v>300</v>
      </c>
      <c r="I170" s="13"/>
      <c r="J170" s="13"/>
      <c r="K170" s="13">
        <v>202</v>
      </c>
      <c r="L170" s="13">
        <v>2</v>
      </c>
      <c r="M170" s="13">
        <v>3</v>
      </c>
      <c r="N170" s="13" t="s">
        <v>3</v>
      </c>
      <c r="O170" s="13">
        <v>2</v>
      </c>
      <c r="P170" s="13">
        <f>ROUND(Source!DH167,O170)</f>
        <v>1889218.95</v>
      </c>
      <c r="Q170" s="13"/>
      <c r="R170" s="13"/>
      <c r="S170" s="13"/>
      <c r="T170" s="13"/>
      <c r="U170" s="13"/>
      <c r="V170" s="13"/>
      <c r="W170" s="13">
        <v>270042.49</v>
      </c>
      <c r="X170" s="13">
        <v>1</v>
      </c>
      <c r="Y170" s="13">
        <v>270042.49</v>
      </c>
      <c r="Z170" s="13">
        <v>1889218.95</v>
      </c>
      <c r="AA170" s="13">
        <v>1</v>
      </c>
      <c r="AB170" s="13">
        <v>1889218.95</v>
      </c>
    </row>
    <row r="171" spans="1:255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222</v>
      </c>
      <c r="F171" s="13">
        <f>ROUND(Source!AO167,O171)</f>
        <v>0</v>
      </c>
      <c r="G171" s="13" t="s">
        <v>301</v>
      </c>
      <c r="H171" s="13" t="s">
        <v>302</v>
      </c>
      <c r="I171" s="13"/>
      <c r="J171" s="13"/>
      <c r="K171" s="13">
        <v>222</v>
      </c>
      <c r="L171" s="13">
        <v>3</v>
      </c>
      <c r="M171" s="13">
        <v>3</v>
      </c>
      <c r="N171" s="13" t="s">
        <v>3</v>
      </c>
      <c r="O171" s="13">
        <v>2</v>
      </c>
      <c r="P171" s="13">
        <f>ROUND(Source!EG167,O171)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55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225</v>
      </c>
      <c r="F172" s="13">
        <f>ROUND(Source!AV167,O172)</f>
        <v>270042.49</v>
      </c>
      <c r="G172" s="13" t="s">
        <v>303</v>
      </c>
      <c r="H172" s="13" t="s">
        <v>304</v>
      </c>
      <c r="I172" s="13"/>
      <c r="J172" s="13"/>
      <c r="K172" s="13">
        <v>225</v>
      </c>
      <c r="L172" s="13">
        <v>4</v>
      </c>
      <c r="M172" s="13">
        <v>3</v>
      </c>
      <c r="N172" s="13" t="s">
        <v>3</v>
      </c>
      <c r="O172" s="13">
        <v>2</v>
      </c>
      <c r="P172" s="13">
        <f>ROUND(Source!EN167,O172)</f>
        <v>1889218.95</v>
      </c>
      <c r="Q172" s="13"/>
      <c r="R172" s="13"/>
      <c r="S172" s="13"/>
      <c r="T172" s="13"/>
      <c r="U172" s="13"/>
      <c r="V172" s="13"/>
      <c r="W172" s="13">
        <v>270042.49</v>
      </c>
      <c r="X172" s="13">
        <v>1</v>
      </c>
      <c r="Y172" s="13">
        <v>270042.49</v>
      </c>
      <c r="Z172" s="13">
        <v>1889218.95</v>
      </c>
      <c r="AA172" s="13">
        <v>1</v>
      </c>
      <c r="AB172" s="13">
        <v>1889218.95</v>
      </c>
    </row>
    <row r="173" spans="1:255" x14ac:dyDescent="0.2">
      <c r="A173" s="13">
        <v>50</v>
      </c>
      <c r="B173" s="13">
        <v>0</v>
      </c>
      <c r="C173" s="13">
        <v>0</v>
      </c>
      <c r="D173" s="13">
        <v>1</v>
      </c>
      <c r="E173" s="13">
        <v>226</v>
      </c>
      <c r="F173" s="13">
        <f>ROUND(Source!AW167,O173)</f>
        <v>63049.03</v>
      </c>
      <c r="G173" s="13" t="s">
        <v>305</v>
      </c>
      <c r="H173" s="13" t="s">
        <v>306</v>
      </c>
      <c r="I173" s="13"/>
      <c r="J173" s="13"/>
      <c r="K173" s="13">
        <v>226</v>
      </c>
      <c r="L173" s="13">
        <v>5</v>
      </c>
      <c r="M173" s="13">
        <v>3</v>
      </c>
      <c r="N173" s="13" t="s">
        <v>3</v>
      </c>
      <c r="O173" s="13">
        <v>2</v>
      </c>
      <c r="P173" s="13">
        <f>ROUND(Source!EO167,O173)</f>
        <v>322278.46000000002</v>
      </c>
      <c r="Q173" s="13"/>
      <c r="R173" s="13"/>
      <c r="S173" s="13"/>
      <c r="T173" s="13"/>
      <c r="U173" s="13"/>
      <c r="V173" s="13"/>
      <c r="W173" s="13">
        <v>63049.03</v>
      </c>
      <c r="X173" s="13">
        <v>1</v>
      </c>
      <c r="Y173" s="13">
        <v>63049.03</v>
      </c>
      <c r="Z173" s="13">
        <v>322278.46000000002</v>
      </c>
      <c r="AA173" s="13">
        <v>1</v>
      </c>
      <c r="AB173" s="13">
        <v>322278.46000000002</v>
      </c>
    </row>
    <row r="174" spans="1:255" x14ac:dyDescent="0.2">
      <c r="A174" s="13">
        <v>50</v>
      </c>
      <c r="B174" s="13">
        <v>0</v>
      </c>
      <c r="C174" s="13">
        <v>0</v>
      </c>
      <c r="D174" s="13">
        <v>1</v>
      </c>
      <c r="E174" s="13">
        <v>227</v>
      </c>
      <c r="F174" s="13">
        <f>ROUND(Source!AX167,O174)</f>
        <v>0</v>
      </c>
      <c r="G174" s="13" t="s">
        <v>307</v>
      </c>
      <c r="H174" s="13" t="s">
        <v>308</v>
      </c>
      <c r="I174" s="13"/>
      <c r="J174" s="13"/>
      <c r="K174" s="13">
        <v>227</v>
      </c>
      <c r="L174" s="13">
        <v>6</v>
      </c>
      <c r="M174" s="13">
        <v>3</v>
      </c>
      <c r="N174" s="13" t="s">
        <v>3</v>
      </c>
      <c r="O174" s="13">
        <v>2</v>
      </c>
      <c r="P174" s="13">
        <f>ROUND(Source!EP167,O174)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55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228</v>
      </c>
      <c r="F175" s="13">
        <f>ROUND(Source!AY167,O175)</f>
        <v>63049.03</v>
      </c>
      <c r="G175" s="13" t="s">
        <v>309</v>
      </c>
      <c r="H175" s="13" t="s">
        <v>310</v>
      </c>
      <c r="I175" s="13"/>
      <c r="J175" s="13"/>
      <c r="K175" s="13">
        <v>228</v>
      </c>
      <c r="L175" s="13">
        <v>7</v>
      </c>
      <c r="M175" s="13">
        <v>3</v>
      </c>
      <c r="N175" s="13" t="s">
        <v>3</v>
      </c>
      <c r="O175" s="13">
        <v>2</v>
      </c>
      <c r="P175" s="13">
        <f>ROUND(Source!EQ167,O175)</f>
        <v>322278.46000000002</v>
      </c>
      <c r="Q175" s="13"/>
      <c r="R175" s="13"/>
      <c r="S175" s="13"/>
      <c r="T175" s="13"/>
      <c r="U175" s="13"/>
      <c r="V175" s="13"/>
      <c r="W175" s="13">
        <v>63049.03</v>
      </c>
      <c r="X175" s="13">
        <v>1</v>
      </c>
      <c r="Y175" s="13">
        <v>63049.03</v>
      </c>
      <c r="Z175" s="13">
        <v>322278.46000000002</v>
      </c>
      <c r="AA175" s="13">
        <v>1</v>
      </c>
      <c r="AB175" s="13">
        <v>322278.46000000002</v>
      </c>
    </row>
    <row r="176" spans="1:255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216</v>
      </c>
      <c r="F176" s="13">
        <f>ROUND(Source!AP167,O176)</f>
        <v>206993.46</v>
      </c>
      <c r="G176" s="13" t="s">
        <v>311</v>
      </c>
      <c r="H176" s="13" t="s">
        <v>312</v>
      </c>
      <c r="I176" s="13"/>
      <c r="J176" s="13"/>
      <c r="K176" s="13">
        <v>216</v>
      </c>
      <c r="L176" s="13">
        <v>8</v>
      </c>
      <c r="M176" s="13">
        <v>3</v>
      </c>
      <c r="N176" s="13" t="s">
        <v>3</v>
      </c>
      <c r="O176" s="13">
        <v>2</v>
      </c>
      <c r="P176" s="13">
        <f>ROUND(Source!EH167,O176)</f>
        <v>1566940.49</v>
      </c>
      <c r="Q176" s="13"/>
      <c r="R176" s="13"/>
      <c r="S176" s="13"/>
      <c r="T176" s="13"/>
      <c r="U176" s="13"/>
      <c r="V176" s="13"/>
      <c r="W176" s="13">
        <v>206993.46</v>
      </c>
      <c r="X176" s="13">
        <v>1</v>
      </c>
      <c r="Y176" s="13">
        <v>206993.46</v>
      </c>
      <c r="Z176" s="13">
        <v>1566940.49</v>
      </c>
      <c r="AA176" s="13">
        <v>1</v>
      </c>
      <c r="AB176" s="13">
        <v>1566940.49</v>
      </c>
    </row>
    <row r="177" spans="1:28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223</v>
      </c>
      <c r="F177" s="13">
        <f>ROUND(Source!AQ167,O177)</f>
        <v>0</v>
      </c>
      <c r="G177" s="13" t="s">
        <v>313</v>
      </c>
      <c r="H177" s="13" t="s">
        <v>314</v>
      </c>
      <c r="I177" s="13"/>
      <c r="J177" s="13"/>
      <c r="K177" s="13">
        <v>223</v>
      </c>
      <c r="L177" s="13">
        <v>9</v>
      </c>
      <c r="M177" s="13">
        <v>3</v>
      </c>
      <c r="N177" s="13" t="s">
        <v>3</v>
      </c>
      <c r="O177" s="13">
        <v>2</v>
      </c>
      <c r="P177" s="13">
        <f>ROUND(Source!EI167,O177)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229</v>
      </c>
      <c r="F178" s="13">
        <f>ROUND(Source!AZ167,O178)</f>
        <v>206993.46</v>
      </c>
      <c r="G178" s="13" t="s">
        <v>315</v>
      </c>
      <c r="H178" s="13" t="s">
        <v>316</v>
      </c>
      <c r="I178" s="13"/>
      <c r="J178" s="13"/>
      <c r="K178" s="13">
        <v>229</v>
      </c>
      <c r="L178" s="13">
        <v>10</v>
      </c>
      <c r="M178" s="13">
        <v>3</v>
      </c>
      <c r="N178" s="13" t="s">
        <v>3</v>
      </c>
      <c r="O178" s="13">
        <v>2</v>
      </c>
      <c r="P178" s="13">
        <f>ROUND(Source!ER167,O178)</f>
        <v>1566940.49</v>
      </c>
      <c r="Q178" s="13"/>
      <c r="R178" s="13"/>
      <c r="S178" s="13"/>
      <c r="T178" s="13"/>
      <c r="U178" s="13"/>
      <c r="V178" s="13"/>
      <c r="W178" s="13">
        <v>206993.46</v>
      </c>
      <c r="X178" s="13">
        <v>1</v>
      </c>
      <c r="Y178" s="13">
        <v>206993.46</v>
      </c>
      <c r="Z178" s="13">
        <v>1566940.49</v>
      </c>
      <c r="AA178" s="13">
        <v>1</v>
      </c>
      <c r="AB178" s="13">
        <v>1566940.49</v>
      </c>
    </row>
    <row r="179" spans="1:28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203</v>
      </c>
      <c r="F179" s="13">
        <f>ROUND(Source!Q167,O179)</f>
        <v>1757.79</v>
      </c>
      <c r="G179" s="13" t="s">
        <v>317</v>
      </c>
      <c r="H179" s="13" t="s">
        <v>318</v>
      </c>
      <c r="I179" s="13"/>
      <c r="J179" s="13"/>
      <c r="K179" s="13">
        <v>203</v>
      </c>
      <c r="L179" s="13">
        <v>11</v>
      </c>
      <c r="M179" s="13">
        <v>3</v>
      </c>
      <c r="N179" s="13" t="s">
        <v>3</v>
      </c>
      <c r="O179" s="13">
        <v>2</v>
      </c>
      <c r="P179" s="13">
        <f>ROUND(Source!DI167,O179)</f>
        <v>33984.449999999997</v>
      </c>
      <c r="Q179" s="13"/>
      <c r="R179" s="13"/>
      <c r="S179" s="13"/>
      <c r="T179" s="13"/>
      <c r="U179" s="13"/>
      <c r="V179" s="13"/>
      <c r="W179" s="13">
        <v>1757.79</v>
      </c>
      <c r="X179" s="13">
        <v>1</v>
      </c>
      <c r="Y179" s="13">
        <v>1757.79</v>
      </c>
      <c r="Z179" s="13">
        <v>33984.449999999997</v>
      </c>
      <c r="AA179" s="13">
        <v>1</v>
      </c>
      <c r="AB179" s="13">
        <v>33984.449999999997</v>
      </c>
    </row>
    <row r="180" spans="1:28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231</v>
      </c>
      <c r="F180" s="13">
        <f>ROUND(Source!BB167,O180)</f>
        <v>0</v>
      </c>
      <c r="G180" s="13" t="s">
        <v>319</v>
      </c>
      <c r="H180" s="13" t="s">
        <v>320</v>
      </c>
      <c r="I180" s="13"/>
      <c r="J180" s="13"/>
      <c r="K180" s="13">
        <v>231</v>
      </c>
      <c r="L180" s="13">
        <v>12</v>
      </c>
      <c r="M180" s="13">
        <v>3</v>
      </c>
      <c r="N180" s="13" t="s">
        <v>3</v>
      </c>
      <c r="O180" s="13">
        <v>2</v>
      </c>
      <c r="P180" s="13">
        <f>ROUND(Source!ET167,O180)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204</v>
      </c>
      <c r="F181" s="13">
        <f>ROUND(Source!R167,O181)</f>
        <v>297.02</v>
      </c>
      <c r="G181" s="13" t="s">
        <v>321</v>
      </c>
      <c r="H181" s="13" t="s">
        <v>322</v>
      </c>
      <c r="I181" s="13"/>
      <c r="J181" s="13"/>
      <c r="K181" s="13">
        <v>204</v>
      </c>
      <c r="L181" s="13">
        <v>13</v>
      </c>
      <c r="M181" s="13">
        <v>3</v>
      </c>
      <c r="N181" s="13" t="s">
        <v>3</v>
      </c>
      <c r="O181" s="13">
        <v>2</v>
      </c>
      <c r="P181" s="13">
        <f>ROUND(Source!DJ167,O181)</f>
        <v>16737.080000000002</v>
      </c>
      <c r="Q181" s="13"/>
      <c r="R181" s="13"/>
      <c r="S181" s="13"/>
      <c r="T181" s="13"/>
      <c r="U181" s="13"/>
      <c r="V181" s="13"/>
      <c r="W181" s="13">
        <v>297.02</v>
      </c>
      <c r="X181" s="13">
        <v>1</v>
      </c>
      <c r="Y181" s="13">
        <v>297.02</v>
      </c>
      <c r="Z181" s="13">
        <v>16737.080000000002</v>
      </c>
      <c r="AA181" s="13">
        <v>1</v>
      </c>
      <c r="AB181" s="13">
        <v>16737.080000000002</v>
      </c>
    </row>
    <row r="182" spans="1:28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205</v>
      </c>
      <c r="F182" s="13">
        <f>ROUND(Source!S167,O182)</f>
        <v>6728.36</v>
      </c>
      <c r="G182" s="13" t="s">
        <v>323</v>
      </c>
      <c r="H182" s="13" t="s">
        <v>324</v>
      </c>
      <c r="I182" s="13"/>
      <c r="J182" s="13"/>
      <c r="K182" s="13">
        <v>205</v>
      </c>
      <c r="L182" s="13">
        <v>14</v>
      </c>
      <c r="M182" s="13">
        <v>3</v>
      </c>
      <c r="N182" s="13" t="s">
        <v>3</v>
      </c>
      <c r="O182" s="13">
        <v>2</v>
      </c>
      <c r="P182" s="13">
        <f>ROUND(Source!DK167,O182)</f>
        <v>379143.09</v>
      </c>
      <c r="Q182" s="13"/>
      <c r="R182" s="13"/>
      <c r="S182" s="13"/>
      <c r="T182" s="13"/>
      <c r="U182" s="13"/>
      <c r="V182" s="13"/>
      <c r="W182" s="13">
        <v>6728.36</v>
      </c>
      <c r="X182" s="13">
        <v>1</v>
      </c>
      <c r="Y182" s="13">
        <v>6728.36</v>
      </c>
      <c r="Z182" s="13">
        <v>379143.09</v>
      </c>
      <c r="AA182" s="13">
        <v>1</v>
      </c>
      <c r="AB182" s="13">
        <v>379143.09</v>
      </c>
    </row>
    <row r="183" spans="1:28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232</v>
      </c>
      <c r="F183" s="13">
        <f>ROUND(Source!BC167,O183)</f>
        <v>0</v>
      </c>
      <c r="G183" s="13" t="s">
        <v>325</v>
      </c>
      <c r="H183" s="13" t="s">
        <v>326</v>
      </c>
      <c r="I183" s="13"/>
      <c r="J183" s="13"/>
      <c r="K183" s="13">
        <v>232</v>
      </c>
      <c r="L183" s="13">
        <v>15</v>
      </c>
      <c r="M183" s="13">
        <v>3</v>
      </c>
      <c r="N183" s="13" t="s">
        <v>3</v>
      </c>
      <c r="O183" s="13">
        <v>2</v>
      </c>
      <c r="P183" s="13">
        <f>ROUND(Source!EU167,O183)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214</v>
      </c>
      <c r="F184" s="13">
        <f>ROUND(Source!AS167,O184)</f>
        <v>6823.44</v>
      </c>
      <c r="G184" s="13" t="s">
        <v>327</v>
      </c>
      <c r="H184" s="13" t="s">
        <v>328</v>
      </c>
      <c r="I184" s="13"/>
      <c r="J184" s="13"/>
      <c r="K184" s="13">
        <v>214</v>
      </c>
      <c r="L184" s="13">
        <v>16</v>
      </c>
      <c r="M184" s="13">
        <v>3</v>
      </c>
      <c r="N184" s="13" t="s">
        <v>3</v>
      </c>
      <c r="O184" s="13">
        <v>2</v>
      </c>
      <c r="P184" s="13">
        <f>ROUND(Source!EK167,O184)</f>
        <v>180376.25</v>
      </c>
      <c r="Q184" s="13"/>
      <c r="R184" s="13"/>
      <c r="S184" s="13"/>
      <c r="T184" s="13"/>
      <c r="U184" s="13"/>
      <c r="V184" s="13"/>
      <c r="W184" s="13">
        <v>6823.44</v>
      </c>
      <c r="X184" s="13">
        <v>1</v>
      </c>
      <c r="Y184" s="13">
        <v>6823.44</v>
      </c>
      <c r="Z184" s="13">
        <v>180376.25</v>
      </c>
      <c r="AA184" s="13">
        <v>1</v>
      </c>
      <c r="AB184" s="13">
        <v>180376.25</v>
      </c>
    </row>
    <row r="185" spans="1:28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215</v>
      </c>
      <c r="F185" s="13">
        <f>ROUND(Source!AT167,O185)</f>
        <v>74629.19</v>
      </c>
      <c r="G185" s="13" t="s">
        <v>329</v>
      </c>
      <c r="H185" s="13" t="s">
        <v>330</v>
      </c>
      <c r="I185" s="13"/>
      <c r="J185" s="13"/>
      <c r="K185" s="13">
        <v>215</v>
      </c>
      <c r="L185" s="13">
        <v>17</v>
      </c>
      <c r="M185" s="13">
        <v>3</v>
      </c>
      <c r="N185" s="13" t="s">
        <v>3</v>
      </c>
      <c r="O185" s="13">
        <v>2</v>
      </c>
      <c r="P185" s="13">
        <f>ROUND(Source!EL167,O185)</f>
        <v>1113877.6499999999</v>
      </c>
      <c r="Q185" s="13"/>
      <c r="R185" s="13"/>
      <c r="S185" s="13"/>
      <c r="T185" s="13"/>
      <c r="U185" s="13"/>
      <c r="V185" s="13"/>
      <c r="W185" s="13">
        <v>74629.19</v>
      </c>
      <c r="X185" s="13">
        <v>1</v>
      </c>
      <c r="Y185" s="13">
        <v>74629.19</v>
      </c>
      <c r="Z185" s="13">
        <v>1113877.6499999999</v>
      </c>
      <c r="AA185" s="13">
        <v>1</v>
      </c>
      <c r="AB185" s="13">
        <v>1113877.6499999999</v>
      </c>
    </row>
    <row r="186" spans="1:28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217</v>
      </c>
      <c r="F186" s="13">
        <f>ROUND(Source!AU167,O186)</f>
        <v>0</v>
      </c>
      <c r="G186" s="13" t="s">
        <v>331</v>
      </c>
      <c r="H186" s="13" t="s">
        <v>332</v>
      </c>
      <c r="I186" s="13"/>
      <c r="J186" s="13"/>
      <c r="K186" s="13">
        <v>217</v>
      </c>
      <c r="L186" s="13">
        <v>18</v>
      </c>
      <c r="M186" s="13">
        <v>3</v>
      </c>
      <c r="N186" s="13" t="s">
        <v>3</v>
      </c>
      <c r="O186" s="13">
        <v>2</v>
      </c>
      <c r="P186" s="13">
        <f>ROUND(Source!EM167,O186)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230</v>
      </c>
      <c r="F187" s="13">
        <f>ROUND(Source!BA167,O187)</f>
        <v>0</v>
      </c>
      <c r="G187" s="13" t="s">
        <v>333</v>
      </c>
      <c r="H187" s="13" t="s">
        <v>334</v>
      </c>
      <c r="I187" s="13"/>
      <c r="J187" s="13"/>
      <c r="K187" s="13">
        <v>230</v>
      </c>
      <c r="L187" s="13">
        <v>19</v>
      </c>
      <c r="M187" s="13">
        <v>3</v>
      </c>
      <c r="N187" s="13" t="s">
        <v>3</v>
      </c>
      <c r="O187" s="13">
        <v>2</v>
      </c>
      <c r="P187" s="13">
        <f>ROUND(Source!ES167,O187)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206</v>
      </c>
      <c r="F188" s="13">
        <f>ROUND(Source!T167,O188)</f>
        <v>0</v>
      </c>
      <c r="G188" s="13" t="s">
        <v>335</v>
      </c>
      <c r="H188" s="13" t="s">
        <v>336</v>
      </c>
      <c r="I188" s="13"/>
      <c r="J188" s="13"/>
      <c r="K188" s="13">
        <v>206</v>
      </c>
      <c r="L188" s="13">
        <v>20</v>
      </c>
      <c r="M188" s="13">
        <v>3</v>
      </c>
      <c r="N188" s="13" t="s">
        <v>3</v>
      </c>
      <c r="O188" s="13">
        <v>2</v>
      </c>
      <c r="P188" s="13">
        <f>ROUND(Source!DL167,O188)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207</v>
      </c>
      <c r="F189" s="13">
        <f>Source!U167</f>
        <v>531.97169104319994</v>
      </c>
      <c r="G189" s="13" t="s">
        <v>337</v>
      </c>
      <c r="H189" s="13" t="s">
        <v>338</v>
      </c>
      <c r="I189" s="13"/>
      <c r="J189" s="13"/>
      <c r="K189" s="13">
        <v>207</v>
      </c>
      <c r="L189" s="13">
        <v>21</v>
      </c>
      <c r="M189" s="13">
        <v>3</v>
      </c>
      <c r="N189" s="13" t="s">
        <v>3</v>
      </c>
      <c r="O189" s="13">
        <v>-1</v>
      </c>
      <c r="P189" s="13">
        <f>Source!DM167</f>
        <v>531.97169104319994</v>
      </c>
      <c r="Q189" s="13"/>
      <c r="R189" s="13"/>
      <c r="S189" s="13"/>
      <c r="T189" s="13"/>
      <c r="U189" s="13"/>
      <c r="V189" s="13"/>
      <c r="W189" s="13">
        <v>531.97169104319994</v>
      </c>
      <c r="X189" s="13">
        <v>1</v>
      </c>
      <c r="Y189" s="13">
        <v>531.97169104319994</v>
      </c>
      <c r="Z189" s="13">
        <v>531.97169104319994</v>
      </c>
      <c r="AA189" s="13">
        <v>1</v>
      </c>
      <c r="AB189" s="13">
        <v>531.97169104319994</v>
      </c>
    </row>
    <row r="190" spans="1:28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208</v>
      </c>
      <c r="F190" s="13">
        <f>Source!V167</f>
        <v>0</v>
      </c>
      <c r="G190" s="13" t="s">
        <v>339</v>
      </c>
      <c r="H190" s="13" t="s">
        <v>340</v>
      </c>
      <c r="I190" s="13"/>
      <c r="J190" s="13"/>
      <c r="K190" s="13">
        <v>208</v>
      </c>
      <c r="L190" s="13">
        <v>22</v>
      </c>
      <c r="M190" s="13">
        <v>3</v>
      </c>
      <c r="N190" s="13" t="s">
        <v>3</v>
      </c>
      <c r="O190" s="13">
        <v>-1</v>
      </c>
      <c r="P190" s="13">
        <f>Source!DN167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209</v>
      </c>
      <c r="F191" s="13">
        <f>ROUND(Source!W167,O191)</f>
        <v>0</v>
      </c>
      <c r="G191" s="13" t="s">
        <v>341</v>
      </c>
      <c r="H191" s="13" t="s">
        <v>342</v>
      </c>
      <c r="I191" s="13"/>
      <c r="J191" s="13"/>
      <c r="K191" s="13">
        <v>209</v>
      </c>
      <c r="L191" s="13">
        <v>23</v>
      </c>
      <c r="M191" s="13">
        <v>3</v>
      </c>
      <c r="N191" s="13" t="s">
        <v>3</v>
      </c>
      <c r="O191" s="13">
        <v>2</v>
      </c>
      <c r="P191" s="13">
        <f>ROUND(Source!DO167,O191)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233</v>
      </c>
      <c r="F192" s="13">
        <f>ROUND(Source!BD167,O192)</f>
        <v>0</v>
      </c>
      <c r="G192" s="13" t="s">
        <v>343</v>
      </c>
      <c r="H192" s="13" t="s">
        <v>344</v>
      </c>
      <c r="I192" s="13"/>
      <c r="J192" s="13"/>
      <c r="K192" s="13">
        <v>233</v>
      </c>
      <c r="L192" s="13">
        <v>24</v>
      </c>
      <c r="M192" s="13">
        <v>3</v>
      </c>
      <c r="N192" s="13" t="s">
        <v>3</v>
      </c>
      <c r="O192" s="13">
        <v>2</v>
      </c>
      <c r="P192" s="13">
        <f>ROUND(Source!EV167,O192)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55" x14ac:dyDescent="0.2">
      <c r="A193" s="13">
        <v>50</v>
      </c>
      <c r="B193" s="13">
        <v>0</v>
      </c>
      <c r="C193" s="13">
        <v>0</v>
      </c>
      <c r="D193" s="13">
        <v>1</v>
      </c>
      <c r="E193" s="13">
        <v>210</v>
      </c>
      <c r="F193" s="13">
        <f>ROUND(Source!X167,O193)</f>
        <v>6500.06</v>
      </c>
      <c r="G193" s="13" t="s">
        <v>345</v>
      </c>
      <c r="H193" s="13" t="s">
        <v>346</v>
      </c>
      <c r="I193" s="13"/>
      <c r="J193" s="13"/>
      <c r="K193" s="13">
        <v>210</v>
      </c>
      <c r="L193" s="13">
        <v>25</v>
      </c>
      <c r="M193" s="13">
        <v>3</v>
      </c>
      <c r="N193" s="13" t="s">
        <v>3</v>
      </c>
      <c r="O193" s="13">
        <v>2</v>
      </c>
      <c r="P193" s="13">
        <f>ROUND(Source!DP167,O193)</f>
        <v>366278.32</v>
      </c>
      <c r="Q193" s="13"/>
      <c r="R193" s="13"/>
      <c r="S193" s="13"/>
      <c r="T193" s="13"/>
      <c r="U193" s="13"/>
      <c r="V193" s="13"/>
      <c r="W193" s="13">
        <v>6500.06</v>
      </c>
      <c r="X193" s="13">
        <v>1</v>
      </c>
      <c r="Y193" s="13">
        <v>6500.06</v>
      </c>
      <c r="Z193" s="13">
        <v>366278.32</v>
      </c>
      <c r="AA193" s="13">
        <v>1</v>
      </c>
      <c r="AB193" s="13">
        <v>366278.32</v>
      </c>
    </row>
    <row r="194" spans="1:255" x14ac:dyDescent="0.2">
      <c r="A194" s="13">
        <v>50</v>
      </c>
      <c r="B194" s="13">
        <v>0</v>
      </c>
      <c r="C194" s="13">
        <v>0</v>
      </c>
      <c r="D194" s="13">
        <v>1</v>
      </c>
      <c r="E194" s="13">
        <v>211</v>
      </c>
      <c r="F194" s="13">
        <f>ROUND(Source!Y167,O194)</f>
        <v>3417.39</v>
      </c>
      <c r="G194" s="13" t="s">
        <v>347</v>
      </c>
      <c r="H194" s="13" t="s">
        <v>348</v>
      </c>
      <c r="I194" s="13"/>
      <c r="J194" s="13"/>
      <c r="K194" s="13">
        <v>211</v>
      </c>
      <c r="L194" s="13">
        <v>26</v>
      </c>
      <c r="M194" s="13">
        <v>3</v>
      </c>
      <c r="N194" s="13" t="s">
        <v>3</v>
      </c>
      <c r="O194" s="13">
        <v>2</v>
      </c>
      <c r="P194" s="13">
        <f>ROUND(Source!DQ167,O194)</f>
        <v>192569.58</v>
      </c>
      <c r="Q194" s="13"/>
      <c r="R194" s="13"/>
      <c r="S194" s="13"/>
      <c r="T194" s="13"/>
      <c r="U194" s="13"/>
      <c r="V194" s="13"/>
      <c r="W194" s="13">
        <v>3417.39</v>
      </c>
      <c r="X194" s="13">
        <v>1</v>
      </c>
      <c r="Y194" s="13">
        <v>3417.39</v>
      </c>
      <c r="Z194" s="13">
        <v>192569.58</v>
      </c>
      <c r="AA194" s="13">
        <v>1</v>
      </c>
      <c r="AB194" s="13">
        <v>192569.58</v>
      </c>
    </row>
    <row r="195" spans="1:255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224</v>
      </c>
      <c r="F195" s="13">
        <f>ROUND(Source!AR167,O195)</f>
        <v>288446.09000000003</v>
      </c>
      <c r="G195" s="13" t="s">
        <v>349</v>
      </c>
      <c r="H195" s="13" t="s">
        <v>350</v>
      </c>
      <c r="I195" s="13"/>
      <c r="J195" s="13"/>
      <c r="K195" s="13">
        <v>224</v>
      </c>
      <c r="L195" s="13">
        <v>27</v>
      </c>
      <c r="M195" s="13">
        <v>3</v>
      </c>
      <c r="N195" s="13" t="s">
        <v>3</v>
      </c>
      <c r="O195" s="13">
        <v>2</v>
      </c>
      <c r="P195" s="13">
        <f>ROUND(Source!EJ167,O195)</f>
        <v>2861194.39</v>
      </c>
      <c r="Q195" s="13"/>
      <c r="R195" s="13"/>
      <c r="S195" s="13"/>
      <c r="T195" s="13"/>
      <c r="U195" s="13"/>
      <c r="V195" s="13"/>
      <c r="W195" s="13">
        <v>288446.09000000003</v>
      </c>
      <c r="X195" s="13">
        <v>1</v>
      </c>
      <c r="Y195" s="13">
        <v>288446.09000000003</v>
      </c>
      <c r="Z195" s="13">
        <v>2861194.39</v>
      </c>
      <c r="AA195" s="13">
        <v>1</v>
      </c>
      <c r="AB195" s="13">
        <v>2861194.39</v>
      </c>
    </row>
    <row r="197" spans="1:255" x14ac:dyDescent="0.2">
      <c r="A197" s="10">
        <v>4</v>
      </c>
      <c r="B197" s="10">
        <v>1</v>
      </c>
      <c r="C197" s="10"/>
      <c r="D197" s="10">
        <f>ROW(A288)</f>
        <v>288</v>
      </c>
      <c r="E197" s="10"/>
      <c r="F197" s="10" t="s">
        <v>21</v>
      </c>
      <c r="G197" s="10" t="s">
        <v>351</v>
      </c>
      <c r="H197" s="10" t="s">
        <v>3</v>
      </c>
      <c r="I197" s="10">
        <v>0</v>
      </c>
      <c r="J197" s="10"/>
      <c r="K197" s="10">
        <v>0</v>
      </c>
      <c r="L197" s="10"/>
      <c r="M197" s="10" t="s">
        <v>3</v>
      </c>
      <c r="N197" s="10"/>
      <c r="O197" s="10"/>
      <c r="P197" s="10"/>
      <c r="Q197" s="10"/>
      <c r="R197" s="10"/>
      <c r="S197" s="10">
        <v>0</v>
      </c>
      <c r="T197" s="10">
        <v>0</v>
      </c>
      <c r="U197" s="10" t="s">
        <v>3</v>
      </c>
      <c r="V197" s="10">
        <v>2</v>
      </c>
      <c r="W197" s="10"/>
      <c r="X197" s="10"/>
      <c r="Y197" s="10"/>
      <c r="Z197" s="10"/>
      <c r="AA197" s="10"/>
      <c r="AB197" s="10" t="s">
        <v>3</v>
      </c>
      <c r="AC197" s="10" t="s">
        <v>3</v>
      </c>
      <c r="AD197" s="10" t="s">
        <v>3</v>
      </c>
      <c r="AE197" s="10" t="s">
        <v>3</v>
      </c>
      <c r="AF197" s="10" t="s">
        <v>3</v>
      </c>
      <c r="AG197" s="10" t="s">
        <v>3</v>
      </c>
      <c r="AH197" s="10"/>
      <c r="AI197" s="10"/>
      <c r="AJ197" s="10"/>
      <c r="AK197" s="10"/>
      <c r="AL197" s="10"/>
      <c r="AM197" s="10"/>
      <c r="AN197" s="10"/>
      <c r="AO197" s="10"/>
      <c r="AP197" s="10" t="s">
        <v>3</v>
      </c>
      <c r="AQ197" s="10" t="s">
        <v>3</v>
      </c>
      <c r="AR197" s="10" t="s">
        <v>3</v>
      </c>
      <c r="AS197" s="10"/>
      <c r="AT197" s="10"/>
      <c r="AU197" s="10"/>
      <c r="AV197" s="10"/>
      <c r="AW197" s="10"/>
      <c r="AX197" s="10"/>
      <c r="AY197" s="10"/>
      <c r="AZ197" s="10" t="s">
        <v>3</v>
      </c>
      <c r="BA197" s="10"/>
      <c r="BB197" s="10" t="s">
        <v>3</v>
      </c>
      <c r="BC197" s="10" t="s">
        <v>3</v>
      </c>
      <c r="BD197" s="10" t="s">
        <v>3</v>
      </c>
      <c r="BE197" s="10" t="s">
        <v>3</v>
      </c>
      <c r="BF197" s="10" t="s">
        <v>3</v>
      </c>
      <c r="BG197" s="10" t="s">
        <v>3</v>
      </c>
      <c r="BH197" s="10" t="s">
        <v>3</v>
      </c>
      <c r="BI197" s="10" t="s">
        <v>3</v>
      </c>
      <c r="BJ197" s="10" t="s">
        <v>3</v>
      </c>
      <c r="BK197" s="10" t="s">
        <v>3</v>
      </c>
      <c r="BL197" s="10" t="s">
        <v>3</v>
      </c>
      <c r="BM197" s="10" t="s">
        <v>3</v>
      </c>
      <c r="BN197" s="10" t="s">
        <v>3</v>
      </c>
      <c r="BO197" s="10" t="s">
        <v>3</v>
      </c>
      <c r="BP197" s="10" t="s">
        <v>3</v>
      </c>
      <c r="BQ197" s="10"/>
      <c r="BR197" s="10"/>
      <c r="BS197" s="10"/>
      <c r="BT197" s="10"/>
      <c r="BU197" s="10"/>
      <c r="BV197" s="10"/>
      <c r="BW197" s="10"/>
      <c r="BX197" s="10">
        <v>0</v>
      </c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>
        <v>0</v>
      </c>
    </row>
    <row r="199" spans="1:255" x14ac:dyDescent="0.2">
      <c r="A199" s="11">
        <v>52</v>
      </c>
      <c r="B199" s="11">
        <f t="shared" ref="B199:G199" si="228">B288</f>
        <v>1</v>
      </c>
      <c r="C199" s="11">
        <f t="shared" si="228"/>
        <v>4</v>
      </c>
      <c r="D199" s="11">
        <f t="shared" si="228"/>
        <v>197</v>
      </c>
      <c r="E199" s="11">
        <f t="shared" si="228"/>
        <v>0</v>
      </c>
      <c r="F199" s="11" t="str">
        <f t="shared" si="228"/>
        <v>Новый раздел</v>
      </c>
      <c r="G199" s="11" t="str">
        <f t="shared" si="228"/>
        <v>Автоматическая установка водяного пожаротушения.</v>
      </c>
      <c r="H199" s="11"/>
      <c r="I199" s="11"/>
      <c r="J199" s="11"/>
      <c r="K199" s="11"/>
      <c r="L199" s="11"/>
      <c r="M199" s="11"/>
      <c r="N199" s="11"/>
      <c r="O199" s="11">
        <f t="shared" ref="O199:AT199" si="229">O288</f>
        <v>367373.14</v>
      </c>
      <c r="P199" s="11">
        <f t="shared" si="229"/>
        <v>279146.55</v>
      </c>
      <c r="Q199" s="11">
        <f t="shared" si="229"/>
        <v>19339.37</v>
      </c>
      <c r="R199" s="11">
        <f t="shared" si="229"/>
        <v>3570.36</v>
      </c>
      <c r="S199" s="11">
        <f t="shared" si="229"/>
        <v>68887.22</v>
      </c>
      <c r="T199" s="11">
        <f t="shared" si="229"/>
        <v>0</v>
      </c>
      <c r="U199" s="11">
        <f t="shared" si="229"/>
        <v>5505.9210388127985</v>
      </c>
      <c r="V199" s="11">
        <f t="shared" si="229"/>
        <v>0</v>
      </c>
      <c r="W199" s="11">
        <f t="shared" si="229"/>
        <v>0</v>
      </c>
      <c r="X199" s="11">
        <f t="shared" si="229"/>
        <v>65362.67</v>
      </c>
      <c r="Y199" s="11">
        <f t="shared" si="229"/>
        <v>33472.199999999997</v>
      </c>
      <c r="Z199" s="11">
        <f t="shared" si="229"/>
        <v>0</v>
      </c>
      <c r="AA199" s="11">
        <f t="shared" si="229"/>
        <v>0</v>
      </c>
      <c r="AB199" s="11">
        <f t="shared" si="229"/>
        <v>367373.14</v>
      </c>
      <c r="AC199" s="11">
        <f t="shared" si="229"/>
        <v>279146.55</v>
      </c>
      <c r="AD199" s="11">
        <f t="shared" si="229"/>
        <v>19339.37</v>
      </c>
      <c r="AE199" s="11">
        <f t="shared" si="229"/>
        <v>3570.36</v>
      </c>
      <c r="AF199" s="11">
        <f t="shared" si="229"/>
        <v>68887.22</v>
      </c>
      <c r="AG199" s="11">
        <f t="shared" si="229"/>
        <v>0</v>
      </c>
      <c r="AH199" s="11">
        <f t="shared" si="229"/>
        <v>5505.9210388127985</v>
      </c>
      <c r="AI199" s="11">
        <f t="shared" si="229"/>
        <v>0</v>
      </c>
      <c r="AJ199" s="11">
        <f t="shared" si="229"/>
        <v>0</v>
      </c>
      <c r="AK199" s="11">
        <f t="shared" si="229"/>
        <v>65362.67</v>
      </c>
      <c r="AL199" s="11">
        <f t="shared" si="229"/>
        <v>33472.199999999997</v>
      </c>
      <c r="AM199" s="11">
        <f t="shared" si="229"/>
        <v>0</v>
      </c>
      <c r="AN199" s="11">
        <f t="shared" si="229"/>
        <v>0</v>
      </c>
      <c r="AO199" s="11">
        <f t="shared" si="229"/>
        <v>0</v>
      </c>
      <c r="AP199" s="11">
        <f t="shared" si="229"/>
        <v>1798.97</v>
      </c>
      <c r="AQ199" s="11">
        <f t="shared" si="229"/>
        <v>0</v>
      </c>
      <c r="AR199" s="11">
        <f t="shared" si="229"/>
        <v>466208.01</v>
      </c>
      <c r="AS199" s="11">
        <f t="shared" si="229"/>
        <v>10181.040000000001</v>
      </c>
      <c r="AT199" s="11">
        <f t="shared" si="229"/>
        <v>454228</v>
      </c>
      <c r="AU199" s="11">
        <f t="shared" ref="AU199:BZ199" si="230">AU288</f>
        <v>0</v>
      </c>
      <c r="AV199" s="11">
        <f t="shared" si="230"/>
        <v>279146.55</v>
      </c>
      <c r="AW199" s="11">
        <f t="shared" si="230"/>
        <v>277347.58</v>
      </c>
      <c r="AX199" s="11">
        <f t="shared" si="230"/>
        <v>0</v>
      </c>
      <c r="AY199" s="11">
        <f t="shared" si="230"/>
        <v>277347.58</v>
      </c>
      <c r="AZ199" s="11">
        <f t="shared" si="230"/>
        <v>1798.97</v>
      </c>
      <c r="BA199" s="11">
        <f t="shared" si="230"/>
        <v>0</v>
      </c>
      <c r="BB199" s="11">
        <f t="shared" si="230"/>
        <v>0</v>
      </c>
      <c r="BC199" s="11">
        <f t="shared" si="230"/>
        <v>0</v>
      </c>
      <c r="BD199" s="11">
        <f t="shared" si="230"/>
        <v>0</v>
      </c>
      <c r="BE199" s="11">
        <f t="shared" si="230"/>
        <v>0</v>
      </c>
      <c r="BF199" s="11">
        <f t="shared" si="230"/>
        <v>0</v>
      </c>
      <c r="BG199" s="11">
        <f t="shared" si="230"/>
        <v>0</v>
      </c>
      <c r="BH199" s="11">
        <f t="shared" si="230"/>
        <v>0</v>
      </c>
      <c r="BI199" s="11">
        <f t="shared" si="230"/>
        <v>0</v>
      </c>
      <c r="BJ199" s="11">
        <f t="shared" si="230"/>
        <v>0</v>
      </c>
      <c r="BK199" s="11">
        <f t="shared" si="230"/>
        <v>0</v>
      </c>
      <c r="BL199" s="11">
        <f t="shared" si="230"/>
        <v>0</v>
      </c>
      <c r="BM199" s="11">
        <f t="shared" si="230"/>
        <v>0</v>
      </c>
      <c r="BN199" s="11">
        <f t="shared" si="230"/>
        <v>0</v>
      </c>
      <c r="BO199" s="11">
        <f t="shared" si="230"/>
        <v>0</v>
      </c>
      <c r="BP199" s="11">
        <f t="shared" si="230"/>
        <v>0</v>
      </c>
      <c r="BQ199" s="11">
        <f t="shared" si="230"/>
        <v>0</v>
      </c>
      <c r="BR199" s="11">
        <f t="shared" si="230"/>
        <v>0</v>
      </c>
      <c r="BS199" s="11">
        <f t="shared" si="230"/>
        <v>0</v>
      </c>
      <c r="BT199" s="11">
        <f t="shared" si="230"/>
        <v>0</v>
      </c>
      <c r="BU199" s="11">
        <f t="shared" si="230"/>
        <v>0</v>
      </c>
      <c r="BV199" s="11">
        <f t="shared" si="230"/>
        <v>0</v>
      </c>
      <c r="BW199" s="11">
        <f t="shared" si="230"/>
        <v>0</v>
      </c>
      <c r="BX199" s="11">
        <f t="shared" si="230"/>
        <v>0</v>
      </c>
      <c r="BY199" s="11">
        <f t="shared" si="230"/>
        <v>1798.97</v>
      </c>
      <c r="BZ199" s="11">
        <f t="shared" si="230"/>
        <v>0</v>
      </c>
      <c r="CA199" s="11">
        <f t="shared" ref="CA199:DF199" si="231">CA288</f>
        <v>466208.01</v>
      </c>
      <c r="CB199" s="11">
        <f t="shared" si="231"/>
        <v>10181.040000000001</v>
      </c>
      <c r="CC199" s="11">
        <f t="shared" si="231"/>
        <v>454228</v>
      </c>
      <c r="CD199" s="11">
        <f t="shared" si="231"/>
        <v>0</v>
      </c>
      <c r="CE199" s="11">
        <f t="shared" si="231"/>
        <v>279146.55</v>
      </c>
      <c r="CF199" s="11">
        <f t="shared" si="231"/>
        <v>277347.58</v>
      </c>
      <c r="CG199" s="11">
        <f t="shared" si="231"/>
        <v>0</v>
      </c>
      <c r="CH199" s="11">
        <f t="shared" si="231"/>
        <v>277347.58</v>
      </c>
      <c r="CI199" s="11">
        <f t="shared" si="231"/>
        <v>1798.97</v>
      </c>
      <c r="CJ199" s="11">
        <f t="shared" si="231"/>
        <v>0</v>
      </c>
      <c r="CK199" s="11">
        <f t="shared" si="231"/>
        <v>0</v>
      </c>
      <c r="CL199" s="11">
        <f t="shared" si="231"/>
        <v>0</v>
      </c>
      <c r="CM199" s="11">
        <f t="shared" si="231"/>
        <v>0</v>
      </c>
      <c r="CN199" s="11">
        <f t="shared" si="231"/>
        <v>0</v>
      </c>
      <c r="CO199" s="11">
        <f t="shared" si="231"/>
        <v>0</v>
      </c>
      <c r="CP199" s="11">
        <f t="shared" si="231"/>
        <v>0</v>
      </c>
      <c r="CQ199" s="11">
        <f t="shared" si="231"/>
        <v>0</v>
      </c>
      <c r="CR199" s="11">
        <f t="shared" si="231"/>
        <v>0</v>
      </c>
      <c r="CS199" s="11">
        <f t="shared" si="231"/>
        <v>0</v>
      </c>
      <c r="CT199" s="11">
        <f t="shared" si="231"/>
        <v>0</v>
      </c>
      <c r="CU199" s="11">
        <f t="shared" si="231"/>
        <v>0</v>
      </c>
      <c r="CV199" s="11">
        <f t="shared" si="231"/>
        <v>0</v>
      </c>
      <c r="CW199" s="11">
        <f t="shared" si="231"/>
        <v>0</v>
      </c>
      <c r="CX199" s="11">
        <f t="shared" si="231"/>
        <v>0</v>
      </c>
      <c r="CY199" s="11">
        <f t="shared" si="231"/>
        <v>0</v>
      </c>
      <c r="CZ199" s="11">
        <f t="shared" si="231"/>
        <v>0</v>
      </c>
      <c r="DA199" s="11">
        <f t="shared" si="231"/>
        <v>0</v>
      </c>
      <c r="DB199" s="11">
        <f t="shared" si="231"/>
        <v>0</v>
      </c>
      <c r="DC199" s="11">
        <f t="shared" si="231"/>
        <v>0</v>
      </c>
      <c r="DD199" s="11">
        <f t="shared" si="231"/>
        <v>0</v>
      </c>
      <c r="DE199" s="11">
        <f t="shared" si="231"/>
        <v>0</v>
      </c>
      <c r="DF199" s="11">
        <f t="shared" si="231"/>
        <v>0</v>
      </c>
      <c r="DG199" s="12">
        <f t="shared" ref="DG199:EL199" si="232">DG288</f>
        <v>7506489.9100000001</v>
      </c>
      <c r="DH199" s="12">
        <f t="shared" si="232"/>
        <v>3236491.27</v>
      </c>
      <c r="DI199" s="12">
        <f t="shared" si="232"/>
        <v>388203.8</v>
      </c>
      <c r="DJ199" s="12">
        <f t="shared" si="232"/>
        <v>201189.79</v>
      </c>
      <c r="DK199" s="12">
        <f t="shared" si="232"/>
        <v>3881794.84</v>
      </c>
      <c r="DL199" s="12">
        <f t="shared" si="232"/>
        <v>0</v>
      </c>
      <c r="DM199" s="12">
        <f t="shared" si="232"/>
        <v>5505.9210388127985</v>
      </c>
      <c r="DN199" s="12">
        <f t="shared" si="232"/>
        <v>0</v>
      </c>
      <c r="DO199" s="12">
        <f t="shared" si="232"/>
        <v>0</v>
      </c>
      <c r="DP199" s="12">
        <f t="shared" si="232"/>
        <v>3683187.14</v>
      </c>
      <c r="DQ199" s="12">
        <f t="shared" si="232"/>
        <v>1886159.15</v>
      </c>
      <c r="DR199" s="12">
        <f t="shared" si="232"/>
        <v>0</v>
      </c>
      <c r="DS199" s="12">
        <f t="shared" si="232"/>
        <v>0</v>
      </c>
      <c r="DT199" s="12">
        <f t="shared" si="232"/>
        <v>7506489.9100000001</v>
      </c>
      <c r="DU199" s="12">
        <f t="shared" si="232"/>
        <v>3236491.27</v>
      </c>
      <c r="DV199" s="12">
        <f t="shared" si="232"/>
        <v>388203.8</v>
      </c>
      <c r="DW199" s="12">
        <f t="shared" si="232"/>
        <v>201189.79</v>
      </c>
      <c r="DX199" s="12">
        <f t="shared" si="232"/>
        <v>3881794.84</v>
      </c>
      <c r="DY199" s="12">
        <f t="shared" si="232"/>
        <v>0</v>
      </c>
      <c r="DZ199" s="12">
        <f t="shared" si="232"/>
        <v>5505.9210388127985</v>
      </c>
      <c r="EA199" s="12">
        <f t="shared" si="232"/>
        <v>0</v>
      </c>
      <c r="EB199" s="12">
        <f t="shared" si="232"/>
        <v>0</v>
      </c>
      <c r="EC199" s="12">
        <f t="shared" si="232"/>
        <v>3683187.14</v>
      </c>
      <c r="ED199" s="12">
        <f t="shared" si="232"/>
        <v>1886159.15</v>
      </c>
      <c r="EE199" s="12">
        <f t="shared" si="232"/>
        <v>0</v>
      </c>
      <c r="EF199" s="12">
        <f t="shared" si="232"/>
        <v>0</v>
      </c>
      <c r="EG199" s="12">
        <f t="shared" si="232"/>
        <v>0</v>
      </c>
      <c r="EH199" s="12">
        <f t="shared" si="232"/>
        <v>13618.2</v>
      </c>
      <c r="EI199" s="12">
        <f t="shared" si="232"/>
        <v>0</v>
      </c>
      <c r="EJ199" s="12">
        <f t="shared" si="232"/>
        <v>13075836.199999999</v>
      </c>
      <c r="EK199" s="12">
        <f t="shared" si="232"/>
        <v>230538.83</v>
      </c>
      <c r="EL199" s="12">
        <f t="shared" si="232"/>
        <v>12831679.17</v>
      </c>
      <c r="EM199" s="12">
        <f t="shared" ref="EM199:FR199" si="233">EM288</f>
        <v>0</v>
      </c>
      <c r="EN199" s="12">
        <f t="shared" si="233"/>
        <v>3236491.27</v>
      </c>
      <c r="EO199" s="12">
        <f t="shared" si="233"/>
        <v>3222873.07</v>
      </c>
      <c r="EP199" s="12">
        <f t="shared" si="233"/>
        <v>0</v>
      </c>
      <c r="EQ199" s="12">
        <f t="shared" si="233"/>
        <v>3222873.07</v>
      </c>
      <c r="ER199" s="12">
        <f t="shared" si="233"/>
        <v>13618.2</v>
      </c>
      <c r="ES199" s="12">
        <f t="shared" si="233"/>
        <v>0</v>
      </c>
      <c r="ET199" s="12">
        <f t="shared" si="233"/>
        <v>0</v>
      </c>
      <c r="EU199" s="12">
        <f t="shared" si="233"/>
        <v>0</v>
      </c>
      <c r="EV199" s="12">
        <f t="shared" si="233"/>
        <v>0</v>
      </c>
      <c r="EW199" s="12">
        <f t="shared" si="233"/>
        <v>0</v>
      </c>
      <c r="EX199" s="12">
        <f t="shared" si="233"/>
        <v>0</v>
      </c>
      <c r="EY199" s="12">
        <f t="shared" si="233"/>
        <v>0</v>
      </c>
      <c r="EZ199" s="12">
        <f t="shared" si="233"/>
        <v>0</v>
      </c>
      <c r="FA199" s="12">
        <f t="shared" si="233"/>
        <v>0</v>
      </c>
      <c r="FB199" s="12">
        <f t="shared" si="233"/>
        <v>0</v>
      </c>
      <c r="FC199" s="12">
        <f t="shared" si="233"/>
        <v>0</v>
      </c>
      <c r="FD199" s="12">
        <f t="shared" si="233"/>
        <v>0</v>
      </c>
      <c r="FE199" s="12">
        <f t="shared" si="233"/>
        <v>0</v>
      </c>
      <c r="FF199" s="12">
        <f t="shared" si="233"/>
        <v>0</v>
      </c>
      <c r="FG199" s="12">
        <f t="shared" si="233"/>
        <v>0</v>
      </c>
      <c r="FH199" s="12">
        <f t="shared" si="233"/>
        <v>0</v>
      </c>
      <c r="FI199" s="12">
        <f t="shared" si="233"/>
        <v>0</v>
      </c>
      <c r="FJ199" s="12">
        <f t="shared" si="233"/>
        <v>0</v>
      </c>
      <c r="FK199" s="12">
        <f t="shared" si="233"/>
        <v>0</v>
      </c>
      <c r="FL199" s="12">
        <f t="shared" si="233"/>
        <v>0</v>
      </c>
      <c r="FM199" s="12">
        <f t="shared" si="233"/>
        <v>0</v>
      </c>
      <c r="FN199" s="12">
        <f t="shared" si="233"/>
        <v>0</v>
      </c>
      <c r="FO199" s="12">
        <f t="shared" si="233"/>
        <v>0</v>
      </c>
      <c r="FP199" s="12">
        <f t="shared" si="233"/>
        <v>0</v>
      </c>
      <c r="FQ199" s="12">
        <f t="shared" si="233"/>
        <v>13618.2</v>
      </c>
      <c r="FR199" s="12">
        <f t="shared" si="233"/>
        <v>0</v>
      </c>
      <c r="FS199" s="12">
        <f t="shared" ref="FS199:GX199" si="234">FS288</f>
        <v>13075836.199999999</v>
      </c>
      <c r="FT199" s="12">
        <f t="shared" si="234"/>
        <v>230538.83</v>
      </c>
      <c r="FU199" s="12">
        <f t="shared" si="234"/>
        <v>12831679.17</v>
      </c>
      <c r="FV199" s="12">
        <f t="shared" si="234"/>
        <v>0</v>
      </c>
      <c r="FW199" s="12">
        <f t="shared" si="234"/>
        <v>3236491.27</v>
      </c>
      <c r="FX199" s="12">
        <f t="shared" si="234"/>
        <v>3222873.07</v>
      </c>
      <c r="FY199" s="12">
        <f t="shared" si="234"/>
        <v>0</v>
      </c>
      <c r="FZ199" s="12">
        <f t="shared" si="234"/>
        <v>3222873.07</v>
      </c>
      <c r="GA199" s="12">
        <f t="shared" si="234"/>
        <v>13618.2</v>
      </c>
      <c r="GB199" s="12">
        <f t="shared" si="234"/>
        <v>0</v>
      </c>
      <c r="GC199" s="12">
        <f t="shared" si="234"/>
        <v>0</v>
      </c>
      <c r="GD199" s="12">
        <f t="shared" si="234"/>
        <v>0</v>
      </c>
      <c r="GE199" s="12">
        <f t="shared" si="234"/>
        <v>0</v>
      </c>
      <c r="GF199" s="12">
        <f t="shared" si="234"/>
        <v>0</v>
      </c>
      <c r="GG199" s="12">
        <f t="shared" si="234"/>
        <v>0</v>
      </c>
      <c r="GH199" s="12">
        <f t="shared" si="234"/>
        <v>0</v>
      </c>
      <c r="GI199" s="12">
        <f t="shared" si="234"/>
        <v>0</v>
      </c>
      <c r="GJ199" s="12">
        <f t="shared" si="234"/>
        <v>0</v>
      </c>
      <c r="GK199" s="12">
        <f t="shared" si="234"/>
        <v>0</v>
      </c>
      <c r="GL199" s="12">
        <f t="shared" si="234"/>
        <v>0</v>
      </c>
      <c r="GM199" s="12">
        <f t="shared" si="234"/>
        <v>0</v>
      </c>
      <c r="GN199" s="12">
        <f t="shared" si="234"/>
        <v>0</v>
      </c>
      <c r="GO199" s="12">
        <f t="shared" si="234"/>
        <v>0</v>
      </c>
      <c r="GP199" s="12">
        <f t="shared" si="234"/>
        <v>0</v>
      </c>
      <c r="GQ199" s="12">
        <f t="shared" si="234"/>
        <v>0</v>
      </c>
      <c r="GR199" s="12">
        <f t="shared" si="234"/>
        <v>0</v>
      </c>
      <c r="GS199" s="12">
        <f t="shared" si="234"/>
        <v>0</v>
      </c>
      <c r="GT199" s="12">
        <f t="shared" si="234"/>
        <v>0</v>
      </c>
      <c r="GU199" s="12">
        <f t="shared" si="234"/>
        <v>0</v>
      </c>
      <c r="GV199" s="12">
        <f t="shared" si="234"/>
        <v>0</v>
      </c>
      <c r="GW199" s="12">
        <f t="shared" si="234"/>
        <v>0</v>
      </c>
      <c r="GX199" s="12">
        <f t="shared" si="234"/>
        <v>0</v>
      </c>
    </row>
    <row r="201" spans="1:255" x14ac:dyDescent="0.2">
      <c r="A201" s="2">
        <v>17</v>
      </c>
      <c r="B201" s="2">
        <v>1</v>
      </c>
      <c r="C201" s="2">
        <f>ROW(SmtRes!A467)</f>
        <v>467</v>
      </c>
      <c r="D201" s="2">
        <f>ROW(EtalonRes!A500)</f>
        <v>500</v>
      </c>
      <c r="E201" s="2" t="s">
        <v>352</v>
      </c>
      <c r="F201" s="2" t="s">
        <v>353</v>
      </c>
      <c r="G201" s="2" t="s">
        <v>354</v>
      </c>
      <c r="H201" s="2" t="s">
        <v>254</v>
      </c>
      <c r="I201" s="2">
        <f>ROUND((778)/100,9)</f>
        <v>7.78</v>
      </c>
      <c r="J201" s="2">
        <v>0</v>
      </c>
      <c r="K201" s="2">
        <f>ROUND((778)/100,9)</f>
        <v>7.78</v>
      </c>
      <c r="L201" s="2"/>
      <c r="M201" s="2"/>
      <c r="N201" s="2"/>
      <c r="O201" s="2">
        <f t="shared" ref="O201:O232" si="235">ROUND(CP201,2)</f>
        <v>28735.8</v>
      </c>
      <c r="P201" s="2">
        <f t="shared" ref="P201:P232" si="236">ROUND((ROUND((AC201*AW201*I201),2)*BC201),2)</f>
        <v>22347.88</v>
      </c>
      <c r="Q201" s="2">
        <f>(ROUND((ROUND((((ET201*1.2))*AV201*I201),2)*BB201),2)+ROUND((ROUND(((AE201-((EU201*1.2)))*AV201*I201),2)*BS201),2))</f>
        <v>100.91</v>
      </c>
      <c r="R201" s="2">
        <f>(ROUND((ROUND((((EU201*1.2))*AV201*I201),2)*BS201),2)+ROUND((ROUND(((AE201-((EU201*1.2)))*AV201*I201),2)*BS201),2))</f>
        <v>15.04</v>
      </c>
      <c r="S201" s="2">
        <f t="shared" ref="S201:S232" si="237">ROUND((ROUND((AF201*AV201*I201),2)*BA201),2)</f>
        <v>6287.01</v>
      </c>
      <c r="T201" s="2">
        <f t="shared" ref="T201:T232" si="238">ROUND(CU201*I201,2)</f>
        <v>0</v>
      </c>
      <c r="U201" s="2">
        <f t="shared" ref="U201:U232" si="239">CV201*I201</f>
        <v>548.97892631999991</v>
      </c>
      <c r="V201" s="2">
        <f t="shared" ref="V201:V232" si="240">CW201*I201</f>
        <v>0</v>
      </c>
      <c r="W201" s="2">
        <f t="shared" ref="W201:W232" si="241">ROUND(CX201*I201,2)</f>
        <v>0</v>
      </c>
      <c r="X201" s="2">
        <f>(ROUND((((S201+ROUND((ROUND((((EU201*1.2))*AV201*I201),2)*BS201),2))*AT201)/100),2)+ROUND(((ROUND((ROUND(((AE201-((EU201*1.2)))*AV201*I201),2)*BS201),2)*AT201)/100),2))</f>
        <v>5671.85</v>
      </c>
      <c r="Y201" s="2">
        <f>(ROUND((((S201+ROUND((ROUND((((EU201*1.2))*AV201*I201),2)*BS201),2))*AU201)/100),2)+ROUND(((ROUND((ROUND(((AE201-((EU201*1.2)))*AV201*I201),2)*BS201),2)*AU201)/100),2))</f>
        <v>2898.94</v>
      </c>
      <c r="Z201" s="2"/>
      <c r="AA201" s="2">
        <v>55747649</v>
      </c>
      <c r="AB201" s="2">
        <f t="shared" ref="AB201:AB232" si="242">ROUND((AC201+AD201+AF201),6)</f>
        <v>3563.752</v>
      </c>
      <c r="AC201" s="2">
        <f>ROUND(((ES201*1)),6)</f>
        <v>2794.24</v>
      </c>
      <c r="AD201" s="2">
        <f>ROUND(((((ET201*1.2))-((EU201*1.2)))+AE201),6)</f>
        <v>12.156000000000001</v>
      </c>
      <c r="AE201" s="2">
        <f>ROUND(((EU201*1.2)),6)</f>
        <v>1.8120000000000001</v>
      </c>
      <c r="AF201" s="2">
        <f>ROUND(((EV201*1.2)),6)</f>
        <v>757.35599999999999</v>
      </c>
      <c r="AG201" s="2">
        <f t="shared" ref="AG201:AG232" si="243">ROUND((AP201),6)</f>
        <v>0</v>
      </c>
      <c r="AH201" s="2">
        <f>((EW201*1.2))</f>
        <v>66.131999999999991</v>
      </c>
      <c r="AI201" s="2">
        <f>((EX201*1.2))</f>
        <v>0</v>
      </c>
      <c r="AJ201" s="2">
        <f t="shared" ref="AJ201:AJ232" si="244">(AS201)</f>
        <v>0</v>
      </c>
      <c r="AK201" s="2">
        <v>3435.5</v>
      </c>
      <c r="AL201" s="2">
        <v>2794.24</v>
      </c>
      <c r="AM201" s="2">
        <v>10.130000000000001</v>
      </c>
      <c r="AN201" s="2">
        <v>1.51</v>
      </c>
      <c r="AO201" s="2">
        <v>631.13</v>
      </c>
      <c r="AP201" s="2">
        <v>0</v>
      </c>
      <c r="AQ201" s="2">
        <v>55.11</v>
      </c>
      <c r="AR201" s="2">
        <v>0</v>
      </c>
      <c r="AS201" s="2">
        <v>0</v>
      </c>
      <c r="AT201" s="2">
        <v>90</v>
      </c>
      <c r="AU201" s="2">
        <v>46</v>
      </c>
      <c r="AV201" s="2">
        <v>1.0669999999999999</v>
      </c>
      <c r="AW201" s="2">
        <v>1.028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2</v>
      </c>
      <c r="BJ201" s="2" t="s">
        <v>355</v>
      </c>
      <c r="BK201" s="2"/>
      <c r="BL201" s="2"/>
      <c r="BM201" s="2">
        <v>73</v>
      </c>
      <c r="BN201" s="2">
        <v>0</v>
      </c>
      <c r="BO201" s="2" t="s">
        <v>353</v>
      </c>
      <c r="BP201" s="2">
        <v>1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90</v>
      </c>
      <c r="CA201" s="2">
        <v>46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716</v>
      </c>
      <c r="CO201" s="2">
        <v>0</v>
      </c>
      <c r="CP201" s="2">
        <f t="shared" ref="CP201:CP232" si="245">(P201+Q201+S201)</f>
        <v>28735.800000000003</v>
      </c>
      <c r="CQ201" s="2">
        <f t="shared" ref="CQ201:CQ232" si="246">ROUND((ROUND((AC201*AW201*1),2)*BC201),2)</f>
        <v>2872.48</v>
      </c>
      <c r="CR201" s="2">
        <f>(ROUND((ROUND((((ET201*1.2))*AV201*1),2)*BB201),2)+ROUND((ROUND(((AE201-((EU201*1.2)))*AV201*1),2)*BS201),2))</f>
        <v>12.97</v>
      </c>
      <c r="CS201" s="2">
        <f>(ROUND((ROUND((((EU201*1.2))*AV201*1),2)*BS201),2)+ROUND((ROUND(((AE201-((EU201*1.2)))*AV201*1),2)*BS201),2))</f>
        <v>1.93</v>
      </c>
      <c r="CT201" s="2">
        <f t="shared" ref="CT201:CT232" si="247">ROUND((ROUND((AF201*AV201*1),2)*BA201),2)</f>
        <v>808.1</v>
      </c>
      <c r="CU201" s="2">
        <f t="shared" ref="CU201:CU232" si="248">AG201</f>
        <v>0</v>
      </c>
      <c r="CV201" s="2">
        <f t="shared" ref="CV201:CV232" si="249">(AH201*AV201)</f>
        <v>70.562843999999984</v>
      </c>
      <c r="CW201" s="2">
        <f t="shared" ref="CW201:CW232" si="250">AI201</f>
        <v>0</v>
      </c>
      <c r="CX201" s="2">
        <f t="shared" ref="CX201:CX232" si="251">AJ201</f>
        <v>0</v>
      </c>
      <c r="CY201" s="2">
        <f>(ROUND((((S201+ROUND((ROUND((((EU201*1.2))*AV201*1),2)*BS201),2))*AT201)/100),2)+ROUND(((ROUND((ROUND(((AE201-((EU201*1.2)))*AV201*1),2)*BS201),2)*AT201)/100),2))</f>
        <v>5660.05</v>
      </c>
      <c r="CZ201" s="2">
        <f>(ROUND((((S201+ROUND((ROUND((((EU201*1.2))*AV201*1),2)*BS201),2))*AU201)/100),2)+ROUND(((ROUND((ROUND(((AE201-((EU201*1.2)))*AV201*1),2)*BS201),2)*AU201)/100),2))</f>
        <v>2892.91</v>
      </c>
      <c r="DA201" s="2"/>
      <c r="DB201" s="2">
        <v>77</v>
      </c>
      <c r="DC201" s="2" t="s">
        <v>3</v>
      </c>
      <c r="DD201" s="2" t="s">
        <v>48</v>
      </c>
      <c r="DE201" s="2" t="s">
        <v>49</v>
      </c>
      <c r="DF201" s="2" t="s">
        <v>49</v>
      </c>
      <c r="DG201" s="2" t="s">
        <v>49</v>
      </c>
      <c r="DH201" s="2" t="s">
        <v>3</v>
      </c>
      <c r="DI201" s="2" t="s">
        <v>49</v>
      </c>
      <c r="DJ201" s="2" t="s">
        <v>49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1010</v>
      </c>
      <c r="DV201" s="2" t="s">
        <v>254</v>
      </c>
      <c r="DW201" s="2" t="s">
        <v>254</v>
      </c>
      <c r="DX201" s="2">
        <v>100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56938740</v>
      </c>
      <c r="EF201" s="2">
        <v>40</v>
      </c>
      <c r="EG201" s="2" t="s">
        <v>29</v>
      </c>
      <c r="EH201" s="2">
        <v>0</v>
      </c>
      <c r="EI201" s="2" t="s">
        <v>3</v>
      </c>
      <c r="EJ201" s="2">
        <v>2</v>
      </c>
      <c r="EK201" s="2">
        <v>73</v>
      </c>
      <c r="EL201" s="2" t="s">
        <v>85</v>
      </c>
      <c r="EM201" s="2" t="s">
        <v>86</v>
      </c>
      <c r="EN201" s="2"/>
      <c r="EO201" s="2" t="s">
        <v>50</v>
      </c>
      <c r="EP201" s="2"/>
      <c r="EQ201" s="2">
        <v>131072</v>
      </c>
      <c r="ER201" s="2">
        <v>3435.5</v>
      </c>
      <c r="ES201" s="2">
        <v>2794.24</v>
      </c>
      <c r="ET201" s="2">
        <v>10.130000000000001</v>
      </c>
      <c r="EU201" s="2">
        <v>1.51</v>
      </c>
      <c r="EV201" s="2">
        <v>631.13</v>
      </c>
      <c r="EW201" s="2">
        <v>55.11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2</v>
      </c>
      <c r="FT201" s="2"/>
      <c r="FU201" s="2"/>
      <c r="FV201" s="2"/>
      <c r="FW201" s="2"/>
      <c r="FX201" s="2">
        <v>90</v>
      </c>
      <c r="FY201" s="2">
        <v>46</v>
      </c>
      <c r="FZ201" s="2"/>
      <c r="GA201" s="2" t="s">
        <v>3</v>
      </c>
      <c r="GB201" s="2"/>
      <c r="GC201" s="2"/>
      <c r="GD201" s="2">
        <v>1</v>
      </c>
      <c r="GE201" s="2"/>
      <c r="GF201" s="2">
        <v>-1566683198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ref="GL201:GL232" si="252">ROUND(IF(AND(BH201=3,BI201=3,FS201&lt;&gt;0),P201,0),2)</f>
        <v>0</v>
      </c>
      <c r="GM201" s="2">
        <f t="shared" ref="GM201:GM232" si="253">ROUND(O201+X201+Y201,2)+GX201</f>
        <v>37306.589999999997</v>
      </c>
      <c r="GN201" s="2">
        <f t="shared" ref="GN201:GN232" si="254">IF(OR(BI201=0,BI201=1),GM201-GX201,0)</f>
        <v>0</v>
      </c>
      <c r="GO201" s="2">
        <f t="shared" ref="GO201:GO232" si="255">IF(BI201=2,GM201-GX201,0)</f>
        <v>37306.589999999997</v>
      </c>
      <c r="GP201" s="2">
        <f t="shared" ref="GP201:GP232" si="256">IF(BI201=4,GM201-GX201,0)</f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ref="GV201:GV232" si="257">ROUND((GT201),6)</f>
        <v>0</v>
      </c>
      <c r="GW201" s="2">
        <v>1</v>
      </c>
      <c r="GX201" s="2">
        <f t="shared" ref="GX201:GX232" si="258">ROUND(HC201*I201,2)</f>
        <v>0</v>
      </c>
      <c r="GY201" s="2"/>
      <c r="GZ201" s="2"/>
      <c r="HA201" s="2">
        <v>0</v>
      </c>
      <c r="HB201" s="2">
        <v>0</v>
      </c>
      <c r="HC201" s="2">
        <f t="shared" ref="HC201:HC232" si="259">GV201*GW201</f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 s="3">
        <v>17</v>
      </c>
      <c r="B202" s="3">
        <v>1</v>
      </c>
      <c r="C202" s="3">
        <f>ROW(SmtRes!A478)</f>
        <v>478</v>
      </c>
      <c r="D202" s="3">
        <f>ROW(EtalonRes!A514)</f>
        <v>514</v>
      </c>
      <c r="E202" s="3" t="s">
        <v>352</v>
      </c>
      <c r="F202" s="3" t="s">
        <v>353</v>
      </c>
      <c r="G202" s="3" t="s">
        <v>354</v>
      </c>
      <c r="H202" s="3" t="s">
        <v>254</v>
      </c>
      <c r="I202" s="3">
        <f>ROUND((778)/100,9)</f>
        <v>7.78</v>
      </c>
      <c r="J202" s="3">
        <v>0</v>
      </c>
      <c r="K202" s="3">
        <f>ROUND((778)/100,9)</f>
        <v>7.78</v>
      </c>
      <c r="O202" s="3">
        <f t="shared" si="235"/>
        <v>572534.39</v>
      </c>
      <c r="P202" s="3">
        <f t="shared" si="236"/>
        <v>216550.96</v>
      </c>
      <c r="Q202" s="3">
        <f>(ROUND((ROUND((((ET202*1.2))*AV202*I202),2)*BB202),2)+ROUND((ROUND(((AE202-((EU202*1.2)))*AV202*I202),2)*BS202),2))</f>
        <v>1710.42</v>
      </c>
      <c r="R202" s="3">
        <f>(ROUND((ROUND((((EU202*1.2))*AV202*I202),2)*BS202),2)+ROUND((ROUND(((AE202-((EU202*1.2)))*AV202*I202),2)*BS202),2))</f>
        <v>847.5</v>
      </c>
      <c r="S202" s="3">
        <f t="shared" si="237"/>
        <v>354273.01</v>
      </c>
      <c r="T202" s="3">
        <f t="shared" si="238"/>
        <v>0</v>
      </c>
      <c r="U202" s="3">
        <f t="shared" si="239"/>
        <v>548.97892631999991</v>
      </c>
      <c r="V202" s="3">
        <f t="shared" si="240"/>
        <v>0</v>
      </c>
      <c r="W202" s="3">
        <f t="shared" si="241"/>
        <v>0</v>
      </c>
      <c r="X202" s="3">
        <f>(ROUND((((S202+ROUND((ROUND((((EU202*1.2))*AV202*I202),2)*BS202),2))*AT202)/100),2)+ROUND(((ROUND((ROUND(((AE202-((EU202*1.2)))*AV202*I202),2)*BS202),2)*AT202)/100),2))</f>
        <v>319608.46000000002</v>
      </c>
      <c r="Y202" s="3">
        <f>(ROUND((((S202+ROUND((ROUND((((EU202*1.2))*AV202*I202),2)*BS202),2))*AU202)/100),2)+ROUND(((ROUND((ROUND(((AE202-((EU202*1.2)))*AV202*I202),2)*BS202),2)*AU202)/100),2))</f>
        <v>163355.43</v>
      </c>
      <c r="AA202" s="3">
        <v>55747651</v>
      </c>
      <c r="AB202" s="3">
        <f t="shared" si="242"/>
        <v>3563.752</v>
      </c>
      <c r="AC202" s="3">
        <f>ROUND(((ES202*1)),6)</f>
        <v>2794.24</v>
      </c>
      <c r="AD202" s="3">
        <f>ROUND(((((ET202*1.2))-((EU202*1.2)))+AE202),6)</f>
        <v>12.156000000000001</v>
      </c>
      <c r="AE202" s="3">
        <f>ROUND(((EU202*1.2)),6)</f>
        <v>1.8120000000000001</v>
      </c>
      <c r="AF202" s="3">
        <f>ROUND(((EV202*1.2)),6)</f>
        <v>757.35599999999999</v>
      </c>
      <c r="AG202" s="3">
        <f t="shared" si="243"/>
        <v>0</v>
      </c>
      <c r="AH202" s="3">
        <f>((EW202*1.2))</f>
        <v>66.131999999999991</v>
      </c>
      <c r="AI202" s="3">
        <f>((EX202*1.2))</f>
        <v>0</v>
      </c>
      <c r="AJ202" s="3">
        <f t="shared" si="244"/>
        <v>0</v>
      </c>
      <c r="AK202" s="3">
        <v>3435.5</v>
      </c>
      <c r="AL202" s="3">
        <v>2794.24</v>
      </c>
      <c r="AM202" s="3">
        <v>10.130000000000001</v>
      </c>
      <c r="AN202" s="3">
        <v>1.51</v>
      </c>
      <c r="AO202" s="3">
        <v>631.13</v>
      </c>
      <c r="AP202" s="3">
        <v>0</v>
      </c>
      <c r="AQ202" s="3">
        <v>55.11</v>
      </c>
      <c r="AR202" s="3">
        <v>0</v>
      </c>
      <c r="AS202" s="3">
        <v>0</v>
      </c>
      <c r="AT202" s="3">
        <v>90</v>
      </c>
      <c r="AU202" s="3">
        <v>46</v>
      </c>
      <c r="AV202" s="3">
        <v>1.0669999999999999</v>
      </c>
      <c r="AW202" s="3">
        <v>1.028</v>
      </c>
      <c r="AZ202" s="3">
        <v>1</v>
      </c>
      <c r="BA202" s="3">
        <v>56.35</v>
      </c>
      <c r="BB202" s="3">
        <v>16.95</v>
      </c>
      <c r="BC202" s="3">
        <v>9.69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0</v>
      </c>
      <c r="BI202" s="3">
        <v>2</v>
      </c>
      <c r="BJ202" s="3" t="s">
        <v>355</v>
      </c>
      <c r="BM202" s="3">
        <v>73</v>
      </c>
      <c r="BN202" s="3">
        <v>0</v>
      </c>
      <c r="BO202" s="3" t="s">
        <v>353</v>
      </c>
      <c r="BP202" s="3">
        <v>1</v>
      </c>
      <c r="BQ202" s="3">
        <v>40</v>
      </c>
      <c r="BR202" s="3">
        <v>0</v>
      </c>
      <c r="BS202" s="3">
        <v>56.35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90</v>
      </c>
      <c r="CA202" s="3">
        <v>46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716</v>
      </c>
      <c r="CO202" s="3">
        <v>0</v>
      </c>
      <c r="CP202" s="3">
        <f t="shared" si="245"/>
        <v>572534.39</v>
      </c>
      <c r="CQ202" s="3">
        <f t="shared" si="246"/>
        <v>27834.33</v>
      </c>
      <c r="CR202" s="3">
        <f>(ROUND((ROUND((((ET202*1.2))*AV202*1),2)*BB202),2)+ROUND((ROUND(((AE202-((EU202*1.2)))*AV202*1),2)*BS202),2))</f>
        <v>219.84</v>
      </c>
      <c r="CS202" s="3">
        <f>(ROUND((ROUND((((EU202*1.2))*AV202*1),2)*BS202),2)+ROUND((ROUND(((AE202-((EU202*1.2)))*AV202*1),2)*BS202),2))</f>
        <v>108.76</v>
      </c>
      <c r="CT202" s="3">
        <f t="shared" si="247"/>
        <v>45536.44</v>
      </c>
      <c r="CU202" s="3">
        <f t="shared" si="248"/>
        <v>0</v>
      </c>
      <c r="CV202" s="3">
        <f t="shared" si="249"/>
        <v>70.562843999999984</v>
      </c>
      <c r="CW202" s="3">
        <f t="shared" si="250"/>
        <v>0</v>
      </c>
      <c r="CX202" s="3">
        <f t="shared" si="251"/>
        <v>0</v>
      </c>
      <c r="CY202" s="3">
        <f>(ROUND((((S202+ROUND((ROUND((((EU202*1.2))*AV202*1),2)*BS202),2))*AT202)/100),2)+ROUND(((ROUND((ROUND(((AE202-((EU202*1.2)))*AV202*1),2)*BS202),2)*AT202)/100),2))</f>
        <v>318943.59000000003</v>
      </c>
      <c r="CZ202" s="3">
        <f>(ROUND((((S202+ROUND((ROUND((((EU202*1.2))*AV202*1),2)*BS202),2))*AU202)/100),2)+ROUND(((ROUND((ROUND(((AE202-((EU202*1.2)))*AV202*1),2)*BS202),2)*AU202)/100),2))</f>
        <v>163015.60999999999</v>
      </c>
      <c r="DB202" s="3">
        <v>78</v>
      </c>
      <c r="DC202" s="3" t="s">
        <v>3</v>
      </c>
      <c r="DD202" s="3" t="s">
        <v>48</v>
      </c>
      <c r="DE202" s="3" t="s">
        <v>49</v>
      </c>
      <c r="DF202" s="3" t="s">
        <v>49</v>
      </c>
      <c r="DG202" s="3" t="s">
        <v>49</v>
      </c>
      <c r="DH202" s="3" t="s">
        <v>3</v>
      </c>
      <c r="DI202" s="3" t="s">
        <v>49</v>
      </c>
      <c r="DJ202" s="3" t="s">
        <v>49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1010</v>
      </c>
      <c r="DV202" s="3" t="s">
        <v>254</v>
      </c>
      <c r="DW202" s="3" t="s">
        <v>254</v>
      </c>
      <c r="DX202" s="3">
        <v>100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56938740</v>
      </c>
      <c r="EF202" s="3">
        <v>40</v>
      </c>
      <c r="EG202" s="3" t="s">
        <v>29</v>
      </c>
      <c r="EH202" s="3">
        <v>0</v>
      </c>
      <c r="EI202" s="3" t="s">
        <v>3</v>
      </c>
      <c r="EJ202" s="3">
        <v>2</v>
      </c>
      <c r="EK202" s="3">
        <v>73</v>
      </c>
      <c r="EL202" s="3" t="s">
        <v>85</v>
      </c>
      <c r="EM202" s="3" t="s">
        <v>86</v>
      </c>
      <c r="EO202" s="3" t="s">
        <v>50</v>
      </c>
      <c r="EQ202" s="3">
        <v>131072</v>
      </c>
      <c r="ER202" s="3">
        <v>3435.5</v>
      </c>
      <c r="ES202" s="3">
        <v>2794.24</v>
      </c>
      <c r="ET202" s="3">
        <v>10.130000000000001</v>
      </c>
      <c r="EU202" s="3">
        <v>1.51</v>
      </c>
      <c r="EV202" s="3">
        <v>631.13</v>
      </c>
      <c r="EW202" s="3">
        <v>55.11</v>
      </c>
      <c r="EX202" s="3">
        <v>0</v>
      </c>
      <c r="EY202" s="3">
        <v>0</v>
      </c>
      <c r="FQ202" s="3">
        <v>0</v>
      </c>
      <c r="FR202" s="3">
        <v>0</v>
      </c>
      <c r="FS202" s="3">
        <v>2</v>
      </c>
      <c r="FX202" s="3">
        <v>90</v>
      </c>
      <c r="FY202" s="3">
        <v>46</v>
      </c>
      <c r="GA202" s="3" t="s">
        <v>3</v>
      </c>
      <c r="GD202" s="3">
        <v>1</v>
      </c>
      <c r="GF202" s="3">
        <v>-1566683198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252"/>
        <v>0</v>
      </c>
      <c r="GM202" s="3">
        <f t="shared" si="253"/>
        <v>1055498.28</v>
      </c>
      <c r="GN202" s="3">
        <f t="shared" si="254"/>
        <v>0</v>
      </c>
      <c r="GO202" s="3">
        <f t="shared" si="255"/>
        <v>1055498.28</v>
      </c>
      <c r="GP202" s="3">
        <f t="shared" si="256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257"/>
        <v>0</v>
      </c>
      <c r="GW202" s="3">
        <v>1</v>
      </c>
      <c r="GX202" s="3">
        <f t="shared" si="258"/>
        <v>0</v>
      </c>
      <c r="HA202" s="3">
        <v>0</v>
      </c>
      <c r="HB202" s="3">
        <v>0</v>
      </c>
      <c r="HC202" s="3">
        <f t="shared" si="259"/>
        <v>0</v>
      </c>
      <c r="HE202" s="3" t="s">
        <v>3</v>
      </c>
      <c r="HF202" s="3" t="s">
        <v>3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">
      <c r="A203" s="2">
        <v>18</v>
      </c>
      <c r="B203" s="2">
        <v>1</v>
      </c>
      <c r="C203" s="2">
        <v>466</v>
      </c>
      <c r="D203" s="2"/>
      <c r="E203" s="2" t="s">
        <v>356</v>
      </c>
      <c r="F203" s="2" t="s">
        <v>357</v>
      </c>
      <c r="G203" s="2" t="s">
        <v>358</v>
      </c>
      <c r="H203" s="2" t="s">
        <v>118</v>
      </c>
      <c r="I203" s="2">
        <f>I201*J203</f>
        <v>778</v>
      </c>
      <c r="J203" s="2">
        <v>100</v>
      </c>
      <c r="K203" s="2">
        <v>100</v>
      </c>
      <c r="L203" s="2"/>
      <c r="M203" s="2"/>
      <c r="N203" s="2"/>
      <c r="O203" s="2">
        <f t="shared" si="235"/>
        <v>29727.38</v>
      </c>
      <c r="P203" s="2">
        <f t="shared" si="236"/>
        <v>29727.38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237"/>
        <v>0</v>
      </c>
      <c r="T203" s="2">
        <f t="shared" si="238"/>
        <v>0</v>
      </c>
      <c r="U203" s="2">
        <f t="shared" si="239"/>
        <v>0</v>
      </c>
      <c r="V203" s="2">
        <f t="shared" si="240"/>
        <v>0</v>
      </c>
      <c r="W203" s="2">
        <f t="shared" si="241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55747649</v>
      </c>
      <c r="AB203" s="2">
        <f t="shared" si="242"/>
        <v>38.21</v>
      </c>
      <c r="AC203" s="2">
        <f>ROUND((ES203),6)</f>
        <v>38.21</v>
      </c>
      <c r="AD203" s="2">
        <f>ROUND((((ET203)-(EU203))+AE203),6)</f>
        <v>0</v>
      </c>
      <c r="AE203" s="2">
        <f t="shared" ref="AE203:AF206" si="260">ROUND((EU203),6)</f>
        <v>0</v>
      </c>
      <c r="AF203" s="2">
        <f t="shared" si="260"/>
        <v>0</v>
      </c>
      <c r="AG203" s="2">
        <f t="shared" si="243"/>
        <v>0</v>
      </c>
      <c r="AH203" s="2">
        <f t="shared" ref="AH203:AI206" si="261">(EW203)</f>
        <v>0</v>
      </c>
      <c r="AI203" s="2">
        <f t="shared" si="261"/>
        <v>0</v>
      </c>
      <c r="AJ203" s="2">
        <f t="shared" si="244"/>
        <v>0</v>
      </c>
      <c r="AK203" s="2">
        <v>38.21</v>
      </c>
      <c r="AL203" s="2">
        <v>38.21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90</v>
      </c>
      <c r="AU203" s="2">
        <v>46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2</v>
      </c>
      <c r="BJ203" s="2" t="s">
        <v>359</v>
      </c>
      <c r="BK203" s="2"/>
      <c r="BL203" s="2"/>
      <c r="BM203" s="2">
        <v>73</v>
      </c>
      <c r="BN203" s="2">
        <v>0</v>
      </c>
      <c r="BO203" s="2" t="s">
        <v>3</v>
      </c>
      <c r="BP203" s="2">
        <v>0</v>
      </c>
      <c r="BQ203" s="2">
        <v>40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90</v>
      </c>
      <c r="CA203" s="2">
        <v>46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3</v>
      </c>
      <c r="CO203" s="2">
        <v>0</v>
      </c>
      <c r="CP203" s="2">
        <f t="shared" si="245"/>
        <v>29727.38</v>
      </c>
      <c r="CQ203" s="2">
        <f t="shared" si="246"/>
        <v>38.21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247"/>
        <v>0</v>
      </c>
      <c r="CU203" s="2">
        <f t="shared" si="248"/>
        <v>0</v>
      </c>
      <c r="CV203" s="2">
        <f t="shared" si="249"/>
        <v>0</v>
      </c>
      <c r="CW203" s="2">
        <f t="shared" si="250"/>
        <v>0</v>
      </c>
      <c r="CX203" s="2">
        <f t="shared" si="251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118</v>
      </c>
      <c r="DW203" s="2" t="s">
        <v>118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56938740</v>
      </c>
      <c r="EF203" s="2">
        <v>40</v>
      </c>
      <c r="EG203" s="2" t="s">
        <v>29</v>
      </c>
      <c r="EH203" s="2">
        <v>0</v>
      </c>
      <c r="EI203" s="2" t="s">
        <v>3</v>
      </c>
      <c r="EJ203" s="2">
        <v>2</v>
      </c>
      <c r="EK203" s="2">
        <v>73</v>
      </c>
      <c r="EL203" s="2" t="s">
        <v>85</v>
      </c>
      <c r="EM203" s="2" t="s">
        <v>86</v>
      </c>
      <c r="EN203" s="2"/>
      <c r="EO203" s="2" t="s">
        <v>3</v>
      </c>
      <c r="EP203" s="2"/>
      <c r="EQ203" s="2">
        <v>0</v>
      </c>
      <c r="ER203" s="2">
        <v>38.21</v>
      </c>
      <c r="ES203" s="2">
        <v>38.21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90</v>
      </c>
      <c r="FY203" s="2">
        <v>46</v>
      </c>
      <c r="FZ203" s="2"/>
      <c r="GA203" s="2" t="s">
        <v>3</v>
      </c>
      <c r="GB203" s="2"/>
      <c r="GC203" s="2"/>
      <c r="GD203" s="2">
        <v>1</v>
      </c>
      <c r="GE203" s="2"/>
      <c r="GF203" s="2">
        <v>-1169831446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252"/>
        <v>0</v>
      </c>
      <c r="GM203" s="2">
        <f t="shared" si="253"/>
        <v>29727.38</v>
      </c>
      <c r="GN203" s="2">
        <f t="shared" si="254"/>
        <v>0</v>
      </c>
      <c r="GO203" s="2">
        <f t="shared" si="255"/>
        <v>29727.38</v>
      </c>
      <c r="GP203" s="2">
        <f t="shared" si="256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257"/>
        <v>0</v>
      </c>
      <c r="GW203" s="2">
        <v>1</v>
      </c>
      <c r="GX203" s="2">
        <f t="shared" si="258"/>
        <v>0</v>
      </c>
      <c r="GY203" s="2"/>
      <c r="GZ203" s="2"/>
      <c r="HA203" s="2">
        <v>0</v>
      </c>
      <c r="HB203" s="2">
        <v>0</v>
      </c>
      <c r="HC203" s="2">
        <f t="shared" si="259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 s="3">
        <v>18</v>
      </c>
      <c r="B204" s="3">
        <v>1</v>
      </c>
      <c r="C204" s="3">
        <v>477</v>
      </c>
      <c r="E204" s="3" t="s">
        <v>356</v>
      </c>
      <c r="F204" s="3" t="s">
        <v>357</v>
      </c>
      <c r="G204" s="3" t="s">
        <v>358</v>
      </c>
      <c r="H204" s="3" t="s">
        <v>118</v>
      </c>
      <c r="I204" s="3">
        <f>I202*J204</f>
        <v>778</v>
      </c>
      <c r="J204" s="3">
        <v>100</v>
      </c>
      <c r="K204" s="3">
        <v>100</v>
      </c>
      <c r="O204" s="3">
        <f t="shared" si="235"/>
        <v>731293.55</v>
      </c>
      <c r="P204" s="3">
        <f t="shared" si="236"/>
        <v>731293.55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237"/>
        <v>0</v>
      </c>
      <c r="T204" s="3">
        <f t="shared" si="238"/>
        <v>0</v>
      </c>
      <c r="U204" s="3">
        <f t="shared" si="239"/>
        <v>0</v>
      </c>
      <c r="V204" s="3">
        <f t="shared" si="240"/>
        <v>0</v>
      </c>
      <c r="W204" s="3">
        <f t="shared" si="241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55747651</v>
      </c>
      <c r="AB204" s="3">
        <f t="shared" si="242"/>
        <v>38.21</v>
      </c>
      <c r="AC204" s="3">
        <f>ROUND((ES204),6)</f>
        <v>38.21</v>
      </c>
      <c r="AD204" s="3">
        <f>ROUND((((ET204)-(EU204))+AE204),6)</f>
        <v>0</v>
      </c>
      <c r="AE204" s="3">
        <f t="shared" si="260"/>
        <v>0</v>
      </c>
      <c r="AF204" s="3">
        <f t="shared" si="260"/>
        <v>0</v>
      </c>
      <c r="AG204" s="3">
        <f t="shared" si="243"/>
        <v>0</v>
      </c>
      <c r="AH204" s="3">
        <f t="shared" si="261"/>
        <v>0</v>
      </c>
      <c r="AI204" s="3">
        <f t="shared" si="261"/>
        <v>0</v>
      </c>
      <c r="AJ204" s="3">
        <f t="shared" si="244"/>
        <v>0</v>
      </c>
      <c r="AK204" s="3">
        <v>38.21</v>
      </c>
      <c r="AL204" s="3">
        <v>38.21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90</v>
      </c>
      <c r="AU204" s="3">
        <v>46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24.6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2</v>
      </c>
      <c r="BJ204" s="3" t="s">
        <v>359</v>
      </c>
      <c r="BM204" s="3">
        <v>73</v>
      </c>
      <c r="BN204" s="3">
        <v>0</v>
      </c>
      <c r="BO204" s="3" t="s">
        <v>357</v>
      </c>
      <c r="BP204" s="3">
        <v>1</v>
      </c>
      <c r="BQ204" s="3">
        <v>40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90</v>
      </c>
      <c r="CA204" s="3">
        <v>46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3</v>
      </c>
      <c r="CO204" s="3">
        <v>0</v>
      </c>
      <c r="CP204" s="3">
        <f t="shared" si="245"/>
        <v>731293.55</v>
      </c>
      <c r="CQ204" s="3">
        <f t="shared" si="246"/>
        <v>939.97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247"/>
        <v>0</v>
      </c>
      <c r="CU204" s="3">
        <f t="shared" si="248"/>
        <v>0</v>
      </c>
      <c r="CV204" s="3">
        <f t="shared" si="249"/>
        <v>0</v>
      </c>
      <c r="CW204" s="3">
        <f t="shared" si="250"/>
        <v>0</v>
      </c>
      <c r="CX204" s="3">
        <f t="shared" si="251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1010</v>
      </c>
      <c r="DV204" s="3" t="s">
        <v>118</v>
      </c>
      <c r="DW204" s="3" t="s">
        <v>118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56938740</v>
      </c>
      <c r="EF204" s="3">
        <v>40</v>
      </c>
      <c r="EG204" s="3" t="s">
        <v>29</v>
      </c>
      <c r="EH204" s="3">
        <v>0</v>
      </c>
      <c r="EI204" s="3" t="s">
        <v>3</v>
      </c>
      <c r="EJ204" s="3">
        <v>2</v>
      </c>
      <c r="EK204" s="3">
        <v>73</v>
      </c>
      <c r="EL204" s="3" t="s">
        <v>85</v>
      </c>
      <c r="EM204" s="3" t="s">
        <v>86</v>
      </c>
      <c r="EO204" s="3" t="s">
        <v>3</v>
      </c>
      <c r="EQ204" s="3">
        <v>0</v>
      </c>
      <c r="ER204" s="3">
        <v>38.21</v>
      </c>
      <c r="ES204" s="3">
        <v>38.21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FQ204" s="3">
        <v>0</v>
      </c>
      <c r="FR204" s="3">
        <v>0</v>
      </c>
      <c r="FS204" s="3">
        <v>0</v>
      </c>
      <c r="FX204" s="3">
        <v>90</v>
      </c>
      <c r="FY204" s="3">
        <v>46</v>
      </c>
      <c r="GA204" s="3" t="s">
        <v>3</v>
      </c>
      <c r="GD204" s="3">
        <v>1</v>
      </c>
      <c r="GF204" s="3">
        <v>-1169831446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252"/>
        <v>0</v>
      </c>
      <c r="GM204" s="3">
        <f t="shared" si="253"/>
        <v>731293.55</v>
      </c>
      <c r="GN204" s="3">
        <f t="shared" si="254"/>
        <v>0</v>
      </c>
      <c r="GO204" s="3">
        <f t="shared" si="255"/>
        <v>731293.55</v>
      </c>
      <c r="GP204" s="3">
        <f t="shared" si="256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257"/>
        <v>0</v>
      </c>
      <c r="GW204" s="3">
        <v>1</v>
      </c>
      <c r="GX204" s="3">
        <f t="shared" si="258"/>
        <v>0</v>
      </c>
      <c r="HA204" s="3">
        <v>0</v>
      </c>
      <c r="HB204" s="3">
        <v>0</v>
      </c>
      <c r="HC204" s="3">
        <f t="shared" si="259"/>
        <v>0</v>
      </c>
      <c r="HE204" s="3" t="s">
        <v>3</v>
      </c>
      <c r="HF204" s="3" t="s">
        <v>3</v>
      </c>
      <c r="HM204" s="3" t="s">
        <v>3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">
      <c r="A205" s="2">
        <v>17</v>
      </c>
      <c r="B205" s="2">
        <v>1</v>
      </c>
      <c r="C205" s="2"/>
      <c r="D205" s="2"/>
      <c r="E205" s="2" t="s">
        <v>360</v>
      </c>
      <c r="F205" s="2" t="s">
        <v>361</v>
      </c>
      <c r="G205" s="2" t="s">
        <v>362</v>
      </c>
      <c r="H205" s="2" t="s">
        <v>118</v>
      </c>
      <c r="I205" s="2">
        <v>778</v>
      </c>
      <c r="J205" s="2">
        <v>0</v>
      </c>
      <c r="K205" s="2">
        <v>778</v>
      </c>
      <c r="L205" s="2"/>
      <c r="M205" s="2"/>
      <c r="N205" s="2"/>
      <c r="O205" s="2">
        <f t="shared" si="235"/>
        <v>24615.919999999998</v>
      </c>
      <c r="P205" s="2">
        <f t="shared" si="236"/>
        <v>24615.919999999998</v>
      </c>
      <c r="Q205" s="2">
        <f>(ROUND((ROUND(((ET205)*AV205*I205),2)*BB205),2)+ROUND((ROUND(((AE205-(EU205))*AV205*I205),2)*BS205),2))</f>
        <v>0</v>
      </c>
      <c r="R205" s="2">
        <f>(ROUND((ROUND(((EU205)*AV205*I205),2)*BS205),2)+ROUND((ROUND(((AE205-(EU205))*AV205*I205),2)*BS205),2))</f>
        <v>0</v>
      </c>
      <c r="S205" s="2">
        <f t="shared" si="237"/>
        <v>0</v>
      </c>
      <c r="T205" s="2">
        <f t="shared" si="238"/>
        <v>0</v>
      </c>
      <c r="U205" s="2">
        <f t="shared" si="239"/>
        <v>0</v>
      </c>
      <c r="V205" s="2">
        <f t="shared" si="240"/>
        <v>0</v>
      </c>
      <c r="W205" s="2">
        <f t="shared" si="241"/>
        <v>0</v>
      </c>
      <c r="X205" s="2">
        <f>(ROUND((((S205+ROUND((ROUND(((EU205)*AV205*I205),2)*BS205),2))*AT205)/100),2)+ROUND(((ROUND((ROUND(((AE205-(EU205))*AV205*I205),2)*BS205),2)*AT205)/100),2))</f>
        <v>0</v>
      </c>
      <c r="Y205" s="2">
        <f>(ROUND((((S205+ROUND((ROUND(((EU205)*AV205*I205),2)*BS205),2))*AU205)/100),2)+ROUND(((ROUND((ROUND(((AE205-(EU205))*AV205*I205),2)*BS205),2)*AU205)/100),2))</f>
        <v>0</v>
      </c>
      <c r="Z205" s="2"/>
      <c r="AA205" s="2">
        <v>55747649</v>
      </c>
      <c r="AB205" s="2">
        <f t="shared" si="242"/>
        <v>31.64</v>
      </c>
      <c r="AC205" s="2">
        <f>ROUND((ES205),6)</f>
        <v>31.64</v>
      </c>
      <c r="AD205" s="2">
        <f>ROUND((((ET205)-(EU205))+AE205),6)</f>
        <v>0</v>
      </c>
      <c r="AE205" s="2">
        <f t="shared" si="260"/>
        <v>0</v>
      </c>
      <c r="AF205" s="2">
        <f t="shared" si="260"/>
        <v>0</v>
      </c>
      <c r="AG205" s="2">
        <f t="shared" si="243"/>
        <v>0</v>
      </c>
      <c r="AH205" s="2">
        <f t="shared" si="261"/>
        <v>0</v>
      </c>
      <c r="AI205" s="2">
        <f t="shared" si="261"/>
        <v>0</v>
      </c>
      <c r="AJ205" s="2">
        <f t="shared" si="244"/>
        <v>0</v>
      </c>
      <c r="AK205" s="2">
        <v>31.64</v>
      </c>
      <c r="AL205" s="2">
        <v>31.64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90</v>
      </c>
      <c r="AU205" s="2">
        <v>46</v>
      </c>
      <c r="AV205" s="2">
        <v>1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3</v>
      </c>
      <c r="BI205" s="2">
        <v>2</v>
      </c>
      <c r="BJ205" s="2" t="s">
        <v>363</v>
      </c>
      <c r="BK205" s="2"/>
      <c r="BL205" s="2"/>
      <c r="BM205" s="2">
        <v>73</v>
      </c>
      <c r="BN205" s="2">
        <v>0</v>
      </c>
      <c r="BO205" s="2" t="s">
        <v>3</v>
      </c>
      <c r="BP205" s="2">
        <v>0</v>
      </c>
      <c r="BQ205" s="2">
        <v>40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90</v>
      </c>
      <c r="CA205" s="2">
        <v>46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3</v>
      </c>
      <c r="CO205" s="2">
        <v>0</v>
      </c>
      <c r="CP205" s="2">
        <f t="shared" si="245"/>
        <v>24615.919999999998</v>
      </c>
      <c r="CQ205" s="2">
        <f t="shared" si="246"/>
        <v>31.64</v>
      </c>
      <c r="CR205" s="2">
        <f>(ROUND((ROUND(((ET205)*AV205*1),2)*BB205),2)+ROUND((ROUND(((AE205-(EU205))*AV205*1),2)*BS205),2))</f>
        <v>0</v>
      </c>
      <c r="CS205" s="2">
        <f>(ROUND((ROUND(((EU205)*AV205*1),2)*BS205),2)+ROUND((ROUND(((AE205-(EU205))*AV205*1),2)*BS205),2))</f>
        <v>0</v>
      </c>
      <c r="CT205" s="2">
        <f t="shared" si="247"/>
        <v>0</v>
      </c>
      <c r="CU205" s="2">
        <f t="shared" si="248"/>
        <v>0</v>
      </c>
      <c r="CV205" s="2">
        <f t="shared" si="249"/>
        <v>0</v>
      </c>
      <c r="CW205" s="2">
        <f t="shared" si="250"/>
        <v>0</v>
      </c>
      <c r="CX205" s="2">
        <f t="shared" si="251"/>
        <v>0</v>
      </c>
      <c r="CY205" s="2">
        <f>(ROUND((((S205+ROUND((ROUND(((EU205)*AV205*1),2)*BS205),2))*AT205)/100),2)+ROUND(((ROUND((ROUND(((AE205-(EU205))*AV205*1),2)*BS205),2)*AT205)/100),2))</f>
        <v>0</v>
      </c>
      <c r="CZ205" s="2">
        <f>(ROUND((((S205+ROUND((ROUND(((EU205)*AV205*1),2)*BS205),2))*AU205)/100),2)+ROUND(((ROUND((ROUND(((AE205-(EU205))*AV205*1),2)*BS205),2)*AU205)/100),2))</f>
        <v>0</v>
      </c>
      <c r="DA205" s="2"/>
      <c r="DB205" s="2"/>
      <c r="DC205" s="2" t="s">
        <v>3</v>
      </c>
      <c r="DD205" s="2" t="s">
        <v>3</v>
      </c>
      <c r="DE205" s="2" t="s">
        <v>3</v>
      </c>
      <c r="DF205" s="2" t="s">
        <v>3</v>
      </c>
      <c r="DG205" s="2" t="s">
        <v>3</v>
      </c>
      <c r="DH205" s="2" t="s">
        <v>3</v>
      </c>
      <c r="DI205" s="2" t="s">
        <v>3</v>
      </c>
      <c r="DJ205" s="2" t="s">
        <v>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1010</v>
      </c>
      <c r="DV205" s="2" t="s">
        <v>118</v>
      </c>
      <c r="DW205" s="2" t="s">
        <v>118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56938740</v>
      </c>
      <c r="EF205" s="2">
        <v>40</v>
      </c>
      <c r="EG205" s="2" t="s">
        <v>29</v>
      </c>
      <c r="EH205" s="2">
        <v>0</v>
      </c>
      <c r="EI205" s="2" t="s">
        <v>3</v>
      </c>
      <c r="EJ205" s="2">
        <v>2</v>
      </c>
      <c r="EK205" s="2">
        <v>73</v>
      </c>
      <c r="EL205" s="2" t="s">
        <v>85</v>
      </c>
      <c r="EM205" s="2" t="s">
        <v>86</v>
      </c>
      <c r="EN205" s="2"/>
      <c r="EO205" s="2" t="s">
        <v>3</v>
      </c>
      <c r="EP205" s="2"/>
      <c r="EQ205" s="2">
        <v>0</v>
      </c>
      <c r="ER205" s="2">
        <v>31.64</v>
      </c>
      <c r="ES205" s="2">
        <v>31.64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90</v>
      </c>
      <c r="FY205" s="2">
        <v>46</v>
      </c>
      <c r="FZ205" s="2"/>
      <c r="GA205" s="2" t="s">
        <v>3</v>
      </c>
      <c r="GB205" s="2"/>
      <c r="GC205" s="2"/>
      <c r="GD205" s="2">
        <v>1</v>
      </c>
      <c r="GE205" s="2"/>
      <c r="GF205" s="2">
        <v>-1614271934</v>
      </c>
      <c r="GG205" s="2">
        <v>2</v>
      </c>
      <c r="GH205" s="2">
        <v>1</v>
      </c>
      <c r="GI205" s="2">
        <v>-2</v>
      </c>
      <c r="GJ205" s="2">
        <v>0</v>
      </c>
      <c r="GK205" s="2">
        <v>0</v>
      </c>
      <c r="GL205" s="2">
        <f t="shared" si="252"/>
        <v>0</v>
      </c>
      <c r="GM205" s="2">
        <f t="shared" si="253"/>
        <v>24615.919999999998</v>
      </c>
      <c r="GN205" s="2">
        <f t="shared" si="254"/>
        <v>0</v>
      </c>
      <c r="GO205" s="2">
        <f t="shared" si="255"/>
        <v>24615.919999999998</v>
      </c>
      <c r="GP205" s="2">
        <f t="shared" si="256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257"/>
        <v>0</v>
      </c>
      <c r="GW205" s="2">
        <v>1</v>
      </c>
      <c r="GX205" s="2">
        <f t="shared" si="258"/>
        <v>0</v>
      </c>
      <c r="GY205" s="2"/>
      <c r="GZ205" s="2"/>
      <c r="HA205" s="2">
        <v>0</v>
      </c>
      <c r="HB205" s="2">
        <v>0</v>
      </c>
      <c r="HC205" s="2">
        <f t="shared" si="259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">
      <c r="A206" s="3">
        <v>17</v>
      </c>
      <c r="B206" s="3">
        <v>1</v>
      </c>
      <c r="E206" s="3" t="s">
        <v>360</v>
      </c>
      <c r="F206" s="3" t="s">
        <v>361</v>
      </c>
      <c r="G206" s="3" t="s">
        <v>362</v>
      </c>
      <c r="H206" s="3" t="s">
        <v>118</v>
      </c>
      <c r="I206" s="3">
        <v>778</v>
      </c>
      <c r="J206" s="3">
        <v>0</v>
      </c>
      <c r="K206" s="3">
        <v>778</v>
      </c>
      <c r="O206" s="3">
        <f t="shared" si="235"/>
        <v>158772.68</v>
      </c>
      <c r="P206" s="3">
        <f t="shared" si="236"/>
        <v>158772.68</v>
      </c>
      <c r="Q206" s="3">
        <f>(ROUND((ROUND(((ET206)*AV206*I206),2)*BB206),2)+ROUND((ROUND(((AE206-(EU206))*AV206*I206),2)*BS206),2))</f>
        <v>0</v>
      </c>
      <c r="R206" s="3">
        <f>(ROUND((ROUND(((EU206)*AV206*I206),2)*BS206),2)+ROUND((ROUND(((AE206-(EU206))*AV206*I206),2)*BS206),2))</f>
        <v>0</v>
      </c>
      <c r="S206" s="3">
        <f t="shared" si="237"/>
        <v>0</v>
      </c>
      <c r="T206" s="3">
        <f t="shared" si="238"/>
        <v>0</v>
      </c>
      <c r="U206" s="3">
        <f t="shared" si="239"/>
        <v>0</v>
      </c>
      <c r="V206" s="3">
        <f t="shared" si="240"/>
        <v>0</v>
      </c>
      <c r="W206" s="3">
        <f t="shared" si="241"/>
        <v>0</v>
      </c>
      <c r="X206" s="3">
        <f>(ROUND((((S206+ROUND((ROUND(((EU206)*AV206*I206),2)*BS206),2))*AT206)/100),2)+ROUND(((ROUND((ROUND(((AE206-(EU206))*AV206*I206),2)*BS206),2)*AT206)/100),2))</f>
        <v>0</v>
      </c>
      <c r="Y206" s="3">
        <f>(ROUND((((S206+ROUND((ROUND(((EU206)*AV206*I206),2)*BS206),2))*AU206)/100),2)+ROUND(((ROUND((ROUND(((AE206-(EU206))*AV206*I206),2)*BS206),2)*AU206)/100),2))</f>
        <v>0</v>
      </c>
      <c r="AA206" s="3">
        <v>55747651</v>
      </c>
      <c r="AB206" s="3">
        <f t="shared" si="242"/>
        <v>31.64</v>
      </c>
      <c r="AC206" s="3">
        <f>ROUND((ES206),6)</f>
        <v>31.64</v>
      </c>
      <c r="AD206" s="3">
        <f>ROUND((((ET206)-(EU206))+AE206),6)</f>
        <v>0</v>
      </c>
      <c r="AE206" s="3">
        <f t="shared" si="260"/>
        <v>0</v>
      </c>
      <c r="AF206" s="3">
        <f t="shared" si="260"/>
        <v>0</v>
      </c>
      <c r="AG206" s="3">
        <f t="shared" si="243"/>
        <v>0</v>
      </c>
      <c r="AH206" s="3">
        <f t="shared" si="261"/>
        <v>0</v>
      </c>
      <c r="AI206" s="3">
        <f t="shared" si="261"/>
        <v>0</v>
      </c>
      <c r="AJ206" s="3">
        <f t="shared" si="244"/>
        <v>0</v>
      </c>
      <c r="AK206" s="3">
        <v>31.64</v>
      </c>
      <c r="AL206" s="3">
        <v>31.64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90</v>
      </c>
      <c r="AU206" s="3">
        <v>46</v>
      </c>
      <c r="AV206" s="3">
        <v>1</v>
      </c>
      <c r="AW206" s="3">
        <v>1</v>
      </c>
      <c r="AZ206" s="3">
        <v>1</v>
      </c>
      <c r="BA206" s="3">
        <v>1</v>
      </c>
      <c r="BB206" s="3">
        <v>1</v>
      </c>
      <c r="BC206" s="3">
        <v>6.45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3</v>
      </c>
      <c r="BI206" s="3">
        <v>2</v>
      </c>
      <c r="BJ206" s="3" t="s">
        <v>363</v>
      </c>
      <c r="BM206" s="3">
        <v>73</v>
      </c>
      <c r="BN206" s="3">
        <v>0</v>
      </c>
      <c r="BO206" s="3" t="s">
        <v>361</v>
      </c>
      <c r="BP206" s="3">
        <v>1</v>
      </c>
      <c r="BQ206" s="3">
        <v>40</v>
      </c>
      <c r="BR206" s="3">
        <v>0</v>
      </c>
      <c r="BS206" s="3">
        <v>1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90</v>
      </c>
      <c r="CA206" s="3">
        <v>46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3</v>
      </c>
      <c r="CO206" s="3">
        <v>0</v>
      </c>
      <c r="CP206" s="3">
        <f t="shared" si="245"/>
        <v>158772.68</v>
      </c>
      <c r="CQ206" s="3">
        <f t="shared" si="246"/>
        <v>204.08</v>
      </c>
      <c r="CR206" s="3">
        <f>(ROUND((ROUND(((ET206)*AV206*1),2)*BB206),2)+ROUND((ROUND(((AE206-(EU206))*AV206*1),2)*BS206),2))</f>
        <v>0</v>
      </c>
      <c r="CS206" s="3">
        <f>(ROUND((ROUND(((EU206)*AV206*1),2)*BS206),2)+ROUND((ROUND(((AE206-(EU206))*AV206*1),2)*BS206),2))</f>
        <v>0</v>
      </c>
      <c r="CT206" s="3">
        <f t="shared" si="247"/>
        <v>0</v>
      </c>
      <c r="CU206" s="3">
        <f t="shared" si="248"/>
        <v>0</v>
      </c>
      <c r="CV206" s="3">
        <f t="shared" si="249"/>
        <v>0</v>
      </c>
      <c r="CW206" s="3">
        <f t="shared" si="250"/>
        <v>0</v>
      </c>
      <c r="CX206" s="3">
        <f t="shared" si="251"/>
        <v>0</v>
      </c>
      <c r="CY206" s="3">
        <f>(ROUND((((S206+ROUND((ROUND(((EU206)*AV206*1),2)*BS206),2))*AT206)/100),2)+ROUND(((ROUND((ROUND(((AE206-(EU206))*AV206*1),2)*BS206),2)*AT206)/100),2))</f>
        <v>0</v>
      </c>
      <c r="CZ206" s="3">
        <f>(ROUND((((S206+ROUND((ROUND(((EU206)*AV206*1),2)*BS206),2))*AU206)/100),2)+ROUND(((ROUND((ROUND(((AE206-(EU206))*AV206*1),2)*BS206),2)*AU206)/100),2))</f>
        <v>0</v>
      </c>
      <c r="DC206" s="3" t="s">
        <v>3</v>
      </c>
      <c r="DD206" s="3" t="s">
        <v>3</v>
      </c>
      <c r="DE206" s="3" t="s">
        <v>3</v>
      </c>
      <c r="DF206" s="3" t="s">
        <v>3</v>
      </c>
      <c r="DG206" s="3" t="s">
        <v>3</v>
      </c>
      <c r="DH206" s="3" t="s">
        <v>3</v>
      </c>
      <c r="DI206" s="3" t="s">
        <v>3</v>
      </c>
      <c r="DJ206" s="3" t="s">
        <v>3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1010</v>
      </c>
      <c r="DV206" s="3" t="s">
        <v>118</v>
      </c>
      <c r="DW206" s="3" t="s">
        <v>118</v>
      </c>
      <c r="DX206" s="3">
        <v>1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56938740</v>
      </c>
      <c r="EF206" s="3">
        <v>40</v>
      </c>
      <c r="EG206" s="3" t="s">
        <v>29</v>
      </c>
      <c r="EH206" s="3">
        <v>0</v>
      </c>
      <c r="EI206" s="3" t="s">
        <v>3</v>
      </c>
      <c r="EJ206" s="3">
        <v>2</v>
      </c>
      <c r="EK206" s="3">
        <v>73</v>
      </c>
      <c r="EL206" s="3" t="s">
        <v>85</v>
      </c>
      <c r="EM206" s="3" t="s">
        <v>86</v>
      </c>
      <c r="EO206" s="3" t="s">
        <v>3</v>
      </c>
      <c r="EQ206" s="3">
        <v>0</v>
      </c>
      <c r="ER206" s="3">
        <v>31.64</v>
      </c>
      <c r="ES206" s="3">
        <v>31.64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FQ206" s="3">
        <v>0</v>
      </c>
      <c r="FR206" s="3">
        <v>0</v>
      </c>
      <c r="FS206" s="3">
        <v>0</v>
      </c>
      <c r="FX206" s="3">
        <v>90</v>
      </c>
      <c r="FY206" s="3">
        <v>46</v>
      </c>
      <c r="GA206" s="3" t="s">
        <v>3</v>
      </c>
      <c r="GD206" s="3">
        <v>1</v>
      </c>
      <c r="GF206" s="3">
        <v>-1614271934</v>
      </c>
      <c r="GG206" s="3">
        <v>2</v>
      </c>
      <c r="GH206" s="3">
        <v>1</v>
      </c>
      <c r="GI206" s="3">
        <v>2</v>
      </c>
      <c r="GJ206" s="3">
        <v>0</v>
      </c>
      <c r="GK206" s="3">
        <v>0</v>
      </c>
      <c r="GL206" s="3">
        <f t="shared" si="252"/>
        <v>0</v>
      </c>
      <c r="GM206" s="3">
        <f t="shared" si="253"/>
        <v>158772.68</v>
      </c>
      <c r="GN206" s="3">
        <f t="shared" si="254"/>
        <v>0</v>
      </c>
      <c r="GO206" s="3">
        <f t="shared" si="255"/>
        <v>158772.68</v>
      </c>
      <c r="GP206" s="3">
        <f t="shared" si="256"/>
        <v>0</v>
      </c>
      <c r="GR206" s="3">
        <v>0</v>
      </c>
      <c r="GS206" s="3">
        <v>3</v>
      </c>
      <c r="GT206" s="3">
        <v>0</v>
      </c>
      <c r="GU206" s="3" t="s">
        <v>3</v>
      </c>
      <c r="GV206" s="3">
        <f t="shared" si="257"/>
        <v>0</v>
      </c>
      <c r="GW206" s="3">
        <v>1</v>
      </c>
      <c r="GX206" s="3">
        <f t="shared" si="258"/>
        <v>0</v>
      </c>
      <c r="HA206" s="3">
        <v>0</v>
      </c>
      <c r="HB206" s="3">
        <v>0</v>
      </c>
      <c r="HC206" s="3">
        <f t="shared" si="259"/>
        <v>0</v>
      </c>
      <c r="HE206" s="3" t="s">
        <v>3</v>
      </c>
      <c r="HF206" s="3" t="s">
        <v>3</v>
      </c>
      <c r="HM206" s="3" t="s">
        <v>3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">
      <c r="A207" s="2">
        <v>17</v>
      </c>
      <c r="B207" s="2">
        <v>1</v>
      </c>
      <c r="C207" s="2">
        <f>ROW(SmtRes!A485)</f>
        <v>485</v>
      </c>
      <c r="D207" s="2">
        <f>ROW(EtalonRes!A520)</f>
        <v>520</v>
      </c>
      <c r="E207" s="2" t="s">
        <v>364</v>
      </c>
      <c r="F207" s="2" t="s">
        <v>365</v>
      </c>
      <c r="G207" s="2" t="s">
        <v>366</v>
      </c>
      <c r="H207" s="2" t="s">
        <v>25</v>
      </c>
      <c r="I207" s="2">
        <v>12</v>
      </c>
      <c r="J207" s="2">
        <v>0</v>
      </c>
      <c r="K207" s="2">
        <v>12</v>
      </c>
      <c r="L207" s="2"/>
      <c r="M207" s="2"/>
      <c r="N207" s="2"/>
      <c r="O207" s="2">
        <f t="shared" si="235"/>
        <v>1447.87</v>
      </c>
      <c r="P207" s="2">
        <f t="shared" si="236"/>
        <v>44.29</v>
      </c>
      <c r="Q207" s="2">
        <f>(ROUND((ROUND((((ET207*1.2))*AV207*I207),2)*BB207),2)+ROUND((ROUND(((AE207-((EU207*1.2)))*AV207*I207),2)*BS207),2))</f>
        <v>65.61</v>
      </c>
      <c r="R207" s="2">
        <f>(ROUND((ROUND((((EU207*1.2))*AV207*I207),2)*BS207),2)+ROUND((ROUND(((AE207-((EU207*1.2)))*AV207*I207),2)*BS207),2))</f>
        <v>0</v>
      </c>
      <c r="S207" s="2">
        <f t="shared" si="237"/>
        <v>1337.97</v>
      </c>
      <c r="T207" s="2">
        <f t="shared" si="238"/>
        <v>0</v>
      </c>
      <c r="U207" s="2">
        <f t="shared" si="239"/>
        <v>106.01711999999999</v>
      </c>
      <c r="V207" s="2">
        <f t="shared" si="240"/>
        <v>0</v>
      </c>
      <c r="W207" s="2">
        <f t="shared" si="241"/>
        <v>0</v>
      </c>
      <c r="X207" s="2">
        <f>(ROUND((((S207+ROUND((ROUND((((EU207*1.2))*AV207*I207),2)*BS207),2))*AT207)/100),2)+ROUND(((ROUND((ROUND(((AE207-((EU207*1.2)))*AV207*I207),2)*BS207),2)*AT207)/100),2))</f>
        <v>1204.17</v>
      </c>
      <c r="Y207" s="2">
        <f>(ROUND((((S207+ROUND((ROUND((((EU207*1.2))*AV207*I207),2)*BS207),2))*AU207)/100),2)+ROUND(((ROUND((ROUND(((AE207-((EU207*1.2)))*AV207*I207),2)*BS207),2)*AU207)/100),2))</f>
        <v>615.47</v>
      </c>
      <c r="Z207" s="2"/>
      <c r="AA207" s="2">
        <v>55747649</v>
      </c>
      <c r="AB207" s="2">
        <f t="shared" si="242"/>
        <v>113.21</v>
      </c>
      <c r="AC207" s="2">
        <f>ROUND(((ES207*1)),6)</f>
        <v>3.59</v>
      </c>
      <c r="AD207" s="2">
        <f>ROUND(((((ET207*1.2))-((EU207*1.2)))+AE207),6)</f>
        <v>5.1239999999999997</v>
      </c>
      <c r="AE207" s="2">
        <f>ROUND(((EU207*1.2)),6)</f>
        <v>0</v>
      </c>
      <c r="AF207" s="2">
        <f>ROUND(((EV207*1.2)),6)</f>
        <v>104.496</v>
      </c>
      <c r="AG207" s="2">
        <f t="shared" si="243"/>
        <v>0</v>
      </c>
      <c r="AH207" s="2">
        <f>((EW207*1.2))</f>
        <v>8.2799999999999994</v>
      </c>
      <c r="AI207" s="2">
        <f>((EX207*1.2))</f>
        <v>0</v>
      </c>
      <c r="AJ207" s="2">
        <f t="shared" si="244"/>
        <v>0</v>
      </c>
      <c r="AK207" s="2">
        <v>94.94</v>
      </c>
      <c r="AL207" s="2">
        <v>3.59</v>
      </c>
      <c r="AM207" s="2">
        <v>4.2699999999999996</v>
      </c>
      <c r="AN207" s="2">
        <v>0</v>
      </c>
      <c r="AO207" s="2">
        <v>87.08</v>
      </c>
      <c r="AP207" s="2">
        <v>0</v>
      </c>
      <c r="AQ207" s="2">
        <v>6.9</v>
      </c>
      <c r="AR207" s="2">
        <v>0</v>
      </c>
      <c r="AS207" s="2">
        <v>0</v>
      </c>
      <c r="AT207" s="2">
        <v>90</v>
      </c>
      <c r="AU207" s="2">
        <v>46</v>
      </c>
      <c r="AV207" s="2">
        <v>1.0669999999999999</v>
      </c>
      <c r="AW207" s="2">
        <v>1.028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0</v>
      </c>
      <c r="BI207" s="2">
        <v>2</v>
      </c>
      <c r="BJ207" s="2" t="s">
        <v>367</v>
      </c>
      <c r="BK207" s="2"/>
      <c r="BL207" s="2"/>
      <c r="BM207" s="2">
        <v>73</v>
      </c>
      <c r="BN207" s="2">
        <v>0</v>
      </c>
      <c r="BO207" s="2" t="s">
        <v>365</v>
      </c>
      <c r="BP207" s="2">
        <v>1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90</v>
      </c>
      <c r="CA207" s="2">
        <v>46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716</v>
      </c>
      <c r="CO207" s="2">
        <v>0</v>
      </c>
      <c r="CP207" s="2">
        <f t="shared" si="245"/>
        <v>1447.8700000000001</v>
      </c>
      <c r="CQ207" s="2">
        <f t="shared" si="246"/>
        <v>3.69</v>
      </c>
      <c r="CR207" s="2">
        <f>(ROUND((ROUND((((ET207*1.2))*AV207*1),2)*BB207),2)+ROUND((ROUND(((AE207-((EU207*1.2)))*AV207*1),2)*BS207),2))</f>
        <v>5.47</v>
      </c>
      <c r="CS207" s="2">
        <f>(ROUND((ROUND((((EU207*1.2))*AV207*1),2)*BS207),2)+ROUND((ROUND(((AE207-((EU207*1.2)))*AV207*1),2)*BS207),2))</f>
        <v>0</v>
      </c>
      <c r="CT207" s="2">
        <f t="shared" si="247"/>
        <v>111.5</v>
      </c>
      <c r="CU207" s="2">
        <f t="shared" si="248"/>
        <v>0</v>
      </c>
      <c r="CV207" s="2">
        <f t="shared" si="249"/>
        <v>8.8347599999999993</v>
      </c>
      <c r="CW207" s="2">
        <f t="shared" si="250"/>
        <v>0</v>
      </c>
      <c r="CX207" s="2">
        <f t="shared" si="251"/>
        <v>0</v>
      </c>
      <c r="CY207" s="2">
        <f>(ROUND((((S207+ROUND((ROUND((((EU207*1.2))*AV207*1),2)*BS207),2))*AT207)/100),2)+ROUND(((ROUND((ROUND(((AE207-((EU207*1.2)))*AV207*1),2)*BS207),2)*AT207)/100),2))</f>
        <v>1204.17</v>
      </c>
      <c r="CZ207" s="2">
        <f>(ROUND((((S207+ROUND((ROUND((((EU207*1.2))*AV207*1),2)*BS207),2))*AU207)/100),2)+ROUND(((ROUND((ROUND(((AE207-((EU207*1.2)))*AV207*1),2)*BS207),2)*AU207)/100),2))</f>
        <v>615.47</v>
      </c>
      <c r="DA207" s="2"/>
      <c r="DB207" s="2">
        <v>79</v>
      </c>
      <c r="DC207" s="2" t="s">
        <v>3</v>
      </c>
      <c r="DD207" s="2" t="s">
        <v>48</v>
      </c>
      <c r="DE207" s="2" t="s">
        <v>49</v>
      </c>
      <c r="DF207" s="2" t="s">
        <v>49</v>
      </c>
      <c r="DG207" s="2" t="s">
        <v>49</v>
      </c>
      <c r="DH207" s="2" t="s">
        <v>3</v>
      </c>
      <c r="DI207" s="2" t="s">
        <v>49</v>
      </c>
      <c r="DJ207" s="2" t="s">
        <v>49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25</v>
      </c>
      <c r="DW207" s="2" t="s">
        <v>25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56938740</v>
      </c>
      <c r="EF207" s="2">
        <v>40</v>
      </c>
      <c r="EG207" s="2" t="s">
        <v>29</v>
      </c>
      <c r="EH207" s="2">
        <v>0</v>
      </c>
      <c r="EI207" s="2" t="s">
        <v>3</v>
      </c>
      <c r="EJ207" s="2">
        <v>2</v>
      </c>
      <c r="EK207" s="2">
        <v>73</v>
      </c>
      <c r="EL207" s="2" t="s">
        <v>85</v>
      </c>
      <c r="EM207" s="2" t="s">
        <v>86</v>
      </c>
      <c r="EN207" s="2"/>
      <c r="EO207" s="2" t="s">
        <v>50</v>
      </c>
      <c r="EP207" s="2"/>
      <c r="EQ207" s="2">
        <v>131072</v>
      </c>
      <c r="ER207" s="2">
        <v>94.94</v>
      </c>
      <c r="ES207" s="2">
        <v>3.59</v>
      </c>
      <c r="ET207" s="2">
        <v>4.2699999999999996</v>
      </c>
      <c r="EU207" s="2">
        <v>0</v>
      </c>
      <c r="EV207" s="2">
        <v>87.08</v>
      </c>
      <c r="EW207" s="2">
        <v>6.9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2</v>
      </c>
      <c r="FT207" s="2"/>
      <c r="FU207" s="2"/>
      <c r="FV207" s="2"/>
      <c r="FW207" s="2"/>
      <c r="FX207" s="2">
        <v>90</v>
      </c>
      <c r="FY207" s="2">
        <v>46</v>
      </c>
      <c r="FZ207" s="2"/>
      <c r="GA207" s="2" t="s">
        <v>3</v>
      </c>
      <c r="GB207" s="2"/>
      <c r="GC207" s="2"/>
      <c r="GD207" s="2">
        <v>1</v>
      </c>
      <c r="GE207" s="2"/>
      <c r="GF207" s="2">
        <v>815904868</v>
      </c>
      <c r="GG207" s="2">
        <v>2</v>
      </c>
      <c r="GH207" s="2">
        <v>1</v>
      </c>
      <c r="GI207" s="2">
        <v>2</v>
      </c>
      <c r="GJ207" s="2">
        <v>0</v>
      </c>
      <c r="GK207" s="2">
        <v>0</v>
      </c>
      <c r="GL207" s="2">
        <f t="shared" si="252"/>
        <v>0</v>
      </c>
      <c r="GM207" s="2">
        <f t="shared" si="253"/>
        <v>3267.51</v>
      </c>
      <c r="GN207" s="2">
        <f t="shared" si="254"/>
        <v>0</v>
      </c>
      <c r="GO207" s="2">
        <f t="shared" si="255"/>
        <v>3267.51</v>
      </c>
      <c r="GP207" s="2">
        <f t="shared" si="256"/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si="257"/>
        <v>0</v>
      </c>
      <c r="GW207" s="2">
        <v>1</v>
      </c>
      <c r="GX207" s="2">
        <f t="shared" si="258"/>
        <v>0</v>
      </c>
      <c r="GY207" s="2"/>
      <c r="GZ207" s="2"/>
      <c r="HA207" s="2">
        <v>0</v>
      </c>
      <c r="HB207" s="2">
        <v>0</v>
      </c>
      <c r="HC207" s="2">
        <f t="shared" si="259"/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 s="3">
        <v>17</v>
      </c>
      <c r="B208" s="3">
        <v>1</v>
      </c>
      <c r="C208" s="3">
        <f>ROW(SmtRes!A492)</f>
        <v>492</v>
      </c>
      <c r="D208" s="3">
        <f>ROW(EtalonRes!A526)</f>
        <v>526</v>
      </c>
      <c r="E208" s="3" t="s">
        <v>364</v>
      </c>
      <c r="F208" s="3" t="s">
        <v>365</v>
      </c>
      <c r="G208" s="3" t="s">
        <v>366</v>
      </c>
      <c r="H208" s="3" t="s">
        <v>25</v>
      </c>
      <c r="I208" s="3">
        <v>12</v>
      </c>
      <c r="J208" s="3">
        <v>0</v>
      </c>
      <c r="K208" s="3">
        <v>12</v>
      </c>
      <c r="O208" s="3">
        <f t="shared" si="235"/>
        <v>76734.13</v>
      </c>
      <c r="P208" s="3">
        <f t="shared" si="236"/>
        <v>457.07</v>
      </c>
      <c r="Q208" s="3">
        <f>(ROUND((ROUND((((ET208*1.2))*AV208*I208),2)*BB208),2)+ROUND((ROUND(((AE208-((EU208*1.2)))*AV208*I208),2)*BS208),2))</f>
        <v>882.45</v>
      </c>
      <c r="R208" s="3">
        <f>(ROUND((ROUND((((EU208*1.2))*AV208*I208),2)*BS208),2)+ROUND((ROUND(((AE208-((EU208*1.2)))*AV208*I208),2)*BS208),2))</f>
        <v>0</v>
      </c>
      <c r="S208" s="3">
        <f t="shared" si="237"/>
        <v>75394.61</v>
      </c>
      <c r="T208" s="3">
        <f t="shared" si="238"/>
        <v>0</v>
      </c>
      <c r="U208" s="3">
        <f t="shared" si="239"/>
        <v>106.01711999999999</v>
      </c>
      <c r="V208" s="3">
        <f t="shared" si="240"/>
        <v>0</v>
      </c>
      <c r="W208" s="3">
        <f t="shared" si="241"/>
        <v>0</v>
      </c>
      <c r="X208" s="3">
        <f>(ROUND((((S208+ROUND((ROUND((((EU208*1.2))*AV208*I208),2)*BS208),2))*AT208)/100),2)+ROUND(((ROUND((ROUND(((AE208-((EU208*1.2)))*AV208*I208),2)*BS208),2)*AT208)/100),2))</f>
        <v>67855.149999999994</v>
      </c>
      <c r="Y208" s="3">
        <f>(ROUND((((S208+ROUND((ROUND((((EU208*1.2))*AV208*I208),2)*BS208),2))*AU208)/100),2)+ROUND(((ROUND((ROUND(((AE208-((EU208*1.2)))*AV208*I208),2)*BS208),2)*AU208)/100),2))</f>
        <v>34681.519999999997</v>
      </c>
      <c r="AA208" s="3">
        <v>55747651</v>
      </c>
      <c r="AB208" s="3">
        <f t="shared" si="242"/>
        <v>113.21</v>
      </c>
      <c r="AC208" s="3">
        <f>ROUND(((ES208*1)),6)</f>
        <v>3.59</v>
      </c>
      <c r="AD208" s="3">
        <f>ROUND(((((ET208*1.2))-((EU208*1.2)))+AE208),6)</f>
        <v>5.1239999999999997</v>
      </c>
      <c r="AE208" s="3">
        <f>ROUND(((EU208*1.2)),6)</f>
        <v>0</v>
      </c>
      <c r="AF208" s="3">
        <f>ROUND(((EV208*1.2)),6)</f>
        <v>104.496</v>
      </c>
      <c r="AG208" s="3">
        <f t="shared" si="243"/>
        <v>0</v>
      </c>
      <c r="AH208" s="3">
        <f>((EW208*1.2))</f>
        <v>8.2799999999999994</v>
      </c>
      <c r="AI208" s="3">
        <f>((EX208*1.2))</f>
        <v>0</v>
      </c>
      <c r="AJ208" s="3">
        <f t="shared" si="244"/>
        <v>0</v>
      </c>
      <c r="AK208" s="3">
        <v>94.94</v>
      </c>
      <c r="AL208" s="3">
        <v>3.59</v>
      </c>
      <c r="AM208" s="3">
        <v>4.2699999999999996</v>
      </c>
      <c r="AN208" s="3">
        <v>0</v>
      </c>
      <c r="AO208" s="3">
        <v>87.08</v>
      </c>
      <c r="AP208" s="3">
        <v>0</v>
      </c>
      <c r="AQ208" s="3">
        <v>6.9</v>
      </c>
      <c r="AR208" s="3">
        <v>0</v>
      </c>
      <c r="AS208" s="3">
        <v>0</v>
      </c>
      <c r="AT208" s="3">
        <v>90</v>
      </c>
      <c r="AU208" s="3">
        <v>46</v>
      </c>
      <c r="AV208" s="3">
        <v>1.0669999999999999</v>
      </c>
      <c r="AW208" s="3">
        <v>1.028</v>
      </c>
      <c r="AZ208" s="3">
        <v>1</v>
      </c>
      <c r="BA208" s="3">
        <v>56.35</v>
      </c>
      <c r="BB208" s="3">
        <v>13.45</v>
      </c>
      <c r="BC208" s="3">
        <v>10.32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0</v>
      </c>
      <c r="BI208" s="3">
        <v>2</v>
      </c>
      <c r="BJ208" s="3" t="s">
        <v>367</v>
      </c>
      <c r="BM208" s="3">
        <v>73</v>
      </c>
      <c r="BN208" s="3">
        <v>0</v>
      </c>
      <c r="BO208" s="3" t="s">
        <v>365</v>
      </c>
      <c r="BP208" s="3">
        <v>1</v>
      </c>
      <c r="BQ208" s="3">
        <v>40</v>
      </c>
      <c r="BR208" s="3">
        <v>0</v>
      </c>
      <c r="BS208" s="3">
        <v>56.35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90</v>
      </c>
      <c r="CA208" s="3">
        <v>46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716</v>
      </c>
      <c r="CO208" s="3">
        <v>0</v>
      </c>
      <c r="CP208" s="3">
        <f t="shared" si="245"/>
        <v>76734.13</v>
      </c>
      <c r="CQ208" s="3">
        <f t="shared" si="246"/>
        <v>38.08</v>
      </c>
      <c r="CR208" s="3">
        <f>(ROUND((ROUND((((ET208*1.2))*AV208*1),2)*BB208),2)+ROUND((ROUND(((AE208-((EU208*1.2)))*AV208*1),2)*BS208),2))</f>
        <v>73.569999999999993</v>
      </c>
      <c r="CS208" s="3">
        <f>(ROUND((ROUND((((EU208*1.2))*AV208*1),2)*BS208),2)+ROUND((ROUND(((AE208-((EU208*1.2)))*AV208*1),2)*BS208),2))</f>
        <v>0</v>
      </c>
      <c r="CT208" s="3">
        <f t="shared" si="247"/>
        <v>6283.03</v>
      </c>
      <c r="CU208" s="3">
        <f t="shared" si="248"/>
        <v>0</v>
      </c>
      <c r="CV208" s="3">
        <f t="shared" si="249"/>
        <v>8.8347599999999993</v>
      </c>
      <c r="CW208" s="3">
        <f t="shared" si="250"/>
        <v>0</v>
      </c>
      <c r="CX208" s="3">
        <f t="shared" si="251"/>
        <v>0</v>
      </c>
      <c r="CY208" s="3">
        <f>(ROUND((((S208+ROUND((ROUND((((EU208*1.2))*AV208*1),2)*BS208),2))*AT208)/100),2)+ROUND(((ROUND((ROUND(((AE208-((EU208*1.2)))*AV208*1),2)*BS208),2)*AT208)/100),2))</f>
        <v>67855.149999999994</v>
      </c>
      <c r="CZ208" s="3">
        <f>(ROUND((((S208+ROUND((ROUND((((EU208*1.2))*AV208*1),2)*BS208),2))*AU208)/100),2)+ROUND(((ROUND((ROUND(((AE208-((EU208*1.2)))*AV208*1),2)*BS208),2)*AU208)/100),2))</f>
        <v>34681.519999999997</v>
      </c>
      <c r="DB208" s="3">
        <v>80</v>
      </c>
      <c r="DC208" s="3" t="s">
        <v>3</v>
      </c>
      <c r="DD208" s="3" t="s">
        <v>48</v>
      </c>
      <c r="DE208" s="3" t="s">
        <v>49</v>
      </c>
      <c r="DF208" s="3" t="s">
        <v>49</v>
      </c>
      <c r="DG208" s="3" t="s">
        <v>49</v>
      </c>
      <c r="DH208" s="3" t="s">
        <v>3</v>
      </c>
      <c r="DI208" s="3" t="s">
        <v>49</v>
      </c>
      <c r="DJ208" s="3" t="s">
        <v>49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25</v>
      </c>
      <c r="DW208" s="3" t="s">
        <v>25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56938740</v>
      </c>
      <c r="EF208" s="3">
        <v>40</v>
      </c>
      <c r="EG208" s="3" t="s">
        <v>29</v>
      </c>
      <c r="EH208" s="3">
        <v>0</v>
      </c>
      <c r="EI208" s="3" t="s">
        <v>3</v>
      </c>
      <c r="EJ208" s="3">
        <v>2</v>
      </c>
      <c r="EK208" s="3">
        <v>73</v>
      </c>
      <c r="EL208" s="3" t="s">
        <v>85</v>
      </c>
      <c r="EM208" s="3" t="s">
        <v>86</v>
      </c>
      <c r="EO208" s="3" t="s">
        <v>50</v>
      </c>
      <c r="EQ208" s="3">
        <v>131072</v>
      </c>
      <c r="ER208" s="3">
        <v>94.94</v>
      </c>
      <c r="ES208" s="3">
        <v>3.59</v>
      </c>
      <c r="ET208" s="3">
        <v>4.2699999999999996</v>
      </c>
      <c r="EU208" s="3">
        <v>0</v>
      </c>
      <c r="EV208" s="3">
        <v>87.08</v>
      </c>
      <c r="EW208" s="3">
        <v>6.9</v>
      </c>
      <c r="EX208" s="3">
        <v>0</v>
      </c>
      <c r="EY208" s="3">
        <v>0</v>
      </c>
      <c r="FQ208" s="3">
        <v>0</v>
      </c>
      <c r="FR208" s="3">
        <v>0</v>
      </c>
      <c r="FS208" s="3">
        <v>2</v>
      </c>
      <c r="FX208" s="3">
        <v>90</v>
      </c>
      <c r="FY208" s="3">
        <v>46</v>
      </c>
      <c r="GA208" s="3" t="s">
        <v>3</v>
      </c>
      <c r="GD208" s="3">
        <v>1</v>
      </c>
      <c r="GF208" s="3">
        <v>815904868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252"/>
        <v>0</v>
      </c>
      <c r="GM208" s="3">
        <f t="shared" si="253"/>
        <v>179270.8</v>
      </c>
      <c r="GN208" s="3">
        <f t="shared" si="254"/>
        <v>0</v>
      </c>
      <c r="GO208" s="3">
        <f t="shared" si="255"/>
        <v>179270.8</v>
      </c>
      <c r="GP208" s="3">
        <f t="shared" si="256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257"/>
        <v>0</v>
      </c>
      <c r="GW208" s="3">
        <v>1</v>
      </c>
      <c r="GX208" s="3">
        <f t="shared" si="258"/>
        <v>0</v>
      </c>
      <c r="HA208" s="3">
        <v>0</v>
      </c>
      <c r="HB208" s="3">
        <v>0</v>
      </c>
      <c r="HC208" s="3">
        <f t="shared" si="259"/>
        <v>0</v>
      </c>
      <c r="HE208" s="3" t="s">
        <v>3</v>
      </c>
      <c r="HF208" s="3" t="s">
        <v>3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">
      <c r="A209" s="2">
        <v>18</v>
      </c>
      <c r="B209" s="2">
        <v>1</v>
      </c>
      <c r="C209" s="2">
        <v>484</v>
      </c>
      <c r="D209" s="2"/>
      <c r="E209" s="2" t="s">
        <v>368</v>
      </c>
      <c r="F209" s="2" t="s">
        <v>369</v>
      </c>
      <c r="G209" s="2" t="s">
        <v>370</v>
      </c>
      <c r="H209" s="2" t="s">
        <v>118</v>
      </c>
      <c r="I209" s="2">
        <f>I207*J209</f>
        <v>12</v>
      </c>
      <c r="J209" s="2">
        <v>1</v>
      </c>
      <c r="K209" s="2">
        <v>1</v>
      </c>
      <c r="L209" s="2"/>
      <c r="M209" s="2"/>
      <c r="N209" s="2"/>
      <c r="O209" s="2">
        <f t="shared" si="235"/>
        <v>3059.76</v>
      </c>
      <c r="P209" s="2">
        <f t="shared" si="236"/>
        <v>3059.76</v>
      </c>
      <c r="Q209" s="2">
        <f>(ROUND((ROUND(((ET209)*AV209*I209),2)*BB209),2)+ROUND((ROUND(((AE209-(EU209))*AV209*I209),2)*BS209),2))</f>
        <v>0</v>
      </c>
      <c r="R209" s="2">
        <f>(ROUND((ROUND(((EU209)*AV209*I209),2)*BS209),2)+ROUND((ROUND(((AE209-(EU209))*AV209*I209),2)*BS209),2))</f>
        <v>0</v>
      </c>
      <c r="S209" s="2">
        <f t="shared" si="237"/>
        <v>0</v>
      </c>
      <c r="T209" s="2">
        <f t="shared" si="238"/>
        <v>0</v>
      </c>
      <c r="U209" s="2">
        <f t="shared" si="239"/>
        <v>0</v>
      </c>
      <c r="V209" s="2">
        <f t="shared" si="240"/>
        <v>0</v>
      </c>
      <c r="W209" s="2">
        <f t="shared" si="241"/>
        <v>0</v>
      </c>
      <c r="X209" s="2">
        <f>(ROUND((((S209+ROUND((ROUND(((EU209)*AV209*I209),2)*BS209),2))*AT209)/100),2)+ROUND(((ROUND((ROUND(((AE209-(EU209))*AV209*I209),2)*BS209),2)*AT209)/100),2))</f>
        <v>0</v>
      </c>
      <c r="Y209" s="2">
        <f>(ROUND((((S209+ROUND((ROUND(((EU209)*AV209*I209),2)*BS209),2))*AU209)/100),2)+ROUND(((ROUND((ROUND(((AE209-(EU209))*AV209*I209),2)*BS209),2)*AU209)/100),2))</f>
        <v>0</v>
      </c>
      <c r="Z209" s="2"/>
      <c r="AA209" s="2">
        <v>55747649</v>
      </c>
      <c r="AB209" s="2">
        <f t="shared" si="242"/>
        <v>254.98</v>
      </c>
      <c r="AC209" s="2">
        <f>ROUND((ES209),6)</f>
        <v>254.98</v>
      </c>
      <c r="AD209" s="2">
        <f>ROUND((((ET209)-(EU209))+AE209),6)</f>
        <v>0</v>
      </c>
      <c r="AE209" s="2">
        <f t="shared" ref="AE209:AF212" si="262">ROUND((EU209),6)</f>
        <v>0</v>
      </c>
      <c r="AF209" s="2">
        <f t="shared" si="262"/>
        <v>0</v>
      </c>
      <c r="AG209" s="2">
        <f t="shared" si="243"/>
        <v>0</v>
      </c>
      <c r="AH209" s="2">
        <f t="shared" ref="AH209:AI212" si="263">(EW209)</f>
        <v>0</v>
      </c>
      <c r="AI209" s="2">
        <f t="shared" si="263"/>
        <v>0</v>
      </c>
      <c r="AJ209" s="2">
        <f t="shared" si="244"/>
        <v>0</v>
      </c>
      <c r="AK209" s="2">
        <v>254.98</v>
      </c>
      <c r="AL209" s="2">
        <v>254.98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90</v>
      </c>
      <c r="AU209" s="2">
        <v>46</v>
      </c>
      <c r="AV209" s="2">
        <v>1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3</v>
      </c>
      <c r="BI209" s="2">
        <v>2</v>
      </c>
      <c r="BJ209" s="2" t="s">
        <v>371</v>
      </c>
      <c r="BK209" s="2"/>
      <c r="BL209" s="2"/>
      <c r="BM209" s="2">
        <v>73</v>
      </c>
      <c r="BN209" s="2">
        <v>0</v>
      </c>
      <c r="BO209" s="2" t="s">
        <v>3</v>
      </c>
      <c r="BP209" s="2">
        <v>0</v>
      </c>
      <c r="BQ209" s="2">
        <v>40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90</v>
      </c>
      <c r="CA209" s="2">
        <v>46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</v>
      </c>
      <c r="CO209" s="2">
        <v>0</v>
      </c>
      <c r="CP209" s="2">
        <f t="shared" si="245"/>
        <v>3059.76</v>
      </c>
      <c r="CQ209" s="2">
        <f t="shared" si="246"/>
        <v>254.98</v>
      </c>
      <c r="CR209" s="2">
        <f>(ROUND((ROUND(((ET209)*AV209*1),2)*BB209),2)+ROUND((ROUND(((AE209-(EU209))*AV209*1),2)*BS209),2))</f>
        <v>0</v>
      </c>
      <c r="CS209" s="2">
        <f>(ROUND((ROUND(((EU209)*AV209*1),2)*BS209),2)+ROUND((ROUND(((AE209-(EU209))*AV209*1),2)*BS209),2))</f>
        <v>0</v>
      </c>
      <c r="CT209" s="2">
        <f t="shared" si="247"/>
        <v>0</v>
      </c>
      <c r="CU209" s="2">
        <f t="shared" si="248"/>
        <v>0</v>
      </c>
      <c r="CV209" s="2">
        <f t="shared" si="249"/>
        <v>0</v>
      </c>
      <c r="CW209" s="2">
        <f t="shared" si="250"/>
        <v>0</v>
      </c>
      <c r="CX209" s="2">
        <f t="shared" si="251"/>
        <v>0</v>
      </c>
      <c r="CY209" s="2">
        <f>(ROUND((((S209+ROUND((ROUND(((EU209)*AV209*1),2)*BS209),2))*AT209)/100),2)+ROUND(((ROUND((ROUND(((AE209-(EU209))*AV209*1),2)*BS209),2)*AT209)/100),2))</f>
        <v>0</v>
      </c>
      <c r="CZ209" s="2">
        <f>(ROUND((((S209+ROUND((ROUND(((EU209)*AV209*1),2)*BS209),2))*AU209)/100),2)+ROUND(((ROUND((ROUND(((AE209-(EU209))*AV209*1),2)*BS209),2)*AU209)/100),2))</f>
        <v>0</v>
      </c>
      <c r="DA209" s="2"/>
      <c r="DB209" s="2"/>
      <c r="DC209" s="2" t="s">
        <v>3</v>
      </c>
      <c r="DD209" s="2" t="s">
        <v>3</v>
      </c>
      <c r="DE209" s="2" t="s">
        <v>3</v>
      </c>
      <c r="DF209" s="2" t="s">
        <v>3</v>
      </c>
      <c r="DG209" s="2" t="s">
        <v>3</v>
      </c>
      <c r="DH209" s="2" t="s">
        <v>3</v>
      </c>
      <c r="DI209" s="2" t="s">
        <v>3</v>
      </c>
      <c r="DJ209" s="2" t="s">
        <v>3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1010</v>
      </c>
      <c r="DV209" s="2" t="s">
        <v>118</v>
      </c>
      <c r="DW209" s="2" t="s">
        <v>118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56938740</v>
      </c>
      <c r="EF209" s="2">
        <v>40</v>
      </c>
      <c r="EG209" s="2" t="s">
        <v>29</v>
      </c>
      <c r="EH209" s="2">
        <v>0</v>
      </c>
      <c r="EI209" s="2" t="s">
        <v>3</v>
      </c>
      <c r="EJ209" s="2">
        <v>2</v>
      </c>
      <c r="EK209" s="2">
        <v>73</v>
      </c>
      <c r="EL209" s="2" t="s">
        <v>85</v>
      </c>
      <c r="EM209" s="2" t="s">
        <v>86</v>
      </c>
      <c r="EN209" s="2"/>
      <c r="EO209" s="2" t="s">
        <v>3</v>
      </c>
      <c r="EP209" s="2"/>
      <c r="EQ209" s="2">
        <v>0</v>
      </c>
      <c r="ER209" s="2">
        <v>254.98</v>
      </c>
      <c r="ES209" s="2">
        <v>254.98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0</v>
      </c>
      <c r="FT209" s="2"/>
      <c r="FU209" s="2"/>
      <c r="FV209" s="2"/>
      <c r="FW209" s="2"/>
      <c r="FX209" s="2">
        <v>90</v>
      </c>
      <c r="FY209" s="2">
        <v>46</v>
      </c>
      <c r="FZ209" s="2"/>
      <c r="GA209" s="2" t="s">
        <v>3</v>
      </c>
      <c r="GB209" s="2"/>
      <c r="GC209" s="2"/>
      <c r="GD209" s="2">
        <v>1</v>
      </c>
      <c r="GE209" s="2"/>
      <c r="GF209" s="2">
        <v>-230661020</v>
      </c>
      <c r="GG209" s="2">
        <v>2</v>
      </c>
      <c r="GH209" s="2">
        <v>1</v>
      </c>
      <c r="GI209" s="2">
        <v>-2</v>
      </c>
      <c r="GJ209" s="2">
        <v>0</v>
      </c>
      <c r="GK209" s="2">
        <v>0</v>
      </c>
      <c r="GL209" s="2">
        <f t="shared" si="252"/>
        <v>0</v>
      </c>
      <c r="GM209" s="2">
        <f t="shared" si="253"/>
        <v>3059.76</v>
      </c>
      <c r="GN209" s="2">
        <f t="shared" si="254"/>
        <v>0</v>
      </c>
      <c r="GO209" s="2">
        <f t="shared" si="255"/>
        <v>3059.76</v>
      </c>
      <c r="GP209" s="2">
        <f t="shared" si="256"/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si="257"/>
        <v>0</v>
      </c>
      <c r="GW209" s="2">
        <v>1</v>
      </c>
      <c r="GX209" s="2">
        <f t="shared" si="258"/>
        <v>0</v>
      </c>
      <c r="GY209" s="2"/>
      <c r="GZ209" s="2"/>
      <c r="HA209" s="2">
        <v>0</v>
      </c>
      <c r="HB209" s="2">
        <v>0</v>
      </c>
      <c r="HC209" s="2">
        <f t="shared" si="259"/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 s="3">
        <v>18</v>
      </c>
      <c r="B210" s="3">
        <v>1</v>
      </c>
      <c r="C210" s="3">
        <v>491</v>
      </c>
      <c r="E210" s="3" t="s">
        <v>368</v>
      </c>
      <c r="F210" s="3" t="s">
        <v>369</v>
      </c>
      <c r="G210" s="3" t="s">
        <v>370</v>
      </c>
      <c r="H210" s="3" t="s">
        <v>118</v>
      </c>
      <c r="I210" s="3">
        <f>I208*J210</f>
        <v>12</v>
      </c>
      <c r="J210" s="3">
        <v>1</v>
      </c>
      <c r="K210" s="3">
        <v>1</v>
      </c>
      <c r="O210" s="3">
        <f t="shared" si="235"/>
        <v>61745.96</v>
      </c>
      <c r="P210" s="3">
        <f t="shared" si="236"/>
        <v>61745.96</v>
      </c>
      <c r="Q210" s="3">
        <f>(ROUND((ROUND(((ET210)*AV210*I210),2)*BB210),2)+ROUND((ROUND(((AE210-(EU210))*AV210*I210),2)*BS210),2))</f>
        <v>0</v>
      </c>
      <c r="R210" s="3">
        <f>(ROUND((ROUND(((EU210)*AV210*I210),2)*BS210),2)+ROUND((ROUND(((AE210-(EU210))*AV210*I210),2)*BS210),2))</f>
        <v>0</v>
      </c>
      <c r="S210" s="3">
        <f t="shared" si="237"/>
        <v>0</v>
      </c>
      <c r="T210" s="3">
        <f t="shared" si="238"/>
        <v>0</v>
      </c>
      <c r="U210" s="3">
        <f t="shared" si="239"/>
        <v>0</v>
      </c>
      <c r="V210" s="3">
        <f t="shared" si="240"/>
        <v>0</v>
      </c>
      <c r="W210" s="3">
        <f t="shared" si="241"/>
        <v>0</v>
      </c>
      <c r="X210" s="3">
        <f>(ROUND((((S210+ROUND((ROUND(((EU210)*AV210*I210),2)*BS210),2))*AT210)/100),2)+ROUND(((ROUND((ROUND(((AE210-(EU210))*AV210*I210),2)*BS210),2)*AT210)/100),2))</f>
        <v>0</v>
      </c>
      <c r="Y210" s="3">
        <f>(ROUND((((S210+ROUND((ROUND(((EU210)*AV210*I210),2)*BS210),2))*AU210)/100),2)+ROUND(((ROUND((ROUND(((AE210-(EU210))*AV210*I210),2)*BS210),2)*AU210)/100),2))</f>
        <v>0</v>
      </c>
      <c r="AA210" s="3">
        <v>55747651</v>
      </c>
      <c r="AB210" s="3">
        <f t="shared" si="242"/>
        <v>254.98</v>
      </c>
      <c r="AC210" s="3">
        <f>ROUND((ES210),6)</f>
        <v>254.98</v>
      </c>
      <c r="AD210" s="3">
        <f>ROUND((((ET210)-(EU210))+AE210),6)</f>
        <v>0</v>
      </c>
      <c r="AE210" s="3">
        <f t="shared" si="262"/>
        <v>0</v>
      </c>
      <c r="AF210" s="3">
        <f t="shared" si="262"/>
        <v>0</v>
      </c>
      <c r="AG210" s="3">
        <f t="shared" si="243"/>
        <v>0</v>
      </c>
      <c r="AH210" s="3">
        <f t="shared" si="263"/>
        <v>0</v>
      </c>
      <c r="AI210" s="3">
        <f t="shared" si="263"/>
        <v>0</v>
      </c>
      <c r="AJ210" s="3">
        <f t="shared" si="244"/>
        <v>0</v>
      </c>
      <c r="AK210" s="3">
        <v>254.98</v>
      </c>
      <c r="AL210" s="3">
        <v>254.98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90</v>
      </c>
      <c r="AU210" s="3">
        <v>46</v>
      </c>
      <c r="AV210" s="3">
        <v>1</v>
      </c>
      <c r="AW210" s="3">
        <v>1</v>
      </c>
      <c r="AZ210" s="3">
        <v>1</v>
      </c>
      <c r="BA210" s="3">
        <v>1</v>
      </c>
      <c r="BB210" s="3">
        <v>1</v>
      </c>
      <c r="BC210" s="3">
        <v>20.18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3</v>
      </c>
      <c r="BI210" s="3">
        <v>2</v>
      </c>
      <c r="BJ210" s="3" t="s">
        <v>371</v>
      </c>
      <c r="BM210" s="3">
        <v>73</v>
      </c>
      <c r="BN210" s="3">
        <v>0</v>
      </c>
      <c r="BO210" s="3" t="s">
        <v>369</v>
      </c>
      <c r="BP210" s="3">
        <v>1</v>
      </c>
      <c r="BQ210" s="3">
        <v>40</v>
      </c>
      <c r="BR210" s="3">
        <v>0</v>
      </c>
      <c r="BS210" s="3">
        <v>1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90</v>
      </c>
      <c r="CA210" s="3">
        <v>46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3</v>
      </c>
      <c r="CO210" s="3">
        <v>0</v>
      </c>
      <c r="CP210" s="3">
        <f t="shared" si="245"/>
        <v>61745.96</v>
      </c>
      <c r="CQ210" s="3">
        <f t="shared" si="246"/>
        <v>5145.5</v>
      </c>
      <c r="CR210" s="3">
        <f>(ROUND((ROUND(((ET210)*AV210*1),2)*BB210),2)+ROUND((ROUND(((AE210-(EU210))*AV210*1),2)*BS210),2))</f>
        <v>0</v>
      </c>
      <c r="CS210" s="3">
        <f>(ROUND((ROUND(((EU210)*AV210*1),2)*BS210),2)+ROUND((ROUND(((AE210-(EU210))*AV210*1),2)*BS210),2))</f>
        <v>0</v>
      </c>
      <c r="CT210" s="3">
        <f t="shared" si="247"/>
        <v>0</v>
      </c>
      <c r="CU210" s="3">
        <f t="shared" si="248"/>
        <v>0</v>
      </c>
      <c r="CV210" s="3">
        <f t="shared" si="249"/>
        <v>0</v>
      </c>
      <c r="CW210" s="3">
        <f t="shared" si="250"/>
        <v>0</v>
      </c>
      <c r="CX210" s="3">
        <f t="shared" si="251"/>
        <v>0</v>
      </c>
      <c r="CY210" s="3">
        <f>(ROUND((((S210+ROUND((ROUND(((EU210)*AV210*1),2)*BS210),2))*AT210)/100),2)+ROUND(((ROUND((ROUND(((AE210-(EU210))*AV210*1),2)*BS210),2)*AT210)/100),2))</f>
        <v>0</v>
      </c>
      <c r="CZ210" s="3">
        <f>(ROUND((((S210+ROUND((ROUND(((EU210)*AV210*1),2)*BS210),2))*AU210)/100),2)+ROUND(((ROUND((ROUND(((AE210-(EU210))*AV210*1),2)*BS210),2)*AU210)/100),2))</f>
        <v>0</v>
      </c>
      <c r="DC210" s="3" t="s">
        <v>3</v>
      </c>
      <c r="DD210" s="3" t="s">
        <v>3</v>
      </c>
      <c r="DE210" s="3" t="s">
        <v>3</v>
      </c>
      <c r="DF210" s="3" t="s">
        <v>3</v>
      </c>
      <c r="DG210" s="3" t="s">
        <v>3</v>
      </c>
      <c r="DH210" s="3" t="s">
        <v>3</v>
      </c>
      <c r="DI210" s="3" t="s">
        <v>3</v>
      </c>
      <c r="DJ210" s="3" t="s">
        <v>3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1010</v>
      </c>
      <c r="DV210" s="3" t="s">
        <v>118</v>
      </c>
      <c r="DW210" s="3" t="s">
        <v>118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56938740</v>
      </c>
      <c r="EF210" s="3">
        <v>40</v>
      </c>
      <c r="EG210" s="3" t="s">
        <v>29</v>
      </c>
      <c r="EH210" s="3">
        <v>0</v>
      </c>
      <c r="EI210" s="3" t="s">
        <v>3</v>
      </c>
      <c r="EJ210" s="3">
        <v>2</v>
      </c>
      <c r="EK210" s="3">
        <v>73</v>
      </c>
      <c r="EL210" s="3" t="s">
        <v>85</v>
      </c>
      <c r="EM210" s="3" t="s">
        <v>86</v>
      </c>
      <c r="EO210" s="3" t="s">
        <v>3</v>
      </c>
      <c r="EQ210" s="3">
        <v>0</v>
      </c>
      <c r="ER210" s="3">
        <v>254.98</v>
      </c>
      <c r="ES210" s="3">
        <v>254.98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FQ210" s="3">
        <v>0</v>
      </c>
      <c r="FR210" s="3">
        <v>0</v>
      </c>
      <c r="FS210" s="3">
        <v>0</v>
      </c>
      <c r="FX210" s="3">
        <v>90</v>
      </c>
      <c r="FY210" s="3">
        <v>46</v>
      </c>
      <c r="GA210" s="3" t="s">
        <v>3</v>
      </c>
      <c r="GD210" s="3">
        <v>1</v>
      </c>
      <c r="GF210" s="3">
        <v>-230661020</v>
      </c>
      <c r="GG210" s="3">
        <v>2</v>
      </c>
      <c r="GH210" s="3">
        <v>1</v>
      </c>
      <c r="GI210" s="3">
        <v>2</v>
      </c>
      <c r="GJ210" s="3">
        <v>0</v>
      </c>
      <c r="GK210" s="3">
        <v>0</v>
      </c>
      <c r="GL210" s="3">
        <f t="shared" si="252"/>
        <v>0</v>
      </c>
      <c r="GM210" s="3">
        <f t="shared" si="253"/>
        <v>61745.96</v>
      </c>
      <c r="GN210" s="3">
        <f t="shared" si="254"/>
        <v>0</v>
      </c>
      <c r="GO210" s="3">
        <f t="shared" si="255"/>
        <v>61745.96</v>
      </c>
      <c r="GP210" s="3">
        <f t="shared" si="256"/>
        <v>0</v>
      </c>
      <c r="GR210" s="3">
        <v>0</v>
      </c>
      <c r="GS210" s="3">
        <v>3</v>
      </c>
      <c r="GT210" s="3">
        <v>0</v>
      </c>
      <c r="GU210" s="3" t="s">
        <v>3</v>
      </c>
      <c r="GV210" s="3">
        <f t="shared" si="257"/>
        <v>0</v>
      </c>
      <c r="GW210" s="3">
        <v>1</v>
      </c>
      <c r="GX210" s="3">
        <f t="shared" si="258"/>
        <v>0</v>
      </c>
      <c r="HA210" s="3">
        <v>0</v>
      </c>
      <c r="HB210" s="3">
        <v>0</v>
      </c>
      <c r="HC210" s="3">
        <f t="shared" si="259"/>
        <v>0</v>
      </c>
      <c r="HE210" s="3" t="s">
        <v>3</v>
      </c>
      <c r="HF210" s="3" t="s">
        <v>3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">
      <c r="A211" s="2">
        <v>18</v>
      </c>
      <c r="B211" s="2">
        <v>1</v>
      </c>
      <c r="C211" s="2">
        <v>485</v>
      </c>
      <c r="D211" s="2"/>
      <c r="E211" s="2" t="s">
        <v>372</v>
      </c>
      <c r="F211" s="2" t="s">
        <v>373</v>
      </c>
      <c r="G211" s="2" t="s">
        <v>374</v>
      </c>
      <c r="H211" s="2" t="s">
        <v>118</v>
      </c>
      <c r="I211" s="2">
        <f>I207*J211</f>
        <v>12</v>
      </c>
      <c r="J211" s="2">
        <v>1</v>
      </c>
      <c r="K211" s="2">
        <v>1</v>
      </c>
      <c r="L211" s="2"/>
      <c r="M211" s="2"/>
      <c r="N211" s="2"/>
      <c r="O211" s="2">
        <f t="shared" si="235"/>
        <v>298.08</v>
      </c>
      <c r="P211" s="2">
        <f t="shared" si="236"/>
        <v>298.08</v>
      </c>
      <c r="Q211" s="2">
        <f>(ROUND((ROUND(((ET211)*AV211*I211),2)*BB211),2)+ROUND((ROUND(((AE211-(EU211))*AV211*I211),2)*BS211),2))</f>
        <v>0</v>
      </c>
      <c r="R211" s="2">
        <f>(ROUND((ROUND(((EU211)*AV211*I211),2)*BS211),2)+ROUND((ROUND(((AE211-(EU211))*AV211*I211),2)*BS211),2))</f>
        <v>0</v>
      </c>
      <c r="S211" s="2">
        <f t="shared" si="237"/>
        <v>0</v>
      </c>
      <c r="T211" s="2">
        <f t="shared" si="238"/>
        <v>0</v>
      </c>
      <c r="U211" s="2">
        <f t="shared" si="239"/>
        <v>0</v>
      </c>
      <c r="V211" s="2">
        <f t="shared" si="240"/>
        <v>0</v>
      </c>
      <c r="W211" s="2">
        <f t="shared" si="241"/>
        <v>0</v>
      </c>
      <c r="X211" s="2">
        <f>(ROUND((((S211+ROUND((ROUND(((EU211)*AV211*I211),2)*BS211),2))*AT211)/100),2)+ROUND(((ROUND((ROUND(((AE211-(EU211))*AV211*I211),2)*BS211),2)*AT211)/100),2))</f>
        <v>0</v>
      </c>
      <c r="Y211" s="2">
        <f>(ROUND((((S211+ROUND((ROUND(((EU211)*AV211*I211),2)*BS211),2))*AU211)/100),2)+ROUND(((ROUND((ROUND(((AE211-(EU211))*AV211*I211),2)*BS211),2)*AU211)/100),2))</f>
        <v>0</v>
      </c>
      <c r="Z211" s="2"/>
      <c r="AA211" s="2">
        <v>55747649</v>
      </c>
      <c r="AB211" s="2">
        <f t="shared" si="242"/>
        <v>24.84</v>
      </c>
      <c r="AC211" s="2">
        <f>ROUND((ES211),6)</f>
        <v>24.84</v>
      </c>
      <c r="AD211" s="2">
        <f>ROUND((((ET211)-(EU211))+AE211),6)</f>
        <v>0</v>
      </c>
      <c r="AE211" s="2">
        <f t="shared" si="262"/>
        <v>0</v>
      </c>
      <c r="AF211" s="2">
        <f t="shared" si="262"/>
        <v>0</v>
      </c>
      <c r="AG211" s="2">
        <f t="shared" si="243"/>
        <v>0</v>
      </c>
      <c r="AH211" s="2">
        <f t="shared" si="263"/>
        <v>0</v>
      </c>
      <c r="AI211" s="2">
        <f t="shared" si="263"/>
        <v>0</v>
      </c>
      <c r="AJ211" s="2">
        <f t="shared" si="244"/>
        <v>0</v>
      </c>
      <c r="AK211" s="2">
        <v>24.84</v>
      </c>
      <c r="AL211" s="2">
        <v>24.84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90</v>
      </c>
      <c r="AU211" s="2">
        <v>46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2</v>
      </c>
      <c r="BJ211" s="2" t="s">
        <v>375</v>
      </c>
      <c r="BK211" s="2"/>
      <c r="BL211" s="2"/>
      <c r="BM211" s="2">
        <v>73</v>
      </c>
      <c r="BN211" s="2">
        <v>0</v>
      </c>
      <c r="BO211" s="2" t="s">
        <v>3</v>
      </c>
      <c r="BP211" s="2">
        <v>0</v>
      </c>
      <c r="BQ211" s="2">
        <v>40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90</v>
      </c>
      <c r="CA211" s="2">
        <v>46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245"/>
        <v>298.08</v>
      </c>
      <c r="CQ211" s="2">
        <f t="shared" si="246"/>
        <v>24.84</v>
      </c>
      <c r="CR211" s="2">
        <f>(ROUND((ROUND(((ET211)*AV211*1),2)*BB211),2)+ROUND((ROUND(((AE211-(EU211))*AV211*1),2)*BS211),2))</f>
        <v>0</v>
      </c>
      <c r="CS211" s="2">
        <f>(ROUND((ROUND(((EU211)*AV211*1),2)*BS211),2)+ROUND((ROUND(((AE211-(EU211))*AV211*1),2)*BS211),2))</f>
        <v>0</v>
      </c>
      <c r="CT211" s="2">
        <f t="shared" si="247"/>
        <v>0</v>
      </c>
      <c r="CU211" s="2">
        <f t="shared" si="248"/>
        <v>0</v>
      </c>
      <c r="CV211" s="2">
        <f t="shared" si="249"/>
        <v>0</v>
      </c>
      <c r="CW211" s="2">
        <f t="shared" si="250"/>
        <v>0</v>
      </c>
      <c r="CX211" s="2">
        <f t="shared" si="251"/>
        <v>0</v>
      </c>
      <c r="CY211" s="2">
        <f>(ROUND((((S211+ROUND((ROUND(((EU211)*AV211*1),2)*BS211),2))*AT211)/100),2)+ROUND(((ROUND((ROUND(((AE211-(EU211))*AV211*1),2)*BS211),2)*AT211)/100),2))</f>
        <v>0</v>
      </c>
      <c r="CZ211" s="2">
        <f>(ROUND((((S211+ROUND((ROUND(((EU211)*AV211*1),2)*BS211),2))*AU211)/100),2)+ROUND(((ROUND((ROUND(((AE211-(EU211))*AV211*1),2)*BS211),2)*AU211)/100),2))</f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118</v>
      </c>
      <c r="DW211" s="2" t="s">
        <v>118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56938740</v>
      </c>
      <c r="EF211" s="2">
        <v>40</v>
      </c>
      <c r="EG211" s="2" t="s">
        <v>29</v>
      </c>
      <c r="EH211" s="2">
        <v>0</v>
      </c>
      <c r="EI211" s="2" t="s">
        <v>3</v>
      </c>
      <c r="EJ211" s="2">
        <v>2</v>
      </c>
      <c r="EK211" s="2">
        <v>73</v>
      </c>
      <c r="EL211" s="2" t="s">
        <v>85</v>
      </c>
      <c r="EM211" s="2" t="s">
        <v>86</v>
      </c>
      <c r="EN211" s="2"/>
      <c r="EO211" s="2" t="s">
        <v>3</v>
      </c>
      <c r="EP211" s="2"/>
      <c r="EQ211" s="2">
        <v>0</v>
      </c>
      <c r="ER211" s="2">
        <v>24.84</v>
      </c>
      <c r="ES211" s="2">
        <v>24.84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90</v>
      </c>
      <c r="FY211" s="2">
        <v>46</v>
      </c>
      <c r="FZ211" s="2"/>
      <c r="GA211" s="2" t="s">
        <v>3</v>
      </c>
      <c r="GB211" s="2"/>
      <c r="GC211" s="2"/>
      <c r="GD211" s="2">
        <v>1</v>
      </c>
      <c r="GE211" s="2"/>
      <c r="GF211" s="2">
        <v>769202615</v>
      </c>
      <c r="GG211" s="2">
        <v>2</v>
      </c>
      <c r="GH211" s="2">
        <v>1</v>
      </c>
      <c r="GI211" s="2">
        <v>-2</v>
      </c>
      <c r="GJ211" s="2">
        <v>0</v>
      </c>
      <c r="GK211" s="2">
        <v>0</v>
      </c>
      <c r="GL211" s="2">
        <f t="shared" si="252"/>
        <v>0</v>
      </c>
      <c r="GM211" s="2">
        <f t="shared" si="253"/>
        <v>298.08</v>
      </c>
      <c r="GN211" s="2">
        <f t="shared" si="254"/>
        <v>0</v>
      </c>
      <c r="GO211" s="2">
        <f t="shared" si="255"/>
        <v>298.08</v>
      </c>
      <c r="GP211" s="2">
        <f t="shared" si="256"/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si="257"/>
        <v>0</v>
      </c>
      <c r="GW211" s="2">
        <v>1</v>
      </c>
      <c r="GX211" s="2">
        <f t="shared" si="258"/>
        <v>0</v>
      </c>
      <c r="GY211" s="2"/>
      <c r="GZ211" s="2"/>
      <c r="HA211" s="2">
        <v>0</v>
      </c>
      <c r="HB211" s="2">
        <v>0</v>
      </c>
      <c r="HC211" s="2">
        <f t="shared" si="259"/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 s="3">
        <v>18</v>
      </c>
      <c r="B212" s="3">
        <v>1</v>
      </c>
      <c r="C212" s="3">
        <v>492</v>
      </c>
      <c r="E212" s="3" t="s">
        <v>372</v>
      </c>
      <c r="F212" s="3" t="s">
        <v>373</v>
      </c>
      <c r="G212" s="3" t="s">
        <v>374</v>
      </c>
      <c r="H212" s="3" t="s">
        <v>118</v>
      </c>
      <c r="I212" s="3">
        <f>I208*J212</f>
        <v>12</v>
      </c>
      <c r="J212" s="3">
        <v>1</v>
      </c>
      <c r="K212" s="3">
        <v>1</v>
      </c>
      <c r="O212" s="3">
        <f t="shared" si="235"/>
        <v>935.97</v>
      </c>
      <c r="P212" s="3">
        <f t="shared" si="236"/>
        <v>935.97</v>
      </c>
      <c r="Q212" s="3">
        <f>(ROUND((ROUND(((ET212)*AV212*I212),2)*BB212),2)+ROUND((ROUND(((AE212-(EU212))*AV212*I212),2)*BS212),2))</f>
        <v>0</v>
      </c>
      <c r="R212" s="3">
        <f>(ROUND((ROUND(((EU212)*AV212*I212),2)*BS212),2)+ROUND((ROUND(((AE212-(EU212))*AV212*I212),2)*BS212),2))</f>
        <v>0</v>
      </c>
      <c r="S212" s="3">
        <f t="shared" si="237"/>
        <v>0</v>
      </c>
      <c r="T212" s="3">
        <f t="shared" si="238"/>
        <v>0</v>
      </c>
      <c r="U212" s="3">
        <f t="shared" si="239"/>
        <v>0</v>
      </c>
      <c r="V212" s="3">
        <f t="shared" si="240"/>
        <v>0</v>
      </c>
      <c r="W212" s="3">
        <f t="shared" si="241"/>
        <v>0</v>
      </c>
      <c r="X212" s="3">
        <f>(ROUND((((S212+ROUND((ROUND(((EU212)*AV212*I212),2)*BS212),2))*AT212)/100),2)+ROUND(((ROUND((ROUND(((AE212-(EU212))*AV212*I212),2)*BS212),2)*AT212)/100),2))</f>
        <v>0</v>
      </c>
      <c r="Y212" s="3">
        <f>(ROUND((((S212+ROUND((ROUND(((EU212)*AV212*I212),2)*BS212),2))*AU212)/100),2)+ROUND(((ROUND((ROUND(((AE212-(EU212))*AV212*I212),2)*BS212),2)*AU212)/100),2))</f>
        <v>0</v>
      </c>
      <c r="AA212" s="3">
        <v>55747651</v>
      </c>
      <c r="AB212" s="3">
        <f t="shared" si="242"/>
        <v>24.84</v>
      </c>
      <c r="AC212" s="3">
        <f>ROUND((ES212),6)</f>
        <v>24.84</v>
      </c>
      <c r="AD212" s="3">
        <f>ROUND((((ET212)-(EU212))+AE212),6)</f>
        <v>0</v>
      </c>
      <c r="AE212" s="3">
        <f t="shared" si="262"/>
        <v>0</v>
      </c>
      <c r="AF212" s="3">
        <f t="shared" si="262"/>
        <v>0</v>
      </c>
      <c r="AG212" s="3">
        <f t="shared" si="243"/>
        <v>0</v>
      </c>
      <c r="AH212" s="3">
        <f t="shared" si="263"/>
        <v>0</v>
      </c>
      <c r="AI212" s="3">
        <f t="shared" si="263"/>
        <v>0</v>
      </c>
      <c r="AJ212" s="3">
        <f t="shared" si="244"/>
        <v>0</v>
      </c>
      <c r="AK212" s="3">
        <v>24.84</v>
      </c>
      <c r="AL212" s="3">
        <v>24.84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90</v>
      </c>
      <c r="AU212" s="3">
        <v>46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3.14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2</v>
      </c>
      <c r="BJ212" s="3" t="s">
        <v>375</v>
      </c>
      <c r="BM212" s="3">
        <v>73</v>
      </c>
      <c r="BN212" s="3">
        <v>0</v>
      </c>
      <c r="BO212" s="3" t="s">
        <v>373</v>
      </c>
      <c r="BP212" s="3">
        <v>1</v>
      </c>
      <c r="BQ212" s="3">
        <v>40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90</v>
      </c>
      <c r="CA212" s="3">
        <v>46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245"/>
        <v>935.97</v>
      </c>
      <c r="CQ212" s="3">
        <f t="shared" si="246"/>
        <v>78</v>
      </c>
      <c r="CR212" s="3">
        <f>(ROUND((ROUND(((ET212)*AV212*1),2)*BB212),2)+ROUND((ROUND(((AE212-(EU212))*AV212*1),2)*BS212),2))</f>
        <v>0</v>
      </c>
      <c r="CS212" s="3">
        <f>(ROUND((ROUND(((EU212)*AV212*1),2)*BS212),2)+ROUND((ROUND(((AE212-(EU212))*AV212*1),2)*BS212),2))</f>
        <v>0</v>
      </c>
      <c r="CT212" s="3">
        <f t="shared" si="247"/>
        <v>0</v>
      </c>
      <c r="CU212" s="3">
        <f t="shared" si="248"/>
        <v>0</v>
      </c>
      <c r="CV212" s="3">
        <f t="shared" si="249"/>
        <v>0</v>
      </c>
      <c r="CW212" s="3">
        <f t="shared" si="250"/>
        <v>0</v>
      </c>
      <c r="CX212" s="3">
        <f t="shared" si="251"/>
        <v>0</v>
      </c>
      <c r="CY212" s="3">
        <f>(ROUND((((S212+ROUND((ROUND(((EU212)*AV212*1),2)*BS212),2))*AT212)/100),2)+ROUND(((ROUND((ROUND(((AE212-(EU212))*AV212*1),2)*BS212),2)*AT212)/100),2))</f>
        <v>0</v>
      </c>
      <c r="CZ212" s="3">
        <f>(ROUND((((S212+ROUND((ROUND(((EU212)*AV212*1),2)*BS212),2))*AU212)/100),2)+ROUND(((ROUND((ROUND(((AE212-(EU212))*AV212*1),2)*BS212),2)*AU212)/100),2))</f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1010</v>
      </c>
      <c r="DV212" s="3" t="s">
        <v>118</v>
      </c>
      <c r="DW212" s="3" t="s">
        <v>118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56938740</v>
      </c>
      <c r="EF212" s="3">
        <v>40</v>
      </c>
      <c r="EG212" s="3" t="s">
        <v>29</v>
      </c>
      <c r="EH212" s="3">
        <v>0</v>
      </c>
      <c r="EI212" s="3" t="s">
        <v>3</v>
      </c>
      <c r="EJ212" s="3">
        <v>2</v>
      </c>
      <c r="EK212" s="3">
        <v>73</v>
      </c>
      <c r="EL212" s="3" t="s">
        <v>85</v>
      </c>
      <c r="EM212" s="3" t="s">
        <v>86</v>
      </c>
      <c r="EO212" s="3" t="s">
        <v>3</v>
      </c>
      <c r="EQ212" s="3">
        <v>0</v>
      </c>
      <c r="ER212" s="3">
        <v>24.84</v>
      </c>
      <c r="ES212" s="3">
        <v>24.84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FQ212" s="3">
        <v>0</v>
      </c>
      <c r="FR212" s="3">
        <v>0</v>
      </c>
      <c r="FS212" s="3">
        <v>0</v>
      </c>
      <c r="FX212" s="3">
        <v>90</v>
      </c>
      <c r="FY212" s="3">
        <v>46</v>
      </c>
      <c r="GA212" s="3" t="s">
        <v>3</v>
      </c>
      <c r="GD212" s="3">
        <v>1</v>
      </c>
      <c r="GF212" s="3">
        <v>769202615</v>
      </c>
      <c r="GG212" s="3">
        <v>2</v>
      </c>
      <c r="GH212" s="3">
        <v>1</v>
      </c>
      <c r="GI212" s="3">
        <v>2</v>
      </c>
      <c r="GJ212" s="3">
        <v>0</v>
      </c>
      <c r="GK212" s="3">
        <v>0</v>
      </c>
      <c r="GL212" s="3">
        <f t="shared" si="252"/>
        <v>0</v>
      </c>
      <c r="GM212" s="3">
        <f t="shared" si="253"/>
        <v>935.97</v>
      </c>
      <c r="GN212" s="3">
        <f t="shared" si="254"/>
        <v>0</v>
      </c>
      <c r="GO212" s="3">
        <f t="shared" si="255"/>
        <v>935.97</v>
      </c>
      <c r="GP212" s="3">
        <f t="shared" si="256"/>
        <v>0</v>
      </c>
      <c r="GR212" s="3">
        <v>0</v>
      </c>
      <c r="GS212" s="3">
        <v>3</v>
      </c>
      <c r="GT212" s="3">
        <v>0</v>
      </c>
      <c r="GU212" s="3" t="s">
        <v>3</v>
      </c>
      <c r="GV212" s="3">
        <f t="shared" si="257"/>
        <v>0</v>
      </c>
      <c r="GW212" s="3">
        <v>1</v>
      </c>
      <c r="GX212" s="3">
        <f t="shared" si="258"/>
        <v>0</v>
      </c>
      <c r="HA212" s="3">
        <v>0</v>
      </c>
      <c r="HB212" s="3">
        <v>0</v>
      </c>
      <c r="HC212" s="3">
        <f t="shared" si="259"/>
        <v>0</v>
      </c>
      <c r="HE212" s="3" t="s">
        <v>3</v>
      </c>
      <c r="HF212" s="3" t="s">
        <v>3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">
      <c r="A213" s="2">
        <v>17</v>
      </c>
      <c r="B213" s="2">
        <v>1</v>
      </c>
      <c r="C213" s="2">
        <f>ROW(SmtRes!A500)</f>
        <v>500</v>
      </c>
      <c r="D213" s="2">
        <f>ROW(EtalonRes!A534)</f>
        <v>534</v>
      </c>
      <c r="E213" s="2" t="s">
        <v>3</v>
      </c>
      <c r="F213" s="2" t="s">
        <v>376</v>
      </c>
      <c r="G213" s="2" t="s">
        <v>377</v>
      </c>
      <c r="H213" s="2" t="s">
        <v>254</v>
      </c>
      <c r="I213" s="2">
        <f>ROUND((12)/100,9)</f>
        <v>0.12</v>
      </c>
      <c r="J213" s="2">
        <v>0</v>
      </c>
      <c r="K213" s="2">
        <f>ROUND((12)/100,9)</f>
        <v>0.12</v>
      </c>
      <c r="L213" s="2"/>
      <c r="M213" s="2"/>
      <c r="N213" s="2"/>
      <c r="O213" s="2">
        <f t="shared" si="235"/>
        <v>595.13</v>
      </c>
      <c r="P213" s="2">
        <f t="shared" si="236"/>
        <v>427.1</v>
      </c>
      <c r="Q213" s="2">
        <f>(ROUND((ROUND((((ET213*1.2))*AV213*I213),2)*BB213),2)+ROUND((ROUND(((AE213-((EU213*1.2)))*AV213*I213),2)*BS213),2))</f>
        <v>51.69</v>
      </c>
      <c r="R213" s="2">
        <f>(ROUND((ROUND((((EU213*1.2))*AV213*I213),2)*BS213),2)+ROUND((ROUND(((AE213-((EU213*1.2)))*AV213*I213),2)*BS213),2))</f>
        <v>0.02</v>
      </c>
      <c r="S213" s="2">
        <f t="shared" si="237"/>
        <v>116.34</v>
      </c>
      <c r="T213" s="2">
        <f t="shared" si="238"/>
        <v>0</v>
      </c>
      <c r="U213" s="2">
        <f t="shared" si="239"/>
        <v>9.2188799999999986</v>
      </c>
      <c r="V213" s="2">
        <f t="shared" si="240"/>
        <v>0</v>
      </c>
      <c r="W213" s="2">
        <f t="shared" si="241"/>
        <v>0</v>
      </c>
      <c r="X213" s="2">
        <f>(ROUND((((S213+ROUND((ROUND((((EU213*1.2))*AV213*I213),2)*BS213),2))*AT213)/100),2)+ROUND(((ROUND((ROUND(((AE213-((EU213*1.2)))*AV213*I213),2)*BS213),2)*AT213)/100),2))</f>
        <v>104.72</v>
      </c>
      <c r="Y213" s="2">
        <f>(ROUND((((S213+ROUND((ROUND((((EU213*1.2))*AV213*I213),2)*BS213),2))*AU213)/100),2)+ROUND(((ROUND((ROUND(((AE213-((EU213*1.2)))*AV213*I213),2)*BS213),2)*AU213)/100),2))</f>
        <v>53.53</v>
      </c>
      <c r="Z213" s="2"/>
      <c r="AA213" s="2">
        <v>-1</v>
      </c>
      <c r="AB213" s="2">
        <f t="shared" si="242"/>
        <v>4774.5439999999999</v>
      </c>
      <c r="AC213" s="2">
        <f>ROUND(((ES213*1)),6)</f>
        <v>3462.2</v>
      </c>
      <c r="AD213" s="2">
        <f>ROUND(((((ET213*1.2))-((EU213*1.2)))+AE213),6)</f>
        <v>403.70400000000001</v>
      </c>
      <c r="AE213" s="2">
        <f>ROUND(((EU213*1.2)),6)</f>
        <v>0.156</v>
      </c>
      <c r="AF213" s="2">
        <f>ROUND(((EV213*1.2)),6)</f>
        <v>908.64</v>
      </c>
      <c r="AG213" s="2">
        <f t="shared" si="243"/>
        <v>0</v>
      </c>
      <c r="AH213" s="2">
        <f>((EW213*1.2))</f>
        <v>72</v>
      </c>
      <c r="AI213" s="2">
        <f>((EX213*1.2))</f>
        <v>0</v>
      </c>
      <c r="AJ213" s="2">
        <f t="shared" si="244"/>
        <v>0</v>
      </c>
      <c r="AK213" s="2">
        <v>4555.82</v>
      </c>
      <c r="AL213" s="2">
        <v>3462.2</v>
      </c>
      <c r="AM213" s="2">
        <v>336.42</v>
      </c>
      <c r="AN213" s="2">
        <v>0.13</v>
      </c>
      <c r="AO213" s="2">
        <v>757.2</v>
      </c>
      <c r="AP213" s="2">
        <v>0</v>
      </c>
      <c r="AQ213" s="2">
        <v>60</v>
      </c>
      <c r="AR213" s="2">
        <v>0</v>
      </c>
      <c r="AS213" s="2">
        <v>0</v>
      </c>
      <c r="AT213" s="2">
        <v>90</v>
      </c>
      <c r="AU213" s="2">
        <v>46</v>
      </c>
      <c r="AV213" s="2">
        <v>1.0669999999999999</v>
      </c>
      <c r="AW213" s="2">
        <v>1.028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0</v>
      </c>
      <c r="BI213" s="2">
        <v>2</v>
      </c>
      <c r="BJ213" s="2" t="s">
        <v>378</v>
      </c>
      <c r="BK213" s="2"/>
      <c r="BL213" s="2"/>
      <c r="BM213" s="2">
        <v>73</v>
      </c>
      <c r="BN213" s="2">
        <v>0</v>
      </c>
      <c r="BO213" s="2" t="s">
        <v>376</v>
      </c>
      <c r="BP213" s="2">
        <v>1</v>
      </c>
      <c r="BQ213" s="2">
        <v>40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90</v>
      </c>
      <c r="CA213" s="2">
        <v>46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716</v>
      </c>
      <c r="CO213" s="2">
        <v>0</v>
      </c>
      <c r="CP213" s="2">
        <f t="shared" si="245"/>
        <v>595.13</v>
      </c>
      <c r="CQ213" s="2">
        <f t="shared" si="246"/>
        <v>3559.14</v>
      </c>
      <c r="CR213" s="2">
        <f>(ROUND((ROUND((((ET213*1.2))*AV213*1),2)*BB213),2)+ROUND((ROUND(((AE213-((EU213*1.2)))*AV213*1),2)*BS213),2))</f>
        <v>430.75</v>
      </c>
      <c r="CS213" s="2">
        <f>(ROUND((ROUND((((EU213*1.2))*AV213*1),2)*BS213),2)+ROUND((ROUND(((AE213-((EU213*1.2)))*AV213*1),2)*BS213),2))</f>
        <v>0.17</v>
      </c>
      <c r="CT213" s="2">
        <f t="shared" si="247"/>
        <v>969.52</v>
      </c>
      <c r="CU213" s="2">
        <f t="shared" si="248"/>
        <v>0</v>
      </c>
      <c r="CV213" s="2">
        <f t="shared" si="249"/>
        <v>76.823999999999998</v>
      </c>
      <c r="CW213" s="2">
        <f t="shared" si="250"/>
        <v>0</v>
      </c>
      <c r="CX213" s="2">
        <f t="shared" si="251"/>
        <v>0</v>
      </c>
      <c r="CY213" s="2">
        <f>(ROUND((((S213+ROUND((ROUND((((EU213*1.2))*AV213*1),2)*BS213),2))*AT213)/100),2)+ROUND(((ROUND((ROUND(((AE213-((EU213*1.2)))*AV213*1),2)*BS213),2)*AT213)/100),2))</f>
        <v>104.86</v>
      </c>
      <c r="CZ213" s="2">
        <f>(ROUND((((S213+ROUND((ROUND((((EU213*1.2))*AV213*1),2)*BS213),2))*AU213)/100),2)+ROUND(((ROUND((ROUND(((AE213-((EU213*1.2)))*AV213*1),2)*BS213),2)*AU213)/100),2))</f>
        <v>53.59</v>
      </c>
      <c r="DA213" s="2"/>
      <c r="DB213" s="2">
        <v>81</v>
      </c>
      <c r="DC213" s="2" t="s">
        <v>3</v>
      </c>
      <c r="DD213" s="2" t="s">
        <v>48</v>
      </c>
      <c r="DE213" s="2" t="s">
        <v>49</v>
      </c>
      <c r="DF213" s="2" t="s">
        <v>49</v>
      </c>
      <c r="DG213" s="2" t="s">
        <v>49</v>
      </c>
      <c r="DH213" s="2" t="s">
        <v>3</v>
      </c>
      <c r="DI213" s="2" t="s">
        <v>49</v>
      </c>
      <c r="DJ213" s="2" t="s">
        <v>49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1010</v>
      </c>
      <c r="DV213" s="2" t="s">
        <v>254</v>
      </c>
      <c r="DW213" s="2" t="s">
        <v>254</v>
      </c>
      <c r="DX213" s="2">
        <v>100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56938740</v>
      </c>
      <c r="EF213" s="2">
        <v>40</v>
      </c>
      <c r="EG213" s="2" t="s">
        <v>29</v>
      </c>
      <c r="EH213" s="2">
        <v>0</v>
      </c>
      <c r="EI213" s="2" t="s">
        <v>3</v>
      </c>
      <c r="EJ213" s="2">
        <v>2</v>
      </c>
      <c r="EK213" s="2">
        <v>73</v>
      </c>
      <c r="EL213" s="2" t="s">
        <v>85</v>
      </c>
      <c r="EM213" s="2" t="s">
        <v>86</v>
      </c>
      <c r="EN213" s="2"/>
      <c r="EO213" s="2" t="s">
        <v>50</v>
      </c>
      <c r="EP213" s="2"/>
      <c r="EQ213" s="2">
        <v>132096</v>
      </c>
      <c r="ER213" s="2">
        <v>4555.82</v>
      </c>
      <c r="ES213" s="2">
        <v>3462.2</v>
      </c>
      <c r="ET213" s="2">
        <v>336.42</v>
      </c>
      <c r="EU213" s="2">
        <v>0.13</v>
      </c>
      <c r="EV213" s="2">
        <v>757.2</v>
      </c>
      <c r="EW213" s="2">
        <v>60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2</v>
      </c>
      <c r="FT213" s="2"/>
      <c r="FU213" s="2"/>
      <c r="FV213" s="2"/>
      <c r="FW213" s="2"/>
      <c r="FX213" s="2">
        <v>90</v>
      </c>
      <c r="FY213" s="2">
        <v>46</v>
      </c>
      <c r="FZ213" s="2"/>
      <c r="GA213" s="2" t="s">
        <v>3</v>
      </c>
      <c r="GB213" s="2"/>
      <c r="GC213" s="2"/>
      <c r="GD213" s="2">
        <v>1</v>
      </c>
      <c r="GE213" s="2"/>
      <c r="GF213" s="2">
        <v>2142141271</v>
      </c>
      <c r="GG213" s="2">
        <v>2</v>
      </c>
      <c r="GH213" s="2">
        <v>1</v>
      </c>
      <c r="GI213" s="2">
        <v>2</v>
      </c>
      <c r="GJ213" s="2">
        <v>0</v>
      </c>
      <c r="GK213" s="2">
        <v>0</v>
      </c>
      <c r="GL213" s="2">
        <f t="shared" si="252"/>
        <v>0</v>
      </c>
      <c r="GM213" s="2">
        <f t="shared" si="253"/>
        <v>753.38</v>
      </c>
      <c r="GN213" s="2">
        <f t="shared" si="254"/>
        <v>0</v>
      </c>
      <c r="GO213" s="2">
        <f t="shared" si="255"/>
        <v>753.38</v>
      </c>
      <c r="GP213" s="2">
        <f t="shared" si="256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257"/>
        <v>0</v>
      </c>
      <c r="GW213" s="2">
        <v>1</v>
      </c>
      <c r="GX213" s="2">
        <f t="shared" si="258"/>
        <v>0</v>
      </c>
      <c r="GY213" s="2"/>
      <c r="GZ213" s="2"/>
      <c r="HA213" s="2">
        <v>0</v>
      </c>
      <c r="HB213" s="2">
        <v>0</v>
      </c>
      <c r="HC213" s="2">
        <f t="shared" si="259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 s="3">
        <v>17</v>
      </c>
      <c r="B214" s="3">
        <v>1</v>
      </c>
      <c r="C214" s="3">
        <f>ROW(SmtRes!A508)</f>
        <v>508</v>
      </c>
      <c r="D214" s="3">
        <f>ROW(EtalonRes!A542)</f>
        <v>542</v>
      </c>
      <c r="E214" s="3" t="s">
        <v>3</v>
      </c>
      <c r="F214" s="3" t="s">
        <v>376</v>
      </c>
      <c r="G214" s="3" t="s">
        <v>377</v>
      </c>
      <c r="H214" s="3" t="s">
        <v>254</v>
      </c>
      <c r="I214" s="3">
        <f>ROUND((12)/100,9)</f>
        <v>0.12</v>
      </c>
      <c r="J214" s="3">
        <v>0</v>
      </c>
      <c r="K214" s="3">
        <f>ROUND((12)/100,9)</f>
        <v>0.12</v>
      </c>
      <c r="O214" s="3">
        <f t="shared" si="235"/>
        <v>10886.64</v>
      </c>
      <c r="P214" s="3">
        <f t="shared" si="236"/>
        <v>3634.62</v>
      </c>
      <c r="Q214" s="3">
        <f>(ROUND((ROUND((((ET214*1.2))*AV214*I214),2)*BB214),2)+ROUND((ROUND(((AE214-((EU214*1.2)))*AV214*I214),2)*BS214),2))</f>
        <v>696.26</v>
      </c>
      <c r="R214" s="3">
        <f>(ROUND((ROUND((((EU214*1.2))*AV214*I214),2)*BS214),2)+ROUND((ROUND(((AE214-((EU214*1.2)))*AV214*I214),2)*BS214),2))</f>
        <v>1.1299999999999999</v>
      </c>
      <c r="S214" s="3">
        <f t="shared" si="237"/>
        <v>6555.76</v>
      </c>
      <c r="T214" s="3">
        <f t="shared" si="238"/>
        <v>0</v>
      </c>
      <c r="U214" s="3">
        <f t="shared" si="239"/>
        <v>9.2188799999999986</v>
      </c>
      <c r="V214" s="3">
        <f t="shared" si="240"/>
        <v>0</v>
      </c>
      <c r="W214" s="3">
        <f t="shared" si="241"/>
        <v>0</v>
      </c>
      <c r="X214" s="3">
        <f>(ROUND((((S214+ROUND((ROUND((((EU214*1.2))*AV214*I214),2)*BS214),2))*AT214)/100),2)+ROUND(((ROUND((ROUND(((AE214-((EU214*1.2)))*AV214*I214),2)*BS214),2)*AT214)/100),2))</f>
        <v>5901.2</v>
      </c>
      <c r="Y214" s="3">
        <f>(ROUND((((S214+ROUND((ROUND((((EU214*1.2))*AV214*I214),2)*BS214),2))*AU214)/100),2)+ROUND(((ROUND((ROUND(((AE214-((EU214*1.2)))*AV214*I214),2)*BS214),2)*AU214)/100),2))</f>
        <v>3016.17</v>
      </c>
      <c r="AA214" s="3">
        <v>-1</v>
      </c>
      <c r="AB214" s="3">
        <f t="shared" si="242"/>
        <v>4774.5439999999999</v>
      </c>
      <c r="AC214" s="3">
        <f>ROUND(((ES214*1)),6)</f>
        <v>3462.2</v>
      </c>
      <c r="AD214" s="3">
        <f>ROUND(((((ET214*1.2))-((EU214*1.2)))+AE214),6)</f>
        <v>403.70400000000001</v>
      </c>
      <c r="AE214" s="3">
        <f>ROUND(((EU214*1.2)),6)</f>
        <v>0.156</v>
      </c>
      <c r="AF214" s="3">
        <f>ROUND(((EV214*1.2)),6)</f>
        <v>908.64</v>
      </c>
      <c r="AG214" s="3">
        <f t="shared" si="243"/>
        <v>0</v>
      </c>
      <c r="AH214" s="3">
        <f>((EW214*1.2))</f>
        <v>72</v>
      </c>
      <c r="AI214" s="3">
        <f>((EX214*1.2))</f>
        <v>0</v>
      </c>
      <c r="AJ214" s="3">
        <f t="shared" si="244"/>
        <v>0</v>
      </c>
      <c r="AK214" s="3">
        <v>4555.82</v>
      </c>
      <c r="AL214" s="3">
        <v>3462.2</v>
      </c>
      <c r="AM214" s="3">
        <v>336.42</v>
      </c>
      <c r="AN214" s="3">
        <v>0.13</v>
      </c>
      <c r="AO214" s="3">
        <v>757.2</v>
      </c>
      <c r="AP214" s="3">
        <v>0</v>
      </c>
      <c r="AQ214" s="3">
        <v>60</v>
      </c>
      <c r="AR214" s="3">
        <v>0</v>
      </c>
      <c r="AS214" s="3">
        <v>0</v>
      </c>
      <c r="AT214" s="3">
        <v>90</v>
      </c>
      <c r="AU214" s="3">
        <v>46</v>
      </c>
      <c r="AV214" s="3">
        <v>1.0669999999999999</v>
      </c>
      <c r="AW214" s="3">
        <v>1.028</v>
      </c>
      <c r="AZ214" s="3">
        <v>1</v>
      </c>
      <c r="BA214" s="3">
        <v>56.35</v>
      </c>
      <c r="BB214" s="3">
        <v>13.47</v>
      </c>
      <c r="BC214" s="3">
        <v>8.51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0</v>
      </c>
      <c r="BI214" s="3">
        <v>2</v>
      </c>
      <c r="BJ214" s="3" t="s">
        <v>378</v>
      </c>
      <c r="BM214" s="3">
        <v>73</v>
      </c>
      <c r="BN214" s="3">
        <v>0</v>
      </c>
      <c r="BO214" s="3" t="s">
        <v>376</v>
      </c>
      <c r="BP214" s="3">
        <v>1</v>
      </c>
      <c r="BQ214" s="3">
        <v>40</v>
      </c>
      <c r="BR214" s="3">
        <v>0</v>
      </c>
      <c r="BS214" s="3">
        <v>56.35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90</v>
      </c>
      <c r="CA214" s="3">
        <v>46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716</v>
      </c>
      <c r="CO214" s="3">
        <v>0</v>
      </c>
      <c r="CP214" s="3">
        <f t="shared" si="245"/>
        <v>10886.64</v>
      </c>
      <c r="CQ214" s="3">
        <f t="shared" si="246"/>
        <v>30288.28</v>
      </c>
      <c r="CR214" s="3">
        <f>(ROUND((ROUND((((ET214*1.2))*AV214*1),2)*BB214),2)+ROUND((ROUND(((AE214-((EU214*1.2)))*AV214*1),2)*BS214),2))</f>
        <v>5802.2</v>
      </c>
      <c r="CS214" s="3">
        <f>(ROUND((ROUND((((EU214*1.2))*AV214*1),2)*BS214),2)+ROUND((ROUND(((AE214-((EU214*1.2)))*AV214*1),2)*BS214),2))</f>
        <v>9.58</v>
      </c>
      <c r="CT214" s="3">
        <f t="shared" si="247"/>
        <v>54632.45</v>
      </c>
      <c r="CU214" s="3">
        <f t="shared" si="248"/>
        <v>0</v>
      </c>
      <c r="CV214" s="3">
        <f t="shared" si="249"/>
        <v>76.823999999999998</v>
      </c>
      <c r="CW214" s="3">
        <f t="shared" si="250"/>
        <v>0</v>
      </c>
      <c r="CX214" s="3">
        <f t="shared" si="251"/>
        <v>0</v>
      </c>
      <c r="CY214" s="3">
        <f>(ROUND((((S214+ROUND((ROUND((((EU214*1.2))*AV214*1),2)*BS214),2))*AT214)/100),2)+ROUND(((ROUND((ROUND(((AE214-((EU214*1.2)))*AV214*1),2)*BS214),2)*AT214)/100),2))</f>
        <v>5908.81</v>
      </c>
      <c r="CZ214" s="3">
        <f>(ROUND((((S214+ROUND((ROUND((((EU214*1.2))*AV214*1),2)*BS214),2))*AU214)/100),2)+ROUND(((ROUND((ROUND(((AE214-((EU214*1.2)))*AV214*1),2)*BS214),2)*AU214)/100),2))</f>
        <v>3020.06</v>
      </c>
      <c r="DB214" s="3">
        <v>82</v>
      </c>
      <c r="DC214" s="3" t="s">
        <v>3</v>
      </c>
      <c r="DD214" s="3" t="s">
        <v>48</v>
      </c>
      <c r="DE214" s="3" t="s">
        <v>49</v>
      </c>
      <c r="DF214" s="3" t="s">
        <v>49</v>
      </c>
      <c r="DG214" s="3" t="s">
        <v>49</v>
      </c>
      <c r="DH214" s="3" t="s">
        <v>3</v>
      </c>
      <c r="DI214" s="3" t="s">
        <v>49</v>
      </c>
      <c r="DJ214" s="3" t="s">
        <v>49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1010</v>
      </c>
      <c r="DV214" s="3" t="s">
        <v>254</v>
      </c>
      <c r="DW214" s="3" t="s">
        <v>254</v>
      </c>
      <c r="DX214" s="3">
        <v>100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56938740</v>
      </c>
      <c r="EF214" s="3">
        <v>40</v>
      </c>
      <c r="EG214" s="3" t="s">
        <v>29</v>
      </c>
      <c r="EH214" s="3">
        <v>0</v>
      </c>
      <c r="EI214" s="3" t="s">
        <v>3</v>
      </c>
      <c r="EJ214" s="3">
        <v>2</v>
      </c>
      <c r="EK214" s="3">
        <v>73</v>
      </c>
      <c r="EL214" s="3" t="s">
        <v>85</v>
      </c>
      <c r="EM214" s="3" t="s">
        <v>86</v>
      </c>
      <c r="EO214" s="3" t="s">
        <v>50</v>
      </c>
      <c r="EQ214" s="3">
        <v>132096</v>
      </c>
      <c r="ER214" s="3">
        <v>4555.82</v>
      </c>
      <c r="ES214" s="3">
        <v>3462.2</v>
      </c>
      <c r="ET214" s="3">
        <v>336.42</v>
      </c>
      <c r="EU214" s="3">
        <v>0.13</v>
      </c>
      <c r="EV214" s="3">
        <v>757.2</v>
      </c>
      <c r="EW214" s="3">
        <v>60</v>
      </c>
      <c r="EX214" s="3">
        <v>0</v>
      </c>
      <c r="EY214" s="3">
        <v>0</v>
      </c>
      <c r="FQ214" s="3">
        <v>0</v>
      </c>
      <c r="FR214" s="3">
        <v>0</v>
      </c>
      <c r="FS214" s="3">
        <v>2</v>
      </c>
      <c r="FX214" s="3">
        <v>90</v>
      </c>
      <c r="FY214" s="3">
        <v>46</v>
      </c>
      <c r="GA214" s="3" t="s">
        <v>3</v>
      </c>
      <c r="GD214" s="3">
        <v>1</v>
      </c>
      <c r="GF214" s="3">
        <v>2142141271</v>
      </c>
      <c r="GG214" s="3">
        <v>2</v>
      </c>
      <c r="GH214" s="3">
        <v>1</v>
      </c>
      <c r="GI214" s="3">
        <v>2</v>
      </c>
      <c r="GJ214" s="3">
        <v>0</v>
      </c>
      <c r="GK214" s="3">
        <v>0</v>
      </c>
      <c r="GL214" s="3">
        <f t="shared" si="252"/>
        <v>0</v>
      </c>
      <c r="GM214" s="3">
        <f t="shared" si="253"/>
        <v>19804.009999999998</v>
      </c>
      <c r="GN214" s="3">
        <f t="shared" si="254"/>
        <v>0</v>
      </c>
      <c r="GO214" s="3">
        <f t="shared" si="255"/>
        <v>19804.009999999998</v>
      </c>
      <c r="GP214" s="3">
        <f t="shared" si="256"/>
        <v>0</v>
      </c>
      <c r="GR214" s="3">
        <v>0</v>
      </c>
      <c r="GS214" s="3">
        <v>3</v>
      </c>
      <c r="GT214" s="3">
        <v>0</v>
      </c>
      <c r="GU214" s="3" t="s">
        <v>3</v>
      </c>
      <c r="GV214" s="3">
        <f t="shared" si="257"/>
        <v>0</v>
      </c>
      <c r="GW214" s="3">
        <v>1</v>
      </c>
      <c r="GX214" s="3">
        <f t="shared" si="258"/>
        <v>0</v>
      </c>
      <c r="HA214" s="3">
        <v>0</v>
      </c>
      <c r="HB214" s="3">
        <v>0</v>
      </c>
      <c r="HC214" s="3">
        <f t="shared" si="259"/>
        <v>0</v>
      </c>
      <c r="HE214" s="3" t="s">
        <v>3</v>
      </c>
      <c r="HF214" s="3" t="s">
        <v>3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">
      <c r="A215" s="2">
        <v>18</v>
      </c>
      <c r="B215" s="2">
        <v>1</v>
      </c>
      <c r="C215" s="2">
        <v>499</v>
      </c>
      <c r="D215" s="2"/>
      <c r="E215" s="2" t="s">
        <v>3</v>
      </c>
      <c r="F215" s="2" t="s">
        <v>379</v>
      </c>
      <c r="G215" s="2" t="s">
        <v>380</v>
      </c>
      <c r="H215" s="2" t="s">
        <v>381</v>
      </c>
      <c r="I215" s="2">
        <f>I213*J215</f>
        <v>6</v>
      </c>
      <c r="J215" s="2">
        <v>50</v>
      </c>
      <c r="K215" s="2">
        <v>50</v>
      </c>
      <c r="L215" s="2"/>
      <c r="M215" s="2"/>
      <c r="N215" s="2"/>
      <c r="O215" s="2">
        <f t="shared" si="235"/>
        <v>128.46</v>
      </c>
      <c r="P215" s="2">
        <f t="shared" si="236"/>
        <v>128.46</v>
      </c>
      <c r="Q215" s="2">
        <f>(ROUND((ROUND(((ET215)*AV215*I215),2)*BB215),2)+ROUND((ROUND(((AE215-(EU215))*AV215*I215),2)*BS215),2))</f>
        <v>0</v>
      </c>
      <c r="R215" s="2">
        <f>(ROUND((ROUND(((EU215)*AV215*I215),2)*BS215),2)+ROUND((ROUND(((AE215-(EU215))*AV215*I215),2)*BS215),2))</f>
        <v>0</v>
      </c>
      <c r="S215" s="2">
        <f t="shared" si="237"/>
        <v>0</v>
      </c>
      <c r="T215" s="2">
        <f t="shared" si="238"/>
        <v>0</v>
      </c>
      <c r="U215" s="2">
        <f t="shared" si="239"/>
        <v>0</v>
      </c>
      <c r="V215" s="2">
        <f t="shared" si="240"/>
        <v>0</v>
      </c>
      <c r="W215" s="2">
        <f t="shared" si="241"/>
        <v>0</v>
      </c>
      <c r="X215" s="2">
        <f>(ROUND((((S215+ROUND((ROUND(((EU215)*AV215*I215),2)*BS215),2))*AT215)/100),2)+ROUND(((ROUND((ROUND(((AE215-(EU215))*AV215*I215),2)*BS215),2)*AT215)/100),2))</f>
        <v>0</v>
      </c>
      <c r="Y215" s="2">
        <f>(ROUND((((S215+ROUND((ROUND(((EU215)*AV215*I215),2)*BS215),2))*AU215)/100),2)+ROUND(((ROUND((ROUND(((AE215-(EU215))*AV215*I215),2)*BS215),2)*AU215)/100),2))</f>
        <v>0</v>
      </c>
      <c r="Z215" s="2"/>
      <c r="AA215" s="2">
        <v>-1</v>
      </c>
      <c r="AB215" s="2">
        <f t="shared" si="242"/>
        <v>21.41</v>
      </c>
      <c r="AC215" s="2">
        <f>ROUND((ES215),6)</f>
        <v>21.41</v>
      </c>
      <c r="AD215" s="2">
        <f>ROUND((((ET215)-(EU215))+AE215),6)</f>
        <v>0</v>
      </c>
      <c r="AE215" s="2">
        <f>ROUND((EU215),6)</f>
        <v>0</v>
      </c>
      <c r="AF215" s="2">
        <f>ROUND((EV215),6)</f>
        <v>0</v>
      </c>
      <c r="AG215" s="2">
        <f t="shared" si="243"/>
        <v>0</v>
      </c>
      <c r="AH215" s="2">
        <f>(EW215)</f>
        <v>0</v>
      </c>
      <c r="AI215" s="2">
        <f>(EX215)</f>
        <v>0</v>
      </c>
      <c r="AJ215" s="2">
        <f t="shared" si="244"/>
        <v>0</v>
      </c>
      <c r="AK215" s="2">
        <v>21.41</v>
      </c>
      <c r="AL215" s="2">
        <v>21.41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90</v>
      </c>
      <c r="AU215" s="2">
        <v>46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2</v>
      </c>
      <c r="BJ215" s="2" t="s">
        <v>382</v>
      </c>
      <c r="BK215" s="2"/>
      <c r="BL215" s="2"/>
      <c r="BM215" s="2">
        <v>73</v>
      </c>
      <c r="BN215" s="2">
        <v>0</v>
      </c>
      <c r="BO215" s="2" t="s">
        <v>3</v>
      </c>
      <c r="BP215" s="2">
        <v>0</v>
      </c>
      <c r="BQ215" s="2">
        <v>40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90</v>
      </c>
      <c r="CA215" s="2">
        <v>46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718</v>
      </c>
      <c r="CO215" s="2">
        <v>0</v>
      </c>
      <c r="CP215" s="2">
        <f t="shared" si="245"/>
        <v>128.46</v>
      </c>
      <c r="CQ215" s="2">
        <f t="shared" si="246"/>
        <v>21.41</v>
      </c>
      <c r="CR215" s="2">
        <f>(ROUND((ROUND(((ET215)*AV215*1),2)*BB215),2)+ROUND((ROUND(((AE215-(EU215))*AV215*1),2)*BS215),2))</f>
        <v>0</v>
      </c>
      <c r="CS215" s="2">
        <f>(ROUND((ROUND(((EU215)*AV215*1),2)*BS215),2)+ROUND((ROUND(((AE215-(EU215))*AV215*1),2)*BS215),2))</f>
        <v>0</v>
      </c>
      <c r="CT215" s="2">
        <f t="shared" si="247"/>
        <v>0</v>
      </c>
      <c r="CU215" s="2">
        <f t="shared" si="248"/>
        <v>0</v>
      </c>
      <c r="CV215" s="2">
        <f t="shared" si="249"/>
        <v>0</v>
      </c>
      <c r="CW215" s="2">
        <f t="shared" si="250"/>
        <v>0</v>
      </c>
      <c r="CX215" s="2">
        <f t="shared" si="251"/>
        <v>0</v>
      </c>
      <c r="CY215" s="2">
        <f>(ROUND((((S215+ROUND((ROUND(((EU215)*AV215*1),2)*BS215),2))*AT215)/100),2)+ROUND(((ROUND((ROUND(((AE215-(EU215))*AV215*1),2)*BS215),2)*AT215)/100),2))</f>
        <v>0</v>
      </c>
      <c r="CZ215" s="2">
        <f>(ROUND((((S215+ROUND((ROUND(((EU215)*AV215*1),2)*BS215),2))*AU215)/100),2)+ROUND(((ROUND((ROUND(((AE215-(EU215))*AV215*1),2)*BS215),2)*AU215)/100),2))</f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1013</v>
      </c>
      <c r="DV215" s="2" t="s">
        <v>381</v>
      </c>
      <c r="DW215" s="2" t="s">
        <v>381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56938740</v>
      </c>
      <c r="EF215" s="2">
        <v>40</v>
      </c>
      <c r="EG215" s="2" t="s">
        <v>29</v>
      </c>
      <c r="EH215" s="2">
        <v>0</v>
      </c>
      <c r="EI215" s="2" t="s">
        <v>3</v>
      </c>
      <c r="EJ215" s="2">
        <v>2</v>
      </c>
      <c r="EK215" s="2">
        <v>73</v>
      </c>
      <c r="EL215" s="2" t="s">
        <v>85</v>
      </c>
      <c r="EM215" s="2" t="s">
        <v>86</v>
      </c>
      <c r="EN215" s="2"/>
      <c r="EO215" s="2" t="s">
        <v>50</v>
      </c>
      <c r="EP215" s="2"/>
      <c r="EQ215" s="2">
        <v>1024</v>
      </c>
      <c r="ER215" s="2">
        <v>21.41</v>
      </c>
      <c r="ES215" s="2">
        <v>21.41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90</v>
      </c>
      <c r="FY215" s="2">
        <v>46</v>
      </c>
      <c r="FZ215" s="2"/>
      <c r="GA215" s="2" t="s">
        <v>3</v>
      </c>
      <c r="GB215" s="2"/>
      <c r="GC215" s="2"/>
      <c r="GD215" s="2">
        <v>1</v>
      </c>
      <c r="GE215" s="2"/>
      <c r="GF215" s="2">
        <v>673296093</v>
      </c>
      <c r="GG215" s="2">
        <v>2</v>
      </c>
      <c r="GH215" s="2">
        <v>1</v>
      </c>
      <c r="GI215" s="2">
        <v>-2</v>
      </c>
      <c r="GJ215" s="2">
        <v>0</v>
      </c>
      <c r="GK215" s="2">
        <v>0</v>
      </c>
      <c r="GL215" s="2">
        <f t="shared" si="252"/>
        <v>0</v>
      </c>
      <c r="GM215" s="2">
        <f t="shared" si="253"/>
        <v>128.46</v>
      </c>
      <c r="GN215" s="2">
        <f t="shared" si="254"/>
        <v>0</v>
      </c>
      <c r="GO215" s="2">
        <f t="shared" si="255"/>
        <v>128.46</v>
      </c>
      <c r="GP215" s="2">
        <f t="shared" si="256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257"/>
        <v>0</v>
      </c>
      <c r="GW215" s="2">
        <v>1</v>
      </c>
      <c r="GX215" s="2">
        <f t="shared" si="258"/>
        <v>0</v>
      </c>
      <c r="GY215" s="2"/>
      <c r="GZ215" s="2"/>
      <c r="HA215" s="2">
        <v>0</v>
      </c>
      <c r="HB215" s="2">
        <v>0</v>
      </c>
      <c r="HC215" s="2">
        <f t="shared" si="259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48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">
      <c r="A216" s="3">
        <v>18</v>
      </c>
      <c r="B216" s="3">
        <v>1</v>
      </c>
      <c r="C216" s="3">
        <v>507</v>
      </c>
      <c r="E216" s="3" t="s">
        <v>3</v>
      </c>
      <c r="F216" s="3" t="s">
        <v>379</v>
      </c>
      <c r="G216" s="3" t="s">
        <v>380</v>
      </c>
      <c r="H216" s="3" t="s">
        <v>381</v>
      </c>
      <c r="I216" s="3">
        <f>I214*J216</f>
        <v>6</v>
      </c>
      <c r="J216" s="3">
        <v>50</v>
      </c>
      <c r="K216" s="3">
        <v>50</v>
      </c>
      <c r="O216" s="3">
        <f t="shared" si="235"/>
        <v>2693.81</v>
      </c>
      <c r="P216" s="3">
        <f t="shared" si="236"/>
        <v>2693.81</v>
      </c>
      <c r="Q216" s="3">
        <f>(ROUND((ROUND(((ET216)*AV216*I216),2)*BB216),2)+ROUND((ROUND(((AE216-(EU216))*AV216*I216),2)*BS216),2))</f>
        <v>0</v>
      </c>
      <c r="R216" s="3">
        <f>(ROUND((ROUND(((EU216)*AV216*I216),2)*BS216),2)+ROUND((ROUND(((AE216-(EU216))*AV216*I216),2)*BS216),2))</f>
        <v>0</v>
      </c>
      <c r="S216" s="3">
        <f t="shared" si="237"/>
        <v>0</v>
      </c>
      <c r="T216" s="3">
        <f t="shared" si="238"/>
        <v>0</v>
      </c>
      <c r="U216" s="3">
        <f t="shared" si="239"/>
        <v>0</v>
      </c>
      <c r="V216" s="3">
        <f t="shared" si="240"/>
        <v>0</v>
      </c>
      <c r="W216" s="3">
        <f t="shared" si="241"/>
        <v>0</v>
      </c>
      <c r="X216" s="3">
        <f>(ROUND((((S216+ROUND((ROUND(((EU216)*AV216*I216),2)*BS216),2))*AT216)/100),2)+ROUND(((ROUND((ROUND(((AE216-(EU216))*AV216*I216),2)*BS216),2)*AT216)/100),2))</f>
        <v>0</v>
      </c>
      <c r="Y216" s="3">
        <f>(ROUND((((S216+ROUND((ROUND(((EU216)*AV216*I216),2)*BS216),2))*AU216)/100),2)+ROUND(((ROUND((ROUND(((AE216-(EU216))*AV216*I216),2)*BS216),2)*AU216)/100),2))</f>
        <v>0</v>
      </c>
      <c r="AA216" s="3">
        <v>-1</v>
      </c>
      <c r="AB216" s="3">
        <f t="shared" si="242"/>
        <v>21.41</v>
      </c>
      <c r="AC216" s="3">
        <f>ROUND((ES216),6)</f>
        <v>21.41</v>
      </c>
      <c r="AD216" s="3">
        <f>ROUND((((ET216)-(EU216))+AE216),6)</f>
        <v>0</v>
      </c>
      <c r="AE216" s="3">
        <f>ROUND((EU216),6)</f>
        <v>0</v>
      </c>
      <c r="AF216" s="3">
        <f>ROUND((EV216),6)</f>
        <v>0</v>
      </c>
      <c r="AG216" s="3">
        <f t="shared" si="243"/>
        <v>0</v>
      </c>
      <c r="AH216" s="3">
        <f>(EW216)</f>
        <v>0</v>
      </c>
      <c r="AI216" s="3">
        <f>(EX216)</f>
        <v>0</v>
      </c>
      <c r="AJ216" s="3">
        <f t="shared" si="244"/>
        <v>0</v>
      </c>
      <c r="AK216" s="3">
        <v>21.41</v>
      </c>
      <c r="AL216" s="3">
        <v>21.41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90</v>
      </c>
      <c r="AU216" s="3">
        <v>46</v>
      </c>
      <c r="AV216" s="3">
        <v>1</v>
      </c>
      <c r="AW216" s="3">
        <v>1</v>
      </c>
      <c r="AZ216" s="3">
        <v>1</v>
      </c>
      <c r="BA216" s="3">
        <v>1</v>
      </c>
      <c r="BB216" s="3">
        <v>1</v>
      </c>
      <c r="BC216" s="3">
        <v>20.97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2</v>
      </c>
      <c r="BJ216" s="3" t="s">
        <v>382</v>
      </c>
      <c r="BM216" s="3">
        <v>73</v>
      </c>
      <c r="BN216" s="3">
        <v>0</v>
      </c>
      <c r="BO216" s="3" t="s">
        <v>379</v>
      </c>
      <c r="BP216" s="3">
        <v>1</v>
      </c>
      <c r="BQ216" s="3">
        <v>40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90</v>
      </c>
      <c r="CA216" s="3">
        <v>46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718</v>
      </c>
      <c r="CO216" s="3">
        <v>0</v>
      </c>
      <c r="CP216" s="3">
        <f t="shared" si="245"/>
        <v>2693.81</v>
      </c>
      <c r="CQ216" s="3">
        <f t="shared" si="246"/>
        <v>448.97</v>
      </c>
      <c r="CR216" s="3">
        <f>(ROUND((ROUND(((ET216)*AV216*1),2)*BB216),2)+ROUND((ROUND(((AE216-(EU216))*AV216*1),2)*BS216),2))</f>
        <v>0</v>
      </c>
      <c r="CS216" s="3">
        <f>(ROUND((ROUND(((EU216)*AV216*1),2)*BS216),2)+ROUND((ROUND(((AE216-(EU216))*AV216*1),2)*BS216),2))</f>
        <v>0</v>
      </c>
      <c r="CT216" s="3">
        <f t="shared" si="247"/>
        <v>0</v>
      </c>
      <c r="CU216" s="3">
        <f t="shared" si="248"/>
        <v>0</v>
      </c>
      <c r="CV216" s="3">
        <f t="shared" si="249"/>
        <v>0</v>
      </c>
      <c r="CW216" s="3">
        <f t="shared" si="250"/>
        <v>0</v>
      </c>
      <c r="CX216" s="3">
        <f t="shared" si="251"/>
        <v>0</v>
      </c>
      <c r="CY216" s="3">
        <f>(ROUND((((S216+ROUND((ROUND(((EU216)*AV216*1),2)*BS216),2))*AT216)/100),2)+ROUND(((ROUND((ROUND(((AE216-(EU216))*AV216*1),2)*BS216),2)*AT216)/100),2))</f>
        <v>0</v>
      </c>
      <c r="CZ216" s="3">
        <f>(ROUND((((S216+ROUND((ROUND(((EU216)*AV216*1),2)*BS216),2))*AU216)/100),2)+ROUND(((ROUND((ROUND(((AE216-(EU216))*AV216*1),2)*BS216),2)*AU216)/100),2))</f>
        <v>0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1013</v>
      </c>
      <c r="DV216" s="3" t="s">
        <v>381</v>
      </c>
      <c r="DW216" s="3" t="s">
        <v>381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56938740</v>
      </c>
      <c r="EF216" s="3">
        <v>40</v>
      </c>
      <c r="EG216" s="3" t="s">
        <v>29</v>
      </c>
      <c r="EH216" s="3">
        <v>0</v>
      </c>
      <c r="EI216" s="3" t="s">
        <v>3</v>
      </c>
      <c r="EJ216" s="3">
        <v>2</v>
      </c>
      <c r="EK216" s="3">
        <v>73</v>
      </c>
      <c r="EL216" s="3" t="s">
        <v>85</v>
      </c>
      <c r="EM216" s="3" t="s">
        <v>86</v>
      </c>
      <c r="EO216" s="3" t="s">
        <v>50</v>
      </c>
      <c r="EQ216" s="3">
        <v>1024</v>
      </c>
      <c r="ER216" s="3">
        <v>21.41</v>
      </c>
      <c r="ES216" s="3">
        <v>21.41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FQ216" s="3">
        <v>0</v>
      </c>
      <c r="FR216" s="3">
        <v>0</v>
      </c>
      <c r="FS216" s="3">
        <v>0</v>
      </c>
      <c r="FX216" s="3">
        <v>90</v>
      </c>
      <c r="FY216" s="3">
        <v>46</v>
      </c>
      <c r="GA216" s="3" t="s">
        <v>3</v>
      </c>
      <c r="GD216" s="3">
        <v>1</v>
      </c>
      <c r="GF216" s="3">
        <v>673296093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252"/>
        <v>0</v>
      </c>
      <c r="GM216" s="3">
        <f t="shared" si="253"/>
        <v>2693.81</v>
      </c>
      <c r="GN216" s="3">
        <f t="shared" si="254"/>
        <v>0</v>
      </c>
      <c r="GO216" s="3">
        <f t="shared" si="255"/>
        <v>2693.81</v>
      </c>
      <c r="GP216" s="3">
        <f t="shared" si="256"/>
        <v>0</v>
      </c>
      <c r="GR216" s="3">
        <v>0</v>
      </c>
      <c r="GS216" s="3">
        <v>3</v>
      </c>
      <c r="GT216" s="3">
        <v>0</v>
      </c>
      <c r="GU216" s="3" t="s">
        <v>3</v>
      </c>
      <c r="GV216" s="3">
        <f t="shared" si="257"/>
        <v>0</v>
      </c>
      <c r="GW216" s="3">
        <v>1</v>
      </c>
      <c r="GX216" s="3">
        <f t="shared" si="258"/>
        <v>0</v>
      </c>
      <c r="HA216" s="3">
        <v>0</v>
      </c>
      <c r="HB216" s="3">
        <v>0</v>
      </c>
      <c r="HC216" s="3">
        <f t="shared" si="259"/>
        <v>0</v>
      </c>
      <c r="HE216" s="3" t="s">
        <v>3</v>
      </c>
      <c r="HF216" s="3" t="s">
        <v>3</v>
      </c>
      <c r="HM216" s="3" t="s">
        <v>48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7" spans="1:255" x14ac:dyDescent="0.2">
      <c r="A217" s="2">
        <v>17</v>
      </c>
      <c r="B217" s="2">
        <v>1</v>
      </c>
      <c r="C217" s="2">
        <f>ROW(SmtRes!A516)</f>
        <v>516</v>
      </c>
      <c r="D217" s="2">
        <f>ROW(EtalonRes!A551)</f>
        <v>551</v>
      </c>
      <c r="E217" s="2" t="s">
        <v>383</v>
      </c>
      <c r="F217" s="2" t="s">
        <v>384</v>
      </c>
      <c r="G217" s="2" t="s">
        <v>385</v>
      </c>
      <c r="H217" s="2" t="s">
        <v>25</v>
      </c>
      <c r="I217" s="2">
        <f>ROUND(12,9)</f>
        <v>12</v>
      </c>
      <c r="J217" s="2">
        <v>0</v>
      </c>
      <c r="K217" s="2">
        <f>ROUND(12,9)</f>
        <v>12</v>
      </c>
      <c r="L217" s="2"/>
      <c r="M217" s="2"/>
      <c r="N217" s="2"/>
      <c r="O217" s="2">
        <f t="shared" si="235"/>
        <v>554.24</v>
      </c>
      <c r="P217" s="2">
        <f t="shared" si="236"/>
        <v>43.32</v>
      </c>
      <c r="Q217" s="2">
        <f>(ROUND((ROUND(((((ET217*1.25)*1.2))*AV217*I217),2)*BB217),2)+ROUND((ROUND(((AE217-(((EU217*1.25)*1.2)))*AV217*I217),2)*BS217),2))</f>
        <v>164.6</v>
      </c>
      <c r="R217" s="2">
        <f>(ROUND((ROUND(((((EU217*1.25)*1.2))*AV217*I217),2)*BS217),2)+ROUND((ROUND(((AE217-(((EU217*1.25)*1.2)))*AV217*I217),2)*BS217),2))</f>
        <v>21.13</v>
      </c>
      <c r="S217" s="2">
        <f t="shared" si="237"/>
        <v>346.32</v>
      </c>
      <c r="T217" s="2">
        <f t="shared" si="238"/>
        <v>0</v>
      </c>
      <c r="U217" s="2">
        <f t="shared" si="239"/>
        <v>28.094536799999997</v>
      </c>
      <c r="V217" s="2">
        <f t="shared" si="240"/>
        <v>0</v>
      </c>
      <c r="W217" s="2">
        <f t="shared" si="241"/>
        <v>0</v>
      </c>
      <c r="X217" s="2">
        <f>(ROUND((((S217+ROUND((ROUND(((((EU217*1.25)*1.2))*AV217*I217),2)*BS217),2))*AT217)/100),2)+ROUND(((ROUND((ROUND(((AE217-(((EU217*1.25)*1.2)))*AV217*I217),2)*BS217),2)*AT217)/100),2))</f>
        <v>444.61</v>
      </c>
      <c r="Y217" s="2">
        <f>(ROUND((((S217+ROUND((ROUND(((((EU217*1.25)*1.2))*AV217*I217),2)*BS217),2))*AU217)/100),2)+ROUND(((ROUND((ROUND(((AE217-(((EU217*1.25)*1.2)))*AV217*I217),2)*BS217),2)*AU217)/100),2))</f>
        <v>264.56</v>
      </c>
      <c r="Z217" s="2"/>
      <c r="AA217" s="2">
        <v>55747649</v>
      </c>
      <c r="AB217" s="2">
        <f t="shared" si="242"/>
        <v>43.512999999999998</v>
      </c>
      <c r="AC217" s="2">
        <f>ROUND((((ES217*1)*1)),6)</f>
        <v>3.61</v>
      </c>
      <c r="AD217" s="2">
        <f>ROUND((((((ET217*1.25)*1.2))-(((EU217*1.25)*1.2)))+AE217),6)</f>
        <v>12.855</v>
      </c>
      <c r="AE217" s="2">
        <f>ROUND((((EU217*1.25)*1.2)),6)</f>
        <v>1.65</v>
      </c>
      <c r="AF217" s="2">
        <f>ROUND((((EV217*1.15)*1.2)),6)</f>
        <v>27.047999999999998</v>
      </c>
      <c r="AG217" s="2">
        <f t="shared" si="243"/>
        <v>0</v>
      </c>
      <c r="AH217" s="2">
        <f>(((EW217*1.15)*1.2))</f>
        <v>2.1941999999999999</v>
      </c>
      <c r="AI217" s="2">
        <f>(((EX217*1.25)*1.2))</f>
        <v>0</v>
      </c>
      <c r="AJ217" s="2">
        <f t="shared" si="244"/>
        <v>0</v>
      </c>
      <c r="AK217" s="2">
        <v>31.78</v>
      </c>
      <c r="AL217" s="2">
        <v>3.61</v>
      </c>
      <c r="AM217" s="2">
        <v>8.57</v>
      </c>
      <c r="AN217" s="2">
        <v>1.1000000000000001</v>
      </c>
      <c r="AO217" s="2">
        <v>19.600000000000001</v>
      </c>
      <c r="AP217" s="2">
        <v>0</v>
      </c>
      <c r="AQ217" s="2">
        <v>1.59</v>
      </c>
      <c r="AR217" s="2">
        <v>0</v>
      </c>
      <c r="AS217" s="2">
        <v>0</v>
      </c>
      <c r="AT217" s="2">
        <v>121</v>
      </c>
      <c r="AU217" s="2">
        <v>72</v>
      </c>
      <c r="AV217" s="2">
        <v>1.0669999999999999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0</v>
      </c>
      <c r="BI217" s="2">
        <v>1</v>
      </c>
      <c r="BJ217" s="2" t="s">
        <v>386</v>
      </c>
      <c r="BK217" s="2"/>
      <c r="BL217" s="2"/>
      <c r="BM217" s="2">
        <v>23</v>
      </c>
      <c r="BN217" s="2">
        <v>0</v>
      </c>
      <c r="BO217" s="2" t="s">
        <v>384</v>
      </c>
      <c r="BP217" s="2">
        <v>1</v>
      </c>
      <c r="BQ217" s="2">
        <v>30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121</v>
      </c>
      <c r="CA217" s="2">
        <v>72</v>
      </c>
      <c r="CB217" s="2" t="s">
        <v>3</v>
      </c>
      <c r="CC217" s="2"/>
      <c r="CD217" s="2"/>
      <c r="CE217" s="2">
        <v>1566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717</v>
      </c>
      <c r="CO217" s="2">
        <v>0</v>
      </c>
      <c r="CP217" s="2">
        <f t="shared" si="245"/>
        <v>554.24</v>
      </c>
      <c r="CQ217" s="2">
        <f t="shared" si="246"/>
        <v>3.61</v>
      </c>
      <c r="CR217" s="2">
        <f>(ROUND((ROUND(((((ET217*1.25)*1.2))*AV217*1),2)*BB217),2)+ROUND((ROUND(((AE217-(((EU217*1.25)*1.2)))*AV217*1),2)*BS217),2))</f>
        <v>13.72</v>
      </c>
      <c r="CS217" s="2">
        <f>(ROUND((ROUND(((((EU217*1.25)*1.2))*AV217*1),2)*BS217),2)+ROUND((ROUND(((AE217-(((EU217*1.25)*1.2)))*AV217*1),2)*BS217),2))</f>
        <v>1.76</v>
      </c>
      <c r="CT217" s="2">
        <f t="shared" si="247"/>
        <v>28.86</v>
      </c>
      <c r="CU217" s="2">
        <f t="shared" si="248"/>
        <v>0</v>
      </c>
      <c r="CV217" s="2">
        <f t="shared" si="249"/>
        <v>2.3412113999999997</v>
      </c>
      <c r="CW217" s="2">
        <f t="shared" si="250"/>
        <v>0</v>
      </c>
      <c r="CX217" s="2">
        <f t="shared" si="251"/>
        <v>0</v>
      </c>
      <c r="CY217" s="2">
        <f>(ROUND((((S217+ROUND((ROUND(((((EU217*1.25)*1.2))*AV217*1),2)*BS217),2))*AT217)/100),2)+ROUND(((ROUND((ROUND(((AE217-(((EU217*1.25)*1.2)))*AV217*1),2)*BS217),2)*AT217)/100),2))</f>
        <v>421.18</v>
      </c>
      <c r="CZ217" s="2">
        <f>(ROUND((((S217+ROUND((ROUND(((((EU217*1.25)*1.2))*AV217*1),2)*BS217),2))*AU217)/100),2)+ROUND(((ROUND((ROUND(((AE217-(((EU217*1.25)*1.2)))*AV217*1),2)*BS217),2)*AU217)/100),2))</f>
        <v>250.62</v>
      </c>
      <c r="DA217" s="2"/>
      <c r="DB217" s="2">
        <v>83</v>
      </c>
      <c r="DC217" s="2" t="s">
        <v>3</v>
      </c>
      <c r="DD217" s="2" t="s">
        <v>38</v>
      </c>
      <c r="DE217" s="2" t="s">
        <v>97</v>
      </c>
      <c r="DF217" s="2" t="s">
        <v>97</v>
      </c>
      <c r="DG217" s="2" t="s">
        <v>98</v>
      </c>
      <c r="DH217" s="2" t="s">
        <v>3</v>
      </c>
      <c r="DI217" s="2" t="s">
        <v>98</v>
      </c>
      <c r="DJ217" s="2" t="s">
        <v>97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1013</v>
      </c>
      <c r="DV217" s="2" t="s">
        <v>25</v>
      </c>
      <c r="DW217" s="2" t="s">
        <v>25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56938689</v>
      </c>
      <c r="EF217" s="2">
        <v>30</v>
      </c>
      <c r="EG217" s="2" t="s">
        <v>41</v>
      </c>
      <c r="EH217" s="2">
        <v>0</v>
      </c>
      <c r="EI217" s="2" t="s">
        <v>3</v>
      </c>
      <c r="EJ217" s="2">
        <v>1</v>
      </c>
      <c r="EK217" s="2">
        <v>23</v>
      </c>
      <c r="EL217" s="2" t="s">
        <v>42</v>
      </c>
      <c r="EM217" s="2" t="s">
        <v>43</v>
      </c>
      <c r="EN217" s="2"/>
      <c r="EO217" s="2" t="s">
        <v>99</v>
      </c>
      <c r="EP217" s="2"/>
      <c r="EQ217" s="2">
        <v>131072</v>
      </c>
      <c r="ER217" s="2">
        <v>31.78</v>
      </c>
      <c r="ES217" s="2">
        <v>3.61</v>
      </c>
      <c r="ET217" s="2">
        <v>8.57</v>
      </c>
      <c r="EU217" s="2">
        <v>1.1000000000000001</v>
      </c>
      <c r="EV217" s="2">
        <v>19.600000000000001</v>
      </c>
      <c r="EW217" s="2">
        <v>1.59</v>
      </c>
      <c r="EX217" s="2">
        <v>0</v>
      </c>
      <c r="EY217" s="2">
        <v>0</v>
      </c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v>0</v>
      </c>
      <c r="FS217" s="2">
        <v>0</v>
      </c>
      <c r="FT217" s="2"/>
      <c r="FU217" s="2"/>
      <c r="FV217" s="2"/>
      <c r="FW217" s="2"/>
      <c r="FX217" s="2">
        <v>121</v>
      </c>
      <c r="FY217" s="2">
        <v>72</v>
      </c>
      <c r="FZ217" s="2"/>
      <c r="GA217" s="2" t="s">
        <v>3</v>
      </c>
      <c r="GB217" s="2"/>
      <c r="GC217" s="2"/>
      <c r="GD217" s="2">
        <v>1</v>
      </c>
      <c r="GE217" s="2"/>
      <c r="GF217" s="2">
        <v>-1383052773</v>
      </c>
      <c r="GG217" s="2">
        <v>2</v>
      </c>
      <c r="GH217" s="2">
        <v>1</v>
      </c>
      <c r="GI217" s="2">
        <v>2</v>
      </c>
      <c r="GJ217" s="2">
        <v>0</v>
      </c>
      <c r="GK217" s="2">
        <v>0</v>
      </c>
      <c r="GL217" s="2">
        <f t="shared" si="252"/>
        <v>0</v>
      </c>
      <c r="GM217" s="2">
        <f t="shared" si="253"/>
        <v>1263.4100000000001</v>
      </c>
      <c r="GN217" s="2">
        <f t="shared" si="254"/>
        <v>1263.4100000000001</v>
      </c>
      <c r="GO217" s="2">
        <f t="shared" si="255"/>
        <v>0</v>
      </c>
      <c r="GP217" s="2">
        <f t="shared" si="256"/>
        <v>0</v>
      </c>
      <c r="GQ217" s="2"/>
      <c r="GR217" s="2">
        <v>0</v>
      </c>
      <c r="GS217" s="2">
        <v>3</v>
      </c>
      <c r="GT217" s="2">
        <v>0</v>
      </c>
      <c r="GU217" s="2" t="s">
        <v>3</v>
      </c>
      <c r="GV217" s="2">
        <f t="shared" si="257"/>
        <v>0</v>
      </c>
      <c r="GW217" s="2">
        <v>1</v>
      </c>
      <c r="GX217" s="2">
        <f t="shared" si="258"/>
        <v>0</v>
      </c>
      <c r="GY217" s="2"/>
      <c r="GZ217" s="2"/>
      <c r="HA217" s="2">
        <v>0</v>
      </c>
      <c r="HB217" s="2">
        <v>0</v>
      </c>
      <c r="HC217" s="2">
        <f t="shared" si="259"/>
        <v>0</v>
      </c>
      <c r="HD217" s="2"/>
      <c r="HE217" s="2" t="s">
        <v>3</v>
      </c>
      <c r="HF217" s="2" t="s">
        <v>3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">
      <c r="A218" s="3">
        <v>17</v>
      </c>
      <c r="B218" s="3">
        <v>1</v>
      </c>
      <c r="C218" s="3">
        <f>ROW(SmtRes!A524)</f>
        <v>524</v>
      </c>
      <c r="D218" s="3">
        <f>ROW(EtalonRes!A560)</f>
        <v>560</v>
      </c>
      <c r="E218" s="3" t="s">
        <v>383</v>
      </c>
      <c r="F218" s="3" t="s">
        <v>384</v>
      </c>
      <c r="G218" s="3" t="s">
        <v>385</v>
      </c>
      <c r="H218" s="3" t="s">
        <v>25</v>
      </c>
      <c r="I218" s="3">
        <f>ROUND(12,9)</f>
        <v>12</v>
      </c>
      <c r="J218" s="3">
        <v>0</v>
      </c>
      <c r="K218" s="3">
        <f>ROUND(12,9)</f>
        <v>12</v>
      </c>
      <c r="O218" s="3">
        <f t="shared" si="235"/>
        <v>22425.9</v>
      </c>
      <c r="P218" s="3">
        <f t="shared" si="236"/>
        <v>283.75</v>
      </c>
      <c r="Q218" s="3">
        <f>(ROUND((ROUND(((((ET218*1.25)*1.2))*AV218*I218),2)*BB218),2)+ROUND((ROUND(((AE218-(((EU218*1.25)*1.2)))*AV218*I218),2)*BS218),2))</f>
        <v>2627.02</v>
      </c>
      <c r="R218" s="3">
        <f>(ROUND((ROUND(((((EU218*1.25)*1.2))*AV218*I218),2)*BS218),2)+ROUND((ROUND(((AE218-(((EU218*1.25)*1.2)))*AV218*I218),2)*BS218),2))</f>
        <v>1190.68</v>
      </c>
      <c r="S218" s="3">
        <f t="shared" si="237"/>
        <v>19515.13</v>
      </c>
      <c r="T218" s="3">
        <f t="shared" si="238"/>
        <v>0</v>
      </c>
      <c r="U218" s="3">
        <f t="shared" si="239"/>
        <v>28.094536799999997</v>
      </c>
      <c r="V218" s="3">
        <f t="shared" si="240"/>
        <v>0</v>
      </c>
      <c r="W218" s="3">
        <f t="shared" si="241"/>
        <v>0</v>
      </c>
      <c r="X218" s="3">
        <f>(ROUND((((S218+ROUND((ROUND(((((EU218*1.25)*1.2))*AV218*I218),2)*BS218),2))*AT218)/100),2)+ROUND(((ROUND((ROUND(((AE218-(((EU218*1.25)*1.2)))*AV218*I218),2)*BS218),2)*AT218)/100),2))</f>
        <v>25054.03</v>
      </c>
      <c r="Y218" s="3">
        <f>(ROUND((((S218+ROUND((ROUND(((((EU218*1.25)*1.2))*AV218*I218),2)*BS218),2))*AU218)/100),2)+ROUND(((ROUND((ROUND(((AE218-(((EU218*1.25)*1.2)))*AV218*I218),2)*BS218),2)*AU218)/100),2))</f>
        <v>14908.18</v>
      </c>
      <c r="AA218" s="3">
        <v>55747651</v>
      </c>
      <c r="AB218" s="3">
        <f t="shared" si="242"/>
        <v>43.512999999999998</v>
      </c>
      <c r="AC218" s="3">
        <f>ROUND((((ES218*1)*1)),6)</f>
        <v>3.61</v>
      </c>
      <c r="AD218" s="3">
        <f>ROUND((((((ET218*1.25)*1.2))-(((EU218*1.25)*1.2)))+AE218),6)</f>
        <v>12.855</v>
      </c>
      <c r="AE218" s="3">
        <f>ROUND((((EU218*1.25)*1.2)),6)</f>
        <v>1.65</v>
      </c>
      <c r="AF218" s="3">
        <f>ROUND((((EV218*1.15)*1.2)),6)</f>
        <v>27.047999999999998</v>
      </c>
      <c r="AG218" s="3">
        <f t="shared" si="243"/>
        <v>0</v>
      </c>
      <c r="AH218" s="3">
        <f>(((EW218*1.15)*1.2))</f>
        <v>2.1941999999999999</v>
      </c>
      <c r="AI218" s="3">
        <f>(((EX218*1.25)*1.2))</f>
        <v>0</v>
      </c>
      <c r="AJ218" s="3">
        <f t="shared" si="244"/>
        <v>0</v>
      </c>
      <c r="AK218" s="3">
        <v>31.78</v>
      </c>
      <c r="AL218" s="3">
        <v>3.61</v>
      </c>
      <c r="AM218" s="3">
        <v>8.57</v>
      </c>
      <c r="AN218" s="3">
        <v>1.1000000000000001</v>
      </c>
      <c r="AO218" s="3">
        <v>19.600000000000001</v>
      </c>
      <c r="AP218" s="3">
        <v>0</v>
      </c>
      <c r="AQ218" s="3">
        <v>1.59</v>
      </c>
      <c r="AR218" s="3">
        <v>0</v>
      </c>
      <c r="AS218" s="3">
        <v>0</v>
      </c>
      <c r="AT218" s="3">
        <v>121</v>
      </c>
      <c r="AU218" s="3">
        <v>72</v>
      </c>
      <c r="AV218" s="3">
        <v>1.0669999999999999</v>
      </c>
      <c r="AW218" s="3">
        <v>1</v>
      </c>
      <c r="AZ218" s="3">
        <v>1</v>
      </c>
      <c r="BA218" s="3">
        <v>56.35</v>
      </c>
      <c r="BB218" s="3">
        <v>15.96</v>
      </c>
      <c r="BC218" s="3">
        <v>6.55</v>
      </c>
      <c r="BD218" s="3" t="s">
        <v>3</v>
      </c>
      <c r="BE218" s="3" t="s">
        <v>3</v>
      </c>
      <c r="BF218" s="3" t="s">
        <v>3</v>
      </c>
      <c r="BG218" s="3" t="s">
        <v>3</v>
      </c>
      <c r="BH218" s="3">
        <v>0</v>
      </c>
      <c r="BI218" s="3">
        <v>1</v>
      </c>
      <c r="BJ218" s="3" t="s">
        <v>386</v>
      </c>
      <c r="BM218" s="3">
        <v>23</v>
      </c>
      <c r="BN218" s="3">
        <v>0</v>
      </c>
      <c r="BO218" s="3" t="s">
        <v>384</v>
      </c>
      <c r="BP218" s="3">
        <v>1</v>
      </c>
      <c r="BQ218" s="3">
        <v>30</v>
      </c>
      <c r="BR218" s="3">
        <v>0</v>
      </c>
      <c r="BS218" s="3">
        <v>56.35</v>
      </c>
      <c r="BT218" s="3">
        <v>1</v>
      </c>
      <c r="BU218" s="3">
        <v>1</v>
      </c>
      <c r="BV218" s="3">
        <v>1</v>
      </c>
      <c r="BW218" s="3">
        <v>1</v>
      </c>
      <c r="BX218" s="3">
        <v>1</v>
      </c>
      <c r="BY218" s="3" t="s">
        <v>3</v>
      </c>
      <c r="BZ218" s="3">
        <v>121</v>
      </c>
      <c r="CA218" s="3">
        <v>72</v>
      </c>
      <c r="CB218" s="3" t="s">
        <v>3</v>
      </c>
      <c r="CE218" s="3">
        <v>1566</v>
      </c>
      <c r="CF218" s="3">
        <v>0</v>
      </c>
      <c r="CG218" s="3">
        <v>0</v>
      </c>
      <c r="CM218" s="3">
        <v>0</v>
      </c>
      <c r="CN218" s="3" t="s">
        <v>717</v>
      </c>
      <c r="CO218" s="3">
        <v>0</v>
      </c>
      <c r="CP218" s="3">
        <f t="shared" si="245"/>
        <v>22425.9</v>
      </c>
      <c r="CQ218" s="3">
        <f t="shared" si="246"/>
        <v>23.65</v>
      </c>
      <c r="CR218" s="3">
        <f>(ROUND((ROUND(((((ET218*1.25)*1.2))*AV218*1),2)*BB218),2)+ROUND((ROUND(((AE218-(((EU218*1.25)*1.2)))*AV218*1),2)*BS218),2))</f>
        <v>218.97</v>
      </c>
      <c r="CS218" s="3">
        <f>(ROUND((ROUND(((((EU218*1.25)*1.2))*AV218*1),2)*BS218),2)+ROUND((ROUND(((AE218-(((EU218*1.25)*1.2)))*AV218*1),2)*BS218),2))</f>
        <v>99.18</v>
      </c>
      <c r="CT218" s="3">
        <f t="shared" si="247"/>
        <v>1626.26</v>
      </c>
      <c r="CU218" s="3">
        <f t="shared" si="248"/>
        <v>0</v>
      </c>
      <c r="CV218" s="3">
        <f t="shared" si="249"/>
        <v>2.3412113999999997</v>
      </c>
      <c r="CW218" s="3">
        <f t="shared" si="250"/>
        <v>0</v>
      </c>
      <c r="CX218" s="3">
        <f t="shared" si="251"/>
        <v>0</v>
      </c>
      <c r="CY218" s="3">
        <f>(ROUND((((S218+ROUND((ROUND(((((EU218*1.25)*1.2))*AV218*1),2)*BS218),2))*AT218)/100),2)+ROUND(((ROUND((ROUND(((AE218-(((EU218*1.25)*1.2)))*AV218*1),2)*BS218),2)*AT218)/100),2))</f>
        <v>23733.32</v>
      </c>
      <c r="CZ218" s="3">
        <f>(ROUND((((S218+ROUND((ROUND(((((EU218*1.25)*1.2))*AV218*1),2)*BS218),2))*AU218)/100),2)+ROUND(((ROUND((ROUND(((AE218-(((EU218*1.25)*1.2)))*AV218*1),2)*BS218),2)*AU218)/100),2))</f>
        <v>14122.3</v>
      </c>
      <c r="DB218" s="3">
        <v>85</v>
      </c>
      <c r="DC218" s="3" t="s">
        <v>3</v>
      </c>
      <c r="DD218" s="3" t="s">
        <v>38</v>
      </c>
      <c r="DE218" s="3" t="s">
        <v>97</v>
      </c>
      <c r="DF218" s="3" t="s">
        <v>97</v>
      </c>
      <c r="DG218" s="3" t="s">
        <v>98</v>
      </c>
      <c r="DH218" s="3" t="s">
        <v>3</v>
      </c>
      <c r="DI218" s="3" t="s">
        <v>98</v>
      </c>
      <c r="DJ218" s="3" t="s">
        <v>97</v>
      </c>
      <c r="DK218" s="3" t="s">
        <v>3</v>
      </c>
      <c r="DL218" s="3" t="s">
        <v>3</v>
      </c>
      <c r="DM218" s="3" t="s">
        <v>3</v>
      </c>
      <c r="DN218" s="3">
        <v>0</v>
      </c>
      <c r="DO218" s="3">
        <v>0</v>
      </c>
      <c r="DP218" s="3">
        <v>1</v>
      </c>
      <c r="DQ218" s="3">
        <v>1</v>
      </c>
      <c r="DU218" s="3">
        <v>1013</v>
      </c>
      <c r="DV218" s="3" t="s">
        <v>25</v>
      </c>
      <c r="DW218" s="3" t="s">
        <v>25</v>
      </c>
      <c r="DX218" s="3">
        <v>1</v>
      </c>
      <c r="DZ218" s="3" t="s">
        <v>3</v>
      </c>
      <c r="EA218" s="3" t="s">
        <v>3</v>
      </c>
      <c r="EB218" s="3" t="s">
        <v>3</v>
      </c>
      <c r="EC218" s="3" t="s">
        <v>3</v>
      </c>
      <c r="EE218" s="3">
        <v>56938689</v>
      </c>
      <c r="EF218" s="3">
        <v>30</v>
      </c>
      <c r="EG218" s="3" t="s">
        <v>41</v>
      </c>
      <c r="EH218" s="3">
        <v>0</v>
      </c>
      <c r="EI218" s="3" t="s">
        <v>3</v>
      </c>
      <c r="EJ218" s="3">
        <v>1</v>
      </c>
      <c r="EK218" s="3">
        <v>23</v>
      </c>
      <c r="EL218" s="3" t="s">
        <v>42</v>
      </c>
      <c r="EM218" s="3" t="s">
        <v>43</v>
      </c>
      <c r="EO218" s="3" t="s">
        <v>99</v>
      </c>
      <c r="EQ218" s="3">
        <v>131072</v>
      </c>
      <c r="ER218" s="3">
        <v>31.78</v>
      </c>
      <c r="ES218" s="3">
        <v>3.61</v>
      </c>
      <c r="ET218" s="3">
        <v>8.57</v>
      </c>
      <c r="EU218" s="3">
        <v>1.1000000000000001</v>
      </c>
      <c r="EV218" s="3">
        <v>19.600000000000001</v>
      </c>
      <c r="EW218" s="3">
        <v>1.59</v>
      </c>
      <c r="EX218" s="3">
        <v>0</v>
      </c>
      <c r="EY218" s="3">
        <v>0</v>
      </c>
      <c r="FQ218" s="3">
        <v>0</v>
      </c>
      <c r="FR218" s="3">
        <v>0</v>
      </c>
      <c r="FS218" s="3">
        <v>0</v>
      </c>
      <c r="FX218" s="3">
        <v>121</v>
      </c>
      <c r="FY218" s="3">
        <v>72</v>
      </c>
      <c r="GA218" s="3" t="s">
        <v>3</v>
      </c>
      <c r="GD218" s="3">
        <v>1</v>
      </c>
      <c r="GF218" s="3">
        <v>-1383052773</v>
      </c>
      <c r="GG218" s="3">
        <v>2</v>
      </c>
      <c r="GH218" s="3">
        <v>1</v>
      </c>
      <c r="GI218" s="3">
        <v>2</v>
      </c>
      <c r="GJ218" s="3">
        <v>0</v>
      </c>
      <c r="GK218" s="3">
        <v>0</v>
      </c>
      <c r="GL218" s="3">
        <f t="shared" si="252"/>
        <v>0</v>
      </c>
      <c r="GM218" s="3">
        <f t="shared" si="253"/>
        <v>62388.11</v>
      </c>
      <c r="GN218" s="3">
        <f t="shared" si="254"/>
        <v>62388.11</v>
      </c>
      <c r="GO218" s="3">
        <f t="shared" si="255"/>
        <v>0</v>
      </c>
      <c r="GP218" s="3">
        <f t="shared" si="256"/>
        <v>0</v>
      </c>
      <c r="GR218" s="3">
        <v>0</v>
      </c>
      <c r="GS218" s="3">
        <v>3</v>
      </c>
      <c r="GT218" s="3">
        <v>0</v>
      </c>
      <c r="GU218" s="3" t="s">
        <v>3</v>
      </c>
      <c r="GV218" s="3">
        <f t="shared" si="257"/>
        <v>0</v>
      </c>
      <c r="GW218" s="3">
        <v>1</v>
      </c>
      <c r="GX218" s="3">
        <f t="shared" si="258"/>
        <v>0</v>
      </c>
      <c r="HA218" s="3">
        <v>0</v>
      </c>
      <c r="HB218" s="3">
        <v>0</v>
      </c>
      <c r="HC218" s="3">
        <f t="shared" si="259"/>
        <v>0</v>
      </c>
      <c r="HE218" s="3" t="s">
        <v>3</v>
      </c>
      <c r="HF218" s="3" t="s">
        <v>3</v>
      </c>
      <c r="HM218" s="3" t="s">
        <v>3</v>
      </c>
      <c r="HN218" s="3" t="s">
        <v>3</v>
      </c>
      <c r="HO218" s="3" t="s">
        <v>3</v>
      </c>
      <c r="HP218" s="3" t="s">
        <v>3</v>
      </c>
      <c r="HQ218" s="3" t="s">
        <v>3</v>
      </c>
      <c r="HS218" s="3">
        <v>0</v>
      </c>
      <c r="IK218" s="3">
        <v>0</v>
      </c>
    </row>
    <row r="219" spans="1:255" x14ac:dyDescent="0.2">
      <c r="A219" s="2">
        <v>18</v>
      </c>
      <c r="B219" s="2">
        <v>1</v>
      </c>
      <c r="C219" s="2">
        <v>515</v>
      </c>
      <c r="D219" s="2"/>
      <c r="E219" s="2" t="s">
        <v>387</v>
      </c>
      <c r="F219" s="2" t="s">
        <v>388</v>
      </c>
      <c r="G219" s="2" t="s">
        <v>389</v>
      </c>
      <c r="H219" s="2" t="s">
        <v>118</v>
      </c>
      <c r="I219" s="2">
        <f>I217*J219</f>
        <v>12</v>
      </c>
      <c r="J219" s="2">
        <v>1</v>
      </c>
      <c r="K219" s="2">
        <v>1</v>
      </c>
      <c r="L219" s="2"/>
      <c r="M219" s="2"/>
      <c r="N219" s="2"/>
      <c r="O219" s="2">
        <f t="shared" si="235"/>
        <v>1588.56</v>
      </c>
      <c r="P219" s="2">
        <f t="shared" si="236"/>
        <v>1588.56</v>
      </c>
      <c r="Q219" s="2">
        <f>(ROUND((ROUND(((ET219)*AV219*I219),2)*BB219),2)+ROUND((ROUND(((AE219-(EU219))*AV219*I219),2)*BS219),2))</f>
        <v>0</v>
      </c>
      <c r="R219" s="2">
        <f>(ROUND((ROUND(((EU219)*AV219*I219),2)*BS219),2)+ROUND((ROUND(((AE219-(EU219))*AV219*I219),2)*BS219),2))</f>
        <v>0</v>
      </c>
      <c r="S219" s="2">
        <f t="shared" si="237"/>
        <v>0</v>
      </c>
      <c r="T219" s="2">
        <f t="shared" si="238"/>
        <v>0</v>
      </c>
      <c r="U219" s="2">
        <f t="shared" si="239"/>
        <v>0</v>
      </c>
      <c r="V219" s="2">
        <f t="shared" si="240"/>
        <v>0</v>
      </c>
      <c r="W219" s="2">
        <f t="shared" si="241"/>
        <v>0</v>
      </c>
      <c r="X219" s="2">
        <f>(ROUND((((S219+ROUND((ROUND(((EU219)*AV219*I219),2)*BS219),2))*AT219)/100),2)+ROUND(((ROUND((ROUND(((AE219-(EU219))*AV219*I219),2)*BS219),2)*AT219)/100),2))</f>
        <v>0</v>
      </c>
      <c r="Y219" s="2">
        <f>(ROUND((((S219+ROUND((ROUND(((EU219)*AV219*I219),2)*BS219),2))*AU219)/100),2)+ROUND(((ROUND((ROUND(((AE219-(EU219))*AV219*I219),2)*BS219),2)*AU219)/100),2))</f>
        <v>0</v>
      </c>
      <c r="Z219" s="2"/>
      <c r="AA219" s="2">
        <v>55747649</v>
      </c>
      <c r="AB219" s="2">
        <f t="shared" si="242"/>
        <v>132.38</v>
      </c>
      <c r="AC219" s="2">
        <f>ROUND((ES219),6)</f>
        <v>132.38</v>
      </c>
      <c r="AD219" s="2">
        <f>ROUND((((ET219)-(EU219))+AE219),6)</f>
        <v>0</v>
      </c>
      <c r="AE219" s="2">
        <f>ROUND((EU219),6)</f>
        <v>0</v>
      </c>
      <c r="AF219" s="2">
        <f>ROUND((EV219),6)</f>
        <v>0</v>
      </c>
      <c r="AG219" s="2">
        <f t="shared" si="243"/>
        <v>0</v>
      </c>
      <c r="AH219" s="2">
        <f>(EW219)</f>
        <v>0</v>
      </c>
      <c r="AI219" s="2">
        <f>(EX219)</f>
        <v>0</v>
      </c>
      <c r="AJ219" s="2">
        <f t="shared" si="244"/>
        <v>0</v>
      </c>
      <c r="AK219" s="2">
        <v>132.38</v>
      </c>
      <c r="AL219" s="2">
        <v>132.38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121</v>
      </c>
      <c r="AU219" s="2">
        <v>72</v>
      </c>
      <c r="AV219" s="2">
        <v>1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3</v>
      </c>
      <c r="BI219" s="2">
        <v>1</v>
      </c>
      <c r="BJ219" s="2" t="s">
        <v>390</v>
      </c>
      <c r="BK219" s="2"/>
      <c r="BL219" s="2"/>
      <c r="BM219" s="2">
        <v>23</v>
      </c>
      <c r="BN219" s="2">
        <v>0</v>
      </c>
      <c r="BO219" s="2" t="s">
        <v>3</v>
      </c>
      <c r="BP219" s="2">
        <v>0</v>
      </c>
      <c r="BQ219" s="2">
        <v>30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121</v>
      </c>
      <c r="CA219" s="2">
        <v>72</v>
      </c>
      <c r="CB219" s="2" t="s">
        <v>3</v>
      </c>
      <c r="CC219" s="2"/>
      <c r="CD219" s="2"/>
      <c r="CE219" s="2">
        <v>1566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3</v>
      </c>
      <c r="CO219" s="2">
        <v>0</v>
      </c>
      <c r="CP219" s="2">
        <f t="shared" si="245"/>
        <v>1588.56</v>
      </c>
      <c r="CQ219" s="2">
        <f t="shared" si="246"/>
        <v>132.38</v>
      </c>
      <c r="CR219" s="2">
        <f>(ROUND((ROUND(((ET219)*AV219*1),2)*BB219),2)+ROUND((ROUND(((AE219-(EU219))*AV219*1),2)*BS219),2))</f>
        <v>0</v>
      </c>
      <c r="CS219" s="2">
        <f>(ROUND((ROUND(((EU219)*AV219*1),2)*BS219),2)+ROUND((ROUND(((AE219-(EU219))*AV219*1),2)*BS219),2))</f>
        <v>0</v>
      </c>
      <c r="CT219" s="2">
        <f t="shared" si="247"/>
        <v>0</v>
      </c>
      <c r="CU219" s="2">
        <f t="shared" si="248"/>
        <v>0</v>
      </c>
      <c r="CV219" s="2">
        <f t="shared" si="249"/>
        <v>0</v>
      </c>
      <c r="CW219" s="2">
        <f t="shared" si="250"/>
        <v>0</v>
      </c>
      <c r="CX219" s="2">
        <f t="shared" si="251"/>
        <v>0</v>
      </c>
      <c r="CY219" s="2">
        <f>(ROUND((((S219+ROUND((ROUND(((EU219)*AV219*1),2)*BS219),2))*AT219)/100),2)+ROUND(((ROUND((ROUND(((AE219-(EU219))*AV219*1),2)*BS219),2)*AT219)/100),2))</f>
        <v>0</v>
      </c>
      <c r="CZ219" s="2">
        <f>(ROUND((((S219+ROUND((ROUND(((EU219)*AV219*1),2)*BS219),2))*AU219)/100),2)+ROUND(((ROUND((ROUND(((AE219-(EU219))*AV219*1),2)*BS219),2)*AU219)/100),2))</f>
        <v>0</v>
      </c>
      <c r="DA219" s="2"/>
      <c r="DB219" s="2"/>
      <c r="DC219" s="2" t="s">
        <v>3</v>
      </c>
      <c r="DD219" s="2" t="s">
        <v>3</v>
      </c>
      <c r="DE219" s="2" t="s">
        <v>3</v>
      </c>
      <c r="DF219" s="2" t="s">
        <v>3</v>
      </c>
      <c r="DG219" s="2" t="s">
        <v>3</v>
      </c>
      <c r="DH219" s="2" t="s">
        <v>3</v>
      </c>
      <c r="DI219" s="2" t="s">
        <v>3</v>
      </c>
      <c r="DJ219" s="2" t="s">
        <v>3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1010</v>
      </c>
      <c r="DV219" s="2" t="s">
        <v>118</v>
      </c>
      <c r="DW219" s="2" t="s">
        <v>118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56938689</v>
      </c>
      <c r="EF219" s="2">
        <v>30</v>
      </c>
      <c r="EG219" s="2" t="s">
        <v>41</v>
      </c>
      <c r="EH219" s="2">
        <v>0</v>
      </c>
      <c r="EI219" s="2" t="s">
        <v>3</v>
      </c>
      <c r="EJ219" s="2">
        <v>1</v>
      </c>
      <c r="EK219" s="2">
        <v>23</v>
      </c>
      <c r="EL219" s="2" t="s">
        <v>42</v>
      </c>
      <c r="EM219" s="2" t="s">
        <v>43</v>
      </c>
      <c r="EN219" s="2"/>
      <c r="EO219" s="2" t="s">
        <v>3</v>
      </c>
      <c r="EP219" s="2"/>
      <c r="EQ219" s="2">
        <v>0</v>
      </c>
      <c r="ER219" s="2">
        <v>132.38</v>
      </c>
      <c r="ES219" s="2">
        <v>132.38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121</v>
      </c>
      <c r="FY219" s="2">
        <v>72</v>
      </c>
      <c r="FZ219" s="2"/>
      <c r="GA219" s="2" t="s">
        <v>3</v>
      </c>
      <c r="GB219" s="2"/>
      <c r="GC219" s="2"/>
      <c r="GD219" s="2">
        <v>1</v>
      </c>
      <c r="GE219" s="2"/>
      <c r="GF219" s="2">
        <v>-1809205533</v>
      </c>
      <c r="GG219" s="2">
        <v>2</v>
      </c>
      <c r="GH219" s="2">
        <v>1</v>
      </c>
      <c r="GI219" s="2">
        <v>-2</v>
      </c>
      <c r="GJ219" s="2">
        <v>0</v>
      </c>
      <c r="GK219" s="2">
        <v>0</v>
      </c>
      <c r="GL219" s="2">
        <f t="shared" si="252"/>
        <v>0</v>
      </c>
      <c r="GM219" s="2">
        <f t="shared" si="253"/>
        <v>1588.56</v>
      </c>
      <c r="GN219" s="2">
        <f t="shared" si="254"/>
        <v>1588.56</v>
      </c>
      <c r="GO219" s="2">
        <f t="shared" si="255"/>
        <v>0</v>
      </c>
      <c r="GP219" s="2">
        <f t="shared" si="256"/>
        <v>0</v>
      </c>
      <c r="GQ219" s="2"/>
      <c r="GR219" s="2">
        <v>0</v>
      </c>
      <c r="GS219" s="2">
        <v>3</v>
      </c>
      <c r="GT219" s="2">
        <v>0</v>
      </c>
      <c r="GU219" s="2" t="s">
        <v>3</v>
      </c>
      <c r="GV219" s="2">
        <f t="shared" si="257"/>
        <v>0</v>
      </c>
      <c r="GW219" s="2">
        <v>1</v>
      </c>
      <c r="GX219" s="2">
        <f t="shared" si="258"/>
        <v>0</v>
      </c>
      <c r="GY219" s="2"/>
      <c r="GZ219" s="2"/>
      <c r="HA219" s="2">
        <v>0</v>
      </c>
      <c r="HB219" s="2">
        <v>0</v>
      </c>
      <c r="HC219" s="2">
        <f t="shared" si="259"/>
        <v>0</v>
      </c>
      <c r="HD219" s="2"/>
      <c r="HE219" s="2" t="s">
        <v>3</v>
      </c>
      <c r="HF219" s="2" t="s">
        <v>3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">
      <c r="A220" s="3">
        <v>18</v>
      </c>
      <c r="B220" s="3">
        <v>1</v>
      </c>
      <c r="C220" s="3">
        <v>523</v>
      </c>
      <c r="E220" s="3" t="s">
        <v>387</v>
      </c>
      <c r="F220" s="3" t="s">
        <v>388</v>
      </c>
      <c r="G220" s="3" t="s">
        <v>389</v>
      </c>
      <c r="H220" s="3" t="s">
        <v>118</v>
      </c>
      <c r="I220" s="3">
        <f>I218*J220</f>
        <v>12</v>
      </c>
      <c r="J220" s="3">
        <v>1</v>
      </c>
      <c r="K220" s="3">
        <v>1</v>
      </c>
      <c r="O220" s="3">
        <f t="shared" si="235"/>
        <v>10039.700000000001</v>
      </c>
      <c r="P220" s="3">
        <f t="shared" si="236"/>
        <v>10039.700000000001</v>
      </c>
      <c r="Q220" s="3">
        <f>(ROUND((ROUND(((ET220)*AV220*I220),2)*BB220),2)+ROUND((ROUND(((AE220-(EU220))*AV220*I220),2)*BS220),2))</f>
        <v>0</v>
      </c>
      <c r="R220" s="3">
        <f>(ROUND((ROUND(((EU220)*AV220*I220),2)*BS220),2)+ROUND((ROUND(((AE220-(EU220))*AV220*I220),2)*BS220),2))</f>
        <v>0</v>
      </c>
      <c r="S220" s="3">
        <f t="shared" si="237"/>
        <v>0</v>
      </c>
      <c r="T220" s="3">
        <f t="shared" si="238"/>
        <v>0</v>
      </c>
      <c r="U220" s="3">
        <f t="shared" si="239"/>
        <v>0</v>
      </c>
      <c r="V220" s="3">
        <f t="shared" si="240"/>
        <v>0</v>
      </c>
      <c r="W220" s="3">
        <f t="shared" si="241"/>
        <v>0</v>
      </c>
      <c r="X220" s="3">
        <f>(ROUND((((S220+ROUND((ROUND(((EU220)*AV220*I220),2)*BS220),2))*AT220)/100),2)+ROUND(((ROUND((ROUND(((AE220-(EU220))*AV220*I220),2)*BS220),2)*AT220)/100),2))</f>
        <v>0</v>
      </c>
      <c r="Y220" s="3">
        <f>(ROUND((((S220+ROUND((ROUND(((EU220)*AV220*I220),2)*BS220),2))*AU220)/100),2)+ROUND(((ROUND((ROUND(((AE220-(EU220))*AV220*I220),2)*BS220),2)*AU220)/100),2))</f>
        <v>0</v>
      </c>
      <c r="AA220" s="3">
        <v>55747651</v>
      </c>
      <c r="AB220" s="3">
        <f t="shared" si="242"/>
        <v>132.38</v>
      </c>
      <c r="AC220" s="3">
        <f>ROUND((ES220),6)</f>
        <v>132.38</v>
      </c>
      <c r="AD220" s="3">
        <f>ROUND((((ET220)-(EU220))+AE220),6)</f>
        <v>0</v>
      </c>
      <c r="AE220" s="3">
        <f>ROUND((EU220),6)</f>
        <v>0</v>
      </c>
      <c r="AF220" s="3">
        <f>ROUND((EV220),6)</f>
        <v>0</v>
      </c>
      <c r="AG220" s="3">
        <f t="shared" si="243"/>
        <v>0</v>
      </c>
      <c r="AH220" s="3">
        <f>(EW220)</f>
        <v>0</v>
      </c>
      <c r="AI220" s="3">
        <f>(EX220)</f>
        <v>0</v>
      </c>
      <c r="AJ220" s="3">
        <f t="shared" si="244"/>
        <v>0</v>
      </c>
      <c r="AK220" s="3">
        <v>132.38</v>
      </c>
      <c r="AL220" s="3">
        <v>132.38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121</v>
      </c>
      <c r="AU220" s="3">
        <v>72</v>
      </c>
      <c r="AV220" s="3">
        <v>1</v>
      </c>
      <c r="AW220" s="3">
        <v>1</v>
      </c>
      <c r="AZ220" s="3">
        <v>1</v>
      </c>
      <c r="BA220" s="3">
        <v>1</v>
      </c>
      <c r="BB220" s="3">
        <v>1</v>
      </c>
      <c r="BC220" s="3">
        <v>6.32</v>
      </c>
      <c r="BD220" s="3" t="s">
        <v>3</v>
      </c>
      <c r="BE220" s="3" t="s">
        <v>3</v>
      </c>
      <c r="BF220" s="3" t="s">
        <v>3</v>
      </c>
      <c r="BG220" s="3" t="s">
        <v>3</v>
      </c>
      <c r="BH220" s="3">
        <v>3</v>
      </c>
      <c r="BI220" s="3">
        <v>1</v>
      </c>
      <c r="BJ220" s="3" t="s">
        <v>390</v>
      </c>
      <c r="BM220" s="3">
        <v>23</v>
      </c>
      <c r="BN220" s="3">
        <v>0</v>
      </c>
      <c r="BO220" s="3" t="s">
        <v>388</v>
      </c>
      <c r="BP220" s="3">
        <v>1</v>
      </c>
      <c r="BQ220" s="3">
        <v>30</v>
      </c>
      <c r="BR220" s="3">
        <v>0</v>
      </c>
      <c r="BS220" s="3">
        <v>1</v>
      </c>
      <c r="BT220" s="3">
        <v>1</v>
      </c>
      <c r="BU220" s="3">
        <v>1</v>
      </c>
      <c r="BV220" s="3">
        <v>1</v>
      </c>
      <c r="BW220" s="3">
        <v>1</v>
      </c>
      <c r="BX220" s="3">
        <v>1</v>
      </c>
      <c r="BY220" s="3" t="s">
        <v>3</v>
      </c>
      <c r="BZ220" s="3">
        <v>121</v>
      </c>
      <c r="CA220" s="3">
        <v>72</v>
      </c>
      <c r="CB220" s="3" t="s">
        <v>3</v>
      </c>
      <c r="CE220" s="3">
        <v>1566</v>
      </c>
      <c r="CF220" s="3">
        <v>0</v>
      </c>
      <c r="CG220" s="3">
        <v>0</v>
      </c>
      <c r="CM220" s="3">
        <v>0</v>
      </c>
      <c r="CN220" s="3" t="s">
        <v>3</v>
      </c>
      <c r="CO220" s="3">
        <v>0</v>
      </c>
      <c r="CP220" s="3">
        <f t="shared" si="245"/>
        <v>10039.700000000001</v>
      </c>
      <c r="CQ220" s="3">
        <f t="shared" si="246"/>
        <v>836.64</v>
      </c>
      <c r="CR220" s="3">
        <f>(ROUND((ROUND(((ET220)*AV220*1),2)*BB220),2)+ROUND((ROUND(((AE220-(EU220))*AV220*1),2)*BS220),2))</f>
        <v>0</v>
      </c>
      <c r="CS220" s="3">
        <f>(ROUND((ROUND(((EU220)*AV220*1),2)*BS220),2)+ROUND((ROUND(((AE220-(EU220))*AV220*1),2)*BS220),2))</f>
        <v>0</v>
      </c>
      <c r="CT220" s="3">
        <f t="shared" si="247"/>
        <v>0</v>
      </c>
      <c r="CU220" s="3">
        <f t="shared" si="248"/>
        <v>0</v>
      </c>
      <c r="CV220" s="3">
        <f t="shared" si="249"/>
        <v>0</v>
      </c>
      <c r="CW220" s="3">
        <f t="shared" si="250"/>
        <v>0</v>
      </c>
      <c r="CX220" s="3">
        <f t="shared" si="251"/>
        <v>0</v>
      </c>
      <c r="CY220" s="3">
        <f>(ROUND((((S220+ROUND((ROUND(((EU220)*AV220*1),2)*BS220),2))*AT220)/100),2)+ROUND(((ROUND((ROUND(((AE220-(EU220))*AV220*1),2)*BS220),2)*AT220)/100),2))</f>
        <v>0</v>
      </c>
      <c r="CZ220" s="3">
        <f>(ROUND((((S220+ROUND((ROUND(((EU220)*AV220*1),2)*BS220),2))*AU220)/100),2)+ROUND(((ROUND((ROUND(((AE220-(EU220))*AV220*1),2)*BS220),2)*AU220)/100),2))</f>
        <v>0</v>
      </c>
      <c r="DC220" s="3" t="s">
        <v>3</v>
      </c>
      <c r="DD220" s="3" t="s">
        <v>3</v>
      </c>
      <c r="DE220" s="3" t="s">
        <v>3</v>
      </c>
      <c r="DF220" s="3" t="s">
        <v>3</v>
      </c>
      <c r="DG220" s="3" t="s">
        <v>3</v>
      </c>
      <c r="DH220" s="3" t="s">
        <v>3</v>
      </c>
      <c r="DI220" s="3" t="s">
        <v>3</v>
      </c>
      <c r="DJ220" s="3" t="s">
        <v>3</v>
      </c>
      <c r="DK220" s="3" t="s">
        <v>3</v>
      </c>
      <c r="DL220" s="3" t="s">
        <v>3</v>
      </c>
      <c r="DM220" s="3" t="s">
        <v>3</v>
      </c>
      <c r="DN220" s="3">
        <v>0</v>
      </c>
      <c r="DO220" s="3">
        <v>0</v>
      </c>
      <c r="DP220" s="3">
        <v>1</v>
      </c>
      <c r="DQ220" s="3">
        <v>1</v>
      </c>
      <c r="DU220" s="3">
        <v>1010</v>
      </c>
      <c r="DV220" s="3" t="s">
        <v>118</v>
      </c>
      <c r="DW220" s="3" t="s">
        <v>118</v>
      </c>
      <c r="DX220" s="3">
        <v>1</v>
      </c>
      <c r="DZ220" s="3" t="s">
        <v>3</v>
      </c>
      <c r="EA220" s="3" t="s">
        <v>3</v>
      </c>
      <c r="EB220" s="3" t="s">
        <v>3</v>
      </c>
      <c r="EC220" s="3" t="s">
        <v>3</v>
      </c>
      <c r="EE220" s="3">
        <v>56938689</v>
      </c>
      <c r="EF220" s="3">
        <v>30</v>
      </c>
      <c r="EG220" s="3" t="s">
        <v>41</v>
      </c>
      <c r="EH220" s="3">
        <v>0</v>
      </c>
      <c r="EI220" s="3" t="s">
        <v>3</v>
      </c>
      <c r="EJ220" s="3">
        <v>1</v>
      </c>
      <c r="EK220" s="3">
        <v>23</v>
      </c>
      <c r="EL220" s="3" t="s">
        <v>42</v>
      </c>
      <c r="EM220" s="3" t="s">
        <v>43</v>
      </c>
      <c r="EO220" s="3" t="s">
        <v>3</v>
      </c>
      <c r="EQ220" s="3">
        <v>0</v>
      </c>
      <c r="ER220" s="3">
        <v>132.38</v>
      </c>
      <c r="ES220" s="3">
        <v>132.38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FQ220" s="3">
        <v>0</v>
      </c>
      <c r="FR220" s="3">
        <v>0</v>
      </c>
      <c r="FS220" s="3">
        <v>0</v>
      </c>
      <c r="FX220" s="3">
        <v>121</v>
      </c>
      <c r="FY220" s="3">
        <v>72</v>
      </c>
      <c r="GA220" s="3" t="s">
        <v>3</v>
      </c>
      <c r="GD220" s="3">
        <v>1</v>
      </c>
      <c r="GF220" s="3">
        <v>-1809205533</v>
      </c>
      <c r="GG220" s="3">
        <v>2</v>
      </c>
      <c r="GH220" s="3">
        <v>1</v>
      </c>
      <c r="GI220" s="3">
        <v>2</v>
      </c>
      <c r="GJ220" s="3">
        <v>0</v>
      </c>
      <c r="GK220" s="3">
        <v>0</v>
      </c>
      <c r="GL220" s="3">
        <f t="shared" si="252"/>
        <v>0</v>
      </c>
      <c r="GM220" s="3">
        <f t="shared" si="253"/>
        <v>10039.700000000001</v>
      </c>
      <c r="GN220" s="3">
        <f t="shared" si="254"/>
        <v>10039.700000000001</v>
      </c>
      <c r="GO220" s="3">
        <f t="shared" si="255"/>
        <v>0</v>
      </c>
      <c r="GP220" s="3">
        <f t="shared" si="256"/>
        <v>0</v>
      </c>
      <c r="GR220" s="3">
        <v>0</v>
      </c>
      <c r="GS220" s="3">
        <v>3</v>
      </c>
      <c r="GT220" s="3">
        <v>0</v>
      </c>
      <c r="GU220" s="3" t="s">
        <v>3</v>
      </c>
      <c r="GV220" s="3">
        <f t="shared" si="257"/>
        <v>0</v>
      </c>
      <c r="GW220" s="3">
        <v>1</v>
      </c>
      <c r="GX220" s="3">
        <f t="shared" si="258"/>
        <v>0</v>
      </c>
      <c r="HA220" s="3">
        <v>0</v>
      </c>
      <c r="HB220" s="3">
        <v>0</v>
      </c>
      <c r="HC220" s="3">
        <f t="shared" si="259"/>
        <v>0</v>
      </c>
      <c r="HE220" s="3" t="s">
        <v>3</v>
      </c>
      <c r="HF220" s="3" t="s">
        <v>3</v>
      </c>
      <c r="HM220" s="3" t="s">
        <v>3</v>
      </c>
      <c r="HN220" s="3" t="s">
        <v>3</v>
      </c>
      <c r="HO220" s="3" t="s">
        <v>3</v>
      </c>
      <c r="HP220" s="3" t="s">
        <v>3</v>
      </c>
      <c r="HQ220" s="3" t="s">
        <v>3</v>
      </c>
      <c r="HS220" s="3">
        <v>0</v>
      </c>
      <c r="IK220" s="3">
        <v>0</v>
      </c>
    </row>
    <row r="221" spans="1:255" x14ac:dyDescent="0.2">
      <c r="A221" s="2">
        <v>17</v>
      </c>
      <c r="B221" s="2">
        <v>1</v>
      </c>
      <c r="C221" s="2">
        <f>ROW(SmtRes!A531)</f>
        <v>531</v>
      </c>
      <c r="D221" s="2">
        <f>ROW(EtalonRes!A568)</f>
        <v>568</v>
      </c>
      <c r="E221" s="2" t="s">
        <v>3</v>
      </c>
      <c r="F221" s="2" t="s">
        <v>391</v>
      </c>
      <c r="G221" s="2" t="s">
        <v>392</v>
      </c>
      <c r="H221" s="2" t="s">
        <v>25</v>
      </c>
      <c r="I221" s="2">
        <f>ROUND(12,9)</f>
        <v>12</v>
      </c>
      <c r="J221" s="2">
        <v>0</v>
      </c>
      <c r="K221" s="2">
        <f>ROUND(12,9)</f>
        <v>12</v>
      </c>
      <c r="L221" s="2"/>
      <c r="M221" s="2"/>
      <c r="N221" s="2"/>
      <c r="O221" s="2">
        <f t="shared" si="235"/>
        <v>629.84</v>
      </c>
      <c r="P221" s="2">
        <f t="shared" si="236"/>
        <v>257.04000000000002</v>
      </c>
      <c r="Q221" s="2">
        <f>(ROUND((ROUND(((((ET221*1.25)*1.2))*AV221*I221),2)*BB221),2)+ROUND((ROUND(((AE221-(((EU221*1.25)*1.2)))*AV221*I221),2)*BS221),2))</f>
        <v>63.76</v>
      </c>
      <c r="R221" s="2">
        <f>(ROUND((ROUND(((((EU221*1.25)*1.2))*AV221*I221),2)*BS221),2)+ROUND((ROUND(((AE221-(((EU221*1.25)*1.2)))*AV221*I221),2)*BS221),2))</f>
        <v>2.5</v>
      </c>
      <c r="S221" s="2">
        <f t="shared" si="237"/>
        <v>309.04000000000002</v>
      </c>
      <c r="T221" s="2">
        <f t="shared" si="238"/>
        <v>0</v>
      </c>
      <c r="U221" s="2">
        <f t="shared" si="239"/>
        <v>25.974194400000002</v>
      </c>
      <c r="V221" s="2">
        <f t="shared" si="240"/>
        <v>0</v>
      </c>
      <c r="W221" s="2">
        <f t="shared" si="241"/>
        <v>0</v>
      </c>
      <c r="X221" s="2">
        <f>(ROUND((((S221+ROUND((ROUND(((((EU221*1.25)*1.2))*AV221*I221),2)*BS221),2))*AT221)/100),2)+ROUND(((ROUND((ROUND(((AE221-(((EU221*1.25)*1.2)))*AV221*I221),2)*BS221),2)*AT221)/100),2))</f>
        <v>376.96</v>
      </c>
      <c r="Y221" s="2">
        <f>(ROUND((((S221+ROUND((ROUND(((((EU221*1.25)*1.2))*AV221*I221),2)*BS221),2))*AU221)/100),2)+ROUND(((ROUND((ROUND(((AE221-(((EU221*1.25)*1.2)))*AV221*I221),2)*BS221),2)*AU221)/100),2))</f>
        <v>224.31</v>
      </c>
      <c r="Z221" s="2"/>
      <c r="AA221" s="2">
        <v>-1</v>
      </c>
      <c r="AB221" s="2">
        <f t="shared" si="242"/>
        <v>50.536200000000001</v>
      </c>
      <c r="AC221" s="2">
        <f>ROUND((((ES221*1)*1)),6)</f>
        <v>21.42</v>
      </c>
      <c r="AD221" s="2">
        <f>ROUND((((((ET221*1.25)*1.2))-(((EU221*1.25)*1.2)))+AE221),6)</f>
        <v>4.9800000000000004</v>
      </c>
      <c r="AE221" s="2">
        <f>ROUND((((EU221*1.25)*1.2)),6)</f>
        <v>0.19500000000000001</v>
      </c>
      <c r="AF221" s="2">
        <f>ROUND((((EV221*1.15)*1.2)),6)</f>
        <v>24.136199999999999</v>
      </c>
      <c r="AG221" s="2">
        <f t="shared" si="243"/>
        <v>0</v>
      </c>
      <c r="AH221" s="2">
        <f>(((EW221*1.15)*1.2))</f>
        <v>2.0286</v>
      </c>
      <c r="AI221" s="2">
        <f>(((EX221*1.25)*1.2))</f>
        <v>0</v>
      </c>
      <c r="AJ221" s="2">
        <f t="shared" si="244"/>
        <v>0</v>
      </c>
      <c r="AK221" s="2">
        <v>42.23</v>
      </c>
      <c r="AL221" s="2">
        <v>21.42</v>
      </c>
      <c r="AM221" s="2">
        <v>3.32</v>
      </c>
      <c r="AN221" s="2">
        <v>0.13</v>
      </c>
      <c r="AO221" s="2">
        <v>17.489999999999998</v>
      </c>
      <c r="AP221" s="2">
        <v>0</v>
      </c>
      <c r="AQ221" s="2">
        <v>1.47</v>
      </c>
      <c r="AR221" s="2">
        <v>0</v>
      </c>
      <c r="AS221" s="2">
        <v>0</v>
      </c>
      <c r="AT221" s="2">
        <v>121</v>
      </c>
      <c r="AU221" s="2">
        <v>72</v>
      </c>
      <c r="AV221" s="2">
        <v>1.0669999999999999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0</v>
      </c>
      <c r="BI221" s="2">
        <v>1</v>
      </c>
      <c r="BJ221" s="2" t="s">
        <v>393</v>
      </c>
      <c r="BK221" s="2"/>
      <c r="BL221" s="2"/>
      <c r="BM221" s="2">
        <v>21</v>
      </c>
      <c r="BN221" s="2">
        <v>0</v>
      </c>
      <c r="BO221" s="2" t="s">
        <v>391</v>
      </c>
      <c r="BP221" s="2">
        <v>1</v>
      </c>
      <c r="BQ221" s="2">
        <v>30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121</v>
      </c>
      <c r="CA221" s="2">
        <v>72</v>
      </c>
      <c r="CB221" s="2" t="s">
        <v>3</v>
      </c>
      <c r="CC221" s="2"/>
      <c r="CD221" s="2"/>
      <c r="CE221" s="2">
        <v>1566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717</v>
      </c>
      <c r="CO221" s="2">
        <v>0</v>
      </c>
      <c r="CP221" s="2">
        <f t="shared" si="245"/>
        <v>629.84</v>
      </c>
      <c r="CQ221" s="2">
        <f t="shared" si="246"/>
        <v>21.42</v>
      </c>
      <c r="CR221" s="2">
        <f>(ROUND((ROUND(((((ET221*1.25)*1.2))*AV221*1),2)*BB221),2)+ROUND((ROUND(((AE221-(((EU221*1.25)*1.2)))*AV221*1),2)*BS221),2))</f>
        <v>5.31</v>
      </c>
      <c r="CS221" s="2">
        <f>(ROUND((ROUND(((((EU221*1.25)*1.2))*AV221*1),2)*BS221),2)+ROUND((ROUND(((AE221-(((EU221*1.25)*1.2)))*AV221*1),2)*BS221),2))</f>
        <v>0.21</v>
      </c>
      <c r="CT221" s="2">
        <f t="shared" si="247"/>
        <v>25.75</v>
      </c>
      <c r="CU221" s="2">
        <f t="shared" si="248"/>
        <v>0</v>
      </c>
      <c r="CV221" s="2">
        <f t="shared" si="249"/>
        <v>2.1645162</v>
      </c>
      <c r="CW221" s="2">
        <f t="shared" si="250"/>
        <v>0</v>
      </c>
      <c r="CX221" s="2">
        <f t="shared" si="251"/>
        <v>0</v>
      </c>
      <c r="CY221" s="2">
        <f>(ROUND((((S221+ROUND((ROUND(((((EU221*1.25)*1.2))*AV221*1),2)*BS221),2))*AT221)/100),2)+ROUND(((ROUND((ROUND(((AE221-(((EU221*1.25)*1.2)))*AV221*1),2)*BS221),2)*AT221)/100),2))</f>
        <v>374.19</v>
      </c>
      <c r="CZ221" s="2">
        <f>(ROUND((((S221+ROUND((ROUND(((((EU221*1.25)*1.2))*AV221*1),2)*BS221),2))*AU221)/100),2)+ROUND(((ROUND((ROUND(((AE221-(((EU221*1.25)*1.2)))*AV221*1),2)*BS221),2)*AU221)/100),2))</f>
        <v>222.66</v>
      </c>
      <c r="DA221" s="2"/>
      <c r="DB221" s="2">
        <v>87</v>
      </c>
      <c r="DC221" s="2" t="s">
        <v>3</v>
      </c>
      <c r="DD221" s="2" t="s">
        <v>38</v>
      </c>
      <c r="DE221" s="2" t="s">
        <v>97</v>
      </c>
      <c r="DF221" s="2" t="s">
        <v>97</v>
      </c>
      <c r="DG221" s="2" t="s">
        <v>98</v>
      </c>
      <c r="DH221" s="2" t="s">
        <v>3</v>
      </c>
      <c r="DI221" s="2" t="s">
        <v>98</v>
      </c>
      <c r="DJ221" s="2" t="s">
        <v>97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1013</v>
      </c>
      <c r="DV221" s="2" t="s">
        <v>25</v>
      </c>
      <c r="DW221" s="2" t="s">
        <v>25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56938687</v>
      </c>
      <c r="EF221" s="2">
        <v>30</v>
      </c>
      <c r="EG221" s="2" t="s">
        <v>41</v>
      </c>
      <c r="EH221" s="2">
        <v>0</v>
      </c>
      <c r="EI221" s="2" t="s">
        <v>3</v>
      </c>
      <c r="EJ221" s="2">
        <v>1</v>
      </c>
      <c r="EK221" s="2">
        <v>21</v>
      </c>
      <c r="EL221" s="2" t="s">
        <v>394</v>
      </c>
      <c r="EM221" s="2" t="s">
        <v>395</v>
      </c>
      <c r="EN221" s="2"/>
      <c r="EO221" s="2" t="s">
        <v>99</v>
      </c>
      <c r="EP221" s="2"/>
      <c r="EQ221" s="2">
        <v>132096</v>
      </c>
      <c r="ER221" s="2">
        <v>42.23</v>
      </c>
      <c r="ES221" s="2">
        <v>21.42</v>
      </c>
      <c r="ET221" s="2">
        <v>3.32</v>
      </c>
      <c r="EU221" s="2">
        <v>0.13</v>
      </c>
      <c r="EV221" s="2">
        <v>17.489999999999998</v>
      </c>
      <c r="EW221" s="2">
        <v>1.47</v>
      </c>
      <c r="EX221" s="2">
        <v>0</v>
      </c>
      <c r="EY221" s="2">
        <v>0</v>
      </c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121</v>
      </c>
      <c r="FY221" s="2">
        <v>72</v>
      </c>
      <c r="FZ221" s="2"/>
      <c r="GA221" s="2" t="s">
        <v>3</v>
      </c>
      <c r="GB221" s="2"/>
      <c r="GC221" s="2"/>
      <c r="GD221" s="2">
        <v>1</v>
      </c>
      <c r="GE221" s="2"/>
      <c r="GF221" s="2">
        <v>458091645</v>
      </c>
      <c r="GG221" s="2">
        <v>2</v>
      </c>
      <c r="GH221" s="2">
        <v>1</v>
      </c>
      <c r="GI221" s="2">
        <v>2</v>
      </c>
      <c r="GJ221" s="2">
        <v>0</v>
      </c>
      <c r="GK221" s="2">
        <v>0</v>
      </c>
      <c r="GL221" s="2">
        <f t="shared" si="252"/>
        <v>0</v>
      </c>
      <c r="GM221" s="2">
        <f t="shared" si="253"/>
        <v>1231.1099999999999</v>
      </c>
      <c r="GN221" s="2">
        <f t="shared" si="254"/>
        <v>1231.1099999999999</v>
      </c>
      <c r="GO221" s="2">
        <f t="shared" si="255"/>
        <v>0</v>
      </c>
      <c r="GP221" s="2">
        <f t="shared" si="256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257"/>
        <v>0</v>
      </c>
      <c r="GW221" s="2">
        <v>1</v>
      </c>
      <c r="GX221" s="2">
        <f t="shared" si="258"/>
        <v>0</v>
      </c>
      <c r="GY221" s="2"/>
      <c r="GZ221" s="2"/>
      <c r="HA221" s="2">
        <v>0</v>
      </c>
      <c r="HB221" s="2">
        <v>0</v>
      </c>
      <c r="HC221" s="2">
        <f t="shared" si="259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3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">
      <c r="A222" s="3">
        <v>17</v>
      </c>
      <c r="B222" s="3">
        <v>1</v>
      </c>
      <c r="C222" s="3">
        <f>ROW(SmtRes!A538)</f>
        <v>538</v>
      </c>
      <c r="D222" s="3">
        <f>ROW(EtalonRes!A576)</f>
        <v>576</v>
      </c>
      <c r="E222" s="3" t="s">
        <v>3</v>
      </c>
      <c r="F222" s="3" t="s">
        <v>391</v>
      </c>
      <c r="G222" s="3" t="s">
        <v>392</v>
      </c>
      <c r="H222" s="3" t="s">
        <v>25</v>
      </c>
      <c r="I222" s="3">
        <f>ROUND(12,9)</f>
        <v>12</v>
      </c>
      <c r="J222" s="3">
        <v>0</v>
      </c>
      <c r="K222" s="3">
        <f>ROUND(12,9)</f>
        <v>12</v>
      </c>
      <c r="O222" s="3">
        <f t="shared" si="235"/>
        <v>20360.61</v>
      </c>
      <c r="P222" s="3">
        <f t="shared" si="236"/>
        <v>2030.62</v>
      </c>
      <c r="Q222" s="3">
        <f>(ROUND((ROUND(((((ET222*1.25)*1.2))*AV222*I222),2)*BB222),2)+ROUND((ROUND(((AE222-(((EU222*1.25)*1.2)))*AV222*I222),2)*BS222),2))</f>
        <v>915.59</v>
      </c>
      <c r="R222" s="3">
        <f>(ROUND((ROUND(((((EU222*1.25)*1.2))*AV222*I222),2)*BS222),2)+ROUND((ROUND(((AE222-(((EU222*1.25)*1.2)))*AV222*I222),2)*BS222),2))</f>
        <v>140.88</v>
      </c>
      <c r="S222" s="3">
        <f t="shared" si="237"/>
        <v>17414.400000000001</v>
      </c>
      <c r="T222" s="3">
        <f t="shared" si="238"/>
        <v>0</v>
      </c>
      <c r="U222" s="3">
        <f t="shared" si="239"/>
        <v>25.974194400000002</v>
      </c>
      <c r="V222" s="3">
        <f t="shared" si="240"/>
        <v>0</v>
      </c>
      <c r="W222" s="3">
        <f t="shared" si="241"/>
        <v>0</v>
      </c>
      <c r="X222" s="3">
        <f>(ROUND((((S222+ROUND((ROUND(((((EU222*1.25)*1.2))*AV222*I222),2)*BS222),2))*AT222)/100),2)+ROUND(((ROUND((ROUND(((AE222-(((EU222*1.25)*1.2)))*AV222*I222),2)*BS222),2)*AT222)/100),2))</f>
        <v>21241.89</v>
      </c>
      <c r="Y222" s="3">
        <f>(ROUND((((S222+ROUND((ROUND(((((EU222*1.25)*1.2))*AV222*I222),2)*BS222),2))*AU222)/100),2)+ROUND(((ROUND((ROUND(((AE222-(((EU222*1.25)*1.2)))*AV222*I222),2)*BS222),2)*AU222)/100),2))</f>
        <v>12639.8</v>
      </c>
      <c r="AA222" s="3">
        <v>-1</v>
      </c>
      <c r="AB222" s="3">
        <f t="shared" si="242"/>
        <v>50.536200000000001</v>
      </c>
      <c r="AC222" s="3">
        <f>ROUND((((ES222*1)*1)),6)</f>
        <v>21.42</v>
      </c>
      <c r="AD222" s="3">
        <f>ROUND((((((ET222*1.25)*1.2))-(((EU222*1.25)*1.2)))+AE222),6)</f>
        <v>4.9800000000000004</v>
      </c>
      <c r="AE222" s="3">
        <f>ROUND((((EU222*1.25)*1.2)),6)</f>
        <v>0.19500000000000001</v>
      </c>
      <c r="AF222" s="3">
        <f>ROUND((((EV222*1.15)*1.2)),6)</f>
        <v>24.136199999999999</v>
      </c>
      <c r="AG222" s="3">
        <f t="shared" si="243"/>
        <v>0</v>
      </c>
      <c r="AH222" s="3">
        <f>(((EW222*1.15)*1.2))</f>
        <v>2.0286</v>
      </c>
      <c r="AI222" s="3">
        <f>(((EX222*1.25)*1.2))</f>
        <v>0</v>
      </c>
      <c r="AJ222" s="3">
        <f t="shared" si="244"/>
        <v>0</v>
      </c>
      <c r="AK222" s="3">
        <v>42.23</v>
      </c>
      <c r="AL222" s="3">
        <v>21.42</v>
      </c>
      <c r="AM222" s="3">
        <v>3.32</v>
      </c>
      <c r="AN222" s="3">
        <v>0.13</v>
      </c>
      <c r="AO222" s="3">
        <v>17.489999999999998</v>
      </c>
      <c r="AP222" s="3">
        <v>0</v>
      </c>
      <c r="AQ222" s="3">
        <v>1.47</v>
      </c>
      <c r="AR222" s="3">
        <v>0</v>
      </c>
      <c r="AS222" s="3">
        <v>0</v>
      </c>
      <c r="AT222" s="3">
        <v>121</v>
      </c>
      <c r="AU222" s="3">
        <v>72</v>
      </c>
      <c r="AV222" s="3">
        <v>1.0669999999999999</v>
      </c>
      <c r="AW222" s="3">
        <v>1</v>
      </c>
      <c r="AZ222" s="3">
        <v>1</v>
      </c>
      <c r="BA222" s="3">
        <v>56.35</v>
      </c>
      <c r="BB222" s="3">
        <v>14.36</v>
      </c>
      <c r="BC222" s="3">
        <v>7.9</v>
      </c>
      <c r="BD222" s="3" t="s">
        <v>3</v>
      </c>
      <c r="BE222" s="3" t="s">
        <v>3</v>
      </c>
      <c r="BF222" s="3" t="s">
        <v>3</v>
      </c>
      <c r="BG222" s="3" t="s">
        <v>3</v>
      </c>
      <c r="BH222" s="3">
        <v>0</v>
      </c>
      <c r="BI222" s="3">
        <v>1</v>
      </c>
      <c r="BJ222" s="3" t="s">
        <v>393</v>
      </c>
      <c r="BM222" s="3">
        <v>21</v>
      </c>
      <c r="BN222" s="3">
        <v>0</v>
      </c>
      <c r="BO222" s="3" t="s">
        <v>391</v>
      </c>
      <c r="BP222" s="3">
        <v>1</v>
      </c>
      <c r="BQ222" s="3">
        <v>30</v>
      </c>
      <c r="BR222" s="3">
        <v>0</v>
      </c>
      <c r="BS222" s="3">
        <v>56.35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 t="s">
        <v>3</v>
      </c>
      <c r="BZ222" s="3">
        <v>121</v>
      </c>
      <c r="CA222" s="3">
        <v>72</v>
      </c>
      <c r="CB222" s="3" t="s">
        <v>3</v>
      </c>
      <c r="CE222" s="3">
        <v>1566</v>
      </c>
      <c r="CF222" s="3">
        <v>0</v>
      </c>
      <c r="CG222" s="3">
        <v>0</v>
      </c>
      <c r="CM222" s="3">
        <v>0</v>
      </c>
      <c r="CN222" s="3" t="s">
        <v>717</v>
      </c>
      <c r="CO222" s="3">
        <v>0</v>
      </c>
      <c r="CP222" s="3">
        <f t="shared" si="245"/>
        <v>20360.61</v>
      </c>
      <c r="CQ222" s="3">
        <f t="shared" si="246"/>
        <v>169.22</v>
      </c>
      <c r="CR222" s="3">
        <f>(ROUND((ROUND(((((ET222*1.25)*1.2))*AV222*1),2)*BB222),2)+ROUND((ROUND(((AE222-(((EU222*1.25)*1.2)))*AV222*1),2)*BS222),2))</f>
        <v>76.25</v>
      </c>
      <c r="CS222" s="3">
        <f>(ROUND((ROUND(((((EU222*1.25)*1.2))*AV222*1),2)*BS222),2)+ROUND((ROUND(((AE222-(((EU222*1.25)*1.2)))*AV222*1),2)*BS222),2))</f>
        <v>11.83</v>
      </c>
      <c r="CT222" s="3">
        <f t="shared" si="247"/>
        <v>1451.01</v>
      </c>
      <c r="CU222" s="3">
        <f t="shared" si="248"/>
        <v>0</v>
      </c>
      <c r="CV222" s="3">
        <f t="shared" si="249"/>
        <v>2.1645162</v>
      </c>
      <c r="CW222" s="3">
        <f t="shared" si="250"/>
        <v>0</v>
      </c>
      <c r="CX222" s="3">
        <f t="shared" si="251"/>
        <v>0</v>
      </c>
      <c r="CY222" s="3">
        <f>(ROUND((((S222+ROUND((ROUND(((((EU222*1.25)*1.2))*AV222*1),2)*BS222),2))*AT222)/100),2)+ROUND(((ROUND((ROUND(((AE222-(((EU222*1.25)*1.2)))*AV222*1),2)*BS222),2)*AT222)/100),2))</f>
        <v>21085.74</v>
      </c>
      <c r="CZ222" s="3">
        <f>(ROUND((((S222+ROUND((ROUND(((((EU222*1.25)*1.2))*AV222*1),2)*BS222),2))*AU222)/100),2)+ROUND(((ROUND((ROUND(((AE222-(((EU222*1.25)*1.2)))*AV222*1),2)*BS222),2)*AU222)/100),2))</f>
        <v>12546.89</v>
      </c>
      <c r="DB222" s="3">
        <v>89</v>
      </c>
      <c r="DC222" s="3" t="s">
        <v>3</v>
      </c>
      <c r="DD222" s="3" t="s">
        <v>38</v>
      </c>
      <c r="DE222" s="3" t="s">
        <v>97</v>
      </c>
      <c r="DF222" s="3" t="s">
        <v>97</v>
      </c>
      <c r="DG222" s="3" t="s">
        <v>98</v>
      </c>
      <c r="DH222" s="3" t="s">
        <v>3</v>
      </c>
      <c r="DI222" s="3" t="s">
        <v>98</v>
      </c>
      <c r="DJ222" s="3" t="s">
        <v>97</v>
      </c>
      <c r="DK222" s="3" t="s">
        <v>3</v>
      </c>
      <c r="DL222" s="3" t="s">
        <v>3</v>
      </c>
      <c r="DM222" s="3" t="s">
        <v>3</v>
      </c>
      <c r="DN222" s="3">
        <v>0</v>
      </c>
      <c r="DO222" s="3">
        <v>0</v>
      </c>
      <c r="DP222" s="3">
        <v>1</v>
      </c>
      <c r="DQ222" s="3">
        <v>1</v>
      </c>
      <c r="DU222" s="3">
        <v>1013</v>
      </c>
      <c r="DV222" s="3" t="s">
        <v>25</v>
      </c>
      <c r="DW222" s="3" t="s">
        <v>25</v>
      </c>
      <c r="DX222" s="3">
        <v>1</v>
      </c>
      <c r="DZ222" s="3" t="s">
        <v>3</v>
      </c>
      <c r="EA222" s="3" t="s">
        <v>3</v>
      </c>
      <c r="EB222" s="3" t="s">
        <v>3</v>
      </c>
      <c r="EC222" s="3" t="s">
        <v>3</v>
      </c>
      <c r="EE222" s="3">
        <v>56938687</v>
      </c>
      <c r="EF222" s="3">
        <v>30</v>
      </c>
      <c r="EG222" s="3" t="s">
        <v>41</v>
      </c>
      <c r="EH222" s="3">
        <v>0</v>
      </c>
      <c r="EI222" s="3" t="s">
        <v>3</v>
      </c>
      <c r="EJ222" s="3">
        <v>1</v>
      </c>
      <c r="EK222" s="3">
        <v>21</v>
      </c>
      <c r="EL222" s="3" t="s">
        <v>394</v>
      </c>
      <c r="EM222" s="3" t="s">
        <v>395</v>
      </c>
      <c r="EO222" s="3" t="s">
        <v>99</v>
      </c>
      <c r="EQ222" s="3">
        <v>132096</v>
      </c>
      <c r="ER222" s="3">
        <v>42.23</v>
      </c>
      <c r="ES222" s="3">
        <v>21.42</v>
      </c>
      <c r="ET222" s="3">
        <v>3.32</v>
      </c>
      <c r="EU222" s="3">
        <v>0.13</v>
      </c>
      <c r="EV222" s="3">
        <v>17.489999999999998</v>
      </c>
      <c r="EW222" s="3">
        <v>1.47</v>
      </c>
      <c r="EX222" s="3">
        <v>0</v>
      </c>
      <c r="EY222" s="3">
        <v>0</v>
      </c>
      <c r="FQ222" s="3">
        <v>0</v>
      </c>
      <c r="FR222" s="3">
        <v>0</v>
      </c>
      <c r="FS222" s="3">
        <v>0</v>
      </c>
      <c r="FX222" s="3">
        <v>121</v>
      </c>
      <c r="FY222" s="3">
        <v>72</v>
      </c>
      <c r="GA222" s="3" t="s">
        <v>3</v>
      </c>
      <c r="GD222" s="3">
        <v>1</v>
      </c>
      <c r="GF222" s="3">
        <v>458091645</v>
      </c>
      <c r="GG222" s="3">
        <v>2</v>
      </c>
      <c r="GH222" s="3">
        <v>1</v>
      </c>
      <c r="GI222" s="3">
        <v>2</v>
      </c>
      <c r="GJ222" s="3">
        <v>0</v>
      </c>
      <c r="GK222" s="3">
        <v>0</v>
      </c>
      <c r="GL222" s="3">
        <f t="shared" si="252"/>
        <v>0</v>
      </c>
      <c r="GM222" s="3">
        <f t="shared" si="253"/>
        <v>54242.3</v>
      </c>
      <c r="GN222" s="3">
        <f t="shared" si="254"/>
        <v>54242.3</v>
      </c>
      <c r="GO222" s="3">
        <f t="shared" si="255"/>
        <v>0</v>
      </c>
      <c r="GP222" s="3">
        <f t="shared" si="256"/>
        <v>0</v>
      </c>
      <c r="GR222" s="3">
        <v>0</v>
      </c>
      <c r="GS222" s="3">
        <v>3</v>
      </c>
      <c r="GT222" s="3">
        <v>0</v>
      </c>
      <c r="GU222" s="3" t="s">
        <v>3</v>
      </c>
      <c r="GV222" s="3">
        <f t="shared" si="257"/>
        <v>0</v>
      </c>
      <c r="GW222" s="3">
        <v>1</v>
      </c>
      <c r="GX222" s="3">
        <f t="shared" si="258"/>
        <v>0</v>
      </c>
      <c r="HA222" s="3">
        <v>0</v>
      </c>
      <c r="HB222" s="3">
        <v>0</v>
      </c>
      <c r="HC222" s="3">
        <f t="shared" si="259"/>
        <v>0</v>
      </c>
      <c r="HE222" s="3" t="s">
        <v>3</v>
      </c>
      <c r="HF222" s="3" t="s">
        <v>3</v>
      </c>
      <c r="HM222" s="3" t="s">
        <v>3</v>
      </c>
      <c r="HN222" s="3" t="s">
        <v>3</v>
      </c>
      <c r="HO222" s="3" t="s">
        <v>3</v>
      </c>
      <c r="HP222" s="3" t="s">
        <v>3</v>
      </c>
      <c r="HQ222" s="3" t="s">
        <v>3</v>
      </c>
      <c r="HS222" s="3">
        <v>0</v>
      </c>
      <c r="IK222" s="3">
        <v>0</v>
      </c>
    </row>
    <row r="223" spans="1:255" x14ac:dyDescent="0.2">
      <c r="A223" s="2">
        <v>18</v>
      </c>
      <c r="B223" s="2">
        <v>1</v>
      </c>
      <c r="C223" s="2">
        <v>530</v>
      </c>
      <c r="D223" s="2"/>
      <c r="E223" s="2" t="s">
        <v>3</v>
      </c>
      <c r="F223" s="2" t="s">
        <v>396</v>
      </c>
      <c r="G223" s="2" t="s">
        <v>397</v>
      </c>
      <c r="H223" s="2" t="s">
        <v>118</v>
      </c>
      <c r="I223" s="2">
        <f>I221*J223</f>
        <v>12</v>
      </c>
      <c r="J223" s="2">
        <v>1</v>
      </c>
      <c r="K223" s="2">
        <v>1</v>
      </c>
      <c r="L223" s="2"/>
      <c r="M223" s="2"/>
      <c r="N223" s="2"/>
      <c r="O223" s="2">
        <f t="shared" si="235"/>
        <v>650.88</v>
      </c>
      <c r="P223" s="2">
        <f t="shared" si="236"/>
        <v>650.88</v>
      </c>
      <c r="Q223" s="2">
        <f>(ROUND((ROUND(((ET223)*AV223*I223),2)*BB223),2)+ROUND((ROUND(((AE223-(EU223))*AV223*I223),2)*BS223),2))</f>
        <v>0</v>
      </c>
      <c r="R223" s="2">
        <f>(ROUND((ROUND(((EU223)*AV223*I223),2)*BS223),2)+ROUND((ROUND(((AE223-(EU223))*AV223*I223),2)*BS223),2))</f>
        <v>0</v>
      </c>
      <c r="S223" s="2">
        <f t="shared" si="237"/>
        <v>0</v>
      </c>
      <c r="T223" s="2">
        <f t="shared" si="238"/>
        <v>0</v>
      </c>
      <c r="U223" s="2">
        <f t="shared" si="239"/>
        <v>0</v>
      </c>
      <c r="V223" s="2">
        <f t="shared" si="240"/>
        <v>0</v>
      </c>
      <c r="W223" s="2">
        <f t="shared" si="241"/>
        <v>0</v>
      </c>
      <c r="X223" s="2">
        <f>(ROUND((((S223+ROUND((ROUND(((EU223)*AV223*I223),2)*BS223),2))*AT223)/100),2)+ROUND(((ROUND((ROUND(((AE223-(EU223))*AV223*I223),2)*BS223),2)*AT223)/100),2))</f>
        <v>0</v>
      </c>
      <c r="Y223" s="2">
        <f>(ROUND((((S223+ROUND((ROUND(((EU223)*AV223*I223),2)*BS223),2))*AU223)/100),2)+ROUND(((ROUND((ROUND(((AE223-(EU223))*AV223*I223),2)*BS223),2)*AU223)/100),2))</f>
        <v>0</v>
      </c>
      <c r="Z223" s="2"/>
      <c r="AA223" s="2">
        <v>-1</v>
      </c>
      <c r="AB223" s="2">
        <f t="shared" si="242"/>
        <v>54.24</v>
      </c>
      <c r="AC223" s="2">
        <f>ROUND((ES223),6)</f>
        <v>54.24</v>
      </c>
      <c r="AD223" s="2">
        <f>ROUND((((ET223)-(EU223))+AE223),6)</f>
        <v>0</v>
      </c>
      <c r="AE223" s="2">
        <f>ROUND((EU223),6)</f>
        <v>0</v>
      </c>
      <c r="AF223" s="2">
        <f>ROUND((EV223),6)</f>
        <v>0</v>
      </c>
      <c r="AG223" s="2">
        <f t="shared" si="243"/>
        <v>0</v>
      </c>
      <c r="AH223" s="2">
        <f>(EW223)</f>
        <v>0</v>
      </c>
      <c r="AI223" s="2">
        <f>(EX223)</f>
        <v>0</v>
      </c>
      <c r="AJ223" s="2">
        <f t="shared" si="244"/>
        <v>0</v>
      </c>
      <c r="AK223" s="2">
        <v>54.24</v>
      </c>
      <c r="AL223" s="2">
        <v>54.24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121</v>
      </c>
      <c r="AU223" s="2">
        <v>72</v>
      </c>
      <c r="AV223" s="2">
        <v>1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3</v>
      </c>
      <c r="BI223" s="2">
        <v>1</v>
      </c>
      <c r="BJ223" s="2" t="s">
        <v>398</v>
      </c>
      <c r="BK223" s="2"/>
      <c r="BL223" s="2"/>
      <c r="BM223" s="2">
        <v>21</v>
      </c>
      <c r="BN223" s="2">
        <v>0</v>
      </c>
      <c r="BO223" s="2" t="s">
        <v>3</v>
      </c>
      <c r="BP223" s="2">
        <v>0</v>
      </c>
      <c r="BQ223" s="2">
        <v>30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121</v>
      </c>
      <c r="CA223" s="2">
        <v>72</v>
      </c>
      <c r="CB223" s="2" t="s">
        <v>3</v>
      </c>
      <c r="CC223" s="2"/>
      <c r="CD223" s="2"/>
      <c r="CE223" s="2">
        <v>1566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720</v>
      </c>
      <c r="CO223" s="2">
        <v>0</v>
      </c>
      <c r="CP223" s="2">
        <f t="shared" si="245"/>
        <v>650.88</v>
      </c>
      <c r="CQ223" s="2">
        <f t="shared" si="246"/>
        <v>54.24</v>
      </c>
      <c r="CR223" s="2">
        <f>(ROUND((ROUND(((ET223)*AV223*1),2)*BB223),2)+ROUND((ROUND(((AE223-(EU223))*AV223*1),2)*BS223),2))</f>
        <v>0</v>
      </c>
      <c r="CS223" s="2">
        <f>(ROUND((ROUND(((EU223)*AV223*1),2)*BS223),2)+ROUND((ROUND(((AE223-(EU223))*AV223*1),2)*BS223),2))</f>
        <v>0</v>
      </c>
      <c r="CT223" s="2">
        <f t="shared" si="247"/>
        <v>0</v>
      </c>
      <c r="CU223" s="2">
        <f t="shared" si="248"/>
        <v>0</v>
      </c>
      <c r="CV223" s="2">
        <f t="shared" si="249"/>
        <v>0</v>
      </c>
      <c r="CW223" s="2">
        <f t="shared" si="250"/>
        <v>0</v>
      </c>
      <c r="CX223" s="2">
        <f t="shared" si="251"/>
        <v>0</v>
      </c>
      <c r="CY223" s="2">
        <f>(ROUND((((S223+ROUND((ROUND(((EU223)*AV223*1),2)*BS223),2))*AT223)/100),2)+ROUND(((ROUND((ROUND(((AE223-(EU223))*AV223*1),2)*BS223),2)*AT223)/100),2))</f>
        <v>0</v>
      </c>
      <c r="CZ223" s="2">
        <f>(ROUND((((S223+ROUND((ROUND(((EU223)*AV223*1),2)*BS223),2))*AU223)/100),2)+ROUND(((ROUND((ROUND(((AE223-(EU223))*AV223*1),2)*BS223),2)*AU223)/100),2))</f>
        <v>0</v>
      </c>
      <c r="DA223" s="2"/>
      <c r="DB223" s="2"/>
      <c r="DC223" s="2" t="s">
        <v>3</v>
      </c>
      <c r="DD223" s="2" t="s">
        <v>3</v>
      </c>
      <c r="DE223" s="2" t="s">
        <v>3</v>
      </c>
      <c r="DF223" s="2" t="s">
        <v>3</v>
      </c>
      <c r="DG223" s="2" t="s">
        <v>3</v>
      </c>
      <c r="DH223" s="2" t="s">
        <v>3</v>
      </c>
      <c r="DI223" s="2" t="s">
        <v>3</v>
      </c>
      <c r="DJ223" s="2" t="s">
        <v>3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1010</v>
      </c>
      <c r="DV223" s="2" t="s">
        <v>118</v>
      </c>
      <c r="DW223" s="2" t="s">
        <v>118</v>
      </c>
      <c r="DX223" s="2">
        <v>1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56938687</v>
      </c>
      <c r="EF223" s="2">
        <v>30</v>
      </c>
      <c r="EG223" s="2" t="s">
        <v>41</v>
      </c>
      <c r="EH223" s="2">
        <v>0</v>
      </c>
      <c r="EI223" s="2" t="s">
        <v>3</v>
      </c>
      <c r="EJ223" s="2">
        <v>1</v>
      </c>
      <c r="EK223" s="2">
        <v>21</v>
      </c>
      <c r="EL223" s="2" t="s">
        <v>394</v>
      </c>
      <c r="EM223" s="2" t="s">
        <v>395</v>
      </c>
      <c r="EN223" s="2"/>
      <c r="EO223" s="2" t="s">
        <v>399</v>
      </c>
      <c r="EP223" s="2"/>
      <c r="EQ223" s="2">
        <v>1024</v>
      </c>
      <c r="ER223" s="2">
        <v>54.24</v>
      </c>
      <c r="ES223" s="2">
        <v>54.24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121</v>
      </c>
      <c r="FY223" s="2">
        <v>72</v>
      </c>
      <c r="FZ223" s="2"/>
      <c r="GA223" s="2" t="s">
        <v>3</v>
      </c>
      <c r="GB223" s="2"/>
      <c r="GC223" s="2"/>
      <c r="GD223" s="2">
        <v>1</v>
      </c>
      <c r="GE223" s="2"/>
      <c r="GF223" s="2">
        <v>1616596241</v>
      </c>
      <c r="GG223" s="2">
        <v>2</v>
      </c>
      <c r="GH223" s="2">
        <v>1</v>
      </c>
      <c r="GI223" s="2">
        <v>-2</v>
      </c>
      <c r="GJ223" s="2">
        <v>0</v>
      </c>
      <c r="GK223" s="2">
        <v>0</v>
      </c>
      <c r="GL223" s="2">
        <f t="shared" si="252"/>
        <v>0</v>
      </c>
      <c r="GM223" s="2">
        <f t="shared" si="253"/>
        <v>650.88</v>
      </c>
      <c r="GN223" s="2">
        <f t="shared" si="254"/>
        <v>650.88</v>
      </c>
      <c r="GO223" s="2">
        <f t="shared" si="255"/>
        <v>0</v>
      </c>
      <c r="GP223" s="2">
        <f t="shared" si="256"/>
        <v>0</v>
      </c>
      <c r="GQ223" s="2"/>
      <c r="GR223" s="2">
        <v>0</v>
      </c>
      <c r="GS223" s="2">
        <v>3</v>
      </c>
      <c r="GT223" s="2">
        <v>0</v>
      </c>
      <c r="GU223" s="2" t="s">
        <v>3</v>
      </c>
      <c r="GV223" s="2">
        <f t="shared" si="257"/>
        <v>0</v>
      </c>
      <c r="GW223" s="2">
        <v>1</v>
      </c>
      <c r="GX223" s="2">
        <f t="shared" si="258"/>
        <v>0</v>
      </c>
      <c r="GY223" s="2"/>
      <c r="GZ223" s="2"/>
      <c r="HA223" s="2">
        <v>0</v>
      </c>
      <c r="HB223" s="2">
        <v>0</v>
      </c>
      <c r="HC223" s="2">
        <f t="shared" si="259"/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38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">
      <c r="A224" s="3">
        <v>18</v>
      </c>
      <c r="B224" s="3">
        <v>1</v>
      </c>
      <c r="C224" s="3">
        <v>537</v>
      </c>
      <c r="E224" s="3" t="s">
        <v>3</v>
      </c>
      <c r="F224" s="3" t="s">
        <v>396</v>
      </c>
      <c r="G224" s="3" t="s">
        <v>397</v>
      </c>
      <c r="H224" s="3" t="s">
        <v>118</v>
      </c>
      <c r="I224" s="3">
        <f>I222*J224</f>
        <v>12</v>
      </c>
      <c r="J224" s="3">
        <v>1</v>
      </c>
      <c r="K224" s="3">
        <v>1</v>
      </c>
      <c r="O224" s="3">
        <f t="shared" si="235"/>
        <v>2043.76</v>
      </c>
      <c r="P224" s="3">
        <f t="shared" si="236"/>
        <v>2043.76</v>
      </c>
      <c r="Q224" s="3">
        <f>(ROUND((ROUND(((ET224)*AV224*I224),2)*BB224),2)+ROUND((ROUND(((AE224-(EU224))*AV224*I224),2)*BS224),2))</f>
        <v>0</v>
      </c>
      <c r="R224" s="3">
        <f>(ROUND((ROUND(((EU224)*AV224*I224),2)*BS224),2)+ROUND((ROUND(((AE224-(EU224))*AV224*I224),2)*BS224),2))</f>
        <v>0</v>
      </c>
      <c r="S224" s="3">
        <f t="shared" si="237"/>
        <v>0</v>
      </c>
      <c r="T224" s="3">
        <f t="shared" si="238"/>
        <v>0</v>
      </c>
      <c r="U224" s="3">
        <f t="shared" si="239"/>
        <v>0</v>
      </c>
      <c r="V224" s="3">
        <f t="shared" si="240"/>
        <v>0</v>
      </c>
      <c r="W224" s="3">
        <f t="shared" si="241"/>
        <v>0</v>
      </c>
      <c r="X224" s="3">
        <f>(ROUND((((S224+ROUND((ROUND(((EU224)*AV224*I224),2)*BS224),2))*AT224)/100),2)+ROUND(((ROUND((ROUND(((AE224-(EU224))*AV224*I224),2)*BS224),2)*AT224)/100),2))</f>
        <v>0</v>
      </c>
      <c r="Y224" s="3">
        <f>(ROUND((((S224+ROUND((ROUND(((EU224)*AV224*I224),2)*BS224),2))*AU224)/100),2)+ROUND(((ROUND((ROUND(((AE224-(EU224))*AV224*I224),2)*BS224),2)*AU224)/100),2))</f>
        <v>0</v>
      </c>
      <c r="AA224" s="3">
        <v>-1</v>
      </c>
      <c r="AB224" s="3">
        <f t="shared" si="242"/>
        <v>54.24</v>
      </c>
      <c r="AC224" s="3">
        <f>ROUND((ES224),6)</f>
        <v>54.24</v>
      </c>
      <c r="AD224" s="3">
        <f>ROUND((((ET224)-(EU224))+AE224),6)</f>
        <v>0</v>
      </c>
      <c r="AE224" s="3">
        <f>ROUND((EU224),6)</f>
        <v>0</v>
      </c>
      <c r="AF224" s="3">
        <f>ROUND((EV224),6)</f>
        <v>0</v>
      </c>
      <c r="AG224" s="3">
        <f t="shared" si="243"/>
        <v>0</v>
      </c>
      <c r="AH224" s="3">
        <f>(EW224)</f>
        <v>0</v>
      </c>
      <c r="AI224" s="3">
        <f>(EX224)</f>
        <v>0</v>
      </c>
      <c r="AJ224" s="3">
        <f t="shared" si="244"/>
        <v>0</v>
      </c>
      <c r="AK224" s="3">
        <v>54.24</v>
      </c>
      <c r="AL224" s="3">
        <v>54.24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121</v>
      </c>
      <c r="AU224" s="3">
        <v>72</v>
      </c>
      <c r="AV224" s="3">
        <v>1</v>
      </c>
      <c r="AW224" s="3">
        <v>1</v>
      </c>
      <c r="AZ224" s="3">
        <v>1</v>
      </c>
      <c r="BA224" s="3">
        <v>1</v>
      </c>
      <c r="BB224" s="3">
        <v>1</v>
      </c>
      <c r="BC224" s="3">
        <v>3.14</v>
      </c>
      <c r="BD224" s="3" t="s">
        <v>3</v>
      </c>
      <c r="BE224" s="3" t="s">
        <v>3</v>
      </c>
      <c r="BF224" s="3" t="s">
        <v>3</v>
      </c>
      <c r="BG224" s="3" t="s">
        <v>3</v>
      </c>
      <c r="BH224" s="3">
        <v>3</v>
      </c>
      <c r="BI224" s="3">
        <v>1</v>
      </c>
      <c r="BJ224" s="3" t="s">
        <v>398</v>
      </c>
      <c r="BM224" s="3">
        <v>21</v>
      </c>
      <c r="BN224" s="3">
        <v>0</v>
      </c>
      <c r="BO224" s="3" t="s">
        <v>396</v>
      </c>
      <c r="BP224" s="3">
        <v>1</v>
      </c>
      <c r="BQ224" s="3">
        <v>30</v>
      </c>
      <c r="BR224" s="3">
        <v>0</v>
      </c>
      <c r="BS224" s="3">
        <v>1</v>
      </c>
      <c r="BT224" s="3">
        <v>1</v>
      </c>
      <c r="BU224" s="3">
        <v>1</v>
      </c>
      <c r="BV224" s="3">
        <v>1</v>
      </c>
      <c r="BW224" s="3">
        <v>1</v>
      </c>
      <c r="BX224" s="3">
        <v>1</v>
      </c>
      <c r="BY224" s="3" t="s">
        <v>3</v>
      </c>
      <c r="BZ224" s="3">
        <v>121</v>
      </c>
      <c r="CA224" s="3">
        <v>72</v>
      </c>
      <c r="CB224" s="3" t="s">
        <v>3</v>
      </c>
      <c r="CE224" s="3">
        <v>1566</v>
      </c>
      <c r="CF224" s="3">
        <v>0</v>
      </c>
      <c r="CG224" s="3">
        <v>0</v>
      </c>
      <c r="CM224" s="3">
        <v>0</v>
      </c>
      <c r="CN224" s="3" t="s">
        <v>720</v>
      </c>
      <c r="CO224" s="3">
        <v>0</v>
      </c>
      <c r="CP224" s="3">
        <f t="shared" si="245"/>
        <v>2043.76</v>
      </c>
      <c r="CQ224" s="3">
        <f t="shared" si="246"/>
        <v>170.31</v>
      </c>
      <c r="CR224" s="3">
        <f>(ROUND((ROUND(((ET224)*AV224*1),2)*BB224),2)+ROUND((ROUND(((AE224-(EU224))*AV224*1),2)*BS224),2))</f>
        <v>0</v>
      </c>
      <c r="CS224" s="3">
        <f>(ROUND((ROUND(((EU224)*AV224*1),2)*BS224),2)+ROUND((ROUND(((AE224-(EU224))*AV224*1),2)*BS224),2))</f>
        <v>0</v>
      </c>
      <c r="CT224" s="3">
        <f t="shared" si="247"/>
        <v>0</v>
      </c>
      <c r="CU224" s="3">
        <f t="shared" si="248"/>
        <v>0</v>
      </c>
      <c r="CV224" s="3">
        <f t="shared" si="249"/>
        <v>0</v>
      </c>
      <c r="CW224" s="3">
        <f t="shared" si="250"/>
        <v>0</v>
      </c>
      <c r="CX224" s="3">
        <f t="shared" si="251"/>
        <v>0</v>
      </c>
      <c r="CY224" s="3">
        <f>(ROUND((((S224+ROUND((ROUND(((EU224)*AV224*1),2)*BS224),2))*AT224)/100),2)+ROUND(((ROUND((ROUND(((AE224-(EU224))*AV224*1),2)*BS224),2)*AT224)/100),2))</f>
        <v>0</v>
      </c>
      <c r="CZ224" s="3">
        <f>(ROUND((((S224+ROUND((ROUND(((EU224)*AV224*1),2)*BS224),2))*AU224)/100),2)+ROUND(((ROUND((ROUND(((AE224-(EU224))*AV224*1),2)*BS224),2)*AU224)/100),2))</f>
        <v>0</v>
      </c>
      <c r="DC224" s="3" t="s">
        <v>3</v>
      </c>
      <c r="DD224" s="3" t="s">
        <v>3</v>
      </c>
      <c r="DE224" s="3" t="s">
        <v>3</v>
      </c>
      <c r="DF224" s="3" t="s">
        <v>3</v>
      </c>
      <c r="DG224" s="3" t="s">
        <v>3</v>
      </c>
      <c r="DH224" s="3" t="s">
        <v>3</v>
      </c>
      <c r="DI224" s="3" t="s">
        <v>3</v>
      </c>
      <c r="DJ224" s="3" t="s">
        <v>3</v>
      </c>
      <c r="DK224" s="3" t="s">
        <v>3</v>
      </c>
      <c r="DL224" s="3" t="s">
        <v>3</v>
      </c>
      <c r="DM224" s="3" t="s">
        <v>3</v>
      </c>
      <c r="DN224" s="3">
        <v>0</v>
      </c>
      <c r="DO224" s="3">
        <v>0</v>
      </c>
      <c r="DP224" s="3">
        <v>1</v>
      </c>
      <c r="DQ224" s="3">
        <v>1</v>
      </c>
      <c r="DU224" s="3">
        <v>1010</v>
      </c>
      <c r="DV224" s="3" t="s">
        <v>118</v>
      </c>
      <c r="DW224" s="3" t="s">
        <v>118</v>
      </c>
      <c r="DX224" s="3">
        <v>1</v>
      </c>
      <c r="DZ224" s="3" t="s">
        <v>3</v>
      </c>
      <c r="EA224" s="3" t="s">
        <v>3</v>
      </c>
      <c r="EB224" s="3" t="s">
        <v>3</v>
      </c>
      <c r="EC224" s="3" t="s">
        <v>3</v>
      </c>
      <c r="EE224" s="3">
        <v>56938687</v>
      </c>
      <c r="EF224" s="3">
        <v>30</v>
      </c>
      <c r="EG224" s="3" t="s">
        <v>41</v>
      </c>
      <c r="EH224" s="3">
        <v>0</v>
      </c>
      <c r="EI224" s="3" t="s">
        <v>3</v>
      </c>
      <c r="EJ224" s="3">
        <v>1</v>
      </c>
      <c r="EK224" s="3">
        <v>21</v>
      </c>
      <c r="EL224" s="3" t="s">
        <v>394</v>
      </c>
      <c r="EM224" s="3" t="s">
        <v>395</v>
      </c>
      <c r="EO224" s="3" t="s">
        <v>399</v>
      </c>
      <c r="EQ224" s="3">
        <v>1024</v>
      </c>
      <c r="ER224" s="3">
        <v>54.24</v>
      </c>
      <c r="ES224" s="3">
        <v>54.24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FQ224" s="3">
        <v>0</v>
      </c>
      <c r="FR224" s="3">
        <v>0</v>
      </c>
      <c r="FS224" s="3">
        <v>0</v>
      </c>
      <c r="FX224" s="3">
        <v>121</v>
      </c>
      <c r="FY224" s="3">
        <v>72</v>
      </c>
      <c r="GA224" s="3" t="s">
        <v>3</v>
      </c>
      <c r="GD224" s="3">
        <v>1</v>
      </c>
      <c r="GF224" s="3">
        <v>1616596241</v>
      </c>
      <c r="GG224" s="3">
        <v>2</v>
      </c>
      <c r="GH224" s="3">
        <v>1</v>
      </c>
      <c r="GI224" s="3">
        <v>2</v>
      </c>
      <c r="GJ224" s="3">
        <v>0</v>
      </c>
      <c r="GK224" s="3">
        <v>0</v>
      </c>
      <c r="GL224" s="3">
        <f t="shared" si="252"/>
        <v>0</v>
      </c>
      <c r="GM224" s="3">
        <f t="shared" si="253"/>
        <v>2043.76</v>
      </c>
      <c r="GN224" s="3">
        <f t="shared" si="254"/>
        <v>2043.76</v>
      </c>
      <c r="GO224" s="3">
        <f t="shared" si="255"/>
        <v>0</v>
      </c>
      <c r="GP224" s="3">
        <f t="shared" si="256"/>
        <v>0</v>
      </c>
      <c r="GR224" s="3">
        <v>0</v>
      </c>
      <c r="GS224" s="3">
        <v>3</v>
      </c>
      <c r="GT224" s="3">
        <v>0</v>
      </c>
      <c r="GU224" s="3" t="s">
        <v>3</v>
      </c>
      <c r="GV224" s="3">
        <f t="shared" si="257"/>
        <v>0</v>
      </c>
      <c r="GW224" s="3">
        <v>1</v>
      </c>
      <c r="GX224" s="3">
        <f t="shared" si="258"/>
        <v>0</v>
      </c>
      <c r="HA224" s="3">
        <v>0</v>
      </c>
      <c r="HB224" s="3">
        <v>0</v>
      </c>
      <c r="HC224" s="3">
        <f t="shared" si="259"/>
        <v>0</v>
      </c>
      <c r="HE224" s="3" t="s">
        <v>3</v>
      </c>
      <c r="HF224" s="3" t="s">
        <v>3</v>
      </c>
      <c r="HM224" s="3" t="s">
        <v>38</v>
      </c>
      <c r="HN224" s="3" t="s">
        <v>3</v>
      </c>
      <c r="HO224" s="3" t="s">
        <v>3</v>
      </c>
      <c r="HP224" s="3" t="s">
        <v>3</v>
      </c>
      <c r="HQ224" s="3" t="s">
        <v>3</v>
      </c>
      <c r="HS224" s="3">
        <v>0</v>
      </c>
      <c r="IK224" s="3">
        <v>0</v>
      </c>
    </row>
    <row r="225" spans="1:255" x14ac:dyDescent="0.2">
      <c r="A225" s="2">
        <v>17</v>
      </c>
      <c r="B225" s="2">
        <v>1</v>
      </c>
      <c r="C225" s="2">
        <f>ROW(SmtRes!A544)</f>
        <v>544</v>
      </c>
      <c r="D225" s="2">
        <f>ROW(EtalonRes!A583)</f>
        <v>583</v>
      </c>
      <c r="E225" s="2" t="s">
        <v>400</v>
      </c>
      <c r="F225" s="2" t="s">
        <v>401</v>
      </c>
      <c r="G225" s="2" t="s">
        <v>402</v>
      </c>
      <c r="H225" s="2" t="s">
        <v>25</v>
      </c>
      <c r="I225" s="2">
        <v>12</v>
      </c>
      <c r="J225" s="2">
        <v>0</v>
      </c>
      <c r="K225" s="2">
        <v>12</v>
      </c>
      <c r="L225" s="2"/>
      <c r="M225" s="2"/>
      <c r="N225" s="2"/>
      <c r="O225" s="2">
        <f t="shared" si="235"/>
        <v>1042.4000000000001</v>
      </c>
      <c r="P225" s="2">
        <f t="shared" si="236"/>
        <v>59.21</v>
      </c>
      <c r="Q225" s="2">
        <f>(ROUND((ROUND((((ET225*1.2))*AV225*I225),2)*BB225),2)+ROUND((ROUND(((AE225-((EU225*1.2)))*AV225*I225),2)*BS225),2))</f>
        <v>52.39</v>
      </c>
      <c r="R225" s="2">
        <f>(ROUND((ROUND((((EU225*1.2))*AV225*I225),2)*BS225),2)+ROUND((ROUND(((AE225-((EU225*1.2)))*AV225*I225),2)*BS225),2))</f>
        <v>0</v>
      </c>
      <c r="S225" s="2">
        <f t="shared" si="237"/>
        <v>930.8</v>
      </c>
      <c r="T225" s="2">
        <f t="shared" si="238"/>
        <v>0</v>
      </c>
      <c r="U225" s="2">
        <f t="shared" si="239"/>
        <v>73.751039999999989</v>
      </c>
      <c r="V225" s="2">
        <f t="shared" si="240"/>
        <v>0</v>
      </c>
      <c r="W225" s="2">
        <f t="shared" si="241"/>
        <v>0</v>
      </c>
      <c r="X225" s="2">
        <f>(ROUND((((S225+ROUND((ROUND((((EU225*1.2))*AV225*I225),2)*BS225),2))*AT225)/100),2)+ROUND(((ROUND((ROUND(((AE225-((EU225*1.2)))*AV225*I225),2)*BS225),2)*AT225)/100),2))</f>
        <v>837.72</v>
      </c>
      <c r="Y225" s="2">
        <f>(ROUND((((S225+ROUND((ROUND((((EU225*1.2))*AV225*I225),2)*BS225),2))*AU225)/100),2)+ROUND(((ROUND((ROUND(((AE225-((EU225*1.2)))*AV225*I225),2)*BS225),2)*AU225)/100),2))</f>
        <v>428.17</v>
      </c>
      <c r="Z225" s="2"/>
      <c r="AA225" s="2">
        <v>55747649</v>
      </c>
      <c r="AB225" s="2">
        <f t="shared" si="242"/>
        <v>81.587999999999994</v>
      </c>
      <c r="AC225" s="2">
        <f>ROUND(((ES225*1)),6)</f>
        <v>4.8</v>
      </c>
      <c r="AD225" s="2">
        <f>ROUND(((((ET225*1.2))-((EU225*1.2)))+AE225),6)</f>
        <v>4.0919999999999996</v>
      </c>
      <c r="AE225" s="2">
        <f>ROUND(((EU225*1.2)),6)</f>
        <v>0</v>
      </c>
      <c r="AF225" s="2">
        <f>ROUND(((EV225*1.2)),6)</f>
        <v>72.695999999999998</v>
      </c>
      <c r="AG225" s="2">
        <f t="shared" si="243"/>
        <v>0</v>
      </c>
      <c r="AH225" s="2">
        <f>((EW225*1.2))</f>
        <v>5.76</v>
      </c>
      <c r="AI225" s="2">
        <f>((EX225*1.2))</f>
        <v>0</v>
      </c>
      <c r="AJ225" s="2">
        <f t="shared" si="244"/>
        <v>0</v>
      </c>
      <c r="AK225" s="2">
        <v>68.790000000000006</v>
      </c>
      <c r="AL225" s="2">
        <v>4.8</v>
      </c>
      <c r="AM225" s="2">
        <v>3.41</v>
      </c>
      <c r="AN225" s="2">
        <v>0</v>
      </c>
      <c r="AO225" s="2">
        <v>60.58</v>
      </c>
      <c r="AP225" s="2">
        <v>0</v>
      </c>
      <c r="AQ225" s="2">
        <v>4.8</v>
      </c>
      <c r="AR225" s="2">
        <v>0</v>
      </c>
      <c r="AS225" s="2">
        <v>0</v>
      </c>
      <c r="AT225" s="2">
        <v>90</v>
      </c>
      <c r="AU225" s="2">
        <v>46</v>
      </c>
      <c r="AV225" s="2">
        <v>1.0669999999999999</v>
      </c>
      <c r="AW225" s="2">
        <v>1.028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0</v>
      </c>
      <c r="BI225" s="2">
        <v>2</v>
      </c>
      <c r="BJ225" s="2" t="s">
        <v>403</v>
      </c>
      <c r="BK225" s="2"/>
      <c r="BL225" s="2"/>
      <c r="BM225" s="2">
        <v>73</v>
      </c>
      <c r="BN225" s="2">
        <v>0</v>
      </c>
      <c r="BO225" s="2" t="s">
        <v>401</v>
      </c>
      <c r="BP225" s="2">
        <v>1</v>
      </c>
      <c r="BQ225" s="2">
        <v>40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90</v>
      </c>
      <c r="CA225" s="2">
        <v>46</v>
      </c>
      <c r="CB225" s="2" t="s">
        <v>3</v>
      </c>
      <c r="CC225" s="2"/>
      <c r="CD225" s="2"/>
      <c r="CE225" s="2">
        <v>1566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716</v>
      </c>
      <c r="CO225" s="2">
        <v>0</v>
      </c>
      <c r="CP225" s="2">
        <f t="shared" si="245"/>
        <v>1042.3999999999999</v>
      </c>
      <c r="CQ225" s="2">
        <f t="shared" si="246"/>
        <v>4.93</v>
      </c>
      <c r="CR225" s="2">
        <f>(ROUND((ROUND((((ET225*1.2))*AV225*1),2)*BB225),2)+ROUND((ROUND(((AE225-((EU225*1.2)))*AV225*1),2)*BS225),2))</f>
        <v>4.37</v>
      </c>
      <c r="CS225" s="2">
        <f>(ROUND((ROUND((((EU225*1.2))*AV225*1),2)*BS225),2)+ROUND((ROUND(((AE225-((EU225*1.2)))*AV225*1),2)*BS225),2))</f>
        <v>0</v>
      </c>
      <c r="CT225" s="2">
        <f t="shared" si="247"/>
        <v>77.569999999999993</v>
      </c>
      <c r="CU225" s="2">
        <f t="shared" si="248"/>
        <v>0</v>
      </c>
      <c r="CV225" s="2">
        <f t="shared" si="249"/>
        <v>6.1459199999999994</v>
      </c>
      <c r="CW225" s="2">
        <f t="shared" si="250"/>
        <v>0</v>
      </c>
      <c r="CX225" s="2">
        <f t="shared" si="251"/>
        <v>0</v>
      </c>
      <c r="CY225" s="2">
        <f>(ROUND((((S225+ROUND((ROUND((((EU225*1.2))*AV225*1),2)*BS225),2))*AT225)/100),2)+ROUND(((ROUND((ROUND(((AE225-((EU225*1.2)))*AV225*1),2)*BS225),2)*AT225)/100),2))</f>
        <v>837.72</v>
      </c>
      <c r="CZ225" s="2">
        <f>(ROUND((((S225+ROUND((ROUND((((EU225*1.2))*AV225*1),2)*BS225),2))*AU225)/100),2)+ROUND(((ROUND((ROUND(((AE225-((EU225*1.2)))*AV225*1),2)*BS225),2)*AU225)/100),2))</f>
        <v>428.17</v>
      </c>
      <c r="DA225" s="2"/>
      <c r="DB225" s="2">
        <v>91</v>
      </c>
      <c r="DC225" s="2" t="s">
        <v>3</v>
      </c>
      <c r="DD225" s="2" t="s">
        <v>48</v>
      </c>
      <c r="DE225" s="2" t="s">
        <v>49</v>
      </c>
      <c r="DF225" s="2" t="s">
        <v>49</v>
      </c>
      <c r="DG225" s="2" t="s">
        <v>49</v>
      </c>
      <c r="DH225" s="2" t="s">
        <v>3</v>
      </c>
      <c r="DI225" s="2" t="s">
        <v>49</v>
      </c>
      <c r="DJ225" s="2" t="s">
        <v>49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1013</v>
      </c>
      <c r="DV225" s="2" t="s">
        <v>25</v>
      </c>
      <c r="DW225" s="2" t="s">
        <v>25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56938740</v>
      </c>
      <c r="EF225" s="2">
        <v>40</v>
      </c>
      <c r="EG225" s="2" t="s">
        <v>29</v>
      </c>
      <c r="EH225" s="2">
        <v>0</v>
      </c>
      <c r="EI225" s="2" t="s">
        <v>3</v>
      </c>
      <c r="EJ225" s="2">
        <v>2</v>
      </c>
      <c r="EK225" s="2">
        <v>73</v>
      </c>
      <c r="EL225" s="2" t="s">
        <v>85</v>
      </c>
      <c r="EM225" s="2" t="s">
        <v>86</v>
      </c>
      <c r="EN225" s="2"/>
      <c r="EO225" s="2" t="s">
        <v>50</v>
      </c>
      <c r="EP225" s="2"/>
      <c r="EQ225" s="2">
        <v>0</v>
      </c>
      <c r="ER225" s="2">
        <v>68.790000000000006</v>
      </c>
      <c r="ES225" s="2">
        <v>4.8</v>
      </c>
      <c r="ET225" s="2">
        <v>3.41</v>
      </c>
      <c r="EU225" s="2">
        <v>0</v>
      </c>
      <c r="EV225" s="2">
        <v>60.58</v>
      </c>
      <c r="EW225" s="2">
        <v>4.8</v>
      </c>
      <c r="EX225" s="2">
        <v>0</v>
      </c>
      <c r="EY225" s="2">
        <v>0</v>
      </c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2</v>
      </c>
      <c r="FT225" s="2"/>
      <c r="FU225" s="2"/>
      <c r="FV225" s="2"/>
      <c r="FW225" s="2"/>
      <c r="FX225" s="2">
        <v>90</v>
      </c>
      <c r="FY225" s="2">
        <v>46</v>
      </c>
      <c r="FZ225" s="2"/>
      <c r="GA225" s="2" t="s">
        <v>3</v>
      </c>
      <c r="GB225" s="2"/>
      <c r="GC225" s="2"/>
      <c r="GD225" s="2">
        <v>1</v>
      </c>
      <c r="GE225" s="2"/>
      <c r="GF225" s="2">
        <v>1172295795</v>
      </c>
      <c r="GG225" s="2">
        <v>2</v>
      </c>
      <c r="GH225" s="2">
        <v>1</v>
      </c>
      <c r="GI225" s="2">
        <v>2</v>
      </c>
      <c r="GJ225" s="2">
        <v>0</v>
      </c>
      <c r="GK225" s="2">
        <v>0</v>
      </c>
      <c r="GL225" s="2">
        <f t="shared" si="252"/>
        <v>0</v>
      </c>
      <c r="GM225" s="2">
        <f t="shared" si="253"/>
        <v>2308.29</v>
      </c>
      <c r="GN225" s="2">
        <f t="shared" si="254"/>
        <v>0</v>
      </c>
      <c r="GO225" s="2">
        <f t="shared" si="255"/>
        <v>2308.29</v>
      </c>
      <c r="GP225" s="2">
        <f t="shared" si="256"/>
        <v>0</v>
      </c>
      <c r="GQ225" s="2"/>
      <c r="GR225" s="2">
        <v>0</v>
      </c>
      <c r="GS225" s="2">
        <v>3</v>
      </c>
      <c r="GT225" s="2">
        <v>0</v>
      </c>
      <c r="GU225" s="2" t="s">
        <v>3</v>
      </c>
      <c r="GV225" s="2">
        <f t="shared" si="257"/>
        <v>0</v>
      </c>
      <c r="GW225" s="2">
        <v>1</v>
      </c>
      <c r="GX225" s="2">
        <f t="shared" si="258"/>
        <v>0</v>
      </c>
      <c r="GY225" s="2"/>
      <c r="GZ225" s="2"/>
      <c r="HA225" s="2">
        <v>0</v>
      </c>
      <c r="HB225" s="2">
        <v>0</v>
      </c>
      <c r="HC225" s="2">
        <f t="shared" si="259"/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">
      <c r="A226" s="3">
        <v>17</v>
      </c>
      <c r="B226" s="3">
        <v>1</v>
      </c>
      <c r="C226" s="3">
        <f>ROW(SmtRes!A550)</f>
        <v>550</v>
      </c>
      <c r="D226" s="3">
        <f>ROW(EtalonRes!A590)</f>
        <v>590</v>
      </c>
      <c r="E226" s="3" t="s">
        <v>400</v>
      </c>
      <c r="F226" s="3" t="s">
        <v>401</v>
      </c>
      <c r="G226" s="3" t="s">
        <v>402</v>
      </c>
      <c r="H226" s="3" t="s">
        <v>25</v>
      </c>
      <c r="I226" s="3">
        <v>12</v>
      </c>
      <c r="J226" s="3">
        <v>0</v>
      </c>
      <c r="K226" s="3">
        <v>12</v>
      </c>
      <c r="O226" s="3">
        <f t="shared" si="235"/>
        <v>53491.99</v>
      </c>
      <c r="P226" s="3">
        <f t="shared" si="236"/>
        <v>335.72</v>
      </c>
      <c r="Q226" s="3">
        <f>(ROUND((ROUND((((ET226*1.2))*AV226*I226),2)*BB226),2)+ROUND((ROUND(((AE226-((EU226*1.2)))*AV226*I226),2)*BS226),2))</f>
        <v>705.69</v>
      </c>
      <c r="R226" s="3">
        <f>(ROUND((ROUND((((EU226*1.2))*AV226*I226),2)*BS226),2)+ROUND((ROUND(((AE226-((EU226*1.2)))*AV226*I226),2)*BS226),2))</f>
        <v>0</v>
      </c>
      <c r="S226" s="3">
        <f t="shared" si="237"/>
        <v>52450.58</v>
      </c>
      <c r="T226" s="3">
        <f t="shared" si="238"/>
        <v>0</v>
      </c>
      <c r="U226" s="3">
        <f t="shared" si="239"/>
        <v>73.751039999999989</v>
      </c>
      <c r="V226" s="3">
        <f t="shared" si="240"/>
        <v>0</v>
      </c>
      <c r="W226" s="3">
        <f t="shared" si="241"/>
        <v>0</v>
      </c>
      <c r="X226" s="3">
        <f>(ROUND((((S226+ROUND((ROUND((((EU226*1.2))*AV226*I226),2)*BS226),2))*AT226)/100),2)+ROUND(((ROUND((ROUND(((AE226-((EU226*1.2)))*AV226*I226),2)*BS226),2)*AT226)/100),2))</f>
        <v>47205.52</v>
      </c>
      <c r="Y226" s="3">
        <f>(ROUND((((S226+ROUND((ROUND((((EU226*1.2))*AV226*I226),2)*BS226),2))*AU226)/100),2)+ROUND(((ROUND((ROUND(((AE226-((EU226*1.2)))*AV226*I226),2)*BS226),2)*AU226)/100),2))</f>
        <v>24127.27</v>
      </c>
      <c r="AA226" s="3">
        <v>55747651</v>
      </c>
      <c r="AB226" s="3">
        <f t="shared" si="242"/>
        <v>81.587999999999994</v>
      </c>
      <c r="AC226" s="3">
        <f>ROUND(((ES226*1)),6)</f>
        <v>4.8</v>
      </c>
      <c r="AD226" s="3">
        <f>ROUND(((((ET226*1.2))-((EU226*1.2)))+AE226),6)</f>
        <v>4.0919999999999996</v>
      </c>
      <c r="AE226" s="3">
        <f>ROUND(((EU226*1.2)),6)</f>
        <v>0</v>
      </c>
      <c r="AF226" s="3">
        <f>ROUND(((EV226*1.2)),6)</f>
        <v>72.695999999999998</v>
      </c>
      <c r="AG226" s="3">
        <f t="shared" si="243"/>
        <v>0</v>
      </c>
      <c r="AH226" s="3">
        <f>((EW226*1.2))</f>
        <v>5.76</v>
      </c>
      <c r="AI226" s="3">
        <f>((EX226*1.2))</f>
        <v>0</v>
      </c>
      <c r="AJ226" s="3">
        <f t="shared" si="244"/>
        <v>0</v>
      </c>
      <c r="AK226" s="3">
        <v>68.790000000000006</v>
      </c>
      <c r="AL226" s="3">
        <v>4.8</v>
      </c>
      <c r="AM226" s="3">
        <v>3.41</v>
      </c>
      <c r="AN226" s="3">
        <v>0</v>
      </c>
      <c r="AO226" s="3">
        <v>60.58</v>
      </c>
      <c r="AP226" s="3">
        <v>0</v>
      </c>
      <c r="AQ226" s="3">
        <v>4.8</v>
      </c>
      <c r="AR226" s="3">
        <v>0</v>
      </c>
      <c r="AS226" s="3">
        <v>0</v>
      </c>
      <c r="AT226" s="3">
        <v>90</v>
      </c>
      <c r="AU226" s="3">
        <v>46</v>
      </c>
      <c r="AV226" s="3">
        <v>1.0669999999999999</v>
      </c>
      <c r="AW226" s="3">
        <v>1.028</v>
      </c>
      <c r="AZ226" s="3">
        <v>1</v>
      </c>
      <c r="BA226" s="3">
        <v>56.35</v>
      </c>
      <c r="BB226" s="3">
        <v>13.47</v>
      </c>
      <c r="BC226" s="3">
        <v>5.67</v>
      </c>
      <c r="BD226" s="3" t="s">
        <v>3</v>
      </c>
      <c r="BE226" s="3" t="s">
        <v>3</v>
      </c>
      <c r="BF226" s="3" t="s">
        <v>3</v>
      </c>
      <c r="BG226" s="3" t="s">
        <v>3</v>
      </c>
      <c r="BH226" s="3">
        <v>0</v>
      </c>
      <c r="BI226" s="3">
        <v>2</v>
      </c>
      <c r="BJ226" s="3" t="s">
        <v>403</v>
      </c>
      <c r="BM226" s="3">
        <v>73</v>
      </c>
      <c r="BN226" s="3">
        <v>0</v>
      </c>
      <c r="BO226" s="3" t="s">
        <v>401</v>
      </c>
      <c r="BP226" s="3">
        <v>1</v>
      </c>
      <c r="BQ226" s="3">
        <v>40</v>
      </c>
      <c r="BR226" s="3">
        <v>0</v>
      </c>
      <c r="BS226" s="3">
        <v>56.35</v>
      </c>
      <c r="BT226" s="3">
        <v>1</v>
      </c>
      <c r="BU226" s="3">
        <v>1</v>
      </c>
      <c r="BV226" s="3">
        <v>1</v>
      </c>
      <c r="BW226" s="3">
        <v>1</v>
      </c>
      <c r="BX226" s="3">
        <v>1</v>
      </c>
      <c r="BY226" s="3" t="s">
        <v>3</v>
      </c>
      <c r="BZ226" s="3">
        <v>90</v>
      </c>
      <c r="CA226" s="3">
        <v>46</v>
      </c>
      <c r="CB226" s="3" t="s">
        <v>3</v>
      </c>
      <c r="CE226" s="3">
        <v>1566</v>
      </c>
      <c r="CF226" s="3">
        <v>0</v>
      </c>
      <c r="CG226" s="3">
        <v>0</v>
      </c>
      <c r="CM226" s="3">
        <v>0</v>
      </c>
      <c r="CN226" s="3" t="s">
        <v>716</v>
      </c>
      <c r="CO226" s="3">
        <v>0</v>
      </c>
      <c r="CP226" s="3">
        <f t="shared" si="245"/>
        <v>53491.990000000005</v>
      </c>
      <c r="CQ226" s="3">
        <f t="shared" si="246"/>
        <v>27.95</v>
      </c>
      <c r="CR226" s="3">
        <f>(ROUND((ROUND((((ET226*1.2))*AV226*1),2)*BB226),2)+ROUND((ROUND(((AE226-((EU226*1.2)))*AV226*1),2)*BS226),2))</f>
        <v>58.86</v>
      </c>
      <c r="CS226" s="3">
        <f>(ROUND((ROUND((((EU226*1.2))*AV226*1),2)*BS226),2)+ROUND((ROUND(((AE226-((EU226*1.2)))*AV226*1),2)*BS226),2))</f>
        <v>0</v>
      </c>
      <c r="CT226" s="3">
        <f t="shared" si="247"/>
        <v>4371.07</v>
      </c>
      <c r="CU226" s="3">
        <f t="shared" si="248"/>
        <v>0</v>
      </c>
      <c r="CV226" s="3">
        <f t="shared" si="249"/>
        <v>6.1459199999999994</v>
      </c>
      <c r="CW226" s="3">
        <f t="shared" si="250"/>
        <v>0</v>
      </c>
      <c r="CX226" s="3">
        <f t="shared" si="251"/>
        <v>0</v>
      </c>
      <c r="CY226" s="3">
        <f>(ROUND((((S226+ROUND((ROUND((((EU226*1.2))*AV226*1),2)*BS226),2))*AT226)/100),2)+ROUND(((ROUND((ROUND(((AE226-((EU226*1.2)))*AV226*1),2)*BS226),2)*AT226)/100),2))</f>
        <v>47205.52</v>
      </c>
      <c r="CZ226" s="3">
        <f>(ROUND((((S226+ROUND((ROUND((((EU226*1.2))*AV226*1),2)*BS226),2))*AU226)/100),2)+ROUND(((ROUND((ROUND(((AE226-((EU226*1.2)))*AV226*1),2)*BS226),2)*AU226)/100),2))</f>
        <v>24127.27</v>
      </c>
      <c r="DB226" s="3">
        <v>92</v>
      </c>
      <c r="DC226" s="3" t="s">
        <v>3</v>
      </c>
      <c r="DD226" s="3" t="s">
        <v>48</v>
      </c>
      <c r="DE226" s="3" t="s">
        <v>49</v>
      </c>
      <c r="DF226" s="3" t="s">
        <v>49</v>
      </c>
      <c r="DG226" s="3" t="s">
        <v>49</v>
      </c>
      <c r="DH226" s="3" t="s">
        <v>3</v>
      </c>
      <c r="DI226" s="3" t="s">
        <v>49</v>
      </c>
      <c r="DJ226" s="3" t="s">
        <v>49</v>
      </c>
      <c r="DK226" s="3" t="s">
        <v>3</v>
      </c>
      <c r="DL226" s="3" t="s">
        <v>3</v>
      </c>
      <c r="DM226" s="3" t="s">
        <v>3</v>
      </c>
      <c r="DN226" s="3">
        <v>0</v>
      </c>
      <c r="DO226" s="3">
        <v>0</v>
      </c>
      <c r="DP226" s="3">
        <v>1</v>
      </c>
      <c r="DQ226" s="3">
        <v>1</v>
      </c>
      <c r="DU226" s="3">
        <v>1013</v>
      </c>
      <c r="DV226" s="3" t="s">
        <v>25</v>
      </c>
      <c r="DW226" s="3" t="s">
        <v>25</v>
      </c>
      <c r="DX226" s="3">
        <v>1</v>
      </c>
      <c r="DZ226" s="3" t="s">
        <v>3</v>
      </c>
      <c r="EA226" s="3" t="s">
        <v>3</v>
      </c>
      <c r="EB226" s="3" t="s">
        <v>3</v>
      </c>
      <c r="EC226" s="3" t="s">
        <v>3</v>
      </c>
      <c r="EE226" s="3">
        <v>56938740</v>
      </c>
      <c r="EF226" s="3">
        <v>40</v>
      </c>
      <c r="EG226" s="3" t="s">
        <v>29</v>
      </c>
      <c r="EH226" s="3">
        <v>0</v>
      </c>
      <c r="EI226" s="3" t="s">
        <v>3</v>
      </c>
      <c r="EJ226" s="3">
        <v>2</v>
      </c>
      <c r="EK226" s="3">
        <v>73</v>
      </c>
      <c r="EL226" s="3" t="s">
        <v>85</v>
      </c>
      <c r="EM226" s="3" t="s">
        <v>86</v>
      </c>
      <c r="EO226" s="3" t="s">
        <v>50</v>
      </c>
      <c r="EQ226" s="3">
        <v>0</v>
      </c>
      <c r="ER226" s="3">
        <v>68.790000000000006</v>
      </c>
      <c r="ES226" s="3">
        <v>4.8</v>
      </c>
      <c r="ET226" s="3">
        <v>3.41</v>
      </c>
      <c r="EU226" s="3">
        <v>0</v>
      </c>
      <c r="EV226" s="3">
        <v>60.58</v>
      </c>
      <c r="EW226" s="3">
        <v>4.8</v>
      </c>
      <c r="EX226" s="3">
        <v>0</v>
      </c>
      <c r="EY226" s="3">
        <v>0</v>
      </c>
      <c r="FQ226" s="3">
        <v>0</v>
      </c>
      <c r="FR226" s="3">
        <v>0</v>
      </c>
      <c r="FS226" s="3">
        <v>2</v>
      </c>
      <c r="FX226" s="3">
        <v>90</v>
      </c>
      <c r="FY226" s="3">
        <v>46</v>
      </c>
      <c r="GA226" s="3" t="s">
        <v>3</v>
      </c>
      <c r="GD226" s="3">
        <v>1</v>
      </c>
      <c r="GF226" s="3">
        <v>1172295795</v>
      </c>
      <c r="GG226" s="3">
        <v>2</v>
      </c>
      <c r="GH226" s="3">
        <v>1</v>
      </c>
      <c r="GI226" s="3">
        <v>2</v>
      </c>
      <c r="GJ226" s="3">
        <v>0</v>
      </c>
      <c r="GK226" s="3">
        <v>0</v>
      </c>
      <c r="GL226" s="3">
        <f t="shared" si="252"/>
        <v>0</v>
      </c>
      <c r="GM226" s="3">
        <f t="shared" si="253"/>
        <v>124824.78</v>
      </c>
      <c r="GN226" s="3">
        <f t="shared" si="254"/>
        <v>0</v>
      </c>
      <c r="GO226" s="3">
        <f t="shared" si="255"/>
        <v>124824.78</v>
      </c>
      <c r="GP226" s="3">
        <f t="shared" si="256"/>
        <v>0</v>
      </c>
      <c r="GR226" s="3">
        <v>0</v>
      </c>
      <c r="GS226" s="3">
        <v>3</v>
      </c>
      <c r="GT226" s="3">
        <v>0</v>
      </c>
      <c r="GU226" s="3" t="s">
        <v>3</v>
      </c>
      <c r="GV226" s="3">
        <f t="shared" si="257"/>
        <v>0</v>
      </c>
      <c r="GW226" s="3">
        <v>1</v>
      </c>
      <c r="GX226" s="3">
        <f t="shared" si="258"/>
        <v>0</v>
      </c>
      <c r="HA226" s="3">
        <v>0</v>
      </c>
      <c r="HB226" s="3">
        <v>0</v>
      </c>
      <c r="HC226" s="3">
        <f t="shared" si="259"/>
        <v>0</v>
      </c>
      <c r="HE226" s="3" t="s">
        <v>3</v>
      </c>
      <c r="HF226" s="3" t="s">
        <v>3</v>
      </c>
      <c r="HM226" s="3" t="s">
        <v>3</v>
      </c>
      <c r="HN226" s="3" t="s">
        <v>3</v>
      </c>
      <c r="HO226" s="3" t="s">
        <v>3</v>
      </c>
      <c r="HP226" s="3" t="s">
        <v>3</v>
      </c>
      <c r="HQ226" s="3" t="s">
        <v>3</v>
      </c>
      <c r="HS226" s="3">
        <v>0</v>
      </c>
      <c r="IK226" s="3">
        <v>0</v>
      </c>
    </row>
    <row r="227" spans="1:255" x14ac:dyDescent="0.2">
      <c r="A227" s="2">
        <v>17</v>
      </c>
      <c r="B227" s="2">
        <v>1</v>
      </c>
      <c r="C227" s="2"/>
      <c r="D227" s="2"/>
      <c r="E227" s="2" t="s">
        <v>404</v>
      </c>
      <c r="F227" s="2" t="s">
        <v>396</v>
      </c>
      <c r="G227" s="2" t="s">
        <v>397</v>
      </c>
      <c r="H227" s="2" t="s">
        <v>118</v>
      </c>
      <c r="I227" s="2">
        <v>12</v>
      </c>
      <c r="J227" s="2">
        <v>0</v>
      </c>
      <c r="K227" s="2">
        <v>12</v>
      </c>
      <c r="L227" s="2"/>
      <c r="M227" s="2"/>
      <c r="N227" s="2"/>
      <c r="O227" s="2">
        <f t="shared" si="235"/>
        <v>650.88</v>
      </c>
      <c r="P227" s="2">
        <f t="shared" si="236"/>
        <v>650.88</v>
      </c>
      <c r="Q227" s="2">
        <f>(ROUND((ROUND(((ET227)*AV227*I227),2)*BB227),2)+ROUND((ROUND(((AE227-(EU227))*AV227*I227),2)*BS227),2))</f>
        <v>0</v>
      </c>
      <c r="R227" s="2">
        <f>(ROUND((ROUND(((EU227)*AV227*I227),2)*BS227),2)+ROUND((ROUND(((AE227-(EU227))*AV227*I227),2)*BS227),2))</f>
        <v>0</v>
      </c>
      <c r="S227" s="2">
        <f t="shared" si="237"/>
        <v>0</v>
      </c>
      <c r="T227" s="2">
        <f t="shared" si="238"/>
        <v>0</v>
      </c>
      <c r="U227" s="2">
        <f t="shared" si="239"/>
        <v>0</v>
      </c>
      <c r="V227" s="2">
        <f t="shared" si="240"/>
        <v>0</v>
      </c>
      <c r="W227" s="2">
        <f t="shared" si="241"/>
        <v>0</v>
      </c>
      <c r="X227" s="2">
        <f>(ROUND((((S227+ROUND((ROUND(((EU227)*AV227*I227),2)*BS227),2))*AT227)/100),2)+ROUND(((ROUND((ROUND(((AE227-(EU227))*AV227*I227),2)*BS227),2)*AT227)/100),2))</f>
        <v>0</v>
      </c>
      <c r="Y227" s="2">
        <f>(ROUND((((S227+ROUND((ROUND(((EU227)*AV227*I227),2)*BS227),2))*AU227)/100),2)+ROUND(((ROUND((ROUND(((AE227-(EU227))*AV227*I227),2)*BS227),2)*AU227)/100),2))</f>
        <v>0</v>
      </c>
      <c r="Z227" s="2"/>
      <c r="AA227" s="2">
        <v>55747649</v>
      </c>
      <c r="AB227" s="2">
        <f t="shared" si="242"/>
        <v>54.24</v>
      </c>
      <c r="AC227" s="2">
        <f>ROUND((ES227),6)</f>
        <v>54.24</v>
      </c>
      <c r="AD227" s="2">
        <f>ROUND((((ET227)-(EU227))+AE227),6)</f>
        <v>0</v>
      </c>
      <c r="AE227" s="2">
        <f>ROUND((EU227),6)</f>
        <v>0</v>
      </c>
      <c r="AF227" s="2">
        <f>ROUND((EV227),6)</f>
        <v>0</v>
      </c>
      <c r="AG227" s="2">
        <f t="shared" si="243"/>
        <v>0</v>
      </c>
      <c r="AH227" s="2">
        <f>(EW227)</f>
        <v>0</v>
      </c>
      <c r="AI227" s="2">
        <f>(EX227)</f>
        <v>0</v>
      </c>
      <c r="AJ227" s="2">
        <f t="shared" si="244"/>
        <v>0</v>
      </c>
      <c r="AK227" s="2">
        <v>54.24</v>
      </c>
      <c r="AL227" s="2">
        <v>54.24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121</v>
      </c>
      <c r="AU227" s="2">
        <v>72</v>
      </c>
      <c r="AV227" s="2">
        <v>1</v>
      </c>
      <c r="AW227" s="2">
        <v>1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1</v>
      </c>
      <c r="BJ227" s="2" t="s">
        <v>398</v>
      </c>
      <c r="BK227" s="2"/>
      <c r="BL227" s="2"/>
      <c r="BM227" s="2">
        <v>21</v>
      </c>
      <c r="BN227" s="2">
        <v>0</v>
      </c>
      <c r="BO227" s="2" t="s">
        <v>3</v>
      </c>
      <c r="BP227" s="2">
        <v>0</v>
      </c>
      <c r="BQ227" s="2">
        <v>30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121</v>
      </c>
      <c r="CA227" s="2">
        <v>72</v>
      </c>
      <c r="CB227" s="2" t="s">
        <v>3</v>
      </c>
      <c r="CC227" s="2"/>
      <c r="CD227" s="2"/>
      <c r="CE227" s="2">
        <v>1566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3</v>
      </c>
      <c r="CO227" s="2">
        <v>0</v>
      </c>
      <c r="CP227" s="2">
        <f t="shared" si="245"/>
        <v>650.88</v>
      </c>
      <c r="CQ227" s="2">
        <f t="shared" si="246"/>
        <v>54.24</v>
      </c>
      <c r="CR227" s="2">
        <f>(ROUND((ROUND(((ET227)*AV227*1),2)*BB227),2)+ROUND((ROUND(((AE227-(EU227))*AV227*1),2)*BS227),2))</f>
        <v>0</v>
      </c>
      <c r="CS227" s="2">
        <f>(ROUND((ROUND(((EU227)*AV227*1),2)*BS227),2)+ROUND((ROUND(((AE227-(EU227))*AV227*1),2)*BS227),2))</f>
        <v>0</v>
      </c>
      <c r="CT227" s="2">
        <f t="shared" si="247"/>
        <v>0</v>
      </c>
      <c r="CU227" s="2">
        <f t="shared" si="248"/>
        <v>0</v>
      </c>
      <c r="CV227" s="2">
        <f t="shared" si="249"/>
        <v>0</v>
      </c>
      <c r="CW227" s="2">
        <f t="shared" si="250"/>
        <v>0</v>
      </c>
      <c r="CX227" s="2">
        <f t="shared" si="251"/>
        <v>0</v>
      </c>
      <c r="CY227" s="2">
        <f>(ROUND((((S227+ROUND((ROUND(((EU227)*AV227*1),2)*BS227),2))*AT227)/100),2)+ROUND(((ROUND((ROUND(((AE227-(EU227))*AV227*1),2)*BS227),2)*AT227)/100),2))</f>
        <v>0</v>
      </c>
      <c r="CZ227" s="2">
        <f>(ROUND((((S227+ROUND((ROUND(((EU227)*AV227*1),2)*BS227),2))*AU227)/100),2)+ROUND(((ROUND((ROUND(((AE227-(EU227))*AV227*1),2)*BS227),2)*AU227)/100),2))</f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1010</v>
      </c>
      <c r="DV227" s="2" t="s">
        <v>118</v>
      </c>
      <c r="DW227" s="2" t="s">
        <v>118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56938687</v>
      </c>
      <c r="EF227" s="2">
        <v>30</v>
      </c>
      <c r="EG227" s="2" t="s">
        <v>41</v>
      </c>
      <c r="EH227" s="2">
        <v>0</v>
      </c>
      <c r="EI227" s="2" t="s">
        <v>3</v>
      </c>
      <c r="EJ227" s="2">
        <v>1</v>
      </c>
      <c r="EK227" s="2">
        <v>21</v>
      </c>
      <c r="EL227" s="2" t="s">
        <v>394</v>
      </c>
      <c r="EM227" s="2" t="s">
        <v>395</v>
      </c>
      <c r="EN227" s="2"/>
      <c r="EO227" s="2" t="s">
        <v>3</v>
      </c>
      <c r="EP227" s="2"/>
      <c r="EQ227" s="2">
        <v>0</v>
      </c>
      <c r="ER227" s="2">
        <v>54.24</v>
      </c>
      <c r="ES227" s="2">
        <v>54.24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v>0</v>
      </c>
      <c r="FS227" s="2">
        <v>0</v>
      </c>
      <c r="FT227" s="2"/>
      <c r="FU227" s="2"/>
      <c r="FV227" s="2"/>
      <c r="FW227" s="2"/>
      <c r="FX227" s="2">
        <v>121</v>
      </c>
      <c r="FY227" s="2">
        <v>72</v>
      </c>
      <c r="FZ227" s="2"/>
      <c r="GA227" s="2" t="s">
        <v>3</v>
      </c>
      <c r="GB227" s="2"/>
      <c r="GC227" s="2"/>
      <c r="GD227" s="2">
        <v>1</v>
      </c>
      <c r="GE227" s="2"/>
      <c r="GF227" s="2">
        <v>1616596241</v>
      </c>
      <c r="GG227" s="2">
        <v>2</v>
      </c>
      <c r="GH227" s="2">
        <v>1</v>
      </c>
      <c r="GI227" s="2">
        <v>-2</v>
      </c>
      <c r="GJ227" s="2">
        <v>0</v>
      </c>
      <c r="GK227" s="2">
        <v>0</v>
      </c>
      <c r="GL227" s="2">
        <f t="shared" si="252"/>
        <v>0</v>
      </c>
      <c r="GM227" s="2">
        <f t="shared" si="253"/>
        <v>650.88</v>
      </c>
      <c r="GN227" s="2">
        <f t="shared" si="254"/>
        <v>650.88</v>
      </c>
      <c r="GO227" s="2">
        <f t="shared" si="255"/>
        <v>0</v>
      </c>
      <c r="GP227" s="2">
        <f t="shared" si="256"/>
        <v>0</v>
      </c>
      <c r="GQ227" s="2"/>
      <c r="GR227" s="2">
        <v>0</v>
      </c>
      <c r="GS227" s="2">
        <v>3</v>
      </c>
      <c r="GT227" s="2">
        <v>0</v>
      </c>
      <c r="GU227" s="2" t="s">
        <v>3</v>
      </c>
      <c r="GV227" s="2">
        <f t="shared" si="257"/>
        <v>0</v>
      </c>
      <c r="GW227" s="2">
        <v>1</v>
      </c>
      <c r="GX227" s="2">
        <f t="shared" si="258"/>
        <v>0</v>
      </c>
      <c r="GY227" s="2"/>
      <c r="GZ227" s="2"/>
      <c r="HA227" s="2">
        <v>0</v>
      </c>
      <c r="HB227" s="2">
        <v>0</v>
      </c>
      <c r="HC227" s="2">
        <f t="shared" si="259"/>
        <v>0</v>
      </c>
      <c r="HD227" s="2"/>
      <c r="HE227" s="2" t="s">
        <v>3</v>
      </c>
      <c r="HF227" s="2" t="s">
        <v>3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">
      <c r="A228" s="3">
        <v>17</v>
      </c>
      <c r="B228" s="3">
        <v>1</v>
      </c>
      <c r="E228" s="3" t="s">
        <v>404</v>
      </c>
      <c r="F228" s="3" t="s">
        <v>396</v>
      </c>
      <c r="G228" s="3" t="s">
        <v>397</v>
      </c>
      <c r="H228" s="3" t="s">
        <v>118</v>
      </c>
      <c r="I228" s="3">
        <v>12</v>
      </c>
      <c r="J228" s="3">
        <v>0</v>
      </c>
      <c r="K228" s="3">
        <v>12</v>
      </c>
      <c r="O228" s="3">
        <f t="shared" si="235"/>
        <v>2043.76</v>
      </c>
      <c r="P228" s="3">
        <f t="shared" si="236"/>
        <v>2043.76</v>
      </c>
      <c r="Q228" s="3">
        <f>(ROUND((ROUND(((ET228)*AV228*I228),2)*BB228),2)+ROUND((ROUND(((AE228-(EU228))*AV228*I228),2)*BS228),2))</f>
        <v>0</v>
      </c>
      <c r="R228" s="3">
        <f>(ROUND((ROUND(((EU228)*AV228*I228),2)*BS228),2)+ROUND((ROUND(((AE228-(EU228))*AV228*I228),2)*BS228),2))</f>
        <v>0</v>
      </c>
      <c r="S228" s="3">
        <f t="shared" si="237"/>
        <v>0</v>
      </c>
      <c r="T228" s="3">
        <f t="shared" si="238"/>
        <v>0</v>
      </c>
      <c r="U228" s="3">
        <f t="shared" si="239"/>
        <v>0</v>
      </c>
      <c r="V228" s="3">
        <f t="shared" si="240"/>
        <v>0</v>
      </c>
      <c r="W228" s="3">
        <f t="shared" si="241"/>
        <v>0</v>
      </c>
      <c r="X228" s="3">
        <f>(ROUND((((S228+ROUND((ROUND(((EU228)*AV228*I228),2)*BS228),2))*AT228)/100),2)+ROUND(((ROUND((ROUND(((AE228-(EU228))*AV228*I228),2)*BS228),2)*AT228)/100),2))</f>
        <v>0</v>
      </c>
      <c r="Y228" s="3">
        <f>(ROUND((((S228+ROUND((ROUND(((EU228)*AV228*I228),2)*BS228),2))*AU228)/100),2)+ROUND(((ROUND((ROUND(((AE228-(EU228))*AV228*I228),2)*BS228),2)*AU228)/100),2))</f>
        <v>0</v>
      </c>
      <c r="AA228" s="3">
        <v>55747651</v>
      </c>
      <c r="AB228" s="3">
        <f t="shared" si="242"/>
        <v>54.24</v>
      </c>
      <c r="AC228" s="3">
        <f>ROUND((ES228),6)</f>
        <v>54.24</v>
      </c>
      <c r="AD228" s="3">
        <f>ROUND((((ET228)-(EU228))+AE228),6)</f>
        <v>0</v>
      </c>
      <c r="AE228" s="3">
        <f>ROUND((EU228),6)</f>
        <v>0</v>
      </c>
      <c r="AF228" s="3">
        <f>ROUND((EV228),6)</f>
        <v>0</v>
      </c>
      <c r="AG228" s="3">
        <f t="shared" si="243"/>
        <v>0</v>
      </c>
      <c r="AH228" s="3">
        <f>(EW228)</f>
        <v>0</v>
      </c>
      <c r="AI228" s="3">
        <f>(EX228)</f>
        <v>0</v>
      </c>
      <c r="AJ228" s="3">
        <f t="shared" si="244"/>
        <v>0</v>
      </c>
      <c r="AK228" s="3">
        <v>54.24</v>
      </c>
      <c r="AL228" s="3">
        <v>54.24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121</v>
      </c>
      <c r="AU228" s="3">
        <v>72</v>
      </c>
      <c r="AV228" s="3">
        <v>1</v>
      </c>
      <c r="AW228" s="3">
        <v>1</v>
      </c>
      <c r="AZ228" s="3">
        <v>1</v>
      </c>
      <c r="BA228" s="3">
        <v>1</v>
      </c>
      <c r="BB228" s="3">
        <v>1</v>
      </c>
      <c r="BC228" s="3">
        <v>3.14</v>
      </c>
      <c r="BD228" s="3" t="s">
        <v>3</v>
      </c>
      <c r="BE228" s="3" t="s">
        <v>3</v>
      </c>
      <c r="BF228" s="3" t="s">
        <v>3</v>
      </c>
      <c r="BG228" s="3" t="s">
        <v>3</v>
      </c>
      <c r="BH228" s="3">
        <v>3</v>
      </c>
      <c r="BI228" s="3">
        <v>1</v>
      </c>
      <c r="BJ228" s="3" t="s">
        <v>398</v>
      </c>
      <c r="BM228" s="3">
        <v>21</v>
      </c>
      <c r="BN228" s="3">
        <v>0</v>
      </c>
      <c r="BO228" s="3" t="s">
        <v>396</v>
      </c>
      <c r="BP228" s="3">
        <v>1</v>
      </c>
      <c r="BQ228" s="3">
        <v>30</v>
      </c>
      <c r="BR228" s="3">
        <v>0</v>
      </c>
      <c r="BS228" s="3">
        <v>1</v>
      </c>
      <c r="BT228" s="3">
        <v>1</v>
      </c>
      <c r="BU228" s="3">
        <v>1</v>
      </c>
      <c r="BV228" s="3">
        <v>1</v>
      </c>
      <c r="BW228" s="3">
        <v>1</v>
      </c>
      <c r="BX228" s="3">
        <v>1</v>
      </c>
      <c r="BY228" s="3" t="s">
        <v>3</v>
      </c>
      <c r="BZ228" s="3">
        <v>121</v>
      </c>
      <c r="CA228" s="3">
        <v>72</v>
      </c>
      <c r="CB228" s="3" t="s">
        <v>3</v>
      </c>
      <c r="CE228" s="3">
        <v>1566</v>
      </c>
      <c r="CF228" s="3">
        <v>0</v>
      </c>
      <c r="CG228" s="3">
        <v>0</v>
      </c>
      <c r="CM228" s="3">
        <v>0</v>
      </c>
      <c r="CN228" s="3" t="s">
        <v>3</v>
      </c>
      <c r="CO228" s="3">
        <v>0</v>
      </c>
      <c r="CP228" s="3">
        <f t="shared" si="245"/>
        <v>2043.76</v>
      </c>
      <c r="CQ228" s="3">
        <f t="shared" si="246"/>
        <v>170.31</v>
      </c>
      <c r="CR228" s="3">
        <f>(ROUND((ROUND(((ET228)*AV228*1),2)*BB228),2)+ROUND((ROUND(((AE228-(EU228))*AV228*1),2)*BS228),2))</f>
        <v>0</v>
      </c>
      <c r="CS228" s="3">
        <f>(ROUND((ROUND(((EU228)*AV228*1),2)*BS228),2)+ROUND((ROUND(((AE228-(EU228))*AV228*1),2)*BS228),2))</f>
        <v>0</v>
      </c>
      <c r="CT228" s="3">
        <f t="shared" si="247"/>
        <v>0</v>
      </c>
      <c r="CU228" s="3">
        <f t="shared" si="248"/>
        <v>0</v>
      </c>
      <c r="CV228" s="3">
        <f t="shared" si="249"/>
        <v>0</v>
      </c>
      <c r="CW228" s="3">
        <f t="shared" si="250"/>
        <v>0</v>
      </c>
      <c r="CX228" s="3">
        <f t="shared" si="251"/>
        <v>0</v>
      </c>
      <c r="CY228" s="3">
        <f>(ROUND((((S228+ROUND((ROUND(((EU228)*AV228*1),2)*BS228),2))*AT228)/100),2)+ROUND(((ROUND((ROUND(((AE228-(EU228))*AV228*1),2)*BS228),2)*AT228)/100),2))</f>
        <v>0</v>
      </c>
      <c r="CZ228" s="3">
        <f>(ROUND((((S228+ROUND((ROUND(((EU228)*AV228*1),2)*BS228),2))*AU228)/100),2)+ROUND(((ROUND((ROUND(((AE228-(EU228))*AV228*1),2)*BS228),2)*AU228)/100),2))</f>
        <v>0</v>
      </c>
      <c r="DC228" s="3" t="s">
        <v>3</v>
      </c>
      <c r="DD228" s="3" t="s">
        <v>3</v>
      </c>
      <c r="DE228" s="3" t="s">
        <v>3</v>
      </c>
      <c r="DF228" s="3" t="s">
        <v>3</v>
      </c>
      <c r="DG228" s="3" t="s">
        <v>3</v>
      </c>
      <c r="DH228" s="3" t="s">
        <v>3</v>
      </c>
      <c r="DI228" s="3" t="s">
        <v>3</v>
      </c>
      <c r="DJ228" s="3" t="s">
        <v>3</v>
      </c>
      <c r="DK228" s="3" t="s">
        <v>3</v>
      </c>
      <c r="DL228" s="3" t="s">
        <v>3</v>
      </c>
      <c r="DM228" s="3" t="s">
        <v>3</v>
      </c>
      <c r="DN228" s="3">
        <v>0</v>
      </c>
      <c r="DO228" s="3">
        <v>0</v>
      </c>
      <c r="DP228" s="3">
        <v>1</v>
      </c>
      <c r="DQ228" s="3">
        <v>1</v>
      </c>
      <c r="DU228" s="3">
        <v>1010</v>
      </c>
      <c r="DV228" s="3" t="s">
        <v>118</v>
      </c>
      <c r="DW228" s="3" t="s">
        <v>118</v>
      </c>
      <c r="DX228" s="3">
        <v>1</v>
      </c>
      <c r="DZ228" s="3" t="s">
        <v>3</v>
      </c>
      <c r="EA228" s="3" t="s">
        <v>3</v>
      </c>
      <c r="EB228" s="3" t="s">
        <v>3</v>
      </c>
      <c r="EC228" s="3" t="s">
        <v>3</v>
      </c>
      <c r="EE228" s="3">
        <v>56938687</v>
      </c>
      <c r="EF228" s="3">
        <v>30</v>
      </c>
      <c r="EG228" s="3" t="s">
        <v>41</v>
      </c>
      <c r="EH228" s="3">
        <v>0</v>
      </c>
      <c r="EI228" s="3" t="s">
        <v>3</v>
      </c>
      <c r="EJ228" s="3">
        <v>1</v>
      </c>
      <c r="EK228" s="3">
        <v>21</v>
      </c>
      <c r="EL228" s="3" t="s">
        <v>394</v>
      </c>
      <c r="EM228" s="3" t="s">
        <v>395</v>
      </c>
      <c r="EO228" s="3" t="s">
        <v>3</v>
      </c>
      <c r="EQ228" s="3">
        <v>0</v>
      </c>
      <c r="ER228" s="3">
        <v>54.24</v>
      </c>
      <c r="ES228" s="3">
        <v>54.24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FQ228" s="3">
        <v>0</v>
      </c>
      <c r="FR228" s="3">
        <v>0</v>
      </c>
      <c r="FS228" s="3">
        <v>0</v>
      </c>
      <c r="FX228" s="3">
        <v>121</v>
      </c>
      <c r="FY228" s="3">
        <v>72</v>
      </c>
      <c r="GA228" s="3" t="s">
        <v>3</v>
      </c>
      <c r="GD228" s="3">
        <v>1</v>
      </c>
      <c r="GF228" s="3">
        <v>1616596241</v>
      </c>
      <c r="GG228" s="3">
        <v>2</v>
      </c>
      <c r="GH228" s="3">
        <v>1</v>
      </c>
      <c r="GI228" s="3">
        <v>2</v>
      </c>
      <c r="GJ228" s="3">
        <v>0</v>
      </c>
      <c r="GK228" s="3">
        <v>0</v>
      </c>
      <c r="GL228" s="3">
        <f t="shared" si="252"/>
        <v>0</v>
      </c>
      <c r="GM228" s="3">
        <f t="shared" si="253"/>
        <v>2043.76</v>
      </c>
      <c r="GN228" s="3">
        <f t="shared" si="254"/>
        <v>2043.76</v>
      </c>
      <c r="GO228" s="3">
        <f t="shared" si="255"/>
        <v>0</v>
      </c>
      <c r="GP228" s="3">
        <f t="shared" si="256"/>
        <v>0</v>
      </c>
      <c r="GR228" s="3">
        <v>0</v>
      </c>
      <c r="GS228" s="3">
        <v>3</v>
      </c>
      <c r="GT228" s="3">
        <v>0</v>
      </c>
      <c r="GU228" s="3" t="s">
        <v>3</v>
      </c>
      <c r="GV228" s="3">
        <f t="shared" si="257"/>
        <v>0</v>
      </c>
      <c r="GW228" s="3">
        <v>1</v>
      </c>
      <c r="GX228" s="3">
        <f t="shared" si="258"/>
        <v>0</v>
      </c>
      <c r="HA228" s="3">
        <v>0</v>
      </c>
      <c r="HB228" s="3">
        <v>0</v>
      </c>
      <c r="HC228" s="3">
        <f t="shared" si="259"/>
        <v>0</v>
      </c>
      <c r="HE228" s="3" t="s">
        <v>3</v>
      </c>
      <c r="HF228" s="3" t="s">
        <v>3</v>
      </c>
      <c r="HM228" s="3" t="s">
        <v>3</v>
      </c>
      <c r="HN228" s="3" t="s">
        <v>3</v>
      </c>
      <c r="HO228" s="3" t="s">
        <v>3</v>
      </c>
      <c r="HP228" s="3" t="s">
        <v>3</v>
      </c>
      <c r="HQ228" s="3" t="s">
        <v>3</v>
      </c>
      <c r="HS228" s="3">
        <v>0</v>
      </c>
      <c r="IK228" s="3">
        <v>0</v>
      </c>
    </row>
    <row r="229" spans="1:255" x14ac:dyDescent="0.2">
      <c r="A229" s="2">
        <v>17</v>
      </c>
      <c r="B229" s="2">
        <v>1</v>
      </c>
      <c r="C229" s="2">
        <f>ROW(SmtRes!A558)</f>
        <v>558</v>
      </c>
      <c r="D229" s="2">
        <f>ROW(EtalonRes!A598)</f>
        <v>598</v>
      </c>
      <c r="E229" s="2" t="s">
        <v>3</v>
      </c>
      <c r="F229" s="2" t="s">
        <v>376</v>
      </c>
      <c r="G229" s="2" t="s">
        <v>377</v>
      </c>
      <c r="H229" s="2" t="s">
        <v>254</v>
      </c>
      <c r="I229" s="2">
        <f>ROUND(778/100,9)</f>
        <v>7.78</v>
      </c>
      <c r="J229" s="2">
        <v>0</v>
      </c>
      <c r="K229" s="2">
        <f>ROUND(778/100,9)</f>
        <v>7.78</v>
      </c>
      <c r="L229" s="2"/>
      <c r="M229" s="2"/>
      <c r="N229" s="2"/>
      <c r="O229" s="2">
        <f t="shared" si="235"/>
        <v>38584.230000000003</v>
      </c>
      <c r="P229" s="2">
        <f t="shared" si="236"/>
        <v>27690.12</v>
      </c>
      <c r="Q229" s="2">
        <f>(ROUND((ROUND((((ET229*1.2))*AV229*I229),2)*BB229),2)+ROUND((ROUND(((AE229-((EU229*1.2)))*AV229*I229),2)*BS229),2))</f>
        <v>3351.25</v>
      </c>
      <c r="R229" s="2">
        <f>(ROUND((ROUND((((EU229*1.2))*AV229*I229),2)*BS229),2)+ROUND((ROUND(((AE229-((EU229*1.2)))*AV229*I229),2)*BS229),2))</f>
        <v>1.29</v>
      </c>
      <c r="S229" s="2">
        <f t="shared" si="237"/>
        <v>7542.86</v>
      </c>
      <c r="T229" s="2">
        <f t="shared" si="238"/>
        <v>0</v>
      </c>
      <c r="U229" s="2">
        <f t="shared" si="239"/>
        <v>597.69072000000006</v>
      </c>
      <c r="V229" s="2">
        <f t="shared" si="240"/>
        <v>0</v>
      </c>
      <c r="W229" s="2">
        <f t="shared" si="241"/>
        <v>0</v>
      </c>
      <c r="X229" s="2">
        <f>(ROUND((((S229+ROUND((ROUND((((EU229*1.2))*AV229*I229),2)*BS229),2))*AT229)/100),2)+ROUND(((ROUND((ROUND(((AE229-((EU229*1.2)))*AV229*I229),2)*BS229),2)*AT229)/100),2))</f>
        <v>6789.74</v>
      </c>
      <c r="Y229" s="2">
        <f>(ROUND((((S229+ROUND((ROUND((((EU229*1.2))*AV229*I229),2)*BS229),2))*AU229)/100),2)+ROUND(((ROUND((ROUND(((AE229-((EU229*1.2)))*AV229*I229),2)*BS229),2)*AU229)/100),2))</f>
        <v>3470.31</v>
      </c>
      <c r="Z229" s="2"/>
      <c r="AA229" s="2">
        <v>-1</v>
      </c>
      <c r="AB229" s="2">
        <f t="shared" si="242"/>
        <v>4774.5439999999999</v>
      </c>
      <c r="AC229" s="2">
        <f>ROUND(((ES229*1)),6)</f>
        <v>3462.2</v>
      </c>
      <c r="AD229" s="2">
        <f>ROUND(((((ET229*1.2))-((EU229*1.2)))+AE229),6)</f>
        <v>403.70400000000001</v>
      </c>
      <c r="AE229" s="2">
        <f>ROUND(((EU229*1.2)),6)</f>
        <v>0.156</v>
      </c>
      <c r="AF229" s="2">
        <f>ROUND(((EV229*1.2)),6)</f>
        <v>908.64</v>
      </c>
      <c r="AG229" s="2">
        <f t="shared" si="243"/>
        <v>0</v>
      </c>
      <c r="AH229" s="2">
        <f>((EW229*1.2))</f>
        <v>72</v>
      </c>
      <c r="AI229" s="2">
        <f>((EX229*1.2))</f>
        <v>0</v>
      </c>
      <c r="AJ229" s="2">
        <f t="shared" si="244"/>
        <v>0</v>
      </c>
      <c r="AK229" s="2">
        <v>4555.82</v>
      </c>
      <c r="AL229" s="2">
        <v>3462.2</v>
      </c>
      <c r="AM229" s="2">
        <v>336.42</v>
      </c>
      <c r="AN229" s="2">
        <v>0.13</v>
      </c>
      <c r="AO229" s="2">
        <v>757.2</v>
      </c>
      <c r="AP229" s="2">
        <v>0</v>
      </c>
      <c r="AQ229" s="2">
        <v>60</v>
      </c>
      <c r="AR229" s="2">
        <v>0</v>
      </c>
      <c r="AS229" s="2">
        <v>0</v>
      </c>
      <c r="AT229" s="2">
        <v>90</v>
      </c>
      <c r="AU229" s="2">
        <v>46</v>
      </c>
      <c r="AV229" s="2">
        <v>1.0669999999999999</v>
      </c>
      <c r="AW229" s="2">
        <v>1.028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0</v>
      </c>
      <c r="BI229" s="2">
        <v>2</v>
      </c>
      <c r="BJ229" s="2" t="s">
        <v>378</v>
      </c>
      <c r="BK229" s="2"/>
      <c r="BL229" s="2"/>
      <c r="BM229" s="2">
        <v>73</v>
      </c>
      <c r="BN229" s="2">
        <v>0</v>
      </c>
      <c r="BO229" s="2" t="s">
        <v>376</v>
      </c>
      <c r="BP229" s="2">
        <v>1</v>
      </c>
      <c r="BQ229" s="2">
        <v>40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90</v>
      </c>
      <c r="CA229" s="2">
        <v>46</v>
      </c>
      <c r="CB229" s="2" t="s">
        <v>3</v>
      </c>
      <c r="CC229" s="2"/>
      <c r="CD229" s="2"/>
      <c r="CE229" s="2">
        <v>1566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716</v>
      </c>
      <c r="CO229" s="2">
        <v>0</v>
      </c>
      <c r="CP229" s="2">
        <f t="shared" si="245"/>
        <v>38584.229999999996</v>
      </c>
      <c r="CQ229" s="2">
        <f t="shared" si="246"/>
        <v>3559.14</v>
      </c>
      <c r="CR229" s="2">
        <f>(ROUND((ROUND((((ET229*1.2))*AV229*1),2)*BB229),2)+ROUND((ROUND(((AE229-((EU229*1.2)))*AV229*1),2)*BS229),2))</f>
        <v>430.75</v>
      </c>
      <c r="CS229" s="2">
        <f>(ROUND((ROUND((((EU229*1.2))*AV229*1),2)*BS229),2)+ROUND((ROUND(((AE229-((EU229*1.2)))*AV229*1),2)*BS229),2))</f>
        <v>0.17</v>
      </c>
      <c r="CT229" s="2">
        <f t="shared" si="247"/>
        <v>969.52</v>
      </c>
      <c r="CU229" s="2">
        <f t="shared" si="248"/>
        <v>0</v>
      </c>
      <c r="CV229" s="2">
        <f t="shared" si="249"/>
        <v>76.823999999999998</v>
      </c>
      <c r="CW229" s="2">
        <f t="shared" si="250"/>
        <v>0</v>
      </c>
      <c r="CX229" s="2">
        <f t="shared" si="251"/>
        <v>0</v>
      </c>
      <c r="CY229" s="2">
        <f>(ROUND((((S229+ROUND((ROUND((((EU229*1.2))*AV229*1),2)*BS229),2))*AT229)/100),2)+ROUND(((ROUND((ROUND(((AE229-((EU229*1.2)))*AV229*1),2)*BS229),2)*AT229)/100),2))</f>
        <v>6788.73</v>
      </c>
      <c r="CZ229" s="2">
        <f>(ROUND((((S229+ROUND((ROUND((((EU229*1.2))*AV229*1),2)*BS229),2))*AU229)/100),2)+ROUND(((ROUND((ROUND(((AE229-((EU229*1.2)))*AV229*1),2)*BS229),2)*AU229)/100),2))</f>
        <v>3469.79</v>
      </c>
      <c r="DA229" s="2"/>
      <c r="DB229" s="2">
        <v>93</v>
      </c>
      <c r="DC229" s="2" t="s">
        <v>3</v>
      </c>
      <c r="DD229" s="2" t="s">
        <v>48</v>
      </c>
      <c r="DE229" s="2" t="s">
        <v>49</v>
      </c>
      <c r="DF229" s="2" t="s">
        <v>49</v>
      </c>
      <c r="DG229" s="2" t="s">
        <v>49</v>
      </c>
      <c r="DH229" s="2" t="s">
        <v>3</v>
      </c>
      <c r="DI229" s="2" t="s">
        <v>49</v>
      </c>
      <c r="DJ229" s="2" t="s">
        <v>49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1010</v>
      </c>
      <c r="DV229" s="2" t="s">
        <v>254</v>
      </c>
      <c r="DW229" s="2" t="s">
        <v>254</v>
      </c>
      <c r="DX229" s="2">
        <v>100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56938740</v>
      </c>
      <c r="EF229" s="2">
        <v>40</v>
      </c>
      <c r="EG229" s="2" t="s">
        <v>29</v>
      </c>
      <c r="EH229" s="2">
        <v>0</v>
      </c>
      <c r="EI229" s="2" t="s">
        <v>3</v>
      </c>
      <c r="EJ229" s="2">
        <v>2</v>
      </c>
      <c r="EK229" s="2">
        <v>73</v>
      </c>
      <c r="EL229" s="2" t="s">
        <v>85</v>
      </c>
      <c r="EM229" s="2" t="s">
        <v>86</v>
      </c>
      <c r="EN229" s="2"/>
      <c r="EO229" s="2" t="s">
        <v>50</v>
      </c>
      <c r="EP229" s="2"/>
      <c r="EQ229" s="2">
        <v>132096</v>
      </c>
      <c r="ER229" s="2">
        <v>4555.82</v>
      </c>
      <c r="ES229" s="2">
        <v>3462.2</v>
      </c>
      <c r="ET229" s="2">
        <v>336.42</v>
      </c>
      <c r="EU229" s="2">
        <v>0.13</v>
      </c>
      <c r="EV229" s="2">
        <v>757.2</v>
      </c>
      <c r="EW229" s="2">
        <v>60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2</v>
      </c>
      <c r="FT229" s="2"/>
      <c r="FU229" s="2"/>
      <c r="FV229" s="2"/>
      <c r="FW229" s="2"/>
      <c r="FX229" s="2">
        <v>90</v>
      </c>
      <c r="FY229" s="2">
        <v>46</v>
      </c>
      <c r="FZ229" s="2"/>
      <c r="GA229" s="2" t="s">
        <v>3</v>
      </c>
      <c r="GB229" s="2"/>
      <c r="GC229" s="2"/>
      <c r="GD229" s="2">
        <v>1</v>
      </c>
      <c r="GE229" s="2"/>
      <c r="GF229" s="2">
        <v>2142141271</v>
      </c>
      <c r="GG229" s="2">
        <v>2</v>
      </c>
      <c r="GH229" s="2">
        <v>1</v>
      </c>
      <c r="GI229" s="2">
        <v>2</v>
      </c>
      <c r="GJ229" s="2">
        <v>0</v>
      </c>
      <c r="GK229" s="2">
        <v>0</v>
      </c>
      <c r="GL229" s="2">
        <f t="shared" si="252"/>
        <v>0</v>
      </c>
      <c r="GM229" s="2">
        <f t="shared" si="253"/>
        <v>48844.28</v>
      </c>
      <c r="GN229" s="2">
        <f t="shared" si="254"/>
        <v>0</v>
      </c>
      <c r="GO229" s="2">
        <f t="shared" si="255"/>
        <v>48844.28</v>
      </c>
      <c r="GP229" s="2">
        <f t="shared" si="256"/>
        <v>0</v>
      </c>
      <c r="GQ229" s="2"/>
      <c r="GR229" s="2">
        <v>0</v>
      </c>
      <c r="GS229" s="2">
        <v>3</v>
      </c>
      <c r="GT229" s="2">
        <v>0</v>
      </c>
      <c r="GU229" s="2" t="s">
        <v>3</v>
      </c>
      <c r="GV229" s="2">
        <f t="shared" si="257"/>
        <v>0</v>
      </c>
      <c r="GW229" s="2">
        <v>1</v>
      </c>
      <c r="GX229" s="2">
        <f t="shared" si="258"/>
        <v>0</v>
      </c>
      <c r="GY229" s="2"/>
      <c r="GZ229" s="2"/>
      <c r="HA229" s="2">
        <v>0</v>
      </c>
      <c r="HB229" s="2">
        <v>0</v>
      </c>
      <c r="HC229" s="2">
        <f t="shared" si="259"/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">
      <c r="A230" s="3">
        <v>17</v>
      </c>
      <c r="B230" s="3">
        <v>1</v>
      </c>
      <c r="C230" s="3">
        <f>ROW(SmtRes!A566)</f>
        <v>566</v>
      </c>
      <c r="D230" s="3">
        <f>ROW(EtalonRes!A606)</f>
        <v>606</v>
      </c>
      <c r="E230" s="3" t="s">
        <v>3</v>
      </c>
      <c r="F230" s="3" t="s">
        <v>376</v>
      </c>
      <c r="G230" s="3" t="s">
        <v>377</v>
      </c>
      <c r="H230" s="3" t="s">
        <v>254</v>
      </c>
      <c r="I230" s="3">
        <f>ROUND(778/100,9)</f>
        <v>7.78</v>
      </c>
      <c r="J230" s="3">
        <v>0</v>
      </c>
      <c r="K230" s="3">
        <f>ROUND(778/100,9)</f>
        <v>7.78</v>
      </c>
      <c r="O230" s="3">
        <f t="shared" si="235"/>
        <v>705824.42</v>
      </c>
      <c r="P230" s="3">
        <f t="shared" si="236"/>
        <v>235642.92</v>
      </c>
      <c r="Q230" s="3">
        <f>(ROUND((ROUND((((ET230*1.2))*AV230*I230),2)*BB230),2)+ROUND((ROUND(((AE230-((EU230*1.2)))*AV230*I230),2)*BS230),2))</f>
        <v>45141.34</v>
      </c>
      <c r="R230" s="3">
        <f>(ROUND((ROUND((((EU230*1.2))*AV230*I230),2)*BS230),2)+ROUND((ROUND(((AE230-((EU230*1.2)))*AV230*I230),2)*BS230),2))</f>
        <v>72.69</v>
      </c>
      <c r="S230" s="3">
        <f t="shared" si="237"/>
        <v>425040.16</v>
      </c>
      <c r="T230" s="3">
        <f t="shared" si="238"/>
        <v>0</v>
      </c>
      <c r="U230" s="3">
        <f t="shared" si="239"/>
        <v>597.69072000000006</v>
      </c>
      <c r="V230" s="3">
        <f t="shared" si="240"/>
        <v>0</v>
      </c>
      <c r="W230" s="3">
        <f t="shared" si="241"/>
        <v>0</v>
      </c>
      <c r="X230" s="3">
        <f>(ROUND((((S230+ROUND((ROUND((((EU230*1.2))*AV230*I230),2)*BS230),2))*AT230)/100),2)+ROUND(((ROUND((ROUND(((AE230-((EU230*1.2)))*AV230*I230),2)*BS230),2)*AT230)/100),2))</f>
        <v>382601.57</v>
      </c>
      <c r="Y230" s="3">
        <f>(ROUND((((S230+ROUND((ROUND((((EU230*1.2))*AV230*I230),2)*BS230),2))*AU230)/100),2)+ROUND(((ROUND((ROUND(((AE230-((EU230*1.2)))*AV230*I230),2)*BS230),2)*AU230)/100),2))</f>
        <v>195551.91</v>
      </c>
      <c r="AA230" s="3">
        <v>-1</v>
      </c>
      <c r="AB230" s="3">
        <f t="shared" si="242"/>
        <v>4774.5439999999999</v>
      </c>
      <c r="AC230" s="3">
        <f>ROUND(((ES230*1)),6)</f>
        <v>3462.2</v>
      </c>
      <c r="AD230" s="3">
        <f>ROUND(((((ET230*1.2))-((EU230*1.2)))+AE230),6)</f>
        <v>403.70400000000001</v>
      </c>
      <c r="AE230" s="3">
        <f>ROUND(((EU230*1.2)),6)</f>
        <v>0.156</v>
      </c>
      <c r="AF230" s="3">
        <f>ROUND(((EV230*1.2)),6)</f>
        <v>908.64</v>
      </c>
      <c r="AG230" s="3">
        <f t="shared" si="243"/>
        <v>0</v>
      </c>
      <c r="AH230" s="3">
        <f>((EW230*1.2))</f>
        <v>72</v>
      </c>
      <c r="AI230" s="3">
        <f>((EX230*1.2))</f>
        <v>0</v>
      </c>
      <c r="AJ230" s="3">
        <f t="shared" si="244"/>
        <v>0</v>
      </c>
      <c r="AK230" s="3">
        <v>4555.82</v>
      </c>
      <c r="AL230" s="3">
        <v>3462.2</v>
      </c>
      <c r="AM230" s="3">
        <v>336.42</v>
      </c>
      <c r="AN230" s="3">
        <v>0.13</v>
      </c>
      <c r="AO230" s="3">
        <v>757.2</v>
      </c>
      <c r="AP230" s="3">
        <v>0</v>
      </c>
      <c r="AQ230" s="3">
        <v>60</v>
      </c>
      <c r="AR230" s="3">
        <v>0</v>
      </c>
      <c r="AS230" s="3">
        <v>0</v>
      </c>
      <c r="AT230" s="3">
        <v>90</v>
      </c>
      <c r="AU230" s="3">
        <v>46</v>
      </c>
      <c r="AV230" s="3">
        <v>1.0669999999999999</v>
      </c>
      <c r="AW230" s="3">
        <v>1.028</v>
      </c>
      <c r="AZ230" s="3">
        <v>1</v>
      </c>
      <c r="BA230" s="3">
        <v>56.35</v>
      </c>
      <c r="BB230" s="3">
        <v>13.47</v>
      </c>
      <c r="BC230" s="3">
        <v>8.51</v>
      </c>
      <c r="BD230" s="3" t="s">
        <v>3</v>
      </c>
      <c r="BE230" s="3" t="s">
        <v>3</v>
      </c>
      <c r="BF230" s="3" t="s">
        <v>3</v>
      </c>
      <c r="BG230" s="3" t="s">
        <v>3</v>
      </c>
      <c r="BH230" s="3">
        <v>0</v>
      </c>
      <c r="BI230" s="3">
        <v>2</v>
      </c>
      <c r="BJ230" s="3" t="s">
        <v>378</v>
      </c>
      <c r="BM230" s="3">
        <v>73</v>
      </c>
      <c r="BN230" s="3">
        <v>0</v>
      </c>
      <c r="BO230" s="3" t="s">
        <v>376</v>
      </c>
      <c r="BP230" s="3">
        <v>1</v>
      </c>
      <c r="BQ230" s="3">
        <v>40</v>
      </c>
      <c r="BR230" s="3">
        <v>0</v>
      </c>
      <c r="BS230" s="3">
        <v>56.35</v>
      </c>
      <c r="BT230" s="3">
        <v>1</v>
      </c>
      <c r="BU230" s="3">
        <v>1</v>
      </c>
      <c r="BV230" s="3">
        <v>1</v>
      </c>
      <c r="BW230" s="3">
        <v>1</v>
      </c>
      <c r="BX230" s="3">
        <v>1</v>
      </c>
      <c r="BY230" s="3" t="s">
        <v>3</v>
      </c>
      <c r="BZ230" s="3">
        <v>90</v>
      </c>
      <c r="CA230" s="3">
        <v>46</v>
      </c>
      <c r="CB230" s="3" t="s">
        <v>3</v>
      </c>
      <c r="CE230" s="3">
        <v>1566</v>
      </c>
      <c r="CF230" s="3">
        <v>0</v>
      </c>
      <c r="CG230" s="3">
        <v>0</v>
      </c>
      <c r="CM230" s="3">
        <v>0</v>
      </c>
      <c r="CN230" s="3" t="s">
        <v>716</v>
      </c>
      <c r="CO230" s="3">
        <v>0</v>
      </c>
      <c r="CP230" s="3">
        <f t="shared" si="245"/>
        <v>705824.41999999993</v>
      </c>
      <c r="CQ230" s="3">
        <f t="shared" si="246"/>
        <v>30288.28</v>
      </c>
      <c r="CR230" s="3">
        <f>(ROUND((ROUND((((ET230*1.2))*AV230*1),2)*BB230),2)+ROUND((ROUND(((AE230-((EU230*1.2)))*AV230*1),2)*BS230),2))</f>
        <v>5802.2</v>
      </c>
      <c r="CS230" s="3">
        <f>(ROUND((ROUND((((EU230*1.2))*AV230*1),2)*BS230),2)+ROUND((ROUND(((AE230-((EU230*1.2)))*AV230*1),2)*BS230),2))</f>
        <v>9.58</v>
      </c>
      <c r="CT230" s="3">
        <f t="shared" si="247"/>
        <v>54632.45</v>
      </c>
      <c r="CU230" s="3">
        <f t="shared" si="248"/>
        <v>0</v>
      </c>
      <c r="CV230" s="3">
        <f t="shared" si="249"/>
        <v>76.823999999999998</v>
      </c>
      <c r="CW230" s="3">
        <f t="shared" si="250"/>
        <v>0</v>
      </c>
      <c r="CX230" s="3">
        <f t="shared" si="251"/>
        <v>0</v>
      </c>
      <c r="CY230" s="3">
        <f>(ROUND((((S230+ROUND((ROUND((((EU230*1.2))*AV230*1),2)*BS230),2))*AT230)/100),2)+ROUND(((ROUND((ROUND(((AE230-((EU230*1.2)))*AV230*1),2)*BS230),2)*AT230)/100),2))</f>
        <v>382544.77</v>
      </c>
      <c r="CZ230" s="3">
        <f>(ROUND((((S230+ROUND((ROUND((((EU230*1.2))*AV230*1),2)*BS230),2))*AU230)/100),2)+ROUND(((ROUND((ROUND(((AE230-((EU230*1.2)))*AV230*1),2)*BS230),2)*AU230)/100),2))</f>
        <v>195522.88</v>
      </c>
      <c r="DB230" s="3">
        <v>94</v>
      </c>
      <c r="DC230" s="3" t="s">
        <v>3</v>
      </c>
      <c r="DD230" s="3" t="s">
        <v>48</v>
      </c>
      <c r="DE230" s="3" t="s">
        <v>49</v>
      </c>
      <c r="DF230" s="3" t="s">
        <v>49</v>
      </c>
      <c r="DG230" s="3" t="s">
        <v>49</v>
      </c>
      <c r="DH230" s="3" t="s">
        <v>3</v>
      </c>
      <c r="DI230" s="3" t="s">
        <v>49</v>
      </c>
      <c r="DJ230" s="3" t="s">
        <v>49</v>
      </c>
      <c r="DK230" s="3" t="s">
        <v>3</v>
      </c>
      <c r="DL230" s="3" t="s">
        <v>3</v>
      </c>
      <c r="DM230" s="3" t="s">
        <v>3</v>
      </c>
      <c r="DN230" s="3">
        <v>0</v>
      </c>
      <c r="DO230" s="3">
        <v>0</v>
      </c>
      <c r="DP230" s="3">
        <v>1</v>
      </c>
      <c r="DQ230" s="3">
        <v>1</v>
      </c>
      <c r="DU230" s="3">
        <v>1010</v>
      </c>
      <c r="DV230" s="3" t="s">
        <v>254</v>
      </c>
      <c r="DW230" s="3" t="s">
        <v>254</v>
      </c>
      <c r="DX230" s="3">
        <v>100</v>
      </c>
      <c r="DZ230" s="3" t="s">
        <v>3</v>
      </c>
      <c r="EA230" s="3" t="s">
        <v>3</v>
      </c>
      <c r="EB230" s="3" t="s">
        <v>3</v>
      </c>
      <c r="EC230" s="3" t="s">
        <v>3</v>
      </c>
      <c r="EE230" s="3">
        <v>56938740</v>
      </c>
      <c r="EF230" s="3">
        <v>40</v>
      </c>
      <c r="EG230" s="3" t="s">
        <v>29</v>
      </c>
      <c r="EH230" s="3">
        <v>0</v>
      </c>
      <c r="EI230" s="3" t="s">
        <v>3</v>
      </c>
      <c r="EJ230" s="3">
        <v>2</v>
      </c>
      <c r="EK230" s="3">
        <v>73</v>
      </c>
      <c r="EL230" s="3" t="s">
        <v>85</v>
      </c>
      <c r="EM230" s="3" t="s">
        <v>86</v>
      </c>
      <c r="EO230" s="3" t="s">
        <v>50</v>
      </c>
      <c r="EQ230" s="3">
        <v>132096</v>
      </c>
      <c r="ER230" s="3">
        <v>4555.82</v>
      </c>
      <c r="ES230" s="3">
        <v>3462.2</v>
      </c>
      <c r="ET230" s="3">
        <v>336.42</v>
      </c>
      <c r="EU230" s="3">
        <v>0.13</v>
      </c>
      <c r="EV230" s="3">
        <v>757.2</v>
      </c>
      <c r="EW230" s="3">
        <v>60</v>
      </c>
      <c r="EX230" s="3">
        <v>0</v>
      </c>
      <c r="EY230" s="3">
        <v>0</v>
      </c>
      <c r="FQ230" s="3">
        <v>0</v>
      </c>
      <c r="FR230" s="3">
        <v>0</v>
      </c>
      <c r="FS230" s="3">
        <v>2</v>
      </c>
      <c r="FX230" s="3">
        <v>90</v>
      </c>
      <c r="FY230" s="3">
        <v>46</v>
      </c>
      <c r="GA230" s="3" t="s">
        <v>3</v>
      </c>
      <c r="GD230" s="3">
        <v>1</v>
      </c>
      <c r="GF230" s="3">
        <v>2142141271</v>
      </c>
      <c r="GG230" s="3">
        <v>2</v>
      </c>
      <c r="GH230" s="3">
        <v>1</v>
      </c>
      <c r="GI230" s="3">
        <v>2</v>
      </c>
      <c r="GJ230" s="3">
        <v>0</v>
      </c>
      <c r="GK230" s="3">
        <v>0</v>
      </c>
      <c r="GL230" s="3">
        <f t="shared" si="252"/>
        <v>0</v>
      </c>
      <c r="GM230" s="3">
        <f t="shared" si="253"/>
        <v>1283977.8999999999</v>
      </c>
      <c r="GN230" s="3">
        <f t="shared" si="254"/>
        <v>0</v>
      </c>
      <c r="GO230" s="3">
        <f t="shared" si="255"/>
        <v>1283977.8999999999</v>
      </c>
      <c r="GP230" s="3">
        <f t="shared" si="256"/>
        <v>0</v>
      </c>
      <c r="GR230" s="3">
        <v>0</v>
      </c>
      <c r="GS230" s="3">
        <v>3</v>
      </c>
      <c r="GT230" s="3">
        <v>0</v>
      </c>
      <c r="GU230" s="3" t="s">
        <v>3</v>
      </c>
      <c r="GV230" s="3">
        <f t="shared" si="257"/>
        <v>0</v>
      </c>
      <c r="GW230" s="3">
        <v>1</v>
      </c>
      <c r="GX230" s="3">
        <f t="shared" si="258"/>
        <v>0</v>
      </c>
      <c r="HA230" s="3">
        <v>0</v>
      </c>
      <c r="HB230" s="3">
        <v>0</v>
      </c>
      <c r="HC230" s="3">
        <f t="shared" si="259"/>
        <v>0</v>
      </c>
      <c r="HE230" s="3" t="s">
        <v>3</v>
      </c>
      <c r="HF230" s="3" t="s">
        <v>3</v>
      </c>
      <c r="HM230" s="3" t="s">
        <v>3</v>
      </c>
      <c r="HN230" s="3" t="s">
        <v>3</v>
      </c>
      <c r="HO230" s="3" t="s">
        <v>3</v>
      </c>
      <c r="HP230" s="3" t="s">
        <v>3</v>
      </c>
      <c r="HQ230" s="3" t="s">
        <v>3</v>
      </c>
      <c r="HS230" s="3">
        <v>0</v>
      </c>
      <c r="IK230" s="3">
        <v>0</v>
      </c>
    </row>
    <row r="231" spans="1:255" x14ac:dyDescent="0.2">
      <c r="A231" s="2">
        <v>18</v>
      </c>
      <c r="B231" s="2">
        <v>1</v>
      </c>
      <c r="C231" s="2">
        <v>556</v>
      </c>
      <c r="D231" s="2"/>
      <c r="E231" s="2" t="s">
        <v>3</v>
      </c>
      <c r="F231" s="2" t="s">
        <v>361</v>
      </c>
      <c r="G231" s="2" t="s">
        <v>362</v>
      </c>
      <c r="H231" s="2" t="s">
        <v>118</v>
      </c>
      <c r="I231" s="2">
        <f>I229*J231</f>
        <v>778</v>
      </c>
      <c r="J231" s="2">
        <v>100</v>
      </c>
      <c r="K231" s="2">
        <v>100</v>
      </c>
      <c r="L231" s="2"/>
      <c r="M231" s="2"/>
      <c r="N231" s="2"/>
      <c r="O231" s="2">
        <f t="shared" si="235"/>
        <v>24615.919999999998</v>
      </c>
      <c r="P231" s="2">
        <f t="shared" si="236"/>
        <v>24615.919999999998</v>
      </c>
      <c r="Q231" s="2">
        <f>(ROUND((ROUND(((ET231)*AV231*I231),2)*BB231),2)+ROUND((ROUND(((AE231-(EU231))*AV231*I231),2)*BS231),2))</f>
        <v>0</v>
      </c>
      <c r="R231" s="2">
        <f>(ROUND((ROUND(((EU231)*AV231*I231),2)*BS231),2)+ROUND((ROUND(((AE231-(EU231))*AV231*I231),2)*BS231),2))</f>
        <v>0</v>
      </c>
      <c r="S231" s="2">
        <f t="shared" si="237"/>
        <v>0</v>
      </c>
      <c r="T231" s="2">
        <f t="shared" si="238"/>
        <v>0</v>
      </c>
      <c r="U231" s="2">
        <f t="shared" si="239"/>
        <v>0</v>
      </c>
      <c r="V231" s="2">
        <f t="shared" si="240"/>
        <v>0</v>
      </c>
      <c r="W231" s="2">
        <f t="shared" si="241"/>
        <v>0</v>
      </c>
      <c r="X231" s="2">
        <f>(ROUND((((S231+ROUND((ROUND(((EU231)*AV231*I231),2)*BS231),2))*AT231)/100),2)+ROUND(((ROUND((ROUND(((AE231-(EU231))*AV231*I231),2)*BS231),2)*AT231)/100),2))</f>
        <v>0</v>
      </c>
      <c r="Y231" s="2">
        <f>(ROUND((((S231+ROUND((ROUND(((EU231)*AV231*I231),2)*BS231),2))*AU231)/100),2)+ROUND(((ROUND((ROUND(((AE231-(EU231))*AV231*I231),2)*BS231),2)*AU231)/100),2))</f>
        <v>0</v>
      </c>
      <c r="Z231" s="2"/>
      <c r="AA231" s="2">
        <v>-1</v>
      </c>
      <c r="AB231" s="2">
        <f t="shared" si="242"/>
        <v>31.64</v>
      </c>
      <c r="AC231" s="2">
        <f>ROUND((ES231),6)</f>
        <v>31.64</v>
      </c>
      <c r="AD231" s="2">
        <f>ROUND((((ET231)-(EU231))+AE231),6)</f>
        <v>0</v>
      </c>
      <c r="AE231" s="2">
        <f>ROUND((EU231),6)</f>
        <v>0</v>
      </c>
      <c r="AF231" s="2">
        <f>ROUND((EV231),6)</f>
        <v>0</v>
      </c>
      <c r="AG231" s="2">
        <f t="shared" si="243"/>
        <v>0</v>
      </c>
      <c r="AH231" s="2">
        <f>(EW231)</f>
        <v>0</v>
      </c>
      <c r="AI231" s="2">
        <f>(EX231)</f>
        <v>0</v>
      </c>
      <c r="AJ231" s="2">
        <f t="shared" si="244"/>
        <v>0</v>
      </c>
      <c r="AK231" s="2">
        <v>31.64</v>
      </c>
      <c r="AL231" s="2">
        <v>31.64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90</v>
      </c>
      <c r="AU231" s="2">
        <v>46</v>
      </c>
      <c r="AV231" s="2">
        <v>1</v>
      </c>
      <c r="AW231" s="2">
        <v>1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2</v>
      </c>
      <c r="BJ231" s="2" t="s">
        <v>363</v>
      </c>
      <c r="BK231" s="2"/>
      <c r="BL231" s="2"/>
      <c r="BM231" s="2">
        <v>73</v>
      </c>
      <c r="BN231" s="2">
        <v>0</v>
      </c>
      <c r="BO231" s="2" t="s">
        <v>3</v>
      </c>
      <c r="BP231" s="2">
        <v>0</v>
      </c>
      <c r="BQ231" s="2">
        <v>40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90</v>
      </c>
      <c r="CA231" s="2">
        <v>46</v>
      </c>
      <c r="CB231" s="2" t="s">
        <v>3</v>
      </c>
      <c r="CC231" s="2"/>
      <c r="CD231" s="2"/>
      <c r="CE231" s="2">
        <v>1566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718</v>
      </c>
      <c r="CO231" s="2">
        <v>0</v>
      </c>
      <c r="CP231" s="2">
        <f t="shared" si="245"/>
        <v>24615.919999999998</v>
      </c>
      <c r="CQ231" s="2">
        <f t="shared" si="246"/>
        <v>31.64</v>
      </c>
      <c r="CR231" s="2">
        <f>(ROUND((ROUND(((ET231)*AV231*1),2)*BB231),2)+ROUND((ROUND(((AE231-(EU231))*AV231*1),2)*BS231),2))</f>
        <v>0</v>
      </c>
      <c r="CS231" s="2">
        <f>(ROUND((ROUND(((EU231)*AV231*1),2)*BS231),2)+ROUND((ROUND(((AE231-(EU231))*AV231*1),2)*BS231),2))</f>
        <v>0</v>
      </c>
      <c r="CT231" s="2">
        <f t="shared" si="247"/>
        <v>0</v>
      </c>
      <c r="CU231" s="2">
        <f t="shared" si="248"/>
        <v>0</v>
      </c>
      <c r="CV231" s="2">
        <f t="shared" si="249"/>
        <v>0</v>
      </c>
      <c r="CW231" s="2">
        <f t="shared" si="250"/>
        <v>0</v>
      </c>
      <c r="CX231" s="2">
        <f t="shared" si="251"/>
        <v>0</v>
      </c>
      <c r="CY231" s="2">
        <f>(ROUND((((S231+ROUND((ROUND(((EU231)*AV231*1),2)*BS231),2))*AT231)/100),2)+ROUND(((ROUND((ROUND(((AE231-(EU231))*AV231*1),2)*BS231),2)*AT231)/100),2))</f>
        <v>0</v>
      </c>
      <c r="CZ231" s="2">
        <f>(ROUND((((S231+ROUND((ROUND(((EU231)*AV231*1),2)*BS231),2))*AU231)/100),2)+ROUND(((ROUND((ROUND(((AE231-(EU231))*AV231*1),2)*BS231),2)*AU231)/100),2))</f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1010</v>
      </c>
      <c r="DV231" s="2" t="s">
        <v>118</v>
      </c>
      <c r="DW231" s="2" t="s">
        <v>118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56938740</v>
      </c>
      <c r="EF231" s="2">
        <v>40</v>
      </c>
      <c r="EG231" s="2" t="s">
        <v>29</v>
      </c>
      <c r="EH231" s="2">
        <v>0</v>
      </c>
      <c r="EI231" s="2" t="s">
        <v>3</v>
      </c>
      <c r="EJ231" s="2">
        <v>2</v>
      </c>
      <c r="EK231" s="2">
        <v>73</v>
      </c>
      <c r="EL231" s="2" t="s">
        <v>85</v>
      </c>
      <c r="EM231" s="2" t="s">
        <v>86</v>
      </c>
      <c r="EN231" s="2"/>
      <c r="EO231" s="2" t="s">
        <v>50</v>
      </c>
      <c r="EP231" s="2"/>
      <c r="EQ231" s="2">
        <v>1024</v>
      </c>
      <c r="ER231" s="2">
        <v>31.64</v>
      </c>
      <c r="ES231" s="2">
        <v>31.64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v>0</v>
      </c>
      <c r="FS231" s="2">
        <v>0</v>
      </c>
      <c r="FT231" s="2"/>
      <c r="FU231" s="2"/>
      <c r="FV231" s="2"/>
      <c r="FW231" s="2"/>
      <c r="FX231" s="2">
        <v>90</v>
      </c>
      <c r="FY231" s="2">
        <v>46</v>
      </c>
      <c r="FZ231" s="2"/>
      <c r="GA231" s="2" t="s">
        <v>3</v>
      </c>
      <c r="GB231" s="2"/>
      <c r="GC231" s="2"/>
      <c r="GD231" s="2">
        <v>1</v>
      </c>
      <c r="GE231" s="2"/>
      <c r="GF231" s="2">
        <v>-1614271934</v>
      </c>
      <c r="GG231" s="2">
        <v>2</v>
      </c>
      <c r="GH231" s="2">
        <v>1</v>
      </c>
      <c r="GI231" s="2">
        <v>-2</v>
      </c>
      <c r="GJ231" s="2">
        <v>0</v>
      </c>
      <c r="GK231" s="2">
        <v>0</v>
      </c>
      <c r="GL231" s="2">
        <f t="shared" si="252"/>
        <v>0</v>
      </c>
      <c r="GM231" s="2">
        <f t="shared" si="253"/>
        <v>24615.919999999998</v>
      </c>
      <c r="GN231" s="2">
        <f t="shared" si="254"/>
        <v>0</v>
      </c>
      <c r="GO231" s="2">
        <f t="shared" si="255"/>
        <v>24615.919999999998</v>
      </c>
      <c r="GP231" s="2">
        <f t="shared" si="256"/>
        <v>0</v>
      </c>
      <c r="GQ231" s="2"/>
      <c r="GR231" s="2">
        <v>0</v>
      </c>
      <c r="GS231" s="2">
        <v>3</v>
      </c>
      <c r="GT231" s="2">
        <v>0</v>
      </c>
      <c r="GU231" s="2" t="s">
        <v>3</v>
      </c>
      <c r="GV231" s="2">
        <f t="shared" si="257"/>
        <v>0</v>
      </c>
      <c r="GW231" s="2">
        <v>1</v>
      </c>
      <c r="GX231" s="2">
        <f t="shared" si="258"/>
        <v>0</v>
      </c>
      <c r="GY231" s="2"/>
      <c r="GZ231" s="2"/>
      <c r="HA231" s="2">
        <v>0</v>
      </c>
      <c r="HB231" s="2">
        <v>0</v>
      </c>
      <c r="HC231" s="2">
        <f t="shared" si="259"/>
        <v>0</v>
      </c>
      <c r="HD231" s="2"/>
      <c r="HE231" s="2" t="s">
        <v>3</v>
      </c>
      <c r="HF231" s="2" t="s">
        <v>3</v>
      </c>
      <c r="HG231" s="2"/>
      <c r="HH231" s="2"/>
      <c r="HI231" s="2"/>
      <c r="HJ231" s="2"/>
      <c r="HK231" s="2"/>
      <c r="HL231" s="2"/>
      <c r="HM231" s="2" t="s">
        <v>48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">
      <c r="A232" s="3">
        <v>18</v>
      </c>
      <c r="B232" s="3">
        <v>1</v>
      </c>
      <c r="C232" s="3">
        <v>564</v>
      </c>
      <c r="E232" s="3" t="s">
        <v>3</v>
      </c>
      <c r="F232" s="3" t="s">
        <v>361</v>
      </c>
      <c r="G232" s="3" t="s">
        <v>362</v>
      </c>
      <c r="H232" s="3" t="s">
        <v>118</v>
      </c>
      <c r="I232" s="3">
        <f>I230*J232</f>
        <v>778</v>
      </c>
      <c r="J232" s="3">
        <v>100</v>
      </c>
      <c r="K232" s="3">
        <v>100</v>
      </c>
      <c r="O232" s="3">
        <f t="shared" si="235"/>
        <v>158772.68</v>
      </c>
      <c r="P232" s="3">
        <f t="shared" si="236"/>
        <v>158772.68</v>
      </c>
      <c r="Q232" s="3">
        <f>(ROUND((ROUND(((ET232)*AV232*I232),2)*BB232),2)+ROUND((ROUND(((AE232-(EU232))*AV232*I232),2)*BS232),2))</f>
        <v>0</v>
      </c>
      <c r="R232" s="3">
        <f>(ROUND((ROUND(((EU232)*AV232*I232),2)*BS232),2)+ROUND((ROUND(((AE232-(EU232))*AV232*I232),2)*BS232),2))</f>
        <v>0</v>
      </c>
      <c r="S232" s="3">
        <f t="shared" si="237"/>
        <v>0</v>
      </c>
      <c r="T232" s="3">
        <f t="shared" si="238"/>
        <v>0</v>
      </c>
      <c r="U232" s="3">
        <f t="shared" si="239"/>
        <v>0</v>
      </c>
      <c r="V232" s="3">
        <f t="shared" si="240"/>
        <v>0</v>
      </c>
      <c r="W232" s="3">
        <f t="shared" si="241"/>
        <v>0</v>
      </c>
      <c r="X232" s="3">
        <f>(ROUND((((S232+ROUND((ROUND(((EU232)*AV232*I232),2)*BS232),2))*AT232)/100),2)+ROUND(((ROUND((ROUND(((AE232-(EU232))*AV232*I232),2)*BS232),2)*AT232)/100),2))</f>
        <v>0</v>
      </c>
      <c r="Y232" s="3">
        <f>(ROUND((((S232+ROUND((ROUND(((EU232)*AV232*I232),2)*BS232),2))*AU232)/100),2)+ROUND(((ROUND((ROUND(((AE232-(EU232))*AV232*I232),2)*BS232),2)*AU232)/100),2))</f>
        <v>0</v>
      </c>
      <c r="AA232" s="3">
        <v>-1</v>
      </c>
      <c r="AB232" s="3">
        <f t="shared" si="242"/>
        <v>31.64</v>
      </c>
      <c r="AC232" s="3">
        <f>ROUND((ES232),6)</f>
        <v>31.64</v>
      </c>
      <c r="AD232" s="3">
        <f>ROUND((((ET232)-(EU232))+AE232),6)</f>
        <v>0</v>
      </c>
      <c r="AE232" s="3">
        <f>ROUND((EU232),6)</f>
        <v>0</v>
      </c>
      <c r="AF232" s="3">
        <f>ROUND((EV232),6)</f>
        <v>0</v>
      </c>
      <c r="AG232" s="3">
        <f t="shared" si="243"/>
        <v>0</v>
      </c>
      <c r="AH232" s="3">
        <f>(EW232)</f>
        <v>0</v>
      </c>
      <c r="AI232" s="3">
        <f>(EX232)</f>
        <v>0</v>
      </c>
      <c r="AJ232" s="3">
        <f t="shared" si="244"/>
        <v>0</v>
      </c>
      <c r="AK232" s="3">
        <v>31.64</v>
      </c>
      <c r="AL232" s="3">
        <v>31.64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90</v>
      </c>
      <c r="AU232" s="3">
        <v>46</v>
      </c>
      <c r="AV232" s="3">
        <v>1</v>
      </c>
      <c r="AW232" s="3">
        <v>1</v>
      </c>
      <c r="AZ232" s="3">
        <v>1</v>
      </c>
      <c r="BA232" s="3">
        <v>1</v>
      </c>
      <c r="BB232" s="3">
        <v>1</v>
      </c>
      <c r="BC232" s="3">
        <v>6.45</v>
      </c>
      <c r="BD232" s="3" t="s">
        <v>3</v>
      </c>
      <c r="BE232" s="3" t="s">
        <v>3</v>
      </c>
      <c r="BF232" s="3" t="s">
        <v>3</v>
      </c>
      <c r="BG232" s="3" t="s">
        <v>3</v>
      </c>
      <c r="BH232" s="3">
        <v>3</v>
      </c>
      <c r="BI232" s="3">
        <v>2</v>
      </c>
      <c r="BJ232" s="3" t="s">
        <v>363</v>
      </c>
      <c r="BM232" s="3">
        <v>73</v>
      </c>
      <c r="BN232" s="3">
        <v>0</v>
      </c>
      <c r="BO232" s="3" t="s">
        <v>361</v>
      </c>
      <c r="BP232" s="3">
        <v>1</v>
      </c>
      <c r="BQ232" s="3">
        <v>40</v>
      </c>
      <c r="BR232" s="3">
        <v>0</v>
      </c>
      <c r="BS232" s="3">
        <v>1</v>
      </c>
      <c r="BT232" s="3">
        <v>1</v>
      </c>
      <c r="BU232" s="3">
        <v>1</v>
      </c>
      <c r="BV232" s="3">
        <v>1</v>
      </c>
      <c r="BW232" s="3">
        <v>1</v>
      </c>
      <c r="BX232" s="3">
        <v>1</v>
      </c>
      <c r="BY232" s="3" t="s">
        <v>3</v>
      </c>
      <c r="BZ232" s="3">
        <v>90</v>
      </c>
      <c r="CA232" s="3">
        <v>46</v>
      </c>
      <c r="CB232" s="3" t="s">
        <v>3</v>
      </c>
      <c r="CE232" s="3">
        <v>1566</v>
      </c>
      <c r="CF232" s="3">
        <v>0</v>
      </c>
      <c r="CG232" s="3">
        <v>0</v>
      </c>
      <c r="CM232" s="3">
        <v>0</v>
      </c>
      <c r="CN232" s="3" t="s">
        <v>718</v>
      </c>
      <c r="CO232" s="3">
        <v>0</v>
      </c>
      <c r="CP232" s="3">
        <f t="shared" si="245"/>
        <v>158772.68</v>
      </c>
      <c r="CQ232" s="3">
        <f t="shared" si="246"/>
        <v>204.08</v>
      </c>
      <c r="CR232" s="3">
        <f>(ROUND((ROUND(((ET232)*AV232*1),2)*BB232),2)+ROUND((ROUND(((AE232-(EU232))*AV232*1),2)*BS232),2))</f>
        <v>0</v>
      </c>
      <c r="CS232" s="3">
        <f>(ROUND((ROUND(((EU232)*AV232*1),2)*BS232),2)+ROUND((ROUND(((AE232-(EU232))*AV232*1),2)*BS232),2))</f>
        <v>0</v>
      </c>
      <c r="CT232" s="3">
        <f t="shared" si="247"/>
        <v>0</v>
      </c>
      <c r="CU232" s="3">
        <f t="shared" si="248"/>
        <v>0</v>
      </c>
      <c r="CV232" s="3">
        <f t="shared" si="249"/>
        <v>0</v>
      </c>
      <c r="CW232" s="3">
        <f t="shared" si="250"/>
        <v>0</v>
      </c>
      <c r="CX232" s="3">
        <f t="shared" si="251"/>
        <v>0</v>
      </c>
      <c r="CY232" s="3">
        <f>(ROUND((((S232+ROUND((ROUND(((EU232)*AV232*1),2)*BS232),2))*AT232)/100),2)+ROUND(((ROUND((ROUND(((AE232-(EU232))*AV232*1),2)*BS232),2)*AT232)/100),2))</f>
        <v>0</v>
      </c>
      <c r="CZ232" s="3">
        <f>(ROUND((((S232+ROUND((ROUND(((EU232)*AV232*1),2)*BS232),2))*AU232)/100),2)+ROUND(((ROUND((ROUND(((AE232-(EU232))*AV232*1),2)*BS232),2)*AU232)/100),2))</f>
        <v>0</v>
      </c>
      <c r="DC232" s="3" t="s">
        <v>3</v>
      </c>
      <c r="DD232" s="3" t="s">
        <v>3</v>
      </c>
      <c r="DE232" s="3" t="s">
        <v>3</v>
      </c>
      <c r="DF232" s="3" t="s">
        <v>3</v>
      </c>
      <c r="DG232" s="3" t="s">
        <v>3</v>
      </c>
      <c r="DH232" s="3" t="s">
        <v>3</v>
      </c>
      <c r="DI232" s="3" t="s">
        <v>3</v>
      </c>
      <c r="DJ232" s="3" t="s">
        <v>3</v>
      </c>
      <c r="DK232" s="3" t="s">
        <v>3</v>
      </c>
      <c r="DL232" s="3" t="s">
        <v>3</v>
      </c>
      <c r="DM232" s="3" t="s">
        <v>3</v>
      </c>
      <c r="DN232" s="3">
        <v>0</v>
      </c>
      <c r="DO232" s="3">
        <v>0</v>
      </c>
      <c r="DP232" s="3">
        <v>1</v>
      </c>
      <c r="DQ232" s="3">
        <v>1</v>
      </c>
      <c r="DU232" s="3">
        <v>1010</v>
      </c>
      <c r="DV232" s="3" t="s">
        <v>118</v>
      </c>
      <c r="DW232" s="3" t="s">
        <v>118</v>
      </c>
      <c r="DX232" s="3">
        <v>1</v>
      </c>
      <c r="DZ232" s="3" t="s">
        <v>3</v>
      </c>
      <c r="EA232" s="3" t="s">
        <v>3</v>
      </c>
      <c r="EB232" s="3" t="s">
        <v>3</v>
      </c>
      <c r="EC232" s="3" t="s">
        <v>3</v>
      </c>
      <c r="EE232" s="3">
        <v>56938740</v>
      </c>
      <c r="EF232" s="3">
        <v>40</v>
      </c>
      <c r="EG232" s="3" t="s">
        <v>29</v>
      </c>
      <c r="EH232" s="3">
        <v>0</v>
      </c>
      <c r="EI232" s="3" t="s">
        <v>3</v>
      </c>
      <c r="EJ232" s="3">
        <v>2</v>
      </c>
      <c r="EK232" s="3">
        <v>73</v>
      </c>
      <c r="EL232" s="3" t="s">
        <v>85</v>
      </c>
      <c r="EM232" s="3" t="s">
        <v>86</v>
      </c>
      <c r="EO232" s="3" t="s">
        <v>50</v>
      </c>
      <c r="EQ232" s="3">
        <v>1024</v>
      </c>
      <c r="ER232" s="3">
        <v>31.64</v>
      </c>
      <c r="ES232" s="3">
        <v>31.64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FQ232" s="3">
        <v>0</v>
      </c>
      <c r="FR232" s="3">
        <v>0</v>
      </c>
      <c r="FS232" s="3">
        <v>0</v>
      </c>
      <c r="FX232" s="3">
        <v>90</v>
      </c>
      <c r="FY232" s="3">
        <v>46</v>
      </c>
      <c r="GA232" s="3" t="s">
        <v>3</v>
      </c>
      <c r="GD232" s="3">
        <v>1</v>
      </c>
      <c r="GF232" s="3">
        <v>-1614271934</v>
      </c>
      <c r="GG232" s="3">
        <v>2</v>
      </c>
      <c r="GH232" s="3">
        <v>1</v>
      </c>
      <c r="GI232" s="3">
        <v>2</v>
      </c>
      <c r="GJ232" s="3">
        <v>0</v>
      </c>
      <c r="GK232" s="3">
        <v>0</v>
      </c>
      <c r="GL232" s="3">
        <f t="shared" si="252"/>
        <v>0</v>
      </c>
      <c r="GM232" s="3">
        <f t="shared" si="253"/>
        <v>158772.68</v>
      </c>
      <c r="GN232" s="3">
        <f t="shared" si="254"/>
        <v>0</v>
      </c>
      <c r="GO232" s="3">
        <f t="shared" si="255"/>
        <v>158772.68</v>
      </c>
      <c r="GP232" s="3">
        <f t="shared" si="256"/>
        <v>0</v>
      </c>
      <c r="GR232" s="3">
        <v>0</v>
      </c>
      <c r="GS232" s="3">
        <v>3</v>
      </c>
      <c r="GT232" s="3">
        <v>0</v>
      </c>
      <c r="GU232" s="3" t="s">
        <v>3</v>
      </c>
      <c r="GV232" s="3">
        <f t="shared" si="257"/>
        <v>0</v>
      </c>
      <c r="GW232" s="3">
        <v>1</v>
      </c>
      <c r="GX232" s="3">
        <f t="shared" si="258"/>
        <v>0</v>
      </c>
      <c r="HA232" s="3">
        <v>0</v>
      </c>
      <c r="HB232" s="3">
        <v>0</v>
      </c>
      <c r="HC232" s="3">
        <f t="shared" si="259"/>
        <v>0</v>
      </c>
      <c r="HE232" s="3" t="s">
        <v>3</v>
      </c>
      <c r="HF232" s="3" t="s">
        <v>3</v>
      </c>
      <c r="HM232" s="3" t="s">
        <v>48</v>
      </c>
      <c r="HN232" s="3" t="s">
        <v>3</v>
      </c>
      <c r="HO232" s="3" t="s">
        <v>3</v>
      </c>
      <c r="HP232" s="3" t="s">
        <v>3</v>
      </c>
      <c r="HQ232" s="3" t="s">
        <v>3</v>
      </c>
      <c r="HS232" s="3">
        <v>0</v>
      </c>
      <c r="IK232" s="3">
        <v>0</v>
      </c>
    </row>
    <row r="233" spans="1:255" x14ac:dyDescent="0.2">
      <c r="A233" s="2">
        <v>17</v>
      </c>
      <c r="B233" s="2">
        <v>1</v>
      </c>
      <c r="C233" s="2">
        <f>ROW(SmtRes!A575)</f>
        <v>575</v>
      </c>
      <c r="D233" s="2">
        <f>ROW(EtalonRes!A615)</f>
        <v>615</v>
      </c>
      <c r="E233" s="2" t="s">
        <v>405</v>
      </c>
      <c r="F233" s="2" t="s">
        <v>195</v>
      </c>
      <c r="G233" s="2" t="s">
        <v>196</v>
      </c>
      <c r="H233" s="2" t="s">
        <v>186</v>
      </c>
      <c r="I233" s="2">
        <f>ROUND((590)/100,9)</f>
        <v>5.9</v>
      </c>
      <c r="J233" s="2">
        <v>0</v>
      </c>
      <c r="K233" s="2">
        <f>ROUND((590)/100,9)</f>
        <v>5.9</v>
      </c>
      <c r="L233" s="2"/>
      <c r="M233" s="2"/>
      <c r="N233" s="2"/>
      <c r="O233" s="2">
        <f t="shared" ref="O233:O264" si="264">ROUND(CP233,2)</f>
        <v>22122.32</v>
      </c>
      <c r="P233" s="2">
        <f t="shared" ref="P233:P264" si="265">ROUND((ROUND((AC233*AW233*I233),2)*BC233),2)</f>
        <v>764.4</v>
      </c>
      <c r="Q233" s="2">
        <f>(ROUND((ROUND((((ET233*1.2))*AV233*I233),2)*BB233),2)+ROUND((ROUND(((AE233-((EU233*1.2)))*AV233*I233),2)*BS233),2))</f>
        <v>6199.49</v>
      </c>
      <c r="R233" s="2">
        <f>(ROUND((ROUND((((EU233*1.2))*AV233*I233),2)*BS233),2)+ROUND((ROUND(((AE233-((EU233*1.2)))*AV233*I233),2)*BS233),2))</f>
        <v>1054.44</v>
      </c>
      <c r="S233" s="2">
        <f t="shared" ref="S233:S264" si="266">ROUND((ROUND((AF233*AV233*I233),2)*BA233),2)</f>
        <v>15158.43</v>
      </c>
      <c r="T233" s="2">
        <f t="shared" ref="T233:T264" si="267">ROUND(CU233*I233,2)</f>
        <v>0</v>
      </c>
      <c r="U233" s="2">
        <f t="shared" ref="U233:U264" si="268">CV233*I233</f>
        <v>1201.1432399999999</v>
      </c>
      <c r="V233" s="2">
        <f t="shared" ref="V233:V264" si="269">CW233*I233</f>
        <v>0</v>
      </c>
      <c r="W233" s="2">
        <f t="shared" ref="W233:W264" si="270">ROUND(CX233*I233,2)</f>
        <v>0</v>
      </c>
      <c r="X233" s="2">
        <f>(ROUND((((S233+ROUND((ROUND((((EU233*1.2))*AV233*I233),2)*BS233),2))*AT233)/100),2)+ROUND(((ROUND((ROUND(((AE233-((EU233*1.2)))*AV233*I233),2)*BS233),2)*AT233)/100),2))</f>
        <v>14591.58</v>
      </c>
      <c r="Y233" s="2">
        <f>(ROUND((((S233+ROUND((ROUND((((EU233*1.2))*AV233*I233),2)*BS233),2))*AU233)/100),2)+ROUND(((ROUND((ROUND(((AE233-((EU233*1.2)))*AV233*I233),2)*BS233),2)*AU233)/100),2))</f>
        <v>7457.92</v>
      </c>
      <c r="Z233" s="2"/>
      <c r="AA233" s="2">
        <v>55747649</v>
      </c>
      <c r="AB233" s="2">
        <f t="shared" ref="AB233:AB264" si="271">ROUND((AC233+AD233+AF233),6)</f>
        <v>3518.7060000000001</v>
      </c>
      <c r="AC233" s="2">
        <f>ROUND(((ES233*1)),6)</f>
        <v>126.03</v>
      </c>
      <c r="AD233" s="2">
        <f>ROUND(((((ET233*1.2))-((EU233*1.2)))+AE233),6)</f>
        <v>984.78</v>
      </c>
      <c r="AE233" s="2">
        <f>ROUND(((EU233*1.2)),6)</f>
        <v>167.49600000000001</v>
      </c>
      <c r="AF233" s="2">
        <f>ROUND(((EV233*1.2)),6)</f>
        <v>2407.8960000000002</v>
      </c>
      <c r="AG233" s="2">
        <f t="shared" ref="AG233:AG264" si="272">ROUND((AP233),6)</f>
        <v>0</v>
      </c>
      <c r="AH233" s="2">
        <f>((EW233*1.2))</f>
        <v>190.79999999999998</v>
      </c>
      <c r="AI233" s="2">
        <f>((EX233*1.2))</f>
        <v>0</v>
      </c>
      <c r="AJ233" s="2">
        <f t="shared" ref="AJ233:AJ264" si="273">(AS233)</f>
        <v>0</v>
      </c>
      <c r="AK233" s="2">
        <v>2953.26</v>
      </c>
      <c r="AL233" s="2">
        <v>126.03</v>
      </c>
      <c r="AM233" s="2">
        <v>820.65</v>
      </c>
      <c r="AN233" s="2">
        <v>139.58000000000001</v>
      </c>
      <c r="AO233" s="2">
        <v>2006.58</v>
      </c>
      <c r="AP233" s="2">
        <v>0</v>
      </c>
      <c r="AQ233" s="2">
        <v>159</v>
      </c>
      <c r="AR233" s="2">
        <v>0</v>
      </c>
      <c r="AS233" s="2">
        <v>0</v>
      </c>
      <c r="AT233" s="2">
        <v>90</v>
      </c>
      <c r="AU233" s="2">
        <v>46</v>
      </c>
      <c r="AV233" s="2">
        <v>1.0669999999999999</v>
      </c>
      <c r="AW233" s="2">
        <v>1.028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0</v>
      </c>
      <c r="BI233" s="2">
        <v>2</v>
      </c>
      <c r="BJ233" s="2" t="s">
        <v>197</v>
      </c>
      <c r="BK233" s="2"/>
      <c r="BL233" s="2"/>
      <c r="BM233" s="2">
        <v>73</v>
      </c>
      <c r="BN233" s="2">
        <v>0</v>
      </c>
      <c r="BO233" s="2" t="s">
        <v>195</v>
      </c>
      <c r="BP233" s="2">
        <v>1</v>
      </c>
      <c r="BQ233" s="2">
        <v>40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90</v>
      </c>
      <c r="CA233" s="2">
        <v>46</v>
      </c>
      <c r="CB233" s="2" t="s">
        <v>3</v>
      </c>
      <c r="CC233" s="2"/>
      <c r="CD233" s="2"/>
      <c r="CE233" s="2">
        <v>1566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716</v>
      </c>
      <c r="CO233" s="2">
        <v>0</v>
      </c>
      <c r="CP233" s="2">
        <f t="shared" ref="CP233:CP264" si="274">(P233+Q233+S233)</f>
        <v>22122.32</v>
      </c>
      <c r="CQ233" s="2">
        <f t="shared" ref="CQ233:CQ264" si="275">ROUND((ROUND((AC233*AW233*1),2)*BC233),2)</f>
        <v>129.56</v>
      </c>
      <c r="CR233" s="2">
        <f>(ROUND((ROUND((((ET233*1.2))*AV233*1),2)*BB233),2)+ROUND((ROUND(((AE233-((EU233*1.2)))*AV233*1),2)*BS233),2))</f>
        <v>1050.76</v>
      </c>
      <c r="CS233" s="2">
        <f>(ROUND((ROUND((((EU233*1.2))*AV233*1),2)*BS233),2)+ROUND((ROUND(((AE233-((EU233*1.2)))*AV233*1),2)*BS233),2))</f>
        <v>178.72</v>
      </c>
      <c r="CT233" s="2">
        <f t="shared" ref="CT233:CT264" si="276">ROUND((ROUND((AF233*AV233*1),2)*BA233),2)</f>
        <v>2569.23</v>
      </c>
      <c r="CU233" s="2">
        <f t="shared" ref="CU233:CU264" si="277">AG233</f>
        <v>0</v>
      </c>
      <c r="CV233" s="2">
        <f t="shared" ref="CV233:CV264" si="278">(AH233*AV233)</f>
        <v>203.58359999999996</v>
      </c>
      <c r="CW233" s="2">
        <f t="shared" ref="CW233:CW264" si="279">AI233</f>
        <v>0</v>
      </c>
      <c r="CX233" s="2">
        <f t="shared" ref="CX233:CX264" si="280">AJ233</f>
        <v>0</v>
      </c>
      <c r="CY233" s="2">
        <f>(ROUND((((S233+ROUND((ROUND((((EU233*1.2))*AV233*1),2)*BS233),2))*AT233)/100),2)+ROUND(((ROUND((ROUND(((AE233-((EU233*1.2)))*AV233*1),2)*BS233),2)*AT233)/100),2))</f>
        <v>13803.44</v>
      </c>
      <c r="CZ233" s="2">
        <f>(ROUND((((S233+ROUND((ROUND((((EU233*1.2))*AV233*1),2)*BS233),2))*AU233)/100),2)+ROUND(((ROUND((ROUND(((AE233-((EU233*1.2)))*AV233*1),2)*BS233),2)*AU233)/100),2))</f>
        <v>7055.09</v>
      </c>
      <c r="DA233" s="2"/>
      <c r="DB233" s="2">
        <v>95</v>
      </c>
      <c r="DC233" s="2" t="s">
        <v>3</v>
      </c>
      <c r="DD233" s="2" t="s">
        <v>48</v>
      </c>
      <c r="DE233" s="2" t="s">
        <v>49</v>
      </c>
      <c r="DF233" s="2" t="s">
        <v>49</v>
      </c>
      <c r="DG233" s="2" t="s">
        <v>49</v>
      </c>
      <c r="DH233" s="2" t="s">
        <v>3</v>
      </c>
      <c r="DI233" s="2" t="s">
        <v>49</v>
      </c>
      <c r="DJ233" s="2" t="s">
        <v>49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1003</v>
      </c>
      <c r="DV233" s="2" t="s">
        <v>186</v>
      </c>
      <c r="DW233" s="2" t="s">
        <v>186</v>
      </c>
      <c r="DX233" s="2">
        <v>100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56938740</v>
      </c>
      <c r="EF233" s="2">
        <v>40</v>
      </c>
      <c r="EG233" s="2" t="s">
        <v>29</v>
      </c>
      <c r="EH233" s="2">
        <v>0</v>
      </c>
      <c r="EI233" s="2" t="s">
        <v>3</v>
      </c>
      <c r="EJ233" s="2">
        <v>2</v>
      </c>
      <c r="EK233" s="2">
        <v>73</v>
      </c>
      <c r="EL233" s="2" t="s">
        <v>85</v>
      </c>
      <c r="EM233" s="2" t="s">
        <v>86</v>
      </c>
      <c r="EN233" s="2"/>
      <c r="EO233" s="2" t="s">
        <v>50</v>
      </c>
      <c r="EP233" s="2"/>
      <c r="EQ233" s="2">
        <v>131072</v>
      </c>
      <c r="ER233" s="2">
        <v>2953.26</v>
      </c>
      <c r="ES233" s="2">
        <v>126.03</v>
      </c>
      <c r="ET233" s="2">
        <v>820.65</v>
      </c>
      <c r="EU233" s="2">
        <v>139.58000000000001</v>
      </c>
      <c r="EV233" s="2">
        <v>2006.58</v>
      </c>
      <c r="EW233" s="2">
        <v>159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v>0</v>
      </c>
      <c r="FS233" s="2">
        <v>2</v>
      </c>
      <c r="FT233" s="2"/>
      <c r="FU233" s="2"/>
      <c r="FV233" s="2"/>
      <c r="FW233" s="2"/>
      <c r="FX233" s="2">
        <v>90</v>
      </c>
      <c r="FY233" s="2">
        <v>46</v>
      </c>
      <c r="FZ233" s="2"/>
      <c r="GA233" s="2" t="s">
        <v>3</v>
      </c>
      <c r="GB233" s="2"/>
      <c r="GC233" s="2"/>
      <c r="GD233" s="2">
        <v>1</v>
      </c>
      <c r="GE233" s="2"/>
      <c r="GF233" s="2">
        <v>84595590</v>
      </c>
      <c r="GG233" s="2">
        <v>2</v>
      </c>
      <c r="GH233" s="2">
        <v>1</v>
      </c>
      <c r="GI233" s="2">
        <v>2</v>
      </c>
      <c r="GJ233" s="2">
        <v>0</v>
      </c>
      <c r="GK233" s="2">
        <v>0</v>
      </c>
      <c r="GL233" s="2">
        <f t="shared" ref="GL233:GL264" si="281">ROUND(IF(AND(BH233=3,BI233=3,FS233&lt;&gt;0),P233,0),2)</f>
        <v>0</v>
      </c>
      <c r="GM233" s="2">
        <f t="shared" ref="GM233:GM264" si="282">ROUND(O233+X233+Y233,2)+GX233</f>
        <v>44171.82</v>
      </c>
      <c r="GN233" s="2">
        <f t="shared" ref="GN233:GN264" si="283">IF(OR(BI233=0,BI233=1),GM233-GX233,0)</f>
        <v>0</v>
      </c>
      <c r="GO233" s="2">
        <f t="shared" ref="GO233:GO264" si="284">IF(BI233=2,GM233-GX233,0)</f>
        <v>44171.82</v>
      </c>
      <c r="GP233" s="2">
        <f t="shared" ref="GP233:GP264" si="285">IF(BI233=4,GM233-GX233,0)</f>
        <v>0</v>
      </c>
      <c r="GQ233" s="2"/>
      <c r="GR233" s="2">
        <v>0</v>
      </c>
      <c r="GS233" s="2">
        <v>3</v>
      </c>
      <c r="GT233" s="2">
        <v>0</v>
      </c>
      <c r="GU233" s="2" t="s">
        <v>3</v>
      </c>
      <c r="GV233" s="2">
        <f t="shared" ref="GV233:GV264" si="286">ROUND((GT233),6)</f>
        <v>0</v>
      </c>
      <c r="GW233" s="2">
        <v>1</v>
      </c>
      <c r="GX233" s="2">
        <f t="shared" ref="GX233:GX264" si="287">ROUND(HC233*I233,2)</f>
        <v>0</v>
      </c>
      <c r="GY233" s="2"/>
      <c r="GZ233" s="2"/>
      <c r="HA233" s="2">
        <v>0</v>
      </c>
      <c r="HB233" s="2">
        <v>0</v>
      </c>
      <c r="HC233" s="2">
        <f t="shared" ref="HC233:HC264" si="288">GV233*GW233</f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">
      <c r="A234" s="3">
        <v>17</v>
      </c>
      <c r="B234" s="3">
        <v>1</v>
      </c>
      <c r="C234" s="3">
        <f>ROW(SmtRes!A584)</f>
        <v>584</v>
      </c>
      <c r="D234" s="3">
        <f>ROW(EtalonRes!A624)</f>
        <v>624</v>
      </c>
      <c r="E234" s="3" t="s">
        <v>405</v>
      </c>
      <c r="F234" s="3" t="s">
        <v>195</v>
      </c>
      <c r="G234" s="3" t="s">
        <v>196</v>
      </c>
      <c r="H234" s="3" t="s">
        <v>186</v>
      </c>
      <c r="I234" s="3">
        <f>ROUND((590)/100,9)</f>
        <v>5.9</v>
      </c>
      <c r="J234" s="3">
        <v>0</v>
      </c>
      <c r="K234" s="3">
        <f>ROUND((590)/100,9)</f>
        <v>5.9</v>
      </c>
      <c r="O234" s="3">
        <f t="shared" si="264"/>
        <v>982662.35</v>
      </c>
      <c r="P234" s="3">
        <f t="shared" si="265"/>
        <v>7842.74</v>
      </c>
      <c r="Q234" s="3">
        <f>(ROUND((ROUND((((ET234*1.2))*AV234*I234),2)*BB234),2)+ROUND((ROUND(((AE234-((EU234*1.2)))*AV234*I234),2)*BS234),2))</f>
        <v>120642.08</v>
      </c>
      <c r="R234" s="3">
        <f>(ROUND((ROUND((((EU234*1.2))*AV234*I234),2)*BS234),2)+ROUND((ROUND(((AE234-((EU234*1.2)))*AV234*I234),2)*BS234),2))</f>
        <v>59417.69</v>
      </c>
      <c r="S234" s="3">
        <f t="shared" si="266"/>
        <v>854177.53</v>
      </c>
      <c r="T234" s="3">
        <f t="shared" si="267"/>
        <v>0</v>
      </c>
      <c r="U234" s="3">
        <f t="shared" si="268"/>
        <v>1201.1432399999999</v>
      </c>
      <c r="V234" s="3">
        <f t="shared" si="269"/>
        <v>0</v>
      </c>
      <c r="W234" s="3">
        <f t="shared" si="270"/>
        <v>0</v>
      </c>
      <c r="X234" s="3">
        <f>(ROUND((((S234+ROUND((ROUND((((EU234*1.2))*AV234*I234),2)*BS234),2))*AT234)/100),2)+ROUND(((ROUND((ROUND(((AE234-((EU234*1.2)))*AV234*I234),2)*BS234),2)*AT234)/100),2))</f>
        <v>822235.7</v>
      </c>
      <c r="Y234" s="3">
        <f>(ROUND((((S234+ROUND((ROUND((((EU234*1.2))*AV234*I234),2)*BS234),2))*AU234)/100),2)+ROUND(((ROUND((ROUND(((AE234-((EU234*1.2)))*AV234*I234),2)*BS234),2)*AU234)/100),2))</f>
        <v>420253.8</v>
      </c>
      <c r="AA234" s="3">
        <v>55747651</v>
      </c>
      <c r="AB234" s="3">
        <f t="shared" si="271"/>
        <v>3518.7060000000001</v>
      </c>
      <c r="AC234" s="3">
        <f>ROUND(((ES234*1)),6)</f>
        <v>126.03</v>
      </c>
      <c r="AD234" s="3">
        <f>ROUND(((((ET234*1.2))-((EU234*1.2)))+AE234),6)</f>
        <v>984.78</v>
      </c>
      <c r="AE234" s="3">
        <f>ROUND(((EU234*1.2)),6)</f>
        <v>167.49600000000001</v>
      </c>
      <c r="AF234" s="3">
        <f>ROUND(((EV234*1.2)),6)</f>
        <v>2407.8960000000002</v>
      </c>
      <c r="AG234" s="3">
        <f t="shared" si="272"/>
        <v>0</v>
      </c>
      <c r="AH234" s="3">
        <f>((EW234*1.2))</f>
        <v>190.79999999999998</v>
      </c>
      <c r="AI234" s="3">
        <f>((EX234*1.2))</f>
        <v>0</v>
      </c>
      <c r="AJ234" s="3">
        <f t="shared" si="273"/>
        <v>0</v>
      </c>
      <c r="AK234" s="3">
        <v>2953.26</v>
      </c>
      <c r="AL234" s="3">
        <v>126.03</v>
      </c>
      <c r="AM234" s="3">
        <v>820.65</v>
      </c>
      <c r="AN234" s="3">
        <v>139.58000000000001</v>
      </c>
      <c r="AO234" s="3">
        <v>2006.58</v>
      </c>
      <c r="AP234" s="3">
        <v>0</v>
      </c>
      <c r="AQ234" s="3">
        <v>159</v>
      </c>
      <c r="AR234" s="3">
        <v>0</v>
      </c>
      <c r="AS234" s="3">
        <v>0</v>
      </c>
      <c r="AT234" s="3">
        <v>90</v>
      </c>
      <c r="AU234" s="3">
        <v>46</v>
      </c>
      <c r="AV234" s="3">
        <v>1.0669999999999999</v>
      </c>
      <c r="AW234" s="3">
        <v>1.028</v>
      </c>
      <c r="AZ234" s="3">
        <v>1</v>
      </c>
      <c r="BA234" s="3">
        <v>56.35</v>
      </c>
      <c r="BB234" s="3">
        <v>19.46</v>
      </c>
      <c r="BC234" s="3">
        <v>10.26</v>
      </c>
      <c r="BD234" s="3" t="s">
        <v>3</v>
      </c>
      <c r="BE234" s="3" t="s">
        <v>3</v>
      </c>
      <c r="BF234" s="3" t="s">
        <v>3</v>
      </c>
      <c r="BG234" s="3" t="s">
        <v>3</v>
      </c>
      <c r="BH234" s="3">
        <v>0</v>
      </c>
      <c r="BI234" s="3">
        <v>2</v>
      </c>
      <c r="BJ234" s="3" t="s">
        <v>197</v>
      </c>
      <c r="BM234" s="3">
        <v>73</v>
      </c>
      <c r="BN234" s="3">
        <v>0</v>
      </c>
      <c r="BO234" s="3" t="s">
        <v>195</v>
      </c>
      <c r="BP234" s="3">
        <v>1</v>
      </c>
      <c r="BQ234" s="3">
        <v>40</v>
      </c>
      <c r="BR234" s="3">
        <v>0</v>
      </c>
      <c r="BS234" s="3">
        <v>56.35</v>
      </c>
      <c r="BT234" s="3">
        <v>1</v>
      </c>
      <c r="BU234" s="3">
        <v>1</v>
      </c>
      <c r="BV234" s="3">
        <v>1</v>
      </c>
      <c r="BW234" s="3">
        <v>1</v>
      </c>
      <c r="BX234" s="3">
        <v>1</v>
      </c>
      <c r="BY234" s="3" t="s">
        <v>3</v>
      </c>
      <c r="BZ234" s="3">
        <v>90</v>
      </c>
      <c r="CA234" s="3">
        <v>46</v>
      </c>
      <c r="CB234" s="3" t="s">
        <v>3</v>
      </c>
      <c r="CE234" s="3">
        <v>1566</v>
      </c>
      <c r="CF234" s="3">
        <v>0</v>
      </c>
      <c r="CG234" s="3">
        <v>0</v>
      </c>
      <c r="CM234" s="3">
        <v>0</v>
      </c>
      <c r="CN234" s="3" t="s">
        <v>716</v>
      </c>
      <c r="CO234" s="3">
        <v>0</v>
      </c>
      <c r="CP234" s="3">
        <f t="shared" si="274"/>
        <v>982662.35000000009</v>
      </c>
      <c r="CQ234" s="3">
        <f t="shared" si="275"/>
        <v>1329.29</v>
      </c>
      <c r="CR234" s="3">
        <f>(ROUND((ROUND((((ET234*1.2))*AV234*1),2)*BB234),2)+ROUND((ROUND(((AE234-((EU234*1.2)))*AV234*1),2)*BS234),2))</f>
        <v>20447.79</v>
      </c>
      <c r="CS234" s="3">
        <f>(ROUND((ROUND((((EU234*1.2))*AV234*1),2)*BS234),2)+ROUND((ROUND(((AE234-((EU234*1.2)))*AV234*1),2)*BS234),2))</f>
        <v>10070.870000000001</v>
      </c>
      <c r="CT234" s="3">
        <f t="shared" si="276"/>
        <v>144776.10999999999</v>
      </c>
      <c r="CU234" s="3">
        <f t="shared" si="277"/>
        <v>0</v>
      </c>
      <c r="CV234" s="3">
        <f t="shared" si="278"/>
        <v>203.58359999999996</v>
      </c>
      <c r="CW234" s="3">
        <f t="shared" si="279"/>
        <v>0</v>
      </c>
      <c r="CX234" s="3">
        <f t="shared" si="280"/>
        <v>0</v>
      </c>
      <c r="CY234" s="3">
        <f>(ROUND((((S234+ROUND((ROUND((((EU234*1.2))*AV234*1),2)*BS234),2))*AT234)/100),2)+ROUND(((ROUND((ROUND(((AE234-((EU234*1.2)))*AV234*1),2)*BS234),2)*AT234)/100),2))</f>
        <v>777823.56</v>
      </c>
      <c r="CZ234" s="3">
        <f>(ROUND((((S234+ROUND((ROUND((((EU234*1.2))*AV234*1),2)*BS234),2))*AU234)/100),2)+ROUND(((ROUND((ROUND(((AE234-((EU234*1.2)))*AV234*1),2)*BS234),2)*AU234)/100),2))</f>
        <v>397554.26</v>
      </c>
      <c r="DB234" s="3">
        <v>96</v>
      </c>
      <c r="DC234" s="3" t="s">
        <v>3</v>
      </c>
      <c r="DD234" s="3" t="s">
        <v>48</v>
      </c>
      <c r="DE234" s="3" t="s">
        <v>49</v>
      </c>
      <c r="DF234" s="3" t="s">
        <v>49</v>
      </c>
      <c r="DG234" s="3" t="s">
        <v>49</v>
      </c>
      <c r="DH234" s="3" t="s">
        <v>3</v>
      </c>
      <c r="DI234" s="3" t="s">
        <v>49</v>
      </c>
      <c r="DJ234" s="3" t="s">
        <v>49</v>
      </c>
      <c r="DK234" s="3" t="s">
        <v>3</v>
      </c>
      <c r="DL234" s="3" t="s">
        <v>3</v>
      </c>
      <c r="DM234" s="3" t="s">
        <v>3</v>
      </c>
      <c r="DN234" s="3">
        <v>0</v>
      </c>
      <c r="DO234" s="3">
        <v>0</v>
      </c>
      <c r="DP234" s="3">
        <v>1</v>
      </c>
      <c r="DQ234" s="3">
        <v>1</v>
      </c>
      <c r="DU234" s="3">
        <v>1003</v>
      </c>
      <c r="DV234" s="3" t="s">
        <v>186</v>
      </c>
      <c r="DW234" s="3" t="s">
        <v>186</v>
      </c>
      <c r="DX234" s="3">
        <v>100</v>
      </c>
      <c r="DZ234" s="3" t="s">
        <v>3</v>
      </c>
      <c r="EA234" s="3" t="s">
        <v>3</v>
      </c>
      <c r="EB234" s="3" t="s">
        <v>3</v>
      </c>
      <c r="EC234" s="3" t="s">
        <v>3</v>
      </c>
      <c r="EE234" s="3">
        <v>56938740</v>
      </c>
      <c r="EF234" s="3">
        <v>40</v>
      </c>
      <c r="EG234" s="3" t="s">
        <v>29</v>
      </c>
      <c r="EH234" s="3">
        <v>0</v>
      </c>
      <c r="EI234" s="3" t="s">
        <v>3</v>
      </c>
      <c r="EJ234" s="3">
        <v>2</v>
      </c>
      <c r="EK234" s="3">
        <v>73</v>
      </c>
      <c r="EL234" s="3" t="s">
        <v>85</v>
      </c>
      <c r="EM234" s="3" t="s">
        <v>86</v>
      </c>
      <c r="EO234" s="3" t="s">
        <v>50</v>
      </c>
      <c r="EQ234" s="3">
        <v>131072</v>
      </c>
      <c r="ER234" s="3">
        <v>2953.26</v>
      </c>
      <c r="ES234" s="3">
        <v>126.03</v>
      </c>
      <c r="ET234" s="3">
        <v>820.65</v>
      </c>
      <c r="EU234" s="3">
        <v>139.58000000000001</v>
      </c>
      <c r="EV234" s="3">
        <v>2006.58</v>
      </c>
      <c r="EW234" s="3">
        <v>159</v>
      </c>
      <c r="EX234" s="3">
        <v>0</v>
      </c>
      <c r="EY234" s="3">
        <v>0</v>
      </c>
      <c r="FQ234" s="3">
        <v>0</v>
      </c>
      <c r="FR234" s="3">
        <v>0</v>
      </c>
      <c r="FS234" s="3">
        <v>2</v>
      </c>
      <c r="FX234" s="3">
        <v>90</v>
      </c>
      <c r="FY234" s="3">
        <v>46</v>
      </c>
      <c r="GA234" s="3" t="s">
        <v>3</v>
      </c>
      <c r="GD234" s="3">
        <v>1</v>
      </c>
      <c r="GF234" s="3">
        <v>84595590</v>
      </c>
      <c r="GG234" s="3">
        <v>2</v>
      </c>
      <c r="GH234" s="3">
        <v>1</v>
      </c>
      <c r="GI234" s="3">
        <v>2</v>
      </c>
      <c r="GJ234" s="3">
        <v>0</v>
      </c>
      <c r="GK234" s="3">
        <v>0</v>
      </c>
      <c r="GL234" s="3">
        <f t="shared" si="281"/>
        <v>0</v>
      </c>
      <c r="GM234" s="3">
        <f t="shared" si="282"/>
        <v>2225151.85</v>
      </c>
      <c r="GN234" s="3">
        <f t="shared" si="283"/>
        <v>0</v>
      </c>
      <c r="GO234" s="3">
        <f t="shared" si="284"/>
        <v>2225151.85</v>
      </c>
      <c r="GP234" s="3">
        <f t="shared" si="285"/>
        <v>0</v>
      </c>
      <c r="GR234" s="3">
        <v>0</v>
      </c>
      <c r="GS234" s="3">
        <v>3</v>
      </c>
      <c r="GT234" s="3">
        <v>0</v>
      </c>
      <c r="GU234" s="3" t="s">
        <v>3</v>
      </c>
      <c r="GV234" s="3">
        <f t="shared" si="286"/>
        <v>0</v>
      </c>
      <c r="GW234" s="3">
        <v>1</v>
      </c>
      <c r="GX234" s="3">
        <f t="shared" si="287"/>
        <v>0</v>
      </c>
      <c r="HA234" s="3">
        <v>0</v>
      </c>
      <c r="HB234" s="3">
        <v>0</v>
      </c>
      <c r="HC234" s="3">
        <f t="shared" si="288"/>
        <v>0</v>
      </c>
      <c r="HE234" s="3" t="s">
        <v>3</v>
      </c>
      <c r="HF234" s="3" t="s">
        <v>3</v>
      </c>
      <c r="HM234" s="3" t="s">
        <v>3</v>
      </c>
      <c r="HN234" s="3" t="s">
        <v>3</v>
      </c>
      <c r="HO234" s="3" t="s">
        <v>3</v>
      </c>
      <c r="HP234" s="3" t="s">
        <v>3</v>
      </c>
      <c r="HQ234" s="3" t="s">
        <v>3</v>
      </c>
      <c r="HS234" s="3">
        <v>0</v>
      </c>
      <c r="IK234" s="3">
        <v>0</v>
      </c>
    </row>
    <row r="235" spans="1:255" x14ac:dyDescent="0.2">
      <c r="A235" s="2">
        <v>18</v>
      </c>
      <c r="B235" s="2">
        <v>1</v>
      </c>
      <c r="C235" s="2">
        <v>575</v>
      </c>
      <c r="D235" s="2"/>
      <c r="E235" s="2" t="s">
        <v>406</v>
      </c>
      <c r="F235" s="2" t="s">
        <v>199</v>
      </c>
      <c r="G235" s="2" t="s">
        <v>200</v>
      </c>
      <c r="H235" s="2" t="s">
        <v>191</v>
      </c>
      <c r="I235" s="2">
        <f>I233*J235</f>
        <v>592.95000000000005</v>
      </c>
      <c r="J235" s="2">
        <v>100.5</v>
      </c>
      <c r="K235" s="2">
        <v>100.5</v>
      </c>
      <c r="L235" s="2"/>
      <c r="M235" s="2"/>
      <c r="N235" s="2"/>
      <c r="O235" s="2">
        <f t="shared" si="264"/>
        <v>47785.84</v>
      </c>
      <c r="P235" s="2">
        <f t="shared" si="265"/>
        <v>47785.84</v>
      </c>
      <c r="Q235" s="2">
        <f t="shared" ref="Q235:Q240" si="289">(ROUND((ROUND(((ET235)*AV235*I235),2)*BB235),2)+ROUND((ROUND(((AE235-(EU235))*AV235*I235),2)*BS235),2))</f>
        <v>0</v>
      </c>
      <c r="R235" s="2">
        <f t="shared" ref="R235:R240" si="290">(ROUND((ROUND(((EU235)*AV235*I235),2)*BS235),2)+ROUND((ROUND(((AE235-(EU235))*AV235*I235),2)*BS235),2))</f>
        <v>0</v>
      </c>
      <c r="S235" s="2">
        <f t="shared" si="266"/>
        <v>0</v>
      </c>
      <c r="T235" s="2">
        <f t="shared" si="267"/>
        <v>0</v>
      </c>
      <c r="U235" s="2">
        <f t="shared" si="268"/>
        <v>0</v>
      </c>
      <c r="V235" s="2">
        <f t="shared" si="269"/>
        <v>0</v>
      </c>
      <c r="W235" s="2">
        <f t="shared" si="270"/>
        <v>0</v>
      </c>
      <c r="X235" s="2">
        <f t="shared" ref="X235:X240" si="291">(ROUND((((S235+ROUND((ROUND(((EU235)*AV235*I235),2)*BS235),2))*AT235)/100),2)+ROUND(((ROUND((ROUND(((AE235-(EU235))*AV235*I235),2)*BS235),2)*AT235)/100),2))</f>
        <v>0</v>
      </c>
      <c r="Y235" s="2">
        <f t="shared" ref="Y235:Y240" si="292">(ROUND((((S235+ROUND((ROUND(((EU235)*AV235*I235),2)*BS235),2))*AU235)/100),2)+ROUND(((ROUND((ROUND(((AE235-(EU235))*AV235*I235),2)*BS235),2)*AU235)/100),2))</f>
        <v>0</v>
      </c>
      <c r="Z235" s="2"/>
      <c r="AA235" s="2">
        <v>55747649</v>
      </c>
      <c r="AB235" s="2">
        <f t="shared" si="271"/>
        <v>80.59</v>
      </c>
      <c r="AC235" s="2">
        <f t="shared" ref="AC235:AC240" si="293">ROUND((ES235),6)</f>
        <v>80.59</v>
      </c>
      <c r="AD235" s="2">
        <f t="shared" ref="AD235:AD240" si="294">ROUND((((ET235)-(EU235))+AE235),6)</f>
        <v>0</v>
      </c>
      <c r="AE235" s="2">
        <f t="shared" ref="AE235:AF240" si="295">ROUND((EU235),6)</f>
        <v>0</v>
      </c>
      <c r="AF235" s="2">
        <f t="shared" si="295"/>
        <v>0</v>
      </c>
      <c r="AG235" s="2">
        <f t="shared" si="272"/>
        <v>0</v>
      </c>
      <c r="AH235" s="2">
        <f t="shared" ref="AH235:AI240" si="296">(EW235)</f>
        <v>0</v>
      </c>
      <c r="AI235" s="2">
        <f t="shared" si="296"/>
        <v>0</v>
      </c>
      <c r="AJ235" s="2">
        <f t="shared" si="273"/>
        <v>0</v>
      </c>
      <c r="AK235" s="2">
        <v>80.59</v>
      </c>
      <c r="AL235" s="2">
        <v>80.59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90</v>
      </c>
      <c r="AU235" s="2">
        <v>46</v>
      </c>
      <c r="AV235" s="2">
        <v>1</v>
      </c>
      <c r="AW235" s="2">
        <v>1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2</v>
      </c>
      <c r="BJ235" s="2" t="s">
        <v>201</v>
      </c>
      <c r="BK235" s="2"/>
      <c r="BL235" s="2"/>
      <c r="BM235" s="2">
        <v>73</v>
      </c>
      <c r="BN235" s="2">
        <v>0</v>
      </c>
      <c r="BO235" s="2" t="s">
        <v>3</v>
      </c>
      <c r="BP235" s="2">
        <v>0</v>
      </c>
      <c r="BQ235" s="2">
        <v>40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90</v>
      </c>
      <c r="CA235" s="2">
        <v>46</v>
      </c>
      <c r="CB235" s="2" t="s">
        <v>3</v>
      </c>
      <c r="CC235" s="2"/>
      <c r="CD235" s="2"/>
      <c r="CE235" s="2">
        <v>1566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3</v>
      </c>
      <c r="CO235" s="2">
        <v>0</v>
      </c>
      <c r="CP235" s="2">
        <f t="shared" si="274"/>
        <v>47785.84</v>
      </c>
      <c r="CQ235" s="2">
        <f t="shared" si="275"/>
        <v>80.59</v>
      </c>
      <c r="CR235" s="2">
        <f t="shared" ref="CR235:CR240" si="297">(ROUND((ROUND(((ET235)*AV235*1),2)*BB235),2)+ROUND((ROUND(((AE235-(EU235))*AV235*1),2)*BS235),2))</f>
        <v>0</v>
      </c>
      <c r="CS235" s="2">
        <f t="shared" ref="CS235:CS240" si="298">(ROUND((ROUND(((EU235)*AV235*1),2)*BS235),2)+ROUND((ROUND(((AE235-(EU235))*AV235*1),2)*BS235),2))</f>
        <v>0</v>
      </c>
      <c r="CT235" s="2">
        <f t="shared" si="276"/>
        <v>0</v>
      </c>
      <c r="CU235" s="2">
        <f t="shared" si="277"/>
        <v>0</v>
      </c>
      <c r="CV235" s="2">
        <f t="shared" si="278"/>
        <v>0</v>
      </c>
      <c r="CW235" s="2">
        <f t="shared" si="279"/>
        <v>0</v>
      </c>
      <c r="CX235" s="2">
        <f t="shared" si="280"/>
        <v>0</v>
      </c>
      <c r="CY235" s="2">
        <f t="shared" ref="CY235:CY240" si="299">(ROUND((((S235+ROUND((ROUND(((EU235)*AV235*1),2)*BS235),2))*AT235)/100),2)+ROUND(((ROUND((ROUND(((AE235-(EU235))*AV235*1),2)*BS235),2)*AT235)/100),2))</f>
        <v>0</v>
      </c>
      <c r="CZ235" s="2">
        <f t="shared" ref="CZ235:CZ240" si="300">(ROUND((((S235+ROUND((ROUND(((EU235)*AV235*1),2)*BS235),2))*AU235)/100),2)+ROUND(((ROUND((ROUND(((AE235-(EU235))*AV235*1),2)*BS235),2)*AU235)/100),2))</f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1003</v>
      </c>
      <c r="DV235" s="2" t="s">
        <v>191</v>
      </c>
      <c r="DW235" s="2" t="s">
        <v>191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56938740</v>
      </c>
      <c r="EF235" s="2">
        <v>40</v>
      </c>
      <c r="EG235" s="2" t="s">
        <v>29</v>
      </c>
      <c r="EH235" s="2">
        <v>0</v>
      </c>
      <c r="EI235" s="2" t="s">
        <v>3</v>
      </c>
      <c r="EJ235" s="2">
        <v>2</v>
      </c>
      <c r="EK235" s="2">
        <v>73</v>
      </c>
      <c r="EL235" s="2" t="s">
        <v>85</v>
      </c>
      <c r="EM235" s="2" t="s">
        <v>86</v>
      </c>
      <c r="EN235" s="2"/>
      <c r="EO235" s="2" t="s">
        <v>3</v>
      </c>
      <c r="EP235" s="2"/>
      <c r="EQ235" s="2">
        <v>0</v>
      </c>
      <c r="ER235" s="2">
        <v>80.59</v>
      </c>
      <c r="ES235" s="2">
        <v>80.59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90</v>
      </c>
      <c r="FY235" s="2">
        <v>46</v>
      </c>
      <c r="FZ235" s="2"/>
      <c r="GA235" s="2" t="s">
        <v>3</v>
      </c>
      <c r="GB235" s="2"/>
      <c r="GC235" s="2"/>
      <c r="GD235" s="2">
        <v>1</v>
      </c>
      <c r="GE235" s="2"/>
      <c r="GF235" s="2">
        <v>-648477377</v>
      </c>
      <c r="GG235" s="2">
        <v>2</v>
      </c>
      <c r="GH235" s="2">
        <v>1</v>
      </c>
      <c r="GI235" s="2">
        <v>-2</v>
      </c>
      <c r="GJ235" s="2">
        <v>0</v>
      </c>
      <c r="GK235" s="2">
        <v>0</v>
      </c>
      <c r="GL235" s="2">
        <f t="shared" si="281"/>
        <v>0</v>
      </c>
      <c r="GM235" s="2">
        <f t="shared" si="282"/>
        <v>47785.84</v>
      </c>
      <c r="GN235" s="2">
        <f t="shared" si="283"/>
        <v>0</v>
      </c>
      <c r="GO235" s="2">
        <f t="shared" si="284"/>
        <v>47785.84</v>
      </c>
      <c r="GP235" s="2">
        <f t="shared" si="285"/>
        <v>0</v>
      </c>
      <c r="GQ235" s="2"/>
      <c r="GR235" s="2">
        <v>0</v>
      </c>
      <c r="GS235" s="2">
        <v>3</v>
      </c>
      <c r="GT235" s="2">
        <v>0</v>
      </c>
      <c r="GU235" s="2" t="s">
        <v>3</v>
      </c>
      <c r="GV235" s="2">
        <f t="shared" si="286"/>
        <v>0</v>
      </c>
      <c r="GW235" s="2">
        <v>1</v>
      </c>
      <c r="GX235" s="2">
        <f t="shared" si="287"/>
        <v>0</v>
      </c>
      <c r="GY235" s="2"/>
      <c r="GZ235" s="2"/>
      <c r="HA235" s="2">
        <v>0</v>
      </c>
      <c r="HB235" s="2">
        <v>0</v>
      </c>
      <c r="HC235" s="2">
        <f t="shared" si="288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">
      <c r="A236" s="3">
        <v>18</v>
      </c>
      <c r="B236" s="3">
        <v>1</v>
      </c>
      <c r="C236" s="3">
        <v>584</v>
      </c>
      <c r="E236" s="3" t="s">
        <v>406</v>
      </c>
      <c r="F236" s="3" t="s">
        <v>199</v>
      </c>
      <c r="G236" s="3" t="s">
        <v>200</v>
      </c>
      <c r="H236" s="3" t="s">
        <v>191</v>
      </c>
      <c r="I236" s="3">
        <f>I234*J236</f>
        <v>592.95000000000005</v>
      </c>
      <c r="J236" s="3">
        <v>100.5</v>
      </c>
      <c r="K236" s="3">
        <v>100.5</v>
      </c>
      <c r="O236" s="3">
        <f t="shared" si="264"/>
        <v>219337.01</v>
      </c>
      <c r="P236" s="3">
        <f t="shared" si="265"/>
        <v>219337.01</v>
      </c>
      <c r="Q236" s="3">
        <f t="shared" si="289"/>
        <v>0</v>
      </c>
      <c r="R236" s="3">
        <f t="shared" si="290"/>
        <v>0</v>
      </c>
      <c r="S236" s="3">
        <f t="shared" si="266"/>
        <v>0</v>
      </c>
      <c r="T236" s="3">
        <f t="shared" si="267"/>
        <v>0</v>
      </c>
      <c r="U236" s="3">
        <f t="shared" si="268"/>
        <v>0</v>
      </c>
      <c r="V236" s="3">
        <f t="shared" si="269"/>
        <v>0</v>
      </c>
      <c r="W236" s="3">
        <f t="shared" si="270"/>
        <v>0</v>
      </c>
      <c r="X236" s="3">
        <f t="shared" si="291"/>
        <v>0</v>
      </c>
      <c r="Y236" s="3">
        <f t="shared" si="292"/>
        <v>0</v>
      </c>
      <c r="AA236" s="3">
        <v>55747651</v>
      </c>
      <c r="AB236" s="3">
        <f t="shared" si="271"/>
        <v>80.59</v>
      </c>
      <c r="AC236" s="3">
        <f t="shared" si="293"/>
        <v>80.59</v>
      </c>
      <c r="AD236" s="3">
        <f t="shared" si="294"/>
        <v>0</v>
      </c>
      <c r="AE236" s="3">
        <f t="shared" si="295"/>
        <v>0</v>
      </c>
      <c r="AF236" s="3">
        <f t="shared" si="295"/>
        <v>0</v>
      </c>
      <c r="AG236" s="3">
        <f t="shared" si="272"/>
        <v>0</v>
      </c>
      <c r="AH236" s="3">
        <f t="shared" si="296"/>
        <v>0</v>
      </c>
      <c r="AI236" s="3">
        <f t="shared" si="296"/>
        <v>0</v>
      </c>
      <c r="AJ236" s="3">
        <f t="shared" si="273"/>
        <v>0</v>
      </c>
      <c r="AK236" s="3">
        <v>80.59</v>
      </c>
      <c r="AL236" s="3">
        <v>80.59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90</v>
      </c>
      <c r="AU236" s="3">
        <v>46</v>
      </c>
      <c r="AV236" s="3">
        <v>1</v>
      </c>
      <c r="AW236" s="3">
        <v>1</v>
      </c>
      <c r="AZ236" s="3">
        <v>1</v>
      </c>
      <c r="BA236" s="3">
        <v>1</v>
      </c>
      <c r="BB236" s="3">
        <v>1</v>
      </c>
      <c r="BC236" s="3">
        <v>4.59</v>
      </c>
      <c r="BD236" s="3" t="s">
        <v>3</v>
      </c>
      <c r="BE236" s="3" t="s">
        <v>3</v>
      </c>
      <c r="BF236" s="3" t="s">
        <v>3</v>
      </c>
      <c r="BG236" s="3" t="s">
        <v>3</v>
      </c>
      <c r="BH236" s="3">
        <v>3</v>
      </c>
      <c r="BI236" s="3">
        <v>2</v>
      </c>
      <c r="BJ236" s="3" t="s">
        <v>201</v>
      </c>
      <c r="BM236" s="3">
        <v>73</v>
      </c>
      <c r="BN236" s="3">
        <v>0</v>
      </c>
      <c r="BO236" s="3" t="s">
        <v>199</v>
      </c>
      <c r="BP236" s="3">
        <v>1</v>
      </c>
      <c r="BQ236" s="3">
        <v>40</v>
      </c>
      <c r="BR236" s="3">
        <v>0</v>
      </c>
      <c r="BS236" s="3">
        <v>1</v>
      </c>
      <c r="BT236" s="3">
        <v>1</v>
      </c>
      <c r="BU236" s="3">
        <v>1</v>
      </c>
      <c r="BV236" s="3">
        <v>1</v>
      </c>
      <c r="BW236" s="3">
        <v>1</v>
      </c>
      <c r="BX236" s="3">
        <v>1</v>
      </c>
      <c r="BY236" s="3" t="s">
        <v>3</v>
      </c>
      <c r="BZ236" s="3">
        <v>90</v>
      </c>
      <c r="CA236" s="3">
        <v>46</v>
      </c>
      <c r="CB236" s="3" t="s">
        <v>3</v>
      </c>
      <c r="CE236" s="3">
        <v>1566</v>
      </c>
      <c r="CF236" s="3">
        <v>0</v>
      </c>
      <c r="CG236" s="3">
        <v>0</v>
      </c>
      <c r="CM236" s="3">
        <v>0</v>
      </c>
      <c r="CN236" s="3" t="s">
        <v>3</v>
      </c>
      <c r="CO236" s="3">
        <v>0</v>
      </c>
      <c r="CP236" s="3">
        <f t="shared" si="274"/>
        <v>219337.01</v>
      </c>
      <c r="CQ236" s="3">
        <f t="shared" si="275"/>
        <v>369.91</v>
      </c>
      <c r="CR236" s="3">
        <f t="shared" si="297"/>
        <v>0</v>
      </c>
      <c r="CS236" s="3">
        <f t="shared" si="298"/>
        <v>0</v>
      </c>
      <c r="CT236" s="3">
        <f t="shared" si="276"/>
        <v>0</v>
      </c>
      <c r="CU236" s="3">
        <f t="shared" si="277"/>
        <v>0</v>
      </c>
      <c r="CV236" s="3">
        <f t="shared" si="278"/>
        <v>0</v>
      </c>
      <c r="CW236" s="3">
        <f t="shared" si="279"/>
        <v>0</v>
      </c>
      <c r="CX236" s="3">
        <f t="shared" si="280"/>
        <v>0</v>
      </c>
      <c r="CY236" s="3">
        <f t="shared" si="299"/>
        <v>0</v>
      </c>
      <c r="CZ236" s="3">
        <f t="shared" si="300"/>
        <v>0</v>
      </c>
      <c r="DC236" s="3" t="s">
        <v>3</v>
      </c>
      <c r="DD236" s="3" t="s">
        <v>3</v>
      </c>
      <c r="DE236" s="3" t="s">
        <v>3</v>
      </c>
      <c r="DF236" s="3" t="s">
        <v>3</v>
      </c>
      <c r="DG236" s="3" t="s">
        <v>3</v>
      </c>
      <c r="DH236" s="3" t="s">
        <v>3</v>
      </c>
      <c r="DI236" s="3" t="s">
        <v>3</v>
      </c>
      <c r="DJ236" s="3" t="s">
        <v>3</v>
      </c>
      <c r="DK236" s="3" t="s">
        <v>3</v>
      </c>
      <c r="DL236" s="3" t="s">
        <v>3</v>
      </c>
      <c r="DM236" s="3" t="s">
        <v>3</v>
      </c>
      <c r="DN236" s="3">
        <v>0</v>
      </c>
      <c r="DO236" s="3">
        <v>0</v>
      </c>
      <c r="DP236" s="3">
        <v>1</v>
      </c>
      <c r="DQ236" s="3">
        <v>1</v>
      </c>
      <c r="DU236" s="3">
        <v>1003</v>
      </c>
      <c r="DV236" s="3" t="s">
        <v>191</v>
      </c>
      <c r="DW236" s="3" t="s">
        <v>191</v>
      </c>
      <c r="DX236" s="3">
        <v>1</v>
      </c>
      <c r="DZ236" s="3" t="s">
        <v>3</v>
      </c>
      <c r="EA236" s="3" t="s">
        <v>3</v>
      </c>
      <c r="EB236" s="3" t="s">
        <v>3</v>
      </c>
      <c r="EC236" s="3" t="s">
        <v>3</v>
      </c>
      <c r="EE236" s="3">
        <v>56938740</v>
      </c>
      <c r="EF236" s="3">
        <v>40</v>
      </c>
      <c r="EG236" s="3" t="s">
        <v>29</v>
      </c>
      <c r="EH236" s="3">
        <v>0</v>
      </c>
      <c r="EI236" s="3" t="s">
        <v>3</v>
      </c>
      <c r="EJ236" s="3">
        <v>2</v>
      </c>
      <c r="EK236" s="3">
        <v>73</v>
      </c>
      <c r="EL236" s="3" t="s">
        <v>85</v>
      </c>
      <c r="EM236" s="3" t="s">
        <v>86</v>
      </c>
      <c r="EO236" s="3" t="s">
        <v>3</v>
      </c>
      <c r="EQ236" s="3">
        <v>0</v>
      </c>
      <c r="ER236" s="3">
        <v>80.59</v>
      </c>
      <c r="ES236" s="3">
        <v>80.59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FQ236" s="3">
        <v>0</v>
      </c>
      <c r="FR236" s="3">
        <v>0</v>
      </c>
      <c r="FS236" s="3">
        <v>0</v>
      </c>
      <c r="FX236" s="3">
        <v>90</v>
      </c>
      <c r="FY236" s="3">
        <v>46</v>
      </c>
      <c r="GA236" s="3" t="s">
        <v>3</v>
      </c>
      <c r="GD236" s="3">
        <v>1</v>
      </c>
      <c r="GF236" s="3">
        <v>-648477377</v>
      </c>
      <c r="GG236" s="3">
        <v>2</v>
      </c>
      <c r="GH236" s="3">
        <v>1</v>
      </c>
      <c r="GI236" s="3">
        <v>2</v>
      </c>
      <c r="GJ236" s="3">
        <v>0</v>
      </c>
      <c r="GK236" s="3">
        <v>0</v>
      </c>
      <c r="GL236" s="3">
        <f t="shared" si="281"/>
        <v>0</v>
      </c>
      <c r="GM236" s="3">
        <f t="shared" si="282"/>
        <v>219337.01</v>
      </c>
      <c r="GN236" s="3">
        <f t="shared" si="283"/>
        <v>0</v>
      </c>
      <c r="GO236" s="3">
        <f t="shared" si="284"/>
        <v>219337.01</v>
      </c>
      <c r="GP236" s="3">
        <f t="shared" si="285"/>
        <v>0</v>
      </c>
      <c r="GR236" s="3">
        <v>0</v>
      </c>
      <c r="GS236" s="3">
        <v>3</v>
      </c>
      <c r="GT236" s="3">
        <v>0</v>
      </c>
      <c r="GU236" s="3" t="s">
        <v>3</v>
      </c>
      <c r="GV236" s="3">
        <f t="shared" si="286"/>
        <v>0</v>
      </c>
      <c r="GW236" s="3">
        <v>1</v>
      </c>
      <c r="GX236" s="3">
        <f t="shared" si="287"/>
        <v>0</v>
      </c>
      <c r="HA236" s="3">
        <v>0</v>
      </c>
      <c r="HB236" s="3">
        <v>0</v>
      </c>
      <c r="HC236" s="3">
        <f t="shared" si="288"/>
        <v>0</v>
      </c>
      <c r="HE236" s="3" t="s">
        <v>3</v>
      </c>
      <c r="HF236" s="3" t="s">
        <v>3</v>
      </c>
      <c r="HM236" s="3" t="s">
        <v>3</v>
      </c>
      <c r="HN236" s="3" t="s">
        <v>3</v>
      </c>
      <c r="HO236" s="3" t="s">
        <v>3</v>
      </c>
      <c r="HP236" s="3" t="s">
        <v>3</v>
      </c>
      <c r="HQ236" s="3" t="s">
        <v>3</v>
      </c>
      <c r="HS236" s="3">
        <v>0</v>
      </c>
      <c r="IK236" s="3">
        <v>0</v>
      </c>
    </row>
    <row r="237" spans="1:255" x14ac:dyDescent="0.2">
      <c r="A237" s="2">
        <v>17</v>
      </c>
      <c r="B237" s="2">
        <v>1</v>
      </c>
      <c r="C237" s="2"/>
      <c r="D237" s="2"/>
      <c r="E237" s="2" t="s">
        <v>407</v>
      </c>
      <c r="F237" s="2" t="s">
        <v>158</v>
      </c>
      <c r="G237" s="2" t="s">
        <v>159</v>
      </c>
      <c r="H237" s="2" t="s">
        <v>118</v>
      </c>
      <c r="I237" s="2">
        <v>20</v>
      </c>
      <c r="J237" s="2">
        <v>0</v>
      </c>
      <c r="K237" s="2">
        <v>20</v>
      </c>
      <c r="L237" s="2"/>
      <c r="M237" s="2"/>
      <c r="N237" s="2"/>
      <c r="O237" s="2">
        <f t="shared" si="264"/>
        <v>2601.4</v>
      </c>
      <c r="P237" s="2">
        <f t="shared" si="265"/>
        <v>2601.4</v>
      </c>
      <c r="Q237" s="2">
        <f t="shared" si="289"/>
        <v>0</v>
      </c>
      <c r="R237" s="2">
        <f t="shared" si="290"/>
        <v>0</v>
      </c>
      <c r="S237" s="2">
        <f t="shared" si="266"/>
        <v>0</v>
      </c>
      <c r="T237" s="2">
        <f t="shared" si="267"/>
        <v>0</v>
      </c>
      <c r="U237" s="2">
        <f t="shared" si="268"/>
        <v>0</v>
      </c>
      <c r="V237" s="2">
        <f t="shared" si="269"/>
        <v>0</v>
      </c>
      <c r="W237" s="2">
        <f t="shared" si="270"/>
        <v>0</v>
      </c>
      <c r="X237" s="2">
        <f t="shared" si="291"/>
        <v>0</v>
      </c>
      <c r="Y237" s="2">
        <f t="shared" si="292"/>
        <v>0</v>
      </c>
      <c r="Z237" s="2"/>
      <c r="AA237" s="2">
        <v>55747649</v>
      </c>
      <c r="AB237" s="2">
        <f t="shared" si="271"/>
        <v>130.07</v>
      </c>
      <c r="AC237" s="2">
        <f t="shared" si="293"/>
        <v>130.07</v>
      </c>
      <c r="AD237" s="2">
        <f t="shared" si="294"/>
        <v>0</v>
      </c>
      <c r="AE237" s="2">
        <f t="shared" si="295"/>
        <v>0</v>
      </c>
      <c r="AF237" s="2">
        <f t="shared" si="295"/>
        <v>0</v>
      </c>
      <c r="AG237" s="2">
        <f t="shared" si="272"/>
        <v>0</v>
      </c>
      <c r="AH237" s="2">
        <f t="shared" si="296"/>
        <v>0</v>
      </c>
      <c r="AI237" s="2">
        <f t="shared" si="296"/>
        <v>0</v>
      </c>
      <c r="AJ237" s="2">
        <f t="shared" si="273"/>
        <v>0</v>
      </c>
      <c r="AK237" s="2">
        <v>130.07</v>
      </c>
      <c r="AL237" s="2">
        <v>130.07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90</v>
      </c>
      <c r="AU237" s="2">
        <v>46</v>
      </c>
      <c r="AV237" s="2">
        <v>1</v>
      </c>
      <c r="AW237" s="2">
        <v>1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3</v>
      </c>
      <c r="BI237" s="2">
        <v>2</v>
      </c>
      <c r="BJ237" s="2" t="s">
        <v>160</v>
      </c>
      <c r="BK237" s="2"/>
      <c r="BL237" s="2"/>
      <c r="BM237" s="2">
        <v>73</v>
      </c>
      <c r="BN237" s="2">
        <v>0</v>
      </c>
      <c r="BO237" s="2" t="s">
        <v>3</v>
      </c>
      <c r="BP237" s="2">
        <v>0</v>
      </c>
      <c r="BQ237" s="2">
        <v>40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90</v>
      </c>
      <c r="CA237" s="2">
        <v>46</v>
      </c>
      <c r="CB237" s="2" t="s">
        <v>3</v>
      </c>
      <c r="CC237" s="2"/>
      <c r="CD237" s="2"/>
      <c r="CE237" s="2">
        <v>1566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3</v>
      </c>
      <c r="CO237" s="2">
        <v>0</v>
      </c>
      <c r="CP237" s="2">
        <f t="shared" si="274"/>
        <v>2601.4</v>
      </c>
      <c r="CQ237" s="2">
        <f t="shared" si="275"/>
        <v>130.07</v>
      </c>
      <c r="CR237" s="2">
        <f t="shared" si="297"/>
        <v>0</v>
      </c>
      <c r="CS237" s="2">
        <f t="shared" si="298"/>
        <v>0</v>
      </c>
      <c r="CT237" s="2">
        <f t="shared" si="276"/>
        <v>0</v>
      </c>
      <c r="CU237" s="2">
        <f t="shared" si="277"/>
        <v>0</v>
      </c>
      <c r="CV237" s="2">
        <f t="shared" si="278"/>
        <v>0</v>
      </c>
      <c r="CW237" s="2">
        <f t="shared" si="279"/>
        <v>0</v>
      </c>
      <c r="CX237" s="2">
        <f t="shared" si="280"/>
        <v>0</v>
      </c>
      <c r="CY237" s="2">
        <f t="shared" si="299"/>
        <v>0</v>
      </c>
      <c r="CZ237" s="2">
        <f t="shared" si="300"/>
        <v>0</v>
      </c>
      <c r="DA237" s="2"/>
      <c r="DB237" s="2"/>
      <c r="DC237" s="2" t="s">
        <v>3</v>
      </c>
      <c r="DD237" s="2" t="s">
        <v>3</v>
      </c>
      <c r="DE237" s="2" t="s">
        <v>3</v>
      </c>
      <c r="DF237" s="2" t="s">
        <v>3</v>
      </c>
      <c r="DG237" s="2" t="s">
        <v>3</v>
      </c>
      <c r="DH237" s="2" t="s">
        <v>3</v>
      </c>
      <c r="DI237" s="2" t="s">
        <v>3</v>
      </c>
      <c r="DJ237" s="2" t="s">
        <v>3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1010</v>
      </c>
      <c r="DV237" s="2" t="s">
        <v>118</v>
      </c>
      <c r="DW237" s="2" t="s">
        <v>118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56938740</v>
      </c>
      <c r="EF237" s="2">
        <v>40</v>
      </c>
      <c r="EG237" s="2" t="s">
        <v>29</v>
      </c>
      <c r="EH237" s="2">
        <v>0</v>
      </c>
      <c r="EI237" s="2" t="s">
        <v>3</v>
      </c>
      <c r="EJ237" s="2">
        <v>2</v>
      </c>
      <c r="EK237" s="2">
        <v>73</v>
      </c>
      <c r="EL237" s="2" t="s">
        <v>85</v>
      </c>
      <c r="EM237" s="2" t="s">
        <v>86</v>
      </c>
      <c r="EN237" s="2"/>
      <c r="EO237" s="2" t="s">
        <v>3</v>
      </c>
      <c r="EP237" s="2"/>
      <c r="EQ237" s="2">
        <v>0</v>
      </c>
      <c r="ER237" s="2">
        <v>130.07</v>
      </c>
      <c r="ES237" s="2">
        <v>130.07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90</v>
      </c>
      <c r="FY237" s="2">
        <v>46</v>
      </c>
      <c r="FZ237" s="2"/>
      <c r="GA237" s="2" t="s">
        <v>3</v>
      </c>
      <c r="GB237" s="2"/>
      <c r="GC237" s="2"/>
      <c r="GD237" s="2">
        <v>1</v>
      </c>
      <c r="GE237" s="2"/>
      <c r="GF237" s="2">
        <v>-1214401210</v>
      </c>
      <c r="GG237" s="2">
        <v>2</v>
      </c>
      <c r="GH237" s="2">
        <v>1</v>
      </c>
      <c r="GI237" s="2">
        <v>-2</v>
      </c>
      <c r="GJ237" s="2">
        <v>0</v>
      </c>
      <c r="GK237" s="2">
        <v>0</v>
      </c>
      <c r="GL237" s="2">
        <f t="shared" si="281"/>
        <v>0</v>
      </c>
      <c r="GM237" s="2">
        <f t="shared" si="282"/>
        <v>2601.4</v>
      </c>
      <c r="GN237" s="2">
        <f t="shared" si="283"/>
        <v>0</v>
      </c>
      <c r="GO237" s="2">
        <f t="shared" si="284"/>
        <v>2601.4</v>
      </c>
      <c r="GP237" s="2">
        <f t="shared" si="285"/>
        <v>0</v>
      </c>
      <c r="GQ237" s="2"/>
      <c r="GR237" s="2">
        <v>0</v>
      </c>
      <c r="GS237" s="2">
        <v>3</v>
      </c>
      <c r="GT237" s="2">
        <v>0</v>
      </c>
      <c r="GU237" s="2" t="s">
        <v>3</v>
      </c>
      <c r="GV237" s="2">
        <f t="shared" si="286"/>
        <v>0</v>
      </c>
      <c r="GW237" s="2">
        <v>1</v>
      </c>
      <c r="GX237" s="2">
        <f t="shared" si="287"/>
        <v>0</v>
      </c>
      <c r="GY237" s="2"/>
      <c r="GZ237" s="2"/>
      <c r="HA237" s="2">
        <v>0</v>
      </c>
      <c r="HB237" s="2">
        <v>0</v>
      </c>
      <c r="HC237" s="2">
        <f t="shared" si="288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">
      <c r="A238" s="3">
        <v>17</v>
      </c>
      <c r="B238" s="3">
        <v>1</v>
      </c>
      <c r="E238" s="3" t="s">
        <v>407</v>
      </c>
      <c r="F238" s="3" t="s">
        <v>158</v>
      </c>
      <c r="G238" s="3" t="s">
        <v>159</v>
      </c>
      <c r="H238" s="3" t="s">
        <v>118</v>
      </c>
      <c r="I238" s="3">
        <v>20</v>
      </c>
      <c r="J238" s="3">
        <v>0</v>
      </c>
      <c r="K238" s="3">
        <v>20</v>
      </c>
      <c r="O238" s="3">
        <f t="shared" si="264"/>
        <v>12538.75</v>
      </c>
      <c r="P238" s="3">
        <f t="shared" si="265"/>
        <v>12538.75</v>
      </c>
      <c r="Q238" s="3">
        <f t="shared" si="289"/>
        <v>0</v>
      </c>
      <c r="R238" s="3">
        <f t="shared" si="290"/>
        <v>0</v>
      </c>
      <c r="S238" s="3">
        <f t="shared" si="266"/>
        <v>0</v>
      </c>
      <c r="T238" s="3">
        <f t="shared" si="267"/>
        <v>0</v>
      </c>
      <c r="U238" s="3">
        <f t="shared" si="268"/>
        <v>0</v>
      </c>
      <c r="V238" s="3">
        <f t="shared" si="269"/>
        <v>0</v>
      </c>
      <c r="W238" s="3">
        <f t="shared" si="270"/>
        <v>0</v>
      </c>
      <c r="X238" s="3">
        <f t="shared" si="291"/>
        <v>0</v>
      </c>
      <c r="Y238" s="3">
        <f t="shared" si="292"/>
        <v>0</v>
      </c>
      <c r="AA238" s="3">
        <v>55747651</v>
      </c>
      <c r="AB238" s="3">
        <f t="shared" si="271"/>
        <v>130.07</v>
      </c>
      <c r="AC238" s="3">
        <f t="shared" si="293"/>
        <v>130.07</v>
      </c>
      <c r="AD238" s="3">
        <f t="shared" si="294"/>
        <v>0</v>
      </c>
      <c r="AE238" s="3">
        <f t="shared" si="295"/>
        <v>0</v>
      </c>
      <c r="AF238" s="3">
        <f t="shared" si="295"/>
        <v>0</v>
      </c>
      <c r="AG238" s="3">
        <f t="shared" si="272"/>
        <v>0</v>
      </c>
      <c r="AH238" s="3">
        <f t="shared" si="296"/>
        <v>0</v>
      </c>
      <c r="AI238" s="3">
        <f t="shared" si="296"/>
        <v>0</v>
      </c>
      <c r="AJ238" s="3">
        <f t="shared" si="273"/>
        <v>0</v>
      </c>
      <c r="AK238" s="3">
        <v>130.07</v>
      </c>
      <c r="AL238" s="3">
        <v>130.07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90</v>
      </c>
      <c r="AU238" s="3">
        <v>46</v>
      </c>
      <c r="AV238" s="3">
        <v>1</v>
      </c>
      <c r="AW238" s="3">
        <v>1</v>
      </c>
      <c r="AZ238" s="3">
        <v>1</v>
      </c>
      <c r="BA238" s="3">
        <v>1</v>
      </c>
      <c r="BB238" s="3">
        <v>1</v>
      </c>
      <c r="BC238" s="3">
        <v>4.82</v>
      </c>
      <c r="BD238" s="3" t="s">
        <v>3</v>
      </c>
      <c r="BE238" s="3" t="s">
        <v>3</v>
      </c>
      <c r="BF238" s="3" t="s">
        <v>3</v>
      </c>
      <c r="BG238" s="3" t="s">
        <v>3</v>
      </c>
      <c r="BH238" s="3">
        <v>3</v>
      </c>
      <c r="BI238" s="3">
        <v>2</v>
      </c>
      <c r="BJ238" s="3" t="s">
        <v>160</v>
      </c>
      <c r="BM238" s="3">
        <v>73</v>
      </c>
      <c r="BN238" s="3">
        <v>0</v>
      </c>
      <c r="BO238" s="3" t="s">
        <v>158</v>
      </c>
      <c r="BP238" s="3">
        <v>1</v>
      </c>
      <c r="BQ238" s="3">
        <v>40</v>
      </c>
      <c r="BR238" s="3">
        <v>0</v>
      </c>
      <c r="BS238" s="3">
        <v>1</v>
      </c>
      <c r="BT238" s="3">
        <v>1</v>
      </c>
      <c r="BU238" s="3">
        <v>1</v>
      </c>
      <c r="BV238" s="3">
        <v>1</v>
      </c>
      <c r="BW238" s="3">
        <v>1</v>
      </c>
      <c r="BX238" s="3">
        <v>1</v>
      </c>
      <c r="BY238" s="3" t="s">
        <v>3</v>
      </c>
      <c r="BZ238" s="3">
        <v>90</v>
      </c>
      <c r="CA238" s="3">
        <v>46</v>
      </c>
      <c r="CB238" s="3" t="s">
        <v>3</v>
      </c>
      <c r="CE238" s="3">
        <v>1566</v>
      </c>
      <c r="CF238" s="3">
        <v>0</v>
      </c>
      <c r="CG238" s="3">
        <v>0</v>
      </c>
      <c r="CM238" s="3">
        <v>0</v>
      </c>
      <c r="CN238" s="3" t="s">
        <v>3</v>
      </c>
      <c r="CO238" s="3">
        <v>0</v>
      </c>
      <c r="CP238" s="3">
        <f t="shared" si="274"/>
        <v>12538.75</v>
      </c>
      <c r="CQ238" s="3">
        <f t="shared" si="275"/>
        <v>626.94000000000005</v>
      </c>
      <c r="CR238" s="3">
        <f t="shared" si="297"/>
        <v>0</v>
      </c>
      <c r="CS238" s="3">
        <f t="shared" si="298"/>
        <v>0</v>
      </c>
      <c r="CT238" s="3">
        <f t="shared" si="276"/>
        <v>0</v>
      </c>
      <c r="CU238" s="3">
        <f t="shared" si="277"/>
        <v>0</v>
      </c>
      <c r="CV238" s="3">
        <f t="shared" si="278"/>
        <v>0</v>
      </c>
      <c r="CW238" s="3">
        <f t="shared" si="279"/>
        <v>0</v>
      </c>
      <c r="CX238" s="3">
        <f t="shared" si="280"/>
        <v>0</v>
      </c>
      <c r="CY238" s="3">
        <f t="shared" si="299"/>
        <v>0</v>
      </c>
      <c r="CZ238" s="3">
        <f t="shared" si="300"/>
        <v>0</v>
      </c>
      <c r="DC238" s="3" t="s">
        <v>3</v>
      </c>
      <c r="DD238" s="3" t="s">
        <v>3</v>
      </c>
      <c r="DE238" s="3" t="s">
        <v>3</v>
      </c>
      <c r="DF238" s="3" t="s">
        <v>3</v>
      </c>
      <c r="DG238" s="3" t="s">
        <v>3</v>
      </c>
      <c r="DH238" s="3" t="s">
        <v>3</v>
      </c>
      <c r="DI238" s="3" t="s">
        <v>3</v>
      </c>
      <c r="DJ238" s="3" t="s">
        <v>3</v>
      </c>
      <c r="DK238" s="3" t="s">
        <v>3</v>
      </c>
      <c r="DL238" s="3" t="s">
        <v>3</v>
      </c>
      <c r="DM238" s="3" t="s">
        <v>3</v>
      </c>
      <c r="DN238" s="3">
        <v>0</v>
      </c>
      <c r="DO238" s="3">
        <v>0</v>
      </c>
      <c r="DP238" s="3">
        <v>1</v>
      </c>
      <c r="DQ238" s="3">
        <v>1</v>
      </c>
      <c r="DU238" s="3">
        <v>1010</v>
      </c>
      <c r="DV238" s="3" t="s">
        <v>118</v>
      </c>
      <c r="DW238" s="3" t="s">
        <v>118</v>
      </c>
      <c r="DX238" s="3">
        <v>1</v>
      </c>
      <c r="DZ238" s="3" t="s">
        <v>3</v>
      </c>
      <c r="EA238" s="3" t="s">
        <v>3</v>
      </c>
      <c r="EB238" s="3" t="s">
        <v>3</v>
      </c>
      <c r="EC238" s="3" t="s">
        <v>3</v>
      </c>
      <c r="EE238" s="3">
        <v>56938740</v>
      </c>
      <c r="EF238" s="3">
        <v>40</v>
      </c>
      <c r="EG238" s="3" t="s">
        <v>29</v>
      </c>
      <c r="EH238" s="3">
        <v>0</v>
      </c>
      <c r="EI238" s="3" t="s">
        <v>3</v>
      </c>
      <c r="EJ238" s="3">
        <v>2</v>
      </c>
      <c r="EK238" s="3">
        <v>73</v>
      </c>
      <c r="EL238" s="3" t="s">
        <v>85</v>
      </c>
      <c r="EM238" s="3" t="s">
        <v>86</v>
      </c>
      <c r="EO238" s="3" t="s">
        <v>3</v>
      </c>
      <c r="EQ238" s="3">
        <v>0</v>
      </c>
      <c r="ER238" s="3">
        <v>130.07</v>
      </c>
      <c r="ES238" s="3">
        <v>130.07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FQ238" s="3">
        <v>0</v>
      </c>
      <c r="FR238" s="3">
        <v>0</v>
      </c>
      <c r="FS238" s="3">
        <v>0</v>
      </c>
      <c r="FX238" s="3">
        <v>90</v>
      </c>
      <c r="FY238" s="3">
        <v>46</v>
      </c>
      <c r="GA238" s="3" t="s">
        <v>3</v>
      </c>
      <c r="GD238" s="3">
        <v>1</v>
      </c>
      <c r="GF238" s="3">
        <v>-1214401210</v>
      </c>
      <c r="GG238" s="3">
        <v>2</v>
      </c>
      <c r="GH238" s="3">
        <v>1</v>
      </c>
      <c r="GI238" s="3">
        <v>2</v>
      </c>
      <c r="GJ238" s="3">
        <v>0</v>
      </c>
      <c r="GK238" s="3">
        <v>0</v>
      </c>
      <c r="GL238" s="3">
        <f t="shared" si="281"/>
        <v>0</v>
      </c>
      <c r="GM238" s="3">
        <f t="shared" si="282"/>
        <v>12538.75</v>
      </c>
      <c r="GN238" s="3">
        <f t="shared" si="283"/>
        <v>0</v>
      </c>
      <c r="GO238" s="3">
        <f t="shared" si="284"/>
        <v>12538.75</v>
      </c>
      <c r="GP238" s="3">
        <f t="shared" si="285"/>
        <v>0</v>
      </c>
      <c r="GR238" s="3">
        <v>0</v>
      </c>
      <c r="GS238" s="3">
        <v>3</v>
      </c>
      <c r="GT238" s="3">
        <v>0</v>
      </c>
      <c r="GU238" s="3" t="s">
        <v>3</v>
      </c>
      <c r="GV238" s="3">
        <f t="shared" si="286"/>
        <v>0</v>
      </c>
      <c r="GW238" s="3">
        <v>1</v>
      </c>
      <c r="GX238" s="3">
        <f t="shared" si="287"/>
        <v>0</v>
      </c>
      <c r="HA238" s="3">
        <v>0</v>
      </c>
      <c r="HB238" s="3">
        <v>0</v>
      </c>
      <c r="HC238" s="3">
        <f t="shared" si="288"/>
        <v>0</v>
      </c>
      <c r="HE238" s="3" t="s">
        <v>3</v>
      </c>
      <c r="HF238" s="3" t="s">
        <v>3</v>
      </c>
      <c r="HM238" s="3" t="s">
        <v>3</v>
      </c>
      <c r="HN238" s="3" t="s">
        <v>3</v>
      </c>
      <c r="HO238" s="3" t="s">
        <v>3</v>
      </c>
      <c r="HP238" s="3" t="s">
        <v>3</v>
      </c>
      <c r="HQ238" s="3" t="s">
        <v>3</v>
      </c>
      <c r="HS238" s="3">
        <v>0</v>
      </c>
      <c r="IK238" s="3">
        <v>0</v>
      </c>
    </row>
    <row r="239" spans="1:255" x14ac:dyDescent="0.2">
      <c r="A239" s="2">
        <v>17</v>
      </c>
      <c r="B239" s="2">
        <v>1</v>
      </c>
      <c r="C239" s="2"/>
      <c r="D239" s="2"/>
      <c r="E239" s="2" t="s">
        <v>408</v>
      </c>
      <c r="F239" s="2" t="s">
        <v>409</v>
      </c>
      <c r="G239" s="2" t="s">
        <v>410</v>
      </c>
      <c r="H239" s="2" t="s">
        <v>118</v>
      </c>
      <c r="I239" s="2">
        <v>4</v>
      </c>
      <c r="J239" s="2">
        <v>0</v>
      </c>
      <c r="K239" s="2">
        <v>4</v>
      </c>
      <c r="L239" s="2"/>
      <c r="M239" s="2"/>
      <c r="N239" s="2"/>
      <c r="O239" s="2">
        <f t="shared" si="264"/>
        <v>1187.96</v>
      </c>
      <c r="P239" s="2">
        <f t="shared" si="265"/>
        <v>1187.96</v>
      </c>
      <c r="Q239" s="2">
        <f t="shared" si="289"/>
        <v>0</v>
      </c>
      <c r="R239" s="2">
        <f t="shared" si="290"/>
        <v>0</v>
      </c>
      <c r="S239" s="2">
        <f t="shared" si="266"/>
        <v>0</v>
      </c>
      <c r="T239" s="2">
        <f t="shared" si="267"/>
        <v>0</v>
      </c>
      <c r="U239" s="2">
        <f t="shared" si="268"/>
        <v>0</v>
      </c>
      <c r="V239" s="2">
        <f t="shared" si="269"/>
        <v>0</v>
      </c>
      <c r="W239" s="2">
        <f t="shared" si="270"/>
        <v>0</v>
      </c>
      <c r="X239" s="2">
        <f t="shared" si="291"/>
        <v>0</v>
      </c>
      <c r="Y239" s="2">
        <f t="shared" si="292"/>
        <v>0</v>
      </c>
      <c r="Z239" s="2"/>
      <c r="AA239" s="2">
        <v>55747649</v>
      </c>
      <c r="AB239" s="2">
        <f t="shared" si="271"/>
        <v>296.99</v>
      </c>
      <c r="AC239" s="2">
        <f t="shared" si="293"/>
        <v>296.99</v>
      </c>
      <c r="AD239" s="2">
        <f t="shared" si="294"/>
        <v>0</v>
      </c>
      <c r="AE239" s="2">
        <f t="shared" si="295"/>
        <v>0</v>
      </c>
      <c r="AF239" s="2">
        <f t="shared" si="295"/>
        <v>0</v>
      </c>
      <c r="AG239" s="2">
        <f t="shared" si="272"/>
        <v>0</v>
      </c>
      <c r="AH239" s="2">
        <f t="shared" si="296"/>
        <v>0</v>
      </c>
      <c r="AI239" s="2">
        <f t="shared" si="296"/>
        <v>0</v>
      </c>
      <c r="AJ239" s="2">
        <f t="shared" si="273"/>
        <v>0</v>
      </c>
      <c r="AK239" s="2">
        <v>296.99</v>
      </c>
      <c r="AL239" s="2">
        <v>296.99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90</v>
      </c>
      <c r="AU239" s="2">
        <v>46</v>
      </c>
      <c r="AV239" s="2">
        <v>1</v>
      </c>
      <c r="AW239" s="2">
        <v>1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3</v>
      </c>
      <c r="BI239" s="2">
        <v>2</v>
      </c>
      <c r="BJ239" s="2" t="s">
        <v>411</v>
      </c>
      <c r="BK239" s="2"/>
      <c r="BL239" s="2"/>
      <c r="BM239" s="2">
        <v>73</v>
      </c>
      <c r="BN239" s="2">
        <v>0</v>
      </c>
      <c r="BO239" s="2" t="s">
        <v>3</v>
      </c>
      <c r="BP239" s="2">
        <v>0</v>
      </c>
      <c r="BQ239" s="2">
        <v>40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90</v>
      </c>
      <c r="CA239" s="2">
        <v>46</v>
      </c>
      <c r="CB239" s="2" t="s">
        <v>3</v>
      </c>
      <c r="CC239" s="2"/>
      <c r="CD239" s="2"/>
      <c r="CE239" s="2">
        <v>1566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3</v>
      </c>
      <c r="CO239" s="2">
        <v>0</v>
      </c>
      <c r="CP239" s="2">
        <f t="shared" si="274"/>
        <v>1187.96</v>
      </c>
      <c r="CQ239" s="2">
        <f t="shared" si="275"/>
        <v>296.99</v>
      </c>
      <c r="CR239" s="2">
        <f t="shared" si="297"/>
        <v>0</v>
      </c>
      <c r="CS239" s="2">
        <f t="shared" si="298"/>
        <v>0</v>
      </c>
      <c r="CT239" s="2">
        <f t="shared" si="276"/>
        <v>0</v>
      </c>
      <c r="CU239" s="2">
        <f t="shared" si="277"/>
        <v>0</v>
      </c>
      <c r="CV239" s="2">
        <f t="shared" si="278"/>
        <v>0</v>
      </c>
      <c r="CW239" s="2">
        <f t="shared" si="279"/>
        <v>0</v>
      </c>
      <c r="CX239" s="2">
        <f t="shared" si="280"/>
        <v>0</v>
      </c>
      <c r="CY239" s="2">
        <f t="shared" si="299"/>
        <v>0</v>
      </c>
      <c r="CZ239" s="2">
        <f t="shared" si="300"/>
        <v>0</v>
      </c>
      <c r="DA239" s="2"/>
      <c r="DB239" s="2"/>
      <c r="DC239" s="2" t="s">
        <v>3</v>
      </c>
      <c r="DD239" s="2" t="s">
        <v>3</v>
      </c>
      <c r="DE239" s="2" t="s">
        <v>3</v>
      </c>
      <c r="DF239" s="2" t="s">
        <v>3</v>
      </c>
      <c r="DG239" s="2" t="s">
        <v>3</v>
      </c>
      <c r="DH239" s="2" t="s">
        <v>3</v>
      </c>
      <c r="DI239" s="2" t="s">
        <v>3</v>
      </c>
      <c r="DJ239" s="2" t="s">
        <v>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1010</v>
      </c>
      <c r="DV239" s="2" t="s">
        <v>118</v>
      </c>
      <c r="DW239" s="2" t="s">
        <v>118</v>
      </c>
      <c r="DX239" s="2">
        <v>1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56938740</v>
      </c>
      <c r="EF239" s="2">
        <v>40</v>
      </c>
      <c r="EG239" s="2" t="s">
        <v>29</v>
      </c>
      <c r="EH239" s="2">
        <v>0</v>
      </c>
      <c r="EI239" s="2" t="s">
        <v>3</v>
      </c>
      <c r="EJ239" s="2">
        <v>2</v>
      </c>
      <c r="EK239" s="2">
        <v>73</v>
      </c>
      <c r="EL239" s="2" t="s">
        <v>85</v>
      </c>
      <c r="EM239" s="2" t="s">
        <v>86</v>
      </c>
      <c r="EN239" s="2"/>
      <c r="EO239" s="2" t="s">
        <v>3</v>
      </c>
      <c r="EP239" s="2"/>
      <c r="EQ239" s="2">
        <v>0</v>
      </c>
      <c r="ER239" s="2">
        <v>296.99</v>
      </c>
      <c r="ES239" s="2">
        <v>296.99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v>0</v>
      </c>
      <c r="FS239" s="2">
        <v>0</v>
      </c>
      <c r="FT239" s="2"/>
      <c r="FU239" s="2"/>
      <c r="FV239" s="2"/>
      <c r="FW239" s="2"/>
      <c r="FX239" s="2">
        <v>90</v>
      </c>
      <c r="FY239" s="2">
        <v>46</v>
      </c>
      <c r="FZ239" s="2"/>
      <c r="GA239" s="2" t="s">
        <v>3</v>
      </c>
      <c r="GB239" s="2"/>
      <c r="GC239" s="2"/>
      <c r="GD239" s="2">
        <v>1</v>
      </c>
      <c r="GE239" s="2"/>
      <c r="GF239" s="2">
        <v>814129051</v>
      </c>
      <c r="GG239" s="2">
        <v>2</v>
      </c>
      <c r="GH239" s="2">
        <v>1</v>
      </c>
      <c r="GI239" s="2">
        <v>-2</v>
      </c>
      <c r="GJ239" s="2">
        <v>0</v>
      </c>
      <c r="GK239" s="2">
        <v>0</v>
      </c>
      <c r="GL239" s="2">
        <f t="shared" si="281"/>
        <v>0</v>
      </c>
      <c r="GM239" s="2">
        <f t="shared" si="282"/>
        <v>1187.96</v>
      </c>
      <c r="GN239" s="2">
        <f t="shared" si="283"/>
        <v>0</v>
      </c>
      <c r="GO239" s="2">
        <f t="shared" si="284"/>
        <v>1187.96</v>
      </c>
      <c r="GP239" s="2">
        <f t="shared" si="285"/>
        <v>0</v>
      </c>
      <c r="GQ239" s="2"/>
      <c r="GR239" s="2">
        <v>0</v>
      </c>
      <c r="GS239" s="2">
        <v>3</v>
      </c>
      <c r="GT239" s="2">
        <v>0</v>
      </c>
      <c r="GU239" s="2" t="s">
        <v>3</v>
      </c>
      <c r="GV239" s="2">
        <f t="shared" si="286"/>
        <v>0</v>
      </c>
      <c r="GW239" s="2">
        <v>1</v>
      </c>
      <c r="GX239" s="2">
        <f t="shared" si="287"/>
        <v>0</v>
      </c>
      <c r="GY239" s="2"/>
      <c r="GZ239" s="2"/>
      <c r="HA239" s="2">
        <v>0</v>
      </c>
      <c r="HB239" s="2">
        <v>0</v>
      </c>
      <c r="HC239" s="2">
        <f t="shared" si="288"/>
        <v>0</v>
      </c>
      <c r="HD239" s="2"/>
      <c r="HE239" s="2" t="s">
        <v>3</v>
      </c>
      <c r="HF239" s="2" t="s">
        <v>3</v>
      </c>
      <c r="HG239" s="2"/>
      <c r="HH239" s="2"/>
      <c r="HI239" s="2"/>
      <c r="HJ239" s="2"/>
      <c r="HK239" s="2"/>
      <c r="HL239" s="2"/>
      <c r="HM239" s="2" t="s">
        <v>3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2">
      <c r="A240" s="3">
        <v>17</v>
      </c>
      <c r="B240" s="3">
        <v>1</v>
      </c>
      <c r="E240" s="3" t="s">
        <v>408</v>
      </c>
      <c r="F240" s="3" t="s">
        <v>409</v>
      </c>
      <c r="G240" s="3" t="s">
        <v>410</v>
      </c>
      <c r="H240" s="3" t="s">
        <v>118</v>
      </c>
      <c r="I240" s="3">
        <v>4</v>
      </c>
      <c r="J240" s="3">
        <v>0</v>
      </c>
      <c r="K240" s="3">
        <v>4</v>
      </c>
      <c r="O240" s="3">
        <f t="shared" si="264"/>
        <v>3611.4</v>
      </c>
      <c r="P240" s="3">
        <f t="shared" si="265"/>
        <v>3611.4</v>
      </c>
      <c r="Q240" s="3">
        <f t="shared" si="289"/>
        <v>0</v>
      </c>
      <c r="R240" s="3">
        <f t="shared" si="290"/>
        <v>0</v>
      </c>
      <c r="S240" s="3">
        <f t="shared" si="266"/>
        <v>0</v>
      </c>
      <c r="T240" s="3">
        <f t="shared" si="267"/>
        <v>0</v>
      </c>
      <c r="U240" s="3">
        <f t="shared" si="268"/>
        <v>0</v>
      </c>
      <c r="V240" s="3">
        <f t="shared" si="269"/>
        <v>0</v>
      </c>
      <c r="W240" s="3">
        <f t="shared" si="270"/>
        <v>0</v>
      </c>
      <c r="X240" s="3">
        <f t="shared" si="291"/>
        <v>0</v>
      </c>
      <c r="Y240" s="3">
        <f t="shared" si="292"/>
        <v>0</v>
      </c>
      <c r="AA240" s="3">
        <v>55747651</v>
      </c>
      <c r="AB240" s="3">
        <f t="shared" si="271"/>
        <v>296.99</v>
      </c>
      <c r="AC240" s="3">
        <f t="shared" si="293"/>
        <v>296.99</v>
      </c>
      <c r="AD240" s="3">
        <f t="shared" si="294"/>
        <v>0</v>
      </c>
      <c r="AE240" s="3">
        <f t="shared" si="295"/>
        <v>0</v>
      </c>
      <c r="AF240" s="3">
        <f t="shared" si="295"/>
        <v>0</v>
      </c>
      <c r="AG240" s="3">
        <f t="shared" si="272"/>
        <v>0</v>
      </c>
      <c r="AH240" s="3">
        <f t="shared" si="296"/>
        <v>0</v>
      </c>
      <c r="AI240" s="3">
        <f t="shared" si="296"/>
        <v>0</v>
      </c>
      <c r="AJ240" s="3">
        <f t="shared" si="273"/>
        <v>0</v>
      </c>
      <c r="AK240" s="3">
        <v>296.99</v>
      </c>
      <c r="AL240" s="3">
        <v>296.99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90</v>
      </c>
      <c r="AU240" s="3">
        <v>46</v>
      </c>
      <c r="AV240" s="3">
        <v>1</v>
      </c>
      <c r="AW240" s="3">
        <v>1</v>
      </c>
      <c r="AZ240" s="3">
        <v>1</v>
      </c>
      <c r="BA240" s="3">
        <v>1</v>
      </c>
      <c r="BB240" s="3">
        <v>1</v>
      </c>
      <c r="BC240" s="3">
        <v>3.04</v>
      </c>
      <c r="BD240" s="3" t="s">
        <v>3</v>
      </c>
      <c r="BE240" s="3" t="s">
        <v>3</v>
      </c>
      <c r="BF240" s="3" t="s">
        <v>3</v>
      </c>
      <c r="BG240" s="3" t="s">
        <v>3</v>
      </c>
      <c r="BH240" s="3">
        <v>3</v>
      </c>
      <c r="BI240" s="3">
        <v>2</v>
      </c>
      <c r="BJ240" s="3" t="s">
        <v>411</v>
      </c>
      <c r="BM240" s="3">
        <v>73</v>
      </c>
      <c r="BN240" s="3">
        <v>0</v>
      </c>
      <c r="BO240" s="3" t="s">
        <v>409</v>
      </c>
      <c r="BP240" s="3">
        <v>1</v>
      </c>
      <c r="BQ240" s="3">
        <v>40</v>
      </c>
      <c r="BR240" s="3">
        <v>0</v>
      </c>
      <c r="BS240" s="3">
        <v>1</v>
      </c>
      <c r="BT240" s="3">
        <v>1</v>
      </c>
      <c r="BU240" s="3">
        <v>1</v>
      </c>
      <c r="BV240" s="3">
        <v>1</v>
      </c>
      <c r="BW240" s="3">
        <v>1</v>
      </c>
      <c r="BX240" s="3">
        <v>1</v>
      </c>
      <c r="BY240" s="3" t="s">
        <v>3</v>
      </c>
      <c r="BZ240" s="3">
        <v>90</v>
      </c>
      <c r="CA240" s="3">
        <v>46</v>
      </c>
      <c r="CB240" s="3" t="s">
        <v>3</v>
      </c>
      <c r="CE240" s="3">
        <v>1566</v>
      </c>
      <c r="CF240" s="3">
        <v>0</v>
      </c>
      <c r="CG240" s="3">
        <v>0</v>
      </c>
      <c r="CM240" s="3">
        <v>0</v>
      </c>
      <c r="CN240" s="3" t="s">
        <v>3</v>
      </c>
      <c r="CO240" s="3">
        <v>0</v>
      </c>
      <c r="CP240" s="3">
        <f t="shared" si="274"/>
        <v>3611.4</v>
      </c>
      <c r="CQ240" s="3">
        <f t="shared" si="275"/>
        <v>902.85</v>
      </c>
      <c r="CR240" s="3">
        <f t="shared" si="297"/>
        <v>0</v>
      </c>
      <c r="CS240" s="3">
        <f t="shared" si="298"/>
        <v>0</v>
      </c>
      <c r="CT240" s="3">
        <f t="shared" si="276"/>
        <v>0</v>
      </c>
      <c r="CU240" s="3">
        <f t="shared" si="277"/>
        <v>0</v>
      </c>
      <c r="CV240" s="3">
        <f t="shared" si="278"/>
        <v>0</v>
      </c>
      <c r="CW240" s="3">
        <f t="shared" si="279"/>
        <v>0</v>
      </c>
      <c r="CX240" s="3">
        <f t="shared" si="280"/>
        <v>0</v>
      </c>
      <c r="CY240" s="3">
        <f t="shared" si="299"/>
        <v>0</v>
      </c>
      <c r="CZ240" s="3">
        <f t="shared" si="300"/>
        <v>0</v>
      </c>
      <c r="DC240" s="3" t="s">
        <v>3</v>
      </c>
      <c r="DD240" s="3" t="s">
        <v>3</v>
      </c>
      <c r="DE240" s="3" t="s">
        <v>3</v>
      </c>
      <c r="DF240" s="3" t="s">
        <v>3</v>
      </c>
      <c r="DG240" s="3" t="s">
        <v>3</v>
      </c>
      <c r="DH240" s="3" t="s">
        <v>3</v>
      </c>
      <c r="DI240" s="3" t="s">
        <v>3</v>
      </c>
      <c r="DJ240" s="3" t="s">
        <v>3</v>
      </c>
      <c r="DK240" s="3" t="s">
        <v>3</v>
      </c>
      <c r="DL240" s="3" t="s">
        <v>3</v>
      </c>
      <c r="DM240" s="3" t="s">
        <v>3</v>
      </c>
      <c r="DN240" s="3">
        <v>0</v>
      </c>
      <c r="DO240" s="3">
        <v>0</v>
      </c>
      <c r="DP240" s="3">
        <v>1</v>
      </c>
      <c r="DQ240" s="3">
        <v>1</v>
      </c>
      <c r="DU240" s="3">
        <v>1010</v>
      </c>
      <c r="DV240" s="3" t="s">
        <v>118</v>
      </c>
      <c r="DW240" s="3" t="s">
        <v>118</v>
      </c>
      <c r="DX240" s="3">
        <v>1</v>
      </c>
      <c r="DZ240" s="3" t="s">
        <v>3</v>
      </c>
      <c r="EA240" s="3" t="s">
        <v>3</v>
      </c>
      <c r="EB240" s="3" t="s">
        <v>3</v>
      </c>
      <c r="EC240" s="3" t="s">
        <v>3</v>
      </c>
      <c r="EE240" s="3">
        <v>56938740</v>
      </c>
      <c r="EF240" s="3">
        <v>40</v>
      </c>
      <c r="EG240" s="3" t="s">
        <v>29</v>
      </c>
      <c r="EH240" s="3">
        <v>0</v>
      </c>
      <c r="EI240" s="3" t="s">
        <v>3</v>
      </c>
      <c r="EJ240" s="3">
        <v>2</v>
      </c>
      <c r="EK240" s="3">
        <v>73</v>
      </c>
      <c r="EL240" s="3" t="s">
        <v>85</v>
      </c>
      <c r="EM240" s="3" t="s">
        <v>86</v>
      </c>
      <c r="EO240" s="3" t="s">
        <v>3</v>
      </c>
      <c r="EQ240" s="3">
        <v>0</v>
      </c>
      <c r="ER240" s="3">
        <v>296.99</v>
      </c>
      <c r="ES240" s="3">
        <v>296.99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FQ240" s="3">
        <v>0</v>
      </c>
      <c r="FR240" s="3">
        <v>0</v>
      </c>
      <c r="FS240" s="3">
        <v>0</v>
      </c>
      <c r="FX240" s="3">
        <v>90</v>
      </c>
      <c r="FY240" s="3">
        <v>46</v>
      </c>
      <c r="GA240" s="3" t="s">
        <v>3</v>
      </c>
      <c r="GD240" s="3">
        <v>1</v>
      </c>
      <c r="GF240" s="3">
        <v>814129051</v>
      </c>
      <c r="GG240" s="3">
        <v>2</v>
      </c>
      <c r="GH240" s="3">
        <v>1</v>
      </c>
      <c r="GI240" s="3">
        <v>2</v>
      </c>
      <c r="GJ240" s="3">
        <v>0</v>
      </c>
      <c r="GK240" s="3">
        <v>0</v>
      </c>
      <c r="GL240" s="3">
        <f t="shared" si="281"/>
        <v>0</v>
      </c>
      <c r="GM240" s="3">
        <f t="shared" si="282"/>
        <v>3611.4</v>
      </c>
      <c r="GN240" s="3">
        <f t="shared" si="283"/>
        <v>0</v>
      </c>
      <c r="GO240" s="3">
        <f t="shared" si="284"/>
        <v>3611.4</v>
      </c>
      <c r="GP240" s="3">
        <f t="shared" si="285"/>
        <v>0</v>
      </c>
      <c r="GR240" s="3">
        <v>0</v>
      </c>
      <c r="GS240" s="3">
        <v>3</v>
      </c>
      <c r="GT240" s="3">
        <v>0</v>
      </c>
      <c r="GU240" s="3" t="s">
        <v>3</v>
      </c>
      <c r="GV240" s="3">
        <f t="shared" si="286"/>
        <v>0</v>
      </c>
      <c r="GW240" s="3">
        <v>1</v>
      </c>
      <c r="GX240" s="3">
        <f t="shared" si="287"/>
        <v>0</v>
      </c>
      <c r="HA240" s="3">
        <v>0</v>
      </c>
      <c r="HB240" s="3">
        <v>0</v>
      </c>
      <c r="HC240" s="3">
        <f t="shared" si="288"/>
        <v>0</v>
      </c>
      <c r="HE240" s="3" t="s">
        <v>3</v>
      </c>
      <c r="HF240" s="3" t="s">
        <v>3</v>
      </c>
      <c r="HM240" s="3" t="s">
        <v>3</v>
      </c>
      <c r="HN240" s="3" t="s">
        <v>3</v>
      </c>
      <c r="HO240" s="3" t="s">
        <v>3</v>
      </c>
      <c r="HP240" s="3" t="s">
        <v>3</v>
      </c>
      <c r="HQ240" s="3" t="s">
        <v>3</v>
      </c>
      <c r="HS240" s="3">
        <v>0</v>
      </c>
      <c r="IK240" s="3">
        <v>0</v>
      </c>
    </row>
    <row r="241" spans="1:255" x14ac:dyDescent="0.2">
      <c r="A241" s="2">
        <v>17</v>
      </c>
      <c r="B241" s="2">
        <v>1</v>
      </c>
      <c r="C241" s="2">
        <f>ROW(SmtRes!A592)</f>
        <v>592</v>
      </c>
      <c r="D241" s="2">
        <f>ROW(EtalonRes!A631)</f>
        <v>631</v>
      </c>
      <c r="E241" s="2" t="s">
        <v>3</v>
      </c>
      <c r="F241" s="2" t="s">
        <v>155</v>
      </c>
      <c r="G241" s="2" t="s">
        <v>156</v>
      </c>
      <c r="H241" s="2" t="s">
        <v>25</v>
      </c>
      <c r="I241" s="2">
        <f>ROUND(20+4,9)</f>
        <v>24</v>
      </c>
      <c r="J241" s="2">
        <v>0</v>
      </c>
      <c r="K241" s="2">
        <f>ROUND(20+4,9)</f>
        <v>24</v>
      </c>
      <c r="L241" s="2"/>
      <c r="M241" s="2"/>
      <c r="N241" s="2"/>
      <c r="O241" s="2">
        <f t="shared" si="264"/>
        <v>2448.73</v>
      </c>
      <c r="P241" s="2">
        <f t="shared" si="265"/>
        <v>106.83</v>
      </c>
      <c r="Q241" s="2">
        <f>(ROUND((ROUND((((ET241*1.2))*AV241*I241),2)*BB241),2)+ROUND((ROUND(((AE241-((EU241*1.2)))*AV241*I241),2)*BS241),2))</f>
        <v>247.68</v>
      </c>
      <c r="R241" s="2">
        <f>(ROUND((ROUND((((EU241*1.2))*AV241*I241),2)*BS241),2)+ROUND((ROUND(((AE241-((EU241*1.2)))*AV241*I241),2)*BS241),2))</f>
        <v>7.68</v>
      </c>
      <c r="S241" s="2">
        <f t="shared" si="266"/>
        <v>2094.2199999999998</v>
      </c>
      <c r="T241" s="2">
        <f t="shared" si="267"/>
        <v>0</v>
      </c>
      <c r="U241" s="2">
        <f t="shared" si="268"/>
        <v>165.93984</v>
      </c>
      <c r="V241" s="2">
        <f t="shared" si="269"/>
        <v>0</v>
      </c>
      <c r="W241" s="2">
        <f t="shared" si="270"/>
        <v>0</v>
      </c>
      <c r="X241" s="2">
        <f>(ROUND((((S241+ROUND((ROUND((((EU241*1.2))*AV241*I241),2)*BS241),2))*AT241)/100),2)+ROUND(((ROUND((ROUND(((AE241-((EU241*1.2)))*AV241*I241),2)*BS241),2)*AT241)/100),2))</f>
        <v>1891.71</v>
      </c>
      <c r="Y241" s="2">
        <f>(ROUND((((S241+ROUND((ROUND((((EU241*1.2))*AV241*I241),2)*BS241),2))*AU241)/100),2)+ROUND(((ROUND((ROUND(((AE241-((EU241*1.2)))*AV241*I241),2)*BS241),2)*AU241)/100),2))</f>
        <v>966.87</v>
      </c>
      <c r="Z241" s="2"/>
      <c r="AA241" s="2">
        <v>-1</v>
      </c>
      <c r="AB241" s="2">
        <f t="shared" si="271"/>
        <v>95.781999999999996</v>
      </c>
      <c r="AC241" s="2">
        <f>ROUND(((ES241*1)),6)</f>
        <v>4.33</v>
      </c>
      <c r="AD241" s="2">
        <f>ROUND(((((ET241*1.2))-((EU241*1.2)))+AE241),6)</f>
        <v>9.6720000000000006</v>
      </c>
      <c r="AE241" s="2">
        <f>ROUND(((EU241*1.2)),6)</f>
        <v>0.3</v>
      </c>
      <c r="AF241" s="2">
        <f>ROUND(((EV241*1.2)),6)</f>
        <v>81.78</v>
      </c>
      <c r="AG241" s="2">
        <f t="shared" si="272"/>
        <v>0</v>
      </c>
      <c r="AH241" s="2">
        <f>((EW241*1.2))</f>
        <v>6.48</v>
      </c>
      <c r="AI241" s="2">
        <f>((EX241*1.2))</f>
        <v>0</v>
      </c>
      <c r="AJ241" s="2">
        <f t="shared" si="273"/>
        <v>0</v>
      </c>
      <c r="AK241" s="2">
        <v>80.540000000000006</v>
      </c>
      <c r="AL241" s="2">
        <v>4.33</v>
      </c>
      <c r="AM241" s="2">
        <v>8.06</v>
      </c>
      <c r="AN241" s="2">
        <v>0.25</v>
      </c>
      <c r="AO241" s="2">
        <v>68.150000000000006</v>
      </c>
      <c r="AP241" s="2">
        <v>0</v>
      </c>
      <c r="AQ241" s="2">
        <v>5.4</v>
      </c>
      <c r="AR241" s="2">
        <v>0</v>
      </c>
      <c r="AS241" s="2">
        <v>0</v>
      </c>
      <c r="AT241" s="2">
        <v>90</v>
      </c>
      <c r="AU241" s="2">
        <v>46</v>
      </c>
      <c r="AV241" s="2">
        <v>1.0669999999999999</v>
      </c>
      <c r="AW241" s="2">
        <v>1.028</v>
      </c>
      <c r="AX241" s="2"/>
      <c r="AY241" s="2"/>
      <c r="AZ241" s="2">
        <v>1</v>
      </c>
      <c r="BA241" s="2">
        <v>1</v>
      </c>
      <c r="BB241" s="2">
        <v>1</v>
      </c>
      <c r="BC241" s="2">
        <v>1</v>
      </c>
      <c r="BD241" s="2" t="s">
        <v>3</v>
      </c>
      <c r="BE241" s="2" t="s">
        <v>3</v>
      </c>
      <c r="BF241" s="2" t="s">
        <v>3</v>
      </c>
      <c r="BG241" s="2" t="s">
        <v>3</v>
      </c>
      <c r="BH241" s="2">
        <v>0</v>
      </c>
      <c r="BI241" s="2">
        <v>2</v>
      </c>
      <c r="BJ241" s="2" t="s">
        <v>157</v>
      </c>
      <c r="BK241" s="2"/>
      <c r="BL241" s="2"/>
      <c r="BM241" s="2">
        <v>73</v>
      </c>
      <c r="BN241" s="2">
        <v>0</v>
      </c>
      <c r="BO241" s="2" t="s">
        <v>155</v>
      </c>
      <c r="BP241" s="2">
        <v>1</v>
      </c>
      <c r="BQ241" s="2">
        <v>40</v>
      </c>
      <c r="BR241" s="2">
        <v>0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 t="s">
        <v>3</v>
      </c>
      <c r="BZ241" s="2">
        <v>90</v>
      </c>
      <c r="CA241" s="2">
        <v>46</v>
      </c>
      <c r="CB241" s="2" t="s">
        <v>3</v>
      </c>
      <c r="CC241" s="2"/>
      <c r="CD241" s="2"/>
      <c r="CE241" s="2">
        <v>1566</v>
      </c>
      <c r="CF241" s="2">
        <v>0</v>
      </c>
      <c r="CG241" s="2">
        <v>0</v>
      </c>
      <c r="CH241" s="2"/>
      <c r="CI241" s="2"/>
      <c r="CJ241" s="2"/>
      <c r="CK241" s="2"/>
      <c r="CL241" s="2"/>
      <c r="CM241" s="2">
        <v>0</v>
      </c>
      <c r="CN241" s="2" t="s">
        <v>716</v>
      </c>
      <c r="CO241" s="2">
        <v>0</v>
      </c>
      <c r="CP241" s="2">
        <f t="shared" si="274"/>
        <v>2448.7299999999996</v>
      </c>
      <c r="CQ241" s="2">
        <f t="shared" si="275"/>
        <v>4.45</v>
      </c>
      <c r="CR241" s="2">
        <f>(ROUND((ROUND((((ET241*1.2))*AV241*1),2)*BB241),2)+ROUND((ROUND(((AE241-((EU241*1.2)))*AV241*1),2)*BS241),2))</f>
        <v>10.32</v>
      </c>
      <c r="CS241" s="2">
        <f>(ROUND((ROUND((((EU241*1.2))*AV241*1),2)*BS241),2)+ROUND((ROUND(((AE241-((EU241*1.2)))*AV241*1),2)*BS241),2))</f>
        <v>0.32</v>
      </c>
      <c r="CT241" s="2">
        <f t="shared" si="276"/>
        <v>87.26</v>
      </c>
      <c r="CU241" s="2">
        <f t="shared" si="277"/>
        <v>0</v>
      </c>
      <c r="CV241" s="2">
        <f t="shared" si="278"/>
        <v>6.9141599999999999</v>
      </c>
      <c r="CW241" s="2">
        <f t="shared" si="279"/>
        <v>0</v>
      </c>
      <c r="CX241" s="2">
        <f t="shared" si="280"/>
        <v>0</v>
      </c>
      <c r="CY241" s="2">
        <f>(ROUND((((S241+ROUND((ROUND((((EU241*1.2))*AV241*1),2)*BS241),2))*AT241)/100),2)+ROUND(((ROUND((ROUND(((AE241-((EU241*1.2)))*AV241*1),2)*BS241),2)*AT241)/100),2))</f>
        <v>1885.09</v>
      </c>
      <c r="CZ241" s="2">
        <f>(ROUND((((S241+ROUND((ROUND((((EU241*1.2))*AV241*1),2)*BS241),2))*AU241)/100),2)+ROUND(((ROUND((ROUND(((AE241-((EU241*1.2)))*AV241*1),2)*BS241),2)*AU241)/100),2))</f>
        <v>963.49</v>
      </c>
      <c r="DA241" s="2"/>
      <c r="DB241" s="2">
        <v>97</v>
      </c>
      <c r="DC241" s="2" t="s">
        <v>3</v>
      </c>
      <c r="DD241" s="2" t="s">
        <v>48</v>
      </c>
      <c r="DE241" s="2" t="s">
        <v>49</v>
      </c>
      <c r="DF241" s="2" t="s">
        <v>49</v>
      </c>
      <c r="DG241" s="2" t="s">
        <v>49</v>
      </c>
      <c r="DH241" s="2" t="s">
        <v>3</v>
      </c>
      <c r="DI241" s="2" t="s">
        <v>49</v>
      </c>
      <c r="DJ241" s="2" t="s">
        <v>49</v>
      </c>
      <c r="DK241" s="2" t="s">
        <v>3</v>
      </c>
      <c r="DL241" s="2" t="s">
        <v>3</v>
      </c>
      <c r="DM241" s="2" t="s">
        <v>3</v>
      </c>
      <c r="DN241" s="2">
        <v>0</v>
      </c>
      <c r="DO241" s="2">
        <v>0</v>
      </c>
      <c r="DP241" s="2">
        <v>1</v>
      </c>
      <c r="DQ241" s="2">
        <v>1</v>
      </c>
      <c r="DR241" s="2"/>
      <c r="DS241" s="2"/>
      <c r="DT241" s="2"/>
      <c r="DU241" s="2">
        <v>1013</v>
      </c>
      <c r="DV241" s="2" t="s">
        <v>25</v>
      </c>
      <c r="DW241" s="2" t="s">
        <v>25</v>
      </c>
      <c r="DX241" s="2">
        <v>1</v>
      </c>
      <c r="DY241" s="2"/>
      <c r="DZ241" s="2" t="s">
        <v>3</v>
      </c>
      <c r="EA241" s="2" t="s">
        <v>3</v>
      </c>
      <c r="EB241" s="2" t="s">
        <v>3</v>
      </c>
      <c r="EC241" s="2" t="s">
        <v>3</v>
      </c>
      <c r="ED241" s="2"/>
      <c r="EE241" s="2">
        <v>56938740</v>
      </c>
      <c r="EF241" s="2">
        <v>40</v>
      </c>
      <c r="EG241" s="2" t="s">
        <v>29</v>
      </c>
      <c r="EH241" s="2">
        <v>0</v>
      </c>
      <c r="EI241" s="2" t="s">
        <v>3</v>
      </c>
      <c r="EJ241" s="2">
        <v>2</v>
      </c>
      <c r="EK241" s="2">
        <v>73</v>
      </c>
      <c r="EL241" s="2" t="s">
        <v>85</v>
      </c>
      <c r="EM241" s="2" t="s">
        <v>86</v>
      </c>
      <c r="EN241" s="2"/>
      <c r="EO241" s="2" t="s">
        <v>50</v>
      </c>
      <c r="EP241" s="2"/>
      <c r="EQ241" s="2">
        <v>132096</v>
      </c>
      <c r="ER241" s="2">
        <v>80.540000000000006</v>
      </c>
      <c r="ES241" s="2">
        <v>4.33</v>
      </c>
      <c r="ET241" s="2">
        <v>8.06</v>
      </c>
      <c r="EU241" s="2">
        <v>0.25</v>
      </c>
      <c r="EV241" s="2">
        <v>68.150000000000006</v>
      </c>
      <c r="EW241" s="2">
        <v>5.4</v>
      </c>
      <c r="EX241" s="2">
        <v>0</v>
      </c>
      <c r="EY241" s="2">
        <v>0</v>
      </c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>
        <v>0</v>
      </c>
      <c r="FR241" s="2">
        <v>0</v>
      </c>
      <c r="FS241" s="2">
        <v>2</v>
      </c>
      <c r="FT241" s="2"/>
      <c r="FU241" s="2"/>
      <c r="FV241" s="2"/>
      <c r="FW241" s="2"/>
      <c r="FX241" s="2">
        <v>90</v>
      </c>
      <c r="FY241" s="2">
        <v>46</v>
      </c>
      <c r="FZ241" s="2"/>
      <c r="GA241" s="2" t="s">
        <v>3</v>
      </c>
      <c r="GB241" s="2"/>
      <c r="GC241" s="2"/>
      <c r="GD241" s="2">
        <v>1</v>
      </c>
      <c r="GE241" s="2"/>
      <c r="GF241" s="2">
        <v>-914769333</v>
      </c>
      <c r="GG241" s="2">
        <v>2</v>
      </c>
      <c r="GH241" s="2">
        <v>1</v>
      </c>
      <c r="GI241" s="2">
        <v>2</v>
      </c>
      <c r="GJ241" s="2">
        <v>0</v>
      </c>
      <c r="GK241" s="2">
        <v>0</v>
      </c>
      <c r="GL241" s="2">
        <f t="shared" si="281"/>
        <v>0</v>
      </c>
      <c r="GM241" s="2">
        <f t="shared" si="282"/>
        <v>5307.31</v>
      </c>
      <c r="GN241" s="2">
        <f t="shared" si="283"/>
        <v>0</v>
      </c>
      <c r="GO241" s="2">
        <f t="shared" si="284"/>
        <v>5307.31</v>
      </c>
      <c r="GP241" s="2">
        <f t="shared" si="285"/>
        <v>0</v>
      </c>
      <c r="GQ241" s="2"/>
      <c r="GR241" s="2">
        <v>0</v>
      </c>
      <c r="GS241" s="2">
        <v>3</v>
      </c>
      <c r="GT241" s="2">
        <v>0</v>
      </c>
      <c r="GU241" s="2" t="s">
        <v>3</v>
      </c>
      <c r="GV241" s="2">
        <f t="shared" si="286"/>
        <v>0</v>
      </c>
      <c r="GW241" s="2">
        <v>1</v>
      </c>
      <c r="GX241" s="2">
        <f t="shared" si="287"/>
        <v>0</v>
      </c>
      <c r="GY241" s="2"/>
      <c r="GZ241" s="2"/>
      <c r="HA241" s="2">
        <v>0</v>
      </c>
      <c r="HB241" s="2">
        <v>0</v>
      </c>
      <c r="HC241" s="2">
        <f t="shared" si="288"/>
        <v>0</v>
      </c>
      <c r="HD241" s="2"/>
      <c r="HE241" s="2" t="s">
        <v>3</v>
      </c>
      <c r="HF241" s="2" t="s">
        <v>3</v>
      </c>
      <c r="HG241" s="2"/>
      <c r="HH241" s="2"/>
      <c r="HI241" s="2"/>
      <c r="HJ241" s="2"/>
      <c r="HK241" s="2"/>
      <c r="HL241" s="2"/>
      <c r="HM241" s="2" t="s">
        <v>3</v>
      </c>
      <c r="HN241" s="2" t="s">
        <v>3</v>
      </c>
      <c r="HO241" s="2" t="s">
        <v>3</v>
      </c>
      <c r="HP241" s="2" t="s">
        <v>3</v>
      </c>
      <c r="HQ241" s="2" t="s">
        <v>3</v>
      </c>
      <c r="HR241" s="2"/>
      <c r="HS241" s="2">
        <v>0</v>
      </c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>
        <v>0</v>
      </c>
      <c r="IL241" s="2"/>
      <c r="IM241" s="2"/>
      <c r="IN241" s="2"/>
      <c r="IO241" s="2"/>
      <c r="IP241" s="2"/>
      <c r="IQ241" s="2"/>
      <c r="IR241" s="2"/>
      <c r="IS241" s="2"/>
      <c r="IT241" s="2"/>
      <c r="IU241" s="2"/>
    </row>
    <row r="242" spans="1:255" x14ac:dyDescent="0.2">
      <c r="A242" s="3">
        <v>17</v>
      </c>
      <c r="B242" s="3">
        <v>1</v>
      </c>
      <c r="C242" s="3">
        <f>ROW(SmtRes!A600)</f>
        <v>600</v>
      </c>
      <c r="D242" s="3">
        <f>ROW(EtalonRes!A638)</f>
        <v>638</v>
      </c>
      <c r="E242" s="3" t="s">
        <v>3</v>
      </c>
      <c r="F242" s="3" t="s">
        <v>155</v>
      </c>
      <c r="G242" s="3" t="s">
        <v>156</v>
      </c>
      <c r="H242" s="3" t="s">
        <v>25</v>
      </c>
      <c r="I242" s="3">
        <f>ROUND(20+4,9)</f>
        <v>24</v>
      </c>
      <c r="J242" s="3">
        <v>0</v>
      </c>
      <c r="K242" s="3">
        <f>ROUND(20+4,9)</f>
        <v>24</v>
      </c>
      <c r="O242" s="3">
        <f t="shared" si="264"/>
        <v>122660.16</v>
      </c>
      <c r="P242" s="3">
        <f t="shared" si="265"/>
        <v>1131.33</v>
      </c>
      <c r="Q242" s="3">
        <f>(ROUND((ROUND((((ET242*1.2))*AV242*I242),2)*BB242),2)+ROUND((ROUND(((AE242-((EU242*1.2)))*AV242*I242),2)*BS242),2))</f>
        <v>3519.53</v>
      </c>
      <c r="R242" s="3">
        <f>(ROUND((ROUND((((EU242*1.2))*AV242*I242),2)*BS242),2)+ROUND((ROUND(((AE242-((EU242*1.2)))*AV242*I242),2)*BS242),2))</f>
        <v>432.77</v>
      </c>
      <c r="S242" s="3">
        <f t="shared" si="266"/>
        <v>118009.3</v>
      </c>
      <c r="T242" s="3">
        <f t="shared" si="267"/>
        <v>0</v>
      </c>
      <c r="U242" s="3">
        <f t="shared" si="268"/>
        <v>165.93984</v>
      </c>
      <c r="V242" s="3">
        <f t="shared" si="269"/>
        <v>0</v>
      </c>
      <c r="W242" s="3">
        <f t="shared" si="270"/>
        <v>0</v>
      </c>
      <c r="X242" s="3">
        <f>(ROUND((((S242+ROUND((ROUND((((EU242*1.2))*AV242*I242),2)*BS242),2))*AT242)/100),2)+ROUND(((ROUND((ROUND(((AE242-((EU242*1.2)))*AV242*I242),2)*BS242),2)*AT242)/100),2))</f>
        <v>106597.86</v>
      </c>
      <c r="Y242" s="3">
        <f>(ROUND((((S242+ROUND((ROUND((((EU242*1.2))*AV242*I242),2)*BS242),2))*AU242)/100),2)+ROUND(((ROUND((ROUND(((AE242-((EU242*1.2)))*AV242*I242),2)*BS242),2)*AU242)/100),2))</f>
        <v>54483.35</v>
      </c>
      <c r="AA242" s="3">
        <v>-1</v>
      </c>
      <c r="AB242" s="3">
        <f t="shared" si="271"/>
        <v>95.781999999999996</v>
      </c>
      <c r="AC242" s="3">
        <f>ROUND(((ES242*1)),6)</f>
        <v>4.33</v>
      </c>
      <c r="AD242" s="3">
        <f>ROUND(((((ET242*1.2))-((EU242*1.2)))+AE242),6)</f>
        <v>9.6720000000000006</v>
      </c>
      <c r="AE242" s="3">
        <f>ROUND(((EU242*1.2)),6)</f>
        <v>0.3</v>
      </c>
      <c r="AF242" s="3">
        <f>ROUND(((EV242*1.2)),6)</f>
        <v>81.78</v>
      </c>
      <c r="AG242" s="3">
        <f t="shared" si="272"/>
        <v>0</v>
      </c>
      <c r="AH242" s="3">
        <f>((EW242*1.2))</f>
        <v>6.48</v>
      </c>
      <c r="AI242" s="3">
        <f>((EX242*1.2))</f>
        <v>0</v>
      </c>
      <c r="AJ242" s="3">
        <f t="shared" si="273"/>
        <v>0</v>
      </c>
      <c r="AK242" s="3">
        <v>80.540000000000006</v>
      </c>
      <c r="AL242" s="3">
        <v>4.33</v>
      </c>
      <c r="AM242" s="3">
        <v>8.06</v>
      </c>
      <c r="AN242" s="3">
        <v>0.25</v>
      </c>
      <c r="AO242" s="3">
        <v>68.150000000000006</v>
      </c>
      <c r="AP242" s="3">
        <v>0</v>
      </c>
      <c r="AQ242" s="3">
        <v>5.4</v>
      </c>
      <c r="AR242" s="3">
        <v>0</v>
      </c>
      <c r="AS242" s="3">
        <v>0</v>
      </c>
      <c r="AT242" s="3">
        <v>90</v>
      </c>
      <c r="AU242" s="3">
        <v>46</v>
      </c>
      <c r="AV242" s="3">
        <v>1.0669999999999999</v>
      </c>
      <c r="AW242" s="3">
        <v>1.028</v>
      </c>
      <c r="AZ242" s="3">
        <v>1</v>
      </c>
      <c r="BA242" s="3">
        <v>56.35</v>
      </c>
      <c r="BB242" s="3">
        <v>14.21</v>
      </c>
      <c r="BC242" s="3">
        <v>10.59</v>
      </c>
      <c r="BD242" s="3" t="s">
        <v>3</v>
      </c>
      <c r="BE242" s="3" t="s">
        <v>3</v>
      </c>
      <c r="BF242" s="3" t="s">
        <v>3</v>
      </c>
      <c r="BG242" s="3" t="s">
        <v>3</v>
      </c>
      <c r="BH242" s="3">
        <v>0</v>
      </c>
      <c r="BI242" s="3">
        <v>2</v>
      </c>
      <c r="BJ242" s="3" t="s">
        <v>157</v>
      </c>
      <c r="BM242" s="3">
        <v>73</v>
      </c>
      <c r="BN242" s="3">
        <v>0</v>
      </c>
      <c r="BO242" s="3" t="s">
        <v>155</v>
      </c>
      <c r="BP242" s="3">
        <v>1</v>
      </c>
      <c r="BQ242" s="3">
        <v>40</v>
      </c>
      <c r="BR242" s="3">
        <v>0</v>
      </c>
      <c r="BS242" s="3">
        <v>56.35</v>
      </c>
      <c r="BT242" s="3">
        <v>1</v>
      </c>
      <c r="BU242" s="3">
        <v>1</v>
      </c>
      <c r="BV242" s="3">
        <v>1</v>
      </c>
      <c r="BW242" s="3">
        <v>1</v>
      </c>
      <c r="BX242" s="3">
        <v>1</v>
      </c>
      <c r="BY242" s="3" t="s">
        <v>3</v>
      </c>
      <c r="BZ242" s="3">
        <v>90</v>
      </c>
      <c r="CA242" s="3">
        <v>46</v>
      </c>
      <c r="CB242" s="3" t="s">
        <v>3</v>
      </c>
      <c r="CE242" s="3">
        <v>1566</v>
      </c>
      <c r="CF242" s="3">
        <v>0</v>
      </c>
      <c r="CG242" s="3">
        <v>0</v>
      </c>
      <c r="CM242" s="3">
        <v>0</v>
      </c>
      <c r="CN242" s="3" t="s">
        <v>716</v>
      </c>
      <c r="CO242" s="3">
        <v>0</v>
      </c>
      <c r="CP242" s="3">
        <f t="shared" si="274"/>
        <v>122660.16</v>
      </c>
      <c r="CQ242" s="3">
        <f t="shared" si="275"/>
        <v>47.13</v>
      </c>
      <c r="CR242" s="3">
        <f>(ROUND((ROUND((((ET242*1.2))*AV242*1),2)*BB242),2)+ROUND((ROUND(((AE242-((EU242*1.2)))*AV242*1),2)*BS242),2))</f>
        <v>146.65</v>
      </c>
      <c r="CS242" s="3">
        <f>(ROUND((ROUND((((EU242*1.2))*AV242*1),2)*BS242),2)+ROUND((ROUND(((AE242-((EU242*1.2)))*AV242*1),2)*BS242),2))</f>
        <v>18.03</v>
      </c>
      <c r="CT242" s="3">
        <f t="shared" si="276"/>
        <v>4917.1000000000004</v>
      </c>
      <c r="CU242" s="3">
        <f t="shared" si="277"/>
        <v>0</v>
      </c>
      <c r="CV242" s="3">
        <f t="shared" si="278"/>
        <v>6.9141599999999999</v>
      </c>
      <c r="CW242" s="3">
        <f t="shared" si="279"/>
        <v>0</v>
      </c>
      <c r="CX242" s="3">
        <f t="shared" si="280"/>
        <v>0</v>
      </c>
      <c r="CY242" s="3">
        <f>(ROUND((((S242+ROUND((ROUND((((EU242*1.2))*AV242*1),2)*BS242),2))*AT242)/100),2)+ROUND(((ROUND((ROUND(((AE242-((EU242*1.2)))*AV242*1),2)*BS242),2)*AT242)/100),2))</f>
        <v>106224.6</v>
      </c>
      <c r="CZ242" s="3">
        <f>(ROUND((((S242+ROUND((ROUND((((EU242*1.2))*AV242*1),2)*BS242),2))*AU242)/100),2)+ROUND(((ROUND((ROUND(((AE242-((EU242*1.2)))*AV242*1),2)*BS242),2)*AU242)/100),2))</f>
        <v>54292.57</v>
      </c>
      <c r="DB242" s="3">
        <v>98</v>
      </c>
      <c r="DC242" s="3" t="s">
        <v>3</v>
      </c>
      <c r="DD242" s="3" t="s">
        <v>48</v>
      </c>
      <c r="DE242" s="3" t="s">
        <v>49</v>
      </c>
      <c r="DF242" s="3" t="s">
        <v>49</v>
      </c>
      <c r="DG242" s="3" t="s">
        <v>49</v>
      </c>
      <c r="DH242" s="3" t="s">
        <v>3</v>
      </c>
      <c r="DI242" s="3" t="s">
        <v>49</v>
      </c>
      <c r="DJ242" s="3" t="s">
        <v>49</v>
      </c>
      <c r="DK242" s="3" t="s">
        <v>3</v>
      </c>
      <c r="DL242" s="3" t="s">
        <v>3</v>
      </c>
      <c r="DM242" s="3" t="s">
        <v>3</v>
      </c>
      <c r="DN242" s="3">
        <v>0</v>
      </c>
      <c r="DO242" s="3">
        <v>0</v>
      </c>
      <c r="DP242" s="3">
        <v>1</v>
      </c>
      <c r="DQ242" s="3">
        <v>1</v>
      </c>
      <c r="DU242" s="3">
        <v>1013</v>
      </c>
      <c r="DV242" s="3" t="s">
        <v>25</v>
      </c>
      <c r="DW242" s="3" t="s">
        <v>25</v>
      </c>
      <c r="DX242" s="3">
        <v>1</v>
      </c>
      <c r="DZ242" s="3" t="s">
        <v>3</v>
      </c>
      <c r="EA242" s="3" t="s">
        <v>3</v>
      </c>
      <c r="EB242" s="3" t="s">
        <v>3</v>
      </c>
      <c r="EC242" s="3" t="s">
        <v>3</v>
      </c>
      <c r="EE242" s="3">
        <v>56938740</v>
      </c>
      <c r="EF242" s="3">
        <v>40</v>
      </c>
      <c r="EG242" s="3" t="s">
        <v>29</v>
      </c>
      <c r="EH242" s="3">
        <v>0</v>
      </c>
      <c r="EI242" s="3" t="s">
        <v>3</v>
      </c>
      <c r="EJ242" s="3">
        <v>2</v>
      </c>
      <c r="EK242" s="3">
        <v>73</v>
      </c>
      <c r="EL242" s="3" t="s">
        <v>85</v>
      </c>
      <c r="EM242" s="3" t="s">
        <v>86</v>
      </c>
      <c r="EO242" s="3" t="s">
        <v>50</v>
      </c>
      <c r="EQ242" s="3">
        <v>132096</v>
      </c>
      <c r="ER242" s="3">
        <v>80.540000000000006</v>
      </c>
      <c r="ES242" s="3">
        <v>4.33</v>
      </c>
      <c r="ET242" s="3">
        <v>8.06</v>
      </c>
      <c r="EU242" s="3">
        <v>0.25</v>
      </c>
      <c r="EV242" s="3">
        <v>68.150000000000006</v>
      </c>
      <c r="EW242" s="3">
        <v>5.4</v>
      </c>
      <c r="EX242" s="3">
        <v>0</v>
      </c>
      <c r="EY242" s="3">
        <v>0</v>
      </c>
      <c r="FQ242" s="3">
        <v>0</v>
      </c>
      <c r="FR242" s="3">
        <v>0</v>
      </c>
      <c r="FS242" s="3">
        <v>2</v>
      </c>
      <c r="FX242" s="3">
        <v>90</v>
      </c>
      <c r="FY242" s="3">
        <v>46</v>
      </c>
      <c r="GA242" s="3" t="s">
        <v>3</v>
      </c>
      <c r="GD242" s="3">
        <v>1</v>
      </c>
      <c r="GF242" s="3">
        <v>-914769333</v>
      </c>
      <c r="GG242" s="3">
        <v>2</v>
      </c>
      <c r="GH242" s="3">
        <v>1</v>
      </c>
      <c r="GI242" s="3">
        <v>2</v>
      </c>
      <c r="GJ242" s="3">
        <v>0</v>
      </c>
      <c r="GK242" s="3">
        <v>0</v>
      </c>
      <c r="GL242" s="3">
        <f t="shared" si="281"/>
        <v>0</v>
      </c>
      <c r="GM242" s="3">
        <f t="shared" si="282"/>
        <v>283741.37</v>
      </c>
      <c r="GN242" s="3">
        <f t="shared" si="283"/>
        <v>0</v>
      </c>
      <c r="GO242" s="3">
        <f t="shared" si="284"/>
        <v>283741.37</v>
      </c>
      <c r="GP242" s="3">
        <f t="shared" si="285"/>
        <v>0</v>
      </c>
      <c r="GR242" s="3">
        <v>0</v>
      </c>
      <c r="GS242" s="3">
        <v>3</v>
      </c>
      <c r="GT242" s="3">
        <v>0</v>
      </c>
      <c r="GU242" s="3" t="s">
        <v>3</v>
      </c>
      <c r="GV242" s="3">
        <f t="shared" si="286"/>
        <v>0</v>
      </c>
      <c r="GW242" s="3">
        <v>1</v>
      </c>
      <c r="GX242" s="3">
        <f t="shared" si="287"/>
        <v>0</v>
      </c>
      <c r="HA242" s="3">
        <v>0</v>
      </c>
      <c r="HB242" s="3">
        <v>0</v>
      </c>
      <c r="HC242" s="3">
        <f t="shared" si="288"/>
        <v>0</v>
      </c>
      <c r="HE242" s="3" t="s">
        <v>3</v>
      </c>
      <c r="HF242" s="3" t="s">
        <v>3</v>
      </c>
      <c r="HM242" s="3" t="s">
        <v>3</v>
      </c>
      <c r="HN242" s="3" t="s">
        <v>3</v>
      </c>
      <c r="HO242" s="3" t="s">
        <v>3</v>
      </c>
      <c r="HP242" s="3" t="s">
        <v>3</v>
      </c>
      <c r="HQ242" s="3" t="s">
        <v>3</v>
      </c>
      <c r="HS242" s="3">
        <v>0</v>
      </c>
      <c r="IK242" s="3">
        <v>0</v>
      </c>
    </row>
    <row r="243" spans="1:255" x14ac:dyDescent="0.2">
      <c r="A243" s="2">
        <v>18</v>
      </c>
      <c r="B243" s="2">
        <v>1</v>
      </c>
      <c r="C243" s="2">
        <v>592</v>
      </c>
      <c r="D243" s="2"/>
      <c r="E243" s="2" t="s">
        <v>3</v>
      </c>
      <c r="F243" s="2" t="s">
        <v>158</v>
      </c>
      <c r="G243" s="2" t="s">
        <v>159</v>
      </c>
      <c r="H243" s="2" t="s">
        <v>118</v>
      </c>
      <c r="I243" s="2">
        <f>I241*J243</f>
        <v>20</v>
      </c>
      <c r="J243" s="2">
        <v>0.83333333333333337</v>
      </c>
      <c r="K243" s="2">
        <v>0.83333332999999998</v>
      </c>
      <c r="L243" s="2"/>
      <c r="M243" s="2"/>
      <c r="N243" s="2"/>
      <c r="O243" s="2">
        <f t="shared" si="264"/>
        <v>2601.4</v>
      </c>
      <c r="P243" s="2">
        <f t="shared" si="265"/>
        <v>2601.4</v>
      </c>
      <c r="Q243" s="2">
        <f t="shared" ref="Q243:Q254" si="301">(ROUND((ROUND(((ET243)*AV243*I243),2)*BB243),2)+ROUND((ROUND(((AE243-(EU243))*AV243*I243),2)*BS243),2))</f>
        <v>0</v>
      </c>
      <c r="R243" s="2">
        <f t="shared" ref="R243:R254" si="302">(ROUND((ROUND(((EU243)*AV243*I243),2)*BS243),2)+ROUND((ROUND(((AE243-(EU243))*AV243*I243),2)*BS243),2))</f>
        <v>0</v>
      </c>
      <c r="S243" s="2">
        <f t="shared" si="266"/>
        <v>0</v>
      </c>
      <c r="T243" s="2">
        <f t="shared" si="267"/>
        <v>0</v>
      </c>
      <c r="U243" s="2">
        <f t="shared" si="268"/>
        <v>0</v>
      </c>
      <c r="V243" s="2">
        <f t="shared" si="269"/>
        <v>0</v>
      </c>
      <c r="W243" s="2">
        <f t="shared" si="270"/>
        <v>0</v>
      </c>
      <c r="X243" s="2">
        <f t="shared" ref="X243:X254" si="303">(ROUND((((S243+ROUND((ROUND(((EU243)*AV243*I243),2)*BS243),2))*AT243)/100),2)+ROUND(((ROUND((ROUND(((AE243-(EU243))*AV243*I243),2)*BS243),2)*AT243)/100),2))</f>
        <v>0</v>
      </c>
      <c r="Y243" s="2">
        <f t="shared" ref="Y243:Y254" si="304">(ROUND((((S243+ROUND((ROUND(((EU243)*AV243*I243),2)*BS243),2))*AU243)/100),2)+ROUND(((ROUND((ROUND(((AE243-(EU243))*AV243*I243),2)*BS243),2)*AU243)/100),2))</f>
        <v>0</v>
      </c>
      <c r="Z243" s="2"/>
      <c r="AA243" s="2">
        <v>-1</v>
      </c>
      <c r="AB243" s="2">
        <f t="shared" si="271"/>
        <v>130.07</v>
      </c>
      <c r="AC243" s="2">
        <f t="shared" ref="AC243:AC254" si="305">ROUND((ES243),6)</f>
        <v>130.07</v>
      </c>
      <c r="AD243" s="2">
        <f t="shared" ref="AD243:AD254" si="306">ROUND((((ET243)-(EU243))+AE243),6)</f>
        <v>0</v>
      </c>
      <c r="AE243" s="2">
        <f t="shared" ref="AE243:AE254" si="307">ROUND((EU243),6)</f>
        <v>0</v>
      </c>
      <c r="AF243" s="2">
        <f t="shared" ref="AF243:AF254" si="308">ROUND((EV243),6)</f>
        <v>0</v>
      </c>
      <c r="AG243" s="2">
        <f t="shared" si="272"/>
        <v>0</v>
      </c>
      <c r="AH243" s="2">
        <f t="shared" ref="AH243:AH254" si="309">(EW243)</f>
        <v>0</v>
      </c>
      <c r="AI243" s="2">
        <f t="shared" ref="AI243:AI254" si="310">(EX243)</f>
        <v>0</v>
      </c>
      <c r="AJ243" s="2">
        <f t="shared" si="273"/>
        <v>0</v>
      </c>
      <c r="AK243" s="2">
        <v>130.07</v>
      </c>
      <c r="AL243" s="2">
        <v>130.07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90</v>
      </c>
      <c r="AU243" s="2">
        <v>46</v>
      </c>
      <c r="AV243" s="2">
        <v>1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3</v>
      </c>
      <c r="BI243" s="2">
        <v>2</v>
      </c>
      <c r="BJ243" s="2" t="s">
        <v>160</v>
      </c>
      <c r="BK243" s="2"/>
      <c r="BL243" s="2"/>
      <c r="BM243" s="2">
        <v>73</v>
      </c>
      <c r="BN243" s="2">
        <v>0</v>
      </c>
      <c r="BO243" s="2" t="s">
        <v>3</v>
      </c>
      <c r="BP243" s="2">
        <v>0</v>
      </c>
      <c r="BQ243" s="2">
        <v>40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90</v>
      </c>
      <c r="CA243" s="2">
        <v>46</v>
      </c>
      <c r="CB243" s="2" t="s">
        <v>3</v>
      </c>
      <c r="CC243" s="2"/>
      <c r="CD243" s="2"/>
      <c r="CE243" s="2">
        <v>1566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718</v>
      </c>
      <c r="CO243" s="2">
        <v>0</v>
      </c>
      <c r="CP243" s="2">
        <f t="shared" si="274"/>
        <v>2601.4</v>
      </c>
      <c r="CQ243" s="2">
        <f t="shared" si="275"/>
        <v>130.07</v>
      </c>
      <c r="CR243" s="2">
        <f t="shared" ref="CR243:CR254" si="311">(ROUND((ROUND(((ET243)*AV243*1),2)*BB243),2)+ROUND((ROUND(((AE243-(EU243))*AV243*1),2)*BS243),2))</f>
        <v>0</v>
      </c>
      <c r="CS243" s="2">
        <f t="shared" ref="CS243:CS254" si="312">(ROUND((ROUND(((EU243)*AV243*1),2)*BS243),2)+ROUND((ROUND(((AE243-(EU243))*AV243*1),2)*BS243),2))</f>
        <v>0</v>
      </c>
      <c r="CT243" s="2">
        <f t="shared" si="276"/>
        <v>0</v>
      </c>
      <c r="CU243" s="2">
        <f t="shared" si="277"/>
        <v>0</v>
      </c>
      <c r="CV243" s="2">
        <f t="shared" si="278"/>
        <v>0</v>
      </c>
      <c r="CW243" s="2">
        <f t="shared" si="279"/>
        <v>0</v>
      </c>
      <c r="CX243" s="2">
        <f t="shared" si="280"/>
        <v>0</v>
      </c>
      <c r="CY243" s="2">
        <f t="shared" ref="CY243:CY254" si="313">(ROUND((((S243+ROUND((ROUND(((EU243)*AV243*1),2)*BS243),2))*AT243)/100),2)+ROUND(((ROUND((ROUND(((AE243-(EU243))*AV243*1),2)*BS243),2)*AT243)/100),2))</f>
        <v>0</v>
      </c>
      <c r="CZ243" s="2">
        <f t="shared" ref="CZ243:CZ254" si="314">(ROUND((((S243+ROUND((ROUND(((EU243)*AV243*1),2)*BS243),2))*AU243)/100),2)+ROUND(((ROUND((ROUND(((AE243-(EU243))*AV243*1),2)*BS243),2)*AU243)/100),2))</f>
        <v>0</v>
      </c>
      <c r="DA243" s="2"/>
      <c r="DB243" s="2"/>
      <c r="DC243" s="2" t="s">
        <v>3</v>
      </c>
      <c r="DD243" s="2" t="s">
        <v>3</v>
      </c>
      <c r="DE243" s="2" t="s">
        <v>3</v>
      </c>
      <c r="DF243" s="2" t="s">
        <v>3</v>
      </c>
      <c r="DG243" s="2" t="s">
        <v>3</v>
      </c>
      <c r="DH243" s="2" t="s">
        <v>3</v>
      </c>
      <c r="DI243" s="2" t="s">
        <v>3</v>
      </c>
      <c r="DJ243" s="2" t="s">
        <v>3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1010</v>
      </c>
      <c r="DV243" s="2" t="s">
        <v>118</v>
      </c>
      <c r="DW243" s="2" t="s">
        <v>118</v>
      </c>
      <c r="DX243" s="2">
        <v>1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56938740</v>
      </c>
      <c r="EF243" s="2">
        <v>40</v>
      </c>
      <c r="EG243" s="2" t="s">
        <v>29</v>
      </c>
      <c r="EH243" s="2">
        <v>0</v>
      </c>
      <c r="EI243" s="2" t="s">
        <v>3</v>
      </c>
      <c r="EJ243" s="2">
        <v>2</v>
      </c>
      <c r="EK243" s="2">
        <v>73</v>
      </c>
      <c r="EL243" s="2" t="s">
        <v>85</v>
      </c>
      <c r="EM243" s="2" t="s">
        <v>86</v>
      </c>
      <c r="EN243" s="2"/>
      <c r="EO243" s="2" t="s">
        <v>50</v>
      </c>
      <c r="EP243" s="2"/>
      <c r="EQ243" s="2">
        <v>1024</v>
      </c>
      <c r="ER243" s="2">
        <v>130.07</v>
      </c>
      <c r="ES243" s="2">
        <v>130.07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v>0</v>
      </c>
      <c r="FS243" s="2">
        <v>0</v>
      </c>
      <c r="FT243" s="2"/>
      <c r="FU243" s="2"/>
      <c r="FV243" s="2"/>
      <c r="FW243" s="2"/>
      <c r="FX243" s="2">
        <v>90</v>
      </c>
      <c r="FY243" s="2">
        <v>46</v>
      </c>
      <c r="FZ243" s="2"/>
      <c r="GA243" s="2" t="s">
        <v>3</v>
      </c>
      <c r="GB243" s="2"/>
      <c r="GC243" s="2"/>
      <c r="GD243" s="2">
        <v>1</v>
      </c>
      <c r="GE243" s="2"/>
      <c r="GF243" s="2">
        <v>-1214401210</v>
      </c>
      <c r="GG243" s="2">
        <v>2</v>
      </c>
      <c r="GH243" s="2">
        <v>1</v>
      </c>
      <c r="GI243" s="2">
        <v>-2</v>
      </c>
      <c r="GJ243" s="2">
        <v>0</v>
      </c>
      <c r="GK243" s="2">
        <v>0</v>
      </c>
      <c r="GL243" s="2">
        <f t="shared" si="281"/>
        <v>0</v>
      </c>
      <c r="GM243" s="2">
        <f t="shared" si="282"/>
        <v>2601.4</v>
      </c>
      <c r="GN243" s="2">
        <f t="shared" si="283"/>
        <v>0</v>
      </c>
      <c r="GO243" s="2">
        <f t="shared" si="284"/>
        <v>2601.4</v>
      </c>
      <c r="GP243" s="2">
        <f t="shared" si="285"/>
        <v>0</v>
      </c>
      <c r="GQ243" s="2"/>
      <c r="GR243" s="2">
        <v>0</v>
      </c>
      <c r="GS243" s="2">
        <v>3</v>
      </c>
      <c r="GT243" s="2">
        <v>0</v>
      </c>
      <c r="GU243" s="2" t="s">
        <v>3</v>
      </c>
      <c r="GV243" s="2">
        <f t="shared" si="286"/>
        <v>0</v>
      </c>
      <c r="GW243" s="2">
        <v>1</v>
      </c>
      <c r="GX243" s="2">
        <f t="shared" si="287"/>
        <v>0</v>
      </c>
      <c r="GY243" s="2"/>
      <c r="GZ243" s="2"/>
      <c r="HA243" s="2">
        <v>0</v>
      </c>
      <c r="HB243" s="2">
        <v>0</v>
      </c>
      <c r="HC243" s="2">
        <f t="shared" si="288"/>
        <v>0</v>
      </c>
      <c r="HD243" s="2"/>
      <c r="HE243" s="2" t="s">
        <v>3</v>
      </c>
      <c r="HF243" s="2" t="s">
        <v>3</v>
      </c>
      <c r="HG243" s="2"/>
      <c r="HH243" s="2"/>
      <c r="HI243" s="2"/>
      <c r="HJ243" s="2"/>
      <c r="HK243" s="2"/>
      <c r="HL243" s="2"/>
      <c r="HM243" s="2" t="s">
        <v>48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">
      <c r="A244" s="3">
        <v>18</v>
      </c>
      <c r="B244" s="3">
        <v>1</v>
      </c>
      <c r="C244" s="3">
        <v>600</v>
      </c>
      <c r="E244" s="3" t="s">
        <v>3</v>
      </c>
      <c r="F244" s="3" t="s">
        <v>158</v>
      </c>
      <c r="G244" s="3" t="s">
        <v>159</v>
      </c>
      <c r="H244" s="3" t="s">
        <v>118</v>
      </c>
      <c r="I244" s="3">
        <f>I242*J244</f>
        <v>20</v>
      </c>
      <c r="J244" s="3">
        <v>0.83333333333333337</v>
      </c>
      <c r="K244" s="3">
        <v>0.83333332999999998</v>
      </c>
      <c r="O244" s="3">
        <f t="shared" si="264"/>
        <v>12538.75</v>
      </c>
      <c r="P244" s="3">
        <f t="shared" si="265"/>
        <v>12538.75</v>
      </c>
      <c r="Q244" s="3">
        <f t="shared" si="301"/>
        <v>0</v>
      </c>
      <c r="R244" s="3">
        <f t="shared" si="302"/>
        <v>0</v>
      </c>
      <c r="S244" s="3">
        <f t="shared" si="266"/>
        <v>0</v>
      </c>
      <c r="T244" s="3">
        <f t="shared" si="267"/>
        <v>0</v>
      </c>
      <c r="U244" s="3">
        <f t="shared" si="268"/>
        <v>0</v>
      </c>
      <c r="V244" s="3">
        <f t="shared" si="269"/>
        <v>0</v>
      </c>
      <c r="W244" s="3">
        <f t="shared" si="270"/>
        <v>0</v>
      </c>
      <c r="X244" s="3">
        <f t="shared" si="303"/>
        <v>0</v>
      </c>
      <c r="Y244" s="3">
        <f t="shared" si="304"/>
        <v>0</v>
      </c>
      <c r="AA244" s="3">
        <v>-1</v>
      </c>
      <c r="AB244" s="3">
        <f t="shared" si="271"/>
        <v>130.07</v>
      </c>
      <c r="AC244" s="3">
        <f t="shared" si="305"/>
        <v>130.07</v>
      </c>
      <c r="AD244" s="3">
        <f t="shared" si="306"/>
        <v>0</v>
      </c>
      <c r="AE244" s="3">
        <f t="shared" si="307"/>
        <v>0</v>
      </c>
      <c r="AF244" s="3">
        <f t="shared" si="308"/>
        <v>0</v>
      </c>
      <c r="AG244" s="3">
        <f t="shared" si="272"/>
        <v>0</v>
      </c>
      <c r="AH244" s="3">
        <f t="shared" si="309"/>
        <v>0</v>
      </c>
      <c r="AI244" s="3">
        <f t="shared" si="310"/>
        <v>0</v>
      </c>
      <c r="AJ244" s="3">
        <f t="shared" si="273"/>
        <v>0</v>
      </c>
      <c r="AK244" s="3">
        <v>130.07</v>
      </c>
      <c r="AL244" s="3">
        <v>130.07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90</v>
      </c>
      <c r="AU244" s="3">
        <v>46</v>
      </c>
      <c r="AV244" s="3">
        <v>1</v>
      </c>
      <c r="AW244" s="3">
        <v>1</v>
      </c>
      <c r="AZ244" s="3">
        <v>1</v>
      </c>
      <c r="BA244" s="3">
        <v>1</v>
      </c>
      <c r="BB244" s="3">
        <v>1</v>
      </c>
      <c r="BC244" s="3">
        <v>4.82</v>
      </c>
      <c r="BD244" s="3" t="s">
        <v>3</v>
      </c>
      <c r="BE244" s="3" t="s">
        <v>3</v>
      </c>
      <c r="BF244" s="3" t="s">
        <v>3</v>
      </c>
      <c r="BG244" s="3" t="s">
        <v>3</v>
      </c>
      <c r="BH244" s="3">
        <v>3</v>
      </c>
      <c r="BI244" s="3">
        <v>2</v>
      </c>
      <c r="BJ244" s="3" t="s">
        <v>160</v>
      </c>
      <c r="BM244" s="3">
        <v>73</v>
      </c>
      <c r="BN244" s="3">
        <v>0</v>
      </c>
      <c r="BO244" s="3" t="s">
        <v>158</v>
      </c>
      <c r="BP244" s="3">
        <v>1</v>
      </c>
      <c r="BQ244" s="3">
        <v>40</v>
      </c>
      <c r="BR244" s="3">
        <v>0</v>
      </c>
      <c r="BS244" s="3">
        <v>1</v>
      </c>
      <c r="BT244" s="3">
        <v>1</v>
      </c>
      <c r="BU244" s="3">
        <v>1</v>
      </c>
      <c r="BV244" s="3">
        <v>1</v>
      </c>
      <c r="BW244" s="3">
        <v>1</v>
      </c>
      <c r="BX244" s="3">
        <v>1</v>
      </c>
      <c r="BY244" s="3" t="s">
        <v>3</v>
      </c>
      <c r="BZ244" s="3">
        <v>90</v>
      </c>
      <c r="CA244" s="3">
        <v>46</v>
      </c>
      <c r="CB244" s="3" t="s">
        <v>3</v>
      </c>
      <c r="CE244" s="3">
        <v>1566</v>
      </c>
      <c r="CF244" s="3">
        <v>0</v>
      </c>
      <c r="CG244" s="3">
        <v>0</v>
      </c>
      <c r="CM244" s="3">
        <v>0</v>
      </c>
      <c r="CN244" s="3" t="s">
        <v>718</v>
      </c>
      <c r="CO244" s="3">
        <v>0</v>
      </c>
      <c r="CP244" s="3">
        <f t="shared" si="274"/>
        <v>12538.75</v>
      </c>
      <c r="CQ244" s="3">
        <f t="shared" si="275"/>
        <v>626.94000000000005</v>
      </c>
      <c r="CR244" s="3">
        <f t="shared" si="311"/>
        <v>0</v>
      </c>
      <c r="CS244" s="3">
        <f t="shared" si="312"/>
        <v>0</v>
      </c>
      <c r="CT244" s="3">
        <f t="shared" si="276"/>
        <v>0</v>
      </c>
      <c r="CU244" s="3">
        <f t="shared" si="277"/>
        <v>0</v>
      </c>
      <c r="CV244" s="3">
        <f t="shared" si="278"/>
        <v>0</v>
      </c>
      <c r="CW244" s="3">
        <f t="shared" si="279"/>
        <v>0</v>
      </c>
      <c r="CX244" s="3">
        <f t="shared" si="280"/>
        <v>0</v>
      </c>
      <c r="CY244" s="3">
        <f t="shared" si="313"/>
        <v>0</v>
      </c>
      <c r="CZ244" s="3">
        <f t="shared" si="314"/>
        <v>0</v>
      </c>
      <c r="DC244" s="3" t="s">
        <v>3</v>
      </c>
      <c r="DD244" s="3" t="s">
        <v>3</v>
      </c>
      <c r="DE244" s="3" t="s">
        <v>3</v>
      </c>
      <c r="DF244" s="3" t="s">
        <v>3</v>
      </c>
      <c r="DG244" s="3" t="s">
        <v>3</v>
      </c>
      <c r="DH244" s="3" t="s">
        <v>3</v>
      </c>
      <c r="DI244" s="3" t="s">
        <v>3</v>
      </c>
      <c r="DJ244" s="3" t="s">
        <v>3</v>
      </c>
      <c r="DK244" s="3" t="s">
        <v>3</v>
      </c>
      <c r="DL244" s="3" t="s">
        <v>3</v>
      </c>
      <c r="DM244" s="3" t="s">
        <v>3</v>
      </c>
      <c r="DN244" s="3">
        <v>0</v>
      </c>
      <c r="DO244" s="3">
        <v>0</v>
      </c>
      <c r="DP244" s="3">
        <v>1</v>
      </c>
      <c r="DQ244" s="3">
        <v>1</v>
      </c>
      <c r="DU244" s="3">
        <v>1010</v>
      </c>
      <c r="DV244" s="3" t="s">
        <v>118</v>
      </c>
      <c r="DW244" s="3" t="s">
        <v>118</v>
      </c>
      <c r="DX244" s="3">
        <v>1</v>
      </c>
      <c r="DZ244" s="3" t="s">
        <v>3</v>
      </c>
      <c r="EA244" s="3" t="s">
        <v>3</v>
      </c>
      <c r="EB244" s="3" t="s">
        <v>3</v>
      </c>
      <c r="EC244" s="3" t="s">
        <v>3</v>
      </c>
      <c r="EE244" s="3">
        <v>56938740</v>
      </c>
      <c r="EF244" s="3">
        <v>40</v>
      </c>
      <c r="EG244" s="3" t="s">
        <v>29</v>
      </c>
      <c r="EH244" s="3">
        <v>0</v>
      </c>
      <c r="EI244" s="3" t="s">
        <v>3</v>
      </c>
      <c r="EJ244" s="3">
        <v>2</v>
      </c>
      <c r="EK244" s="3">
        <v>73</v>
      </c>
      <c r="EL244" s="3" t="s">
        <v>85</v>
      </c>
      <c r="EM244" s="3" t="s">
        <v>86</v>
      </c>
      <c r="EO244" s="3" t="s">
        <v>50</v>
      </c>
      <c r="EQ244" s="3">
        <v>1024</v>
      </c>
      <c r="ER244" s="3">
        <v>130.07</v>
      </c>
      <c r="ES244" s="3">
        <v>130.07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FQ244" s="3">
        <v>0</v>
      </c>
      <c r="FR244" s="3">
        <v>0</v>
      </c>
      <c r="FS244" s="3">
        <v>0</v>
      </c>
      <c r="FX244" s="3">
        <v>90</v>
      </c>
      <c r="FY244" s="3">
        <v>46</v>
      </c>
      <c r="GA244" s="3" t="s">
        <v>3</v>
      </c>
      <c r="GD244" s="3">
        <v>1</v>
      </c>
      <c r="GF244" s="3">
        <v>-1214401210</v>
      </c>
      <c r="GG244" s="3">
        <v>2</v>
      </c>
      <c r="GH244" s="3">
        <v>1</v>
      </c>
      <c r="GI244" s="3">
        <v>2</v>
      </c>
      <c r="GJ244" s="3">
        <v>0</v>
      </c>
      <c r="GK244" s="3">
        <v>0</v>
      </c>
      <c r="GL244" s="3">
        <f t="shared" si="281"/>
        <v>0</v>
      </c>
      <c r="GM244" s="3">
        <f t="shared" si="282"/>
        <v>12538.75</v>
      </c>
      <c r="GN244" s="3">
        <f t="shared" si="283"/>
        <v>0</v>
      </c>
      <c r="GO244" s="3">
        <f t="shared" si="284"/>
        <v>12538.75</v>
      </c>
      <c r="GP244" s="3">
        <f t="shared" si="285"/>
        <v>0</v>
      </c>
      <c r="GR244" s="3">
        <v>0</v>
      </c>
      <c r="GS244" s="3">
        <v>3</v>
      </c>
      <c r="GT244" s="3">
        <v>0</v>
      </c>
      <c r="GU244" s="3" t="s">
        <v>3</v>
      </c>
      <c r="GV244" s="3">
        <f t="shared" si="286"/>
        <v>0</v>
      </c>
      <c r="GW244" s="3">
        <v>1</v>
      </c>
      <c r="GX244" s="3">
        <f t="shared" si="287"/>
        <v>0</v>
      </c>
      <c r="HA244" s="3">
        <v>0</v>
      </c>
      <c r="HB244" s="3">
        <v>0</v>
      </c>
      <c r="HC244" s="3">
        <f t="shared" si="288"/>
        <v>0</v>
      </c>
      <c r="HE244" s="3" t="s">
        <v>3</v>
      </c>
      <c r="HF244" s="3" t="s">
        <v>3</v>
      </c>
      <c r="HM244" s="3" t="s">
        <v>48</v>
      </c>
      <c r="HN244" s="3" t="s">
        <v>3</v>
      </c>
      <c r="HO244" s="3" t="s">
        <v>3</v>
      </c>
      <c r="HP244" s="3" t="s">
        <v>3</v>
      </c>
      <c r="HQ244" s="3" t="s">
        <v>3</v>
      </c>
      <c r="HS244" s="3">
        <v>0</v>
      </c>
      <c r="IK244" s="3">
        <v>0</v>
      </c>
    </row>
    <row r="245" spans="1:255" x14ac:dyDescent="0.2">
      <c r="A245" s="2">
        <v>18</v>
      </c>
      <c r="B245" s="2">
        <v>1</v>
      </c>
      <c r="C245" s="2">
        <v>591</v>
      </c>
      <c r="D245" s="2"/>
      <c r="E245" s="2" t="s">
        <v>3</v>
      </c>
      <c r="F245" s="2" t="s">
        <v>409</v>
      </c>
      <c r="G245" s="2" t="s">
        <v>410</v>
      </c>
      <c r="H245" s="2" t="s">
        <v>118</v>
      </c>
      <c r="I245" s="2">
        <f>I241*J245</f>
        <v>4</v>
      </c>
      <c r="J245" s="2">
        <v>0.16666666666666666</v>
      </c>
      <c r="K245" s="2">
        <v>0.16666666999999999</v>
      </c>
      <c r="L245" s="2"/>
      <c r="M245" s="2"/>
      <c r="N245" s="2"/>
      <c r="O245" s="2">
        <f t="shared" si="264"/>
        <v>1187.96</v>
      </c>
      <c r="P245" s="2">
        <f t="shared" si="265"/>
        <v>1187.96</v>
      </c>
      <c r="Q245" s="2">
        <f t="shared" si="301"/>
        <v>0</v>
      </c>
      <c r="R245" s="2">
        <f t="shared" si="302"/>
        <v>0</v>
      </c>
      <c r="S245" s="2">
        <f t="shared" si="266"/>
        <v>0</v>
      </c>
      <c r="T245" s="2">
        <f t="shared" si="267"/>
        <v>0</v>
      </c>
      <c r="U245" s="2">
        <f t="shared" si="268"/>
        <v>0</v>
      </c>
      <c r="V245" s="2">
        <f t="shared" si="269"/>
        <v>0</v>
      </c>
      <c r="W245" s="2">
        <f t="shared" si="270"/>
        <v>0</v>
      </c>
      <c r="X245" s="2">
        <f t="shared" si="303"/>
        <v>0</v>
      </c>
      <c r="Y245" s="2">
        <f t="shared" si="304"/>
        <v>0</v>
      </c>
      <c r="Z245" s="2"/>
      <c r="AA245" s="2">
        <v>-1</v>
      </c>
      <c r="AB245" s="2">
        <f t="shared" si="271"/>
        <v>296.99</v>
      </c>
      <c r="AC245" s="2">
        <f t="shared" si="305"/>
        <v>296.99</v>
      </c>
      <c r="AD245" s="2">
        <f t="shared" si="306"/>
        <v>0</v>
      </c>
      <c r="AE245" s="2">
        <f t="shared" si="307"/>
        <v>0</v>
      </c>
      <c r="AF245" s="2">
        <f t="shared" si="308"/>
        <v>0</v>
      </c>
      <c r="AG245" s="2">
        <f t="shared" si="272"/>
        <v>0</v>
      </c>
      <c r="AH245" s="2">
        <f t="shared" si="309"/>
        <v>0</v>
      </c>
      <c r="AI245" s="2">
        <f t="shared" si="310"/>
        <v>0</v>
      </c>
      <c r="AJ245" s="2">
        <f t="shared" si="273"/>
        <v>0</v>
      </c>
      <c r="AK245" s="2">
        <v>296.99</v>
      </c>
      <c r="AL245" s="2">
        <v>296.99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90</v>
      </c>
      <c r="AU245" s="2">
        <v>46</v>
      </c>
      <c r="AV245" s="2">
        <v>1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3</v>
      </c>
      <c r="BI245" s="2">
        <v>2</v>
      </c>
      <c r="BJ245" s="2" t="s">
        <v>411</v>
      </c>
      <c r="BK245" s="2"/>
      <c r="BL245" s="2"/>
      <c r="BM245" s="2">
        <v>73</v>
      </c>
      <c r="BN245" s="2">
        <v>0</v>
      </c>
      <c r="BO245" s="2" t="s">
        <v>3</v>
      </c>
      <c r="BP245" s="2">
        <v>0</v>
      </c>
      <c r="BQ245" s="2">
        <v>40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90</v>
      </c>
      <c r="CA245" s="2">
        <v>46</v>
      </c>
      <c r="CB245" s="2" t="s">
        <v>3</v>
      </c>
      <c r="CC245" s="2"/>
      <c r="CD245" s="2"/>
      <c r="CE245" s="2">
        <v>1566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718</v>
      </c>
      <c r="CO245" s="2">
        <v>0</v>
      </c>
      <c r="CP245" s="2">
        <f t="shared" si="274"/>
        <v>1187.96</v>
      </c>
      <c r="CQ245" s="2">
        <f t="shared" si="275"/>
        <v>296.99</v>
      </c>
      <c r="CR245" s="2">
        <f t="shared" si="311"/>
        <v>0</v>
      </c>
      <c r="CS245" s="2">
        <f t="shared" si="312"/>
        <v>0</v>
      </c>
      <c r="CT245" s="2">
        <f t="shared" si="276"/>
        <v>0</v>
      </c>
      <c r="CU245" s="2">
        <f t="shared" si="277"/>
        <v>0</v>
      </c>
      <c r="CV245" s="2">
        <f t="shared" si="278"/>
        <v>0</v>
      </c>
      <c r="CW245" s="2">
        <f t="shared" si="279"/>
        <v>0</v>
      </c>
      <c r="CX245" s="2">
        <f t="shared" si="280"/>
        <v>0</v>
      </c>
      <c r="CY245" s="2">
        <f t="shared" si="313"/>
        <v>0</v>
      </c>
      <c r="CZ245" s="2">
        <f t="shared" si="314"/>
        <v>0</v>
      </c>
      <c r="DA245" s="2"/>
      <c r="DB245" s="2"/>
      <c r="DC245" s="2" t="s">
        <v>3</v>
      </c>
      <c r="DD245" s="2" t="s">
        <v>3</v>
      </c>
      <c r="DE245" s="2" t="s">
        <v>3</v>
      </c>
      <c r="DF245" s="2" t="s">
        <v>3</v>
      </c>
      <c r="DG245" s="2" t="s">
        <v>3</v>
      </c>
      <c r="DH245" s="2" t="s">
        <v>3</v>
      </c>
      <c r="DI245" s="2" t="s">
        <v>3</v>
      </c>
      <c r="DJ245" s="2" t="s">
        <v>3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1010</v>
      </c>
      <c r="DV245" s="2" t="s">
        <v>118</v>
      </c>
      <c r="DW245" s="2" t="s">
        <v>118</v>
      </c>
      <c r="DX245" s="2">
        <v>1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56938740</v>
      </c>
      <c r="EF245" s="2">
        <v>40</v>
      </c>
      <c r="EG245" s="2" t="s">
        <v>29</v>
      </c>
      <c r="EH245" s="2">
        <v>0</v>
      </c>
      <c r="EI245" s="2" t="s">
        <v>3</v>
      </c>
      <c r="EJ245" s="2">
        <v>2</v>
      </c>
      <c r="EK245" s="2">
        <v>73</v>
      </c>
      <c r="EL245" s="2" t="s">
        <v>85</v>
      </c>
      <c r="EM245" s="2" t="s">
        <v>86</v>
      </c>
      <c r="EN245" s="2"/>
      <c r="EO245" s="2" t="s">
        <v>50</v>
      </c>
      <c r="EP245" s="2"/>
      <c r="EQ245" s="2">
        <v>1024</v>
      </c>
      <c r="ER245" s="2">
        <v>296.99</v>
      </c>
      <c r="ES245" s="2">
        <v>296.99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v>0</v>
      </c>
      <c r="FS245" s="2">
        <v>0</v>
      </c>
      <c r="FT245" s="2"/>
      <c r="FU245" s="2"/>
      <c r="FV245" s="2"/>
      <c r="FW245" s="2"/>
      <c r="FX245" s="2">
        <v>90</v>
      </c>
      <c r="FY245" s="2">
        <v>46</v>
      </c>
      <c r="FZ245" s="2"/>
      <c r="GA245" s="2" t="s">
        <v>3</v>
      </c>
      <c r="GB245" s="2"/>
      <c r="GC245" s="2"/>
      <c r="GD245" s="2">
        <v>1</v>
      </c>
      <c r="GE245" s="2"/>
      <c r="GF245" s="2">
        <v>814129051</v>
      </c>
      <c r="GG245" s="2">
        <v>2</v>
      </c>
      <c r="GH245" s="2">
        <v>1</v>
      </c>
      <c r="GI245" s="2">
        <v>-2</v>
      </c>
      <c r="GJ245" s="2">
        <v>0</v>
      </c>
      <c r="GK245" s="2">
        <v>0</v>
      </c>
      <c r="GL245" s="2">
        <f t="shared" si="281"/>
        <v>0</v>
      </c>
      <c r="GM245" s="2">
        <f t="shared" si="282"/>
        <v>1187.96</v>
      </c>
      <c r="GN245" s="2">
        <f t="shared" si="283"/>
        <v>0</v>
      </c>
      <c r="GO245" s="2">
        <f t="shared" si="284"/>
        <v>1187.96</v>
      </c>
      <c r="GP245" s="2">
        <f t="shared" si="285"/>
        <v>0</v>
      </c>
      <c r="GQ245" s="2"/>
      <c r="GR245" s="2">
        <v>0</v>
      </c>
      <c r="GS245" s="2">
        <v>3</v>
      </c>
      <c r="GT245" s="2">
        <v>0</v>
      </c>
      <c r="GU245" s="2" t="s">
        <v>3</v>
      </c>
      <c r="GV245" s="2">
        <f t="shared" si="286"/>
        <v>0</v>
      </c>
      <c r="GW245" s="2">
        <v>1</v>
      </c>
      <c r="GX245" s="2">
        <f t="shared" si="287"/>
        <v>0</v>
      </c>
      <c r="GY245" s="2"/>
      <c r="GZ245" s="2"/>
      <c r="HA245" s="2">
        <v>0</v>
      </c>
      <c r="HB245" s="2">
        <v>0</v>
      </c>
      <c r="HC245" s="2">
        <f t="shared" si="288"/>
        <v>0</v>
      </c>
      <c r="HD245" s="2"/>
      <c r="HE245" s="2" t="s">
        <v>3</v>
      </c>
      <c r="HF245" s="2" t="s">
        <v>3</v>
      </c>
      <c r="HG245" s="2"/>
      <c r="HH245" s="2"/>
      <c r="HI245" s="2"/>
      <c r="HJ245" s="2"/>
      <c r="HK245" s="2"/>
      <c r="HL245" s="2"/>
      <c r="HM245" s="2" t="s">
        <v>48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">
      <c r="A246" s="3">
        <v>18</v>
      </c>
      <c r="B246" s="3">
        <v>1</v>
      </c>
      <c r="C246" s="3">
        <v>599</v>
      </c>
      <c r="E246" s="3" t="s">
        <v>3</v>
      </c>
      <c r="F246" s="3" t="s">
        <v>409</v>
      </c>
      <c r="G246" s="3" t="s">
        <v>410</v>
      </c>
      <c r="H246" s="3" t="s">
        <v>118</v>
      </c>
      <c r="I246" s="3">
        <f>I242*J246</f>
        <v>4</v>
      </c>
      <c r="J246" s="3">
        <v>0.16666666666666666</v>
      </c>
      <c r="K246" s="3">
        <v>0.16666666999999999</v>
      </c>
      <c r="O246" s="3">
        <f t="shared" si="264"/>
        <v>3611.4</v>
      </c>
      <c r="P246" s="3">
        <f t="shared" si="265"/>
        <v>3611.4</v>
      </c>
      <c r="Q246" s="3">
        <f t="shared" si="301"/>
        <v>0</v>
      </c>
      <c r="R246" s="3">
        <f t="shared" si="302"/>
        <v>0</v>
      </c>
      <c r="S246" s="3">
        <f t="shared" si="266"/>
        <v>0</v>
      </c>
      <c r="T246" s="3">
        <f t="shared" si="267"/>
        <v>0</v>
      </c>
      <c r="U246" s="3">
        <f t="shared" si="268"/>
        <v>0</v>
      </c>
      <c r="V246" s="3">
        <f t="shared" si="269"/>
        <v>0</v>
      </c>
      <c r="W246" s="3">
        <f t="shared" si="270"/>
        <v>0</v>
      </c>
      <c r="X246" s="3">
        <f t="shared" si="303"/>
        <v>0</v>
      </c>
      <c r="Y246" s="3">
        <f t="shared" si="304"/>
        <v>0</v>
      </c>
      <c r="AA246" s="3">
        <v>-1</v>
      </c>
      <c r="AB246" s="3">
        <f t="shared" si="271"/>
        <v>296.99</v>
      </c>
      <c r="AC246" s="3">
        <f t="shared" si="305"/>
        <v>296.99</v>
      </c>
      <c r="AD246" s="3">
        <f t="shared" si="306"/>
        <v>0</v>
      </c>
      <c r="AE246" s="3">
        <f t="shared" si="307"/>
        <v>0</v>
      </c>
      <c r="AF246" s="3">
        <f t="shared" si="308"/>
        <v>0</v>
      </c>
      <c r="AG246" s="3">
        <f t="shared" si="272"/>
        <v>0</v>
      </c>
      <c r="AH246" s="3">
        <f t="shared" si="309"/>
        <v>0</v>
      </c>
      <c r="AI246" s="3">
        <f t="shared" si="310"/>
        <v>0</v>
      </c>
      <c r="AJ246" s="3">
        <f t="shared" si="273"/>
        <v>0</v>
      </c>
      <c r="AK246" s="3">
        <v>296.99</v>
      </c>
      <c r="AL246" s="3">
        <v>296.99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90</v>
      </c>
      <c r="AU246" s="3">
        <v>46</v>
      </c>
      <c r="AV246" s="3">
        <v>1</v>
      </c>
      <c r="AW246" s="3">
        <v>1</v>
      </c>
      <c r="AZ246" s="3">
        <v>1</v>
      </c>
      <c r="BA246" s="3">
        <v>1</v>
      </c>
      <c r="BB246" s="3">
        <v>1</v>
      </c>
      <c r="BC246" s="3">
        <v>3.04</v>
      </c>
      <c r="BD246" s="3" t="s">
        <v>3</v>
      </c>
      <c r="BE246" s="3" t="s">
        <v>3</v>
      </c>
      <c r="BF246" s="3" t="s">
        <v>3</v>
      </c>
      <c r="BG246" s="3" t="s">
        <v>3</v>
      </c>
      <c r="BH246" s="3">
        <v>3</v>
      </c>
      <c r="BI246" s="3">
        <v>2</v>
      </c>
      <c r="BJ246" s="3" t="s">
        <v>411</v>
      </c>
      <c r="BM246" s="3">
        <v>73</v>
      </c>
      <c r="BN246" s="3">
        <v>0</v>
      </c>
      <c r="BO246" s="3" t="s">
        <v>409</v>
      </c>
      <c r="BP246" s="3">
        <v>1</v>
      </c>
      <c r="BQ246" s="3">
        <v>40</v>
      </c>
      <c r="BR246" s="3">
        <v>0</v>
      </c>
      <c r="BS246" s="3">
        <v>1</v>
      </c>
      <c r="BT246" s="3">
        <v>1</v>
      </c>
      <c r="BU246" s="3">
        <v>1</v>
      </c>
      <c r="BV246" s="3">
        <v>1</v>
      </c>
      <c r="BW246" s="3">
        <v>1</v>
      </c>
      <c r="BX246" s="3">
        <v>1</v>
      </c>
      <c r="BY246" s="3" t="s">
        <v>3</v>
      </c>
      <c r="BZ246" s="3">
        <v>90</v>
      </c>
      <c r="CA246" s="3">
        <v>46</v>
      </c>
      <c r="CB246" s="3" t="s">
        <v>3</v>
      </c>
      <c r="CE246" s="3">
        <v>1566</v>
      </c>
      <c r="CF246" s="3">
        <v>0</v>
      </c>
      <c r="CG246" s="3">
        <v>0</v>
      </c>
      <c r="CM246" s="3">
        <v>0</v>
      </c>
      <c r="CN246" s="3" t="s">
        <v>718</v>
      </c>
      <c r="CO246" s="3">
        <v>0</v>
      </c>
      <c r="CP246" s="3">
        <f t="shared" si="274"/>
        <v>3611.4</v>
      </c>
      <c r="CQ246" s="3">
        <f t="shared" si="275"/>
        <v>902.85</v>
      </c>
      <c r="CR246" s="3">
        <f t="shared" si="311"/>
        <v>0</v>
      </c>
      <c r="CS246" s="3">
        <f t="shared" si="312"/>
        <v>0</v>
      </c>
      <c r="CT246" s="3">
        <f t="shared" si="276"/>
        <v>0</v>
      </c>
      <c r="CU246" s="3">
        <f t="shared" si="277"/>
        <v>0</v>
      </c>
      <c r="CV246" s="3">
        <f t="shared" si="278"/>
        <v>0</v>
      </c>
      <c r="CW246" s="3">
        <f t="shared" si="279"/>
        <v>0</v>
      </c>
      <c r="CX246" s="3">
        <f t="shared" si="280"/>
        <v>0</v>
      </c>
      <c r="CY246" s="3">
        <f t="shared" si="313"/>
        <v>0</v>
      </c>
      <c r="CZ246" s="3">
        <f t="shared" si="314"/>
        <v>0</v>
      </c>
      <c r="DC246" s="3" t="s">
        <v>3</v>
      </c>
      <c r="DD246" s="3" t="s">
        <v>3</v>
      </c>
      <c r="DE246" s="3" t="s">
        <v>3</v>
      </c>
      <c r="DF246" s="3" t="s">
        <v>3</v>
      </c>
      <c r="DG246" s="3" t="s">
        <v>3</v>
      </c>
      <c r="DH246" s="3" t="s">
        <v>3</v>
      </c>
      <c r="DI246" s="3" t="s">
        <v>3</v>
      </c>
      <c r="DJ246" s="3" t="s">
        <v>3</v>
      </c>
      <c r="DK246" s="3" t="s">
        <v>3</v>
      </c>
      <c r="DL246" s="3" t="s">
        <v>3</v>
      </c>
      <c r="DM246" s="3" t="s">
        <v>3</v>
      </c>
      <c r="DN246" s="3">
        <v>0</v>
      </c>
      <c r="DO246" s="3">
        <v>0</v>
      </c>
      <c r="DP246" s="3">
        <v>1</v>
      </c>
      <c r="DQ246" s="3">
        <v>1</v>
      </c>
      <c r="DU246" s="3">
        <v>1010</v>
      </c>
      <c r="DV246" s="3" t="s">
        <v>118</v>
      </c>
      <c r="DW246" s="3" t="s">
        <v>118</v>
      </c>
      <c r="DX246" s="3">
        <v>1</v>
      </c>
      <c r="DZ246" s="3" t="s">
        <v>3</v>
      </c>
      <c r="EA246" s="3" t="s">
        <v>3</v>
      </c>
      <c r="EB246" s="3" t="s">
        <v>3</v>
      </c>
      <c r="EC246" s="3" t="s">
        <v>3</v>
      </c>
      <c r="EE246" s="3">
        <v>56938740</v>
      </c>
      <c r="EF246" s="3">
        <v>40</v>
      </c>
      <c r="EG246" s="3" t="s">
        <v>29</v>
      </c>
      <c r="EH246" s="3">
        <v>0</v>
      </c>
      <c r="EI246" s="3" t="s">
        <v>3</v>
      </c>
      <c r="EJ246" s="3">
        <v>2</v>
      </c>
      <c r="EK246" s="3">
        <v>73</v>
      </c>
      <c r="EL246" s="3" t="s">
        <v>85</v>
      </c>
      <c r="EM246" s="3" t="s">
        <v>86</v>
      </c>
      <c r="EO246" s="3" t="s">
        <v>50</v>
      </c>
      <c r="EQ246" s="3">
        <v>1024</v>
      </c>
      <c r="ER246" s="3">
        <v>296.99</v>
      </c>
      <c r="ES246" s="3">
        <v>296.99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FQ246" s="3">
        <v>0</v>
      </c>
      <c r="FR246" s="3">
        <v>0</v>
      </c>
      <c r="FS246" s="3">
        <v>0</v>
      </c>
      <c r="FX246" s="3">
        <v>90</v>
      </c>
      <c r="FY246" s="3">
        <v>46</v>
      </c>
      <c r="GA246" s="3" t="s">
        <v>3</v>
      </c>
      <c r="GD246" s="3">
        <v>1</v>
      </c>
      <c r="GF246" s="3">
        <v>814129051</v>
      </c>
      <c r="GG246" s="3">
        <v>2</v>
      </c>
      <c r="GH246" s="3">
        <v>1</v>
      </c>
      <c r="GI246" s="3">
        <v>2</v>
      </c>
      <c r="GJ246" s="3">
        <v>0</v>
      </c>
      <c r="GK246" s="3">
        <v>0</v>
      </c>
      <c r="GL246" s="3">
        <f t="shared" si="281"/>
        <v>0</v>
      </c>
      <c r="GM246" s="3">
        <f t="shared" si="282"/>
        <v>3611.4</v>
      </c>
      <c r="GN246" s="3">
        <f t="shared" si="283"/>
        <v>0</v>
      </c>
      <c r="GO246" s="3">
        <f t="shared" si="284"/>
        <v>3611.4</v>
      </c>
      <c r="GP246" s="3">
        <f t="shared" si="285"/>
        <v>0</v>
      </c>
      <c r="GR246" s="3">
        <v>0</v>
      </c>
      <c r="GS246" s="3">
        <v>3</v>
      </c>
      <c r="GT246" s="3">
        <v>0</v>
      </c>
      <c r="GU246" s="3" t="s">
        <v>3</v>
      </c>
      <c r="GV246" s="3">
        <f t="shared" si="286"/>
        <v>0</v>
      </c>
      <c r="GW246" s="3">
        <v>1</v>
      </c>
      <c r="GX246" s="3">
        <f t="shared" si="287"/>
        <v>0</v>
      </c>
      <c r="HA246" s="3">
        <v>0</v>
      </c>
      <c r="HB246" s="3">
        <v>0</v>
      </c>
      <c r="HC246" s="3">
        <f t="shared" si="288"/>
        <v>0</v>
      </c>
      <c r="HE246" s="3" t="s">
        <v>3</v>
      </c>
      <c r="HF246" s="3" t="s">
        <v>3</v>
      </c>
      <c r="HM246" s="3" t="s">
        <v>48</v>
      </c>
      <c r="HN246" s="3" t="s">
        <v>3</v>
      </c>
      <c r="HO246" s="3" t="s">
        <v>3</v>
      </c>
      <c r="HP246" s="3" t="s">
        <v>3</v>
      </c>
      <c r="HQ246" s="3" t="s">
        <v>3</v>
      </c>
      <c r="HS246" s="3">
        <v>0</v>
      </c>
      <c r="IK246" s="3">
        <v>0</v>
      </c>
    </row>
    <row r="247" spans="1:255" x14ac:dyDescent="0.2">
      <c r="A247" s="2">
        <v>17</v>
      </c>
      <c r="B247" s="2">
        <v>1</v>
      </c>
      <c r="C247" s="2">
        <f>ROW(SmtRes!A617)</f>
        <v>617</v>
      </c>
      <c r="D247" s="2">
        <f>ROW(EtalonRes!A653)</f>
        <v>653</v>
      </c>
      <c r="E247" s="2" t="s">
        <v>3</v>
      </c>
      <c r="F247" s="2" t="s">
        <v>219</v>
      </c>
      <c r="G247" s="2" t="s">
        <v>220</v>
      </c>
      <c r="H247" s="2" t="s">
        <v>221</v>
      </c>
      <c r="I247" s="2">
        <f>ROUND((800+900+200)/1000,9)</f>
        <v>1.9</v>
      </c>
      <c r="J247" s="2">
        <v>0</v>
      </c>
      <c r="K247" s="2">
        <f>ROUND((800+900+200)/1000,9)</f>
        <v>1.9</v>
      </c>
      <c r="L247" s="2"/>
      <c r="M247" s="2"/>
      <c r="N247" s="2"/>
      <c r="O247" s="2">
        <f t="shared" si="264"/>
        <v>66980.37</v>
      </c>
      <c r="P247" s="2">
        <f t="shared" si="265"/>
        <v>17540.36</v>
      </c>
      <c r="Q247" s="2">
        <f t="shared" si="301"/>
        <v>5178.78</v>
      </c>
      <c r="R247" s="2">
        <f t="shared" si="302"/>
        <v>482.52</v>
      </c>
      <c r="S247" s="2">
        <f t="shared" si="266"/>
        <v>44261.23</v>
      </c>
      <c r="T247" s="2">
        <f t="shared" si="267"/>
        <v>0</v>
      </c>
      <c r="U247" s="2">
        <f t="shared" si="268"/>
        <v>3507.2289999999994</v>
      </c>
      <c r="V247" s="2">
        <f t="shared" si="269"/>
        <v>0</v>
      </c>
      <c r="W247" s="2">
        <f t="shared" si="270"/>
        <v>0</v>
      </c>
      <c r="X247" s="2">
        <f t="shared" si="303"/>
        <v>40269.379999999997</v>
      </c>
      <c r="Y247" s="2">
        <f t="shared" si="304"/>
        <v>20582.13</v>
      </c>
      <c r="Z247" s="2"/>
      <c r="AA247" s="2">
        <v>-1</v>
      </c>
      <c r="AB247" s="2">
        <f t="shared" si="271"/>
        <v>33367.440000000002</v>
      </c>
      <c r="AC247" s="2">
        <f t="shared" si="305"/>
        <v>8980.32</v>
      </c>
      <c r="AD247" s="2">
        <f t="shared" si="306"/>
        <v>2554.52</v>
      </c>
      <c r="AE247" s="2">
        <f t="shared" si="307"/>
        <v>238.01</v>
      </c>
      <c r="AF247" s="2">
        <f t="shared" si="308"/>
        <v>21832.6</v>
      </c>
      <c r="AG247" s="2">
        <f t="shared" si="272"/>
        <v>0</v>
      </c>
      <c r="AH247" s="2">
        <f t="shared" si="309"/>
        <v>1730</v>
      </c>
      <c r="AI247" s="2">
        <f t="shared" si="310"/>
        <v>0</v>
      </c>
      <c r="AJ247" s="2">
        <f t="shared" si="273"/>
        <v>0</v>
      </c>
      <c r="AK247" s="2">
        <v>33367.440000000002</v>
      </c>
      <c r="AL247" s="2">
        <v>8980.32</v>
      </c>
      <c r="AM247" s="2">
        <v>2554.52</v>
      </c>
      <c r="AN247" s="2">
        <v>238.01</v>
      </c>
      <c r="AO247" s="2">
        <v>21832.6</v>
      </c>
      <c r="AP247" s="2">
        <v>0</v>
      </c>
      <c r="AQ247" s="2">
        <v>1730</v>
      </c>
      <c r="AR247" s="2">
        <v>0</v>
      </c>
      <c r="AS247" s="2">
        <v>0</v>
      </c>
      <c r="AT247" s="2">
        <v>90</v>
      </c>
      <c r="AU247" s="2">
        <v>46</v>
      </c>
      <c r="AV247" s="2">
        <v>1.0669999999999999</v>
      </c>
      <c r="AW247" s="2">
        <v>1.028</v>
      </c>
      <c r="AX247" s="2"/>
      <c r="AY247" s="2"/>
      <c r="AZ247" s="2">
        <v>1</v>
      </c>
      <c r="BA247" s="2">
        <v>1</v>
      </c>
      <c r="BB247" s="2">
        <v>1</v>
      </c>
      <c r="BC247" s="2">
        <v>1</v>
      </c>
      <c r="BD247" s="2" t="s">
        <v>3</v>
      </c>
      <c r="BE247" s="2" t="s">
        <v>3</v>
      </c>
      <c r="BF247" s="2" t="s">
        <v>3</v>
      </c>
      <c r="BG247" s="2" t="s">
        <v>3</v>
      </c>
      <c r="BH247" s="2">
        <v>0</v>
      </c>
      <c r="BI247" s="2">
        <v>2</v>
      </c>
      <c r="BJ247" s="2" t="s">
        <v>222</v>
      </c>
      <c r="BK247" s="2"/>
      <c r="BL247" s="2"/>
      <c r="BM247" s="2">
        <v>73</v>
      </c>
      <c r="BN247" s="2">
        <v>0</v>
      </c>
      <c r="BO247" s="2" t="s">
        <v>219</v>
      </c>
      <c r="BP247" s="2">
        <v>1</v>
      </c>
      <c r="BQ247" s="2">
        <v>40</v>
      </c>
      <c r="BR247" s="2">
        <v>0</v>
      </c>
      <c r="BS247" s="2">
        <v>1</v>
      </c>
      <c r="BT247" s="2">
        <v>1</v>
      </c>
      <c r="BU247" s="2">
        <v>1</v>
      </c>
      <c r="BV247" s="2">
        <v>1</v>
      </c>
      <c r="BW247" s="2">
        <v>1</v>
      </c>
      <c r="BX247" s="2">
        <v>1</v>
      </c>
      <c r="BY247" s="2" t="s">
        <v>3</v>
      </c>
      <c r="BZ247" s="2">
        <v>90</v>
      </c>
      <c r="CA247" s="2">
        <v>46</v>
      </c>
      <c r="CB247" s="2" t="s">
        <v>3</v>
      </c>
      <c r="CC247" s="2"/>
      <c r="CD247" s="2"/>
      <c r="CE247" s="2">
        <v>1566</v>
      </c>
      <c r="CF247" s="2">
        <v>0</v>
      </c>
      <c r="CG247" s="2">
        <v>0</v>
      </c>
      <c r="CH247" s="2"/>
      <c r="CI247" s="2"/>
      <c r="CJ247" s="2"/>
      <c r="CK247" s="2"/>
      <c r="CL247" s="2"/>
      <c r="CM247" s="2">
        <v>0</v>
      </c>
      <c r="CN247" s="2" t="s">
        <v>3</v>
      </c>
      <c r="CO247" s="2">
        <v>0</v>
      </c>
      <c r="CP247" s="2">
        <f t="shared" si="274"/>
        <v>66980.37</v>
      </c>
      <c r="CQ247" s="2">
        <f t="shared" si="275"/>
        <v>9231.77</v>
      </c>
      <c r="CR247" s="2">
        <f t="shared" si="311"/>
        <v>2725.67</v>
      </c>
      <c r="CS247" s="2">
        <f t="shared" si="312"/>
        <v>253.96</v>
      </c>
      <c r="CT247" s="2">
        <f t="shared" si="276"/>
        <v>23295.38</v>
      </c>
      <c r="CU247" s="2">
        <f t="shared" si="277"/>
        <v>0</v>
      </c>
      <c r="CV247" s="2">
        <f t="shared" si="278"/>
        <v>1845.9099999999999</v>
      </c>
      <c r="CW247" s="2">
        <f t="shared" si="279"/>
        <v>0</v>
      </c>
      <c r="CX247" s="2">
        <f t="shared" si="280"/>
        <v>0</v>
      </c>
      <c r="CY247" s="2">
        <f t="shared" si="313"/>
        <v>40063.67</v>
      </c>
      <c r="CZ247" s="2">
        <f t="shared" si="314"/>
        <v>20476.990000000002</v>
      </c>
      <c r="DA247" s="2"/>
      <c r="DB247" s="2"/>
      <c r="DC247" s="2" t="s">
        <v>3</v>
      </c>
      <c r="DD247" s="2" t="s">
        <v>3</v>
      </c>
      <c r="DE247" s="2" t="s">
        <v>3</v>
      </c>
      <c r="DF247" s="2" t="s">
        <v>3</v>
      </c>
      <c r="DG247" s="2" t="s">
        <v>3</v>
      </c>
      <c r="DH247" s="2" t="s">
        <v>3</v>
      </c>
      <c r="DI247" s="2" t="s">
        <v>3</v>
      </c>
      <c r="DJ247" s="2" t="s">
        <v>3</v>
      </c>
      <c r="DK247" s="2" t="s">
        <v>3</v>
      </c>
      <c r="DL247" s="2" t="s">
        <v>3</v>
      </c>
      <c r="DM247" s="2" t="s">
        <v>3</v>
      </c>
      <c r="DN247" s="2">
        <v>0</v>
      </c>
      <c r="DO247" s="2">
        <v>0</v>
      </c>
      <c r="DP247" s="2">
        <v>1</v>
      </c>
      <c r="DQ247" s="2">
        <v>1</v>
      </c>
      <c r="DR247" s="2"/>
      <c r="DS247" s="2"/>
      <c r="DT247" s="2"/>
      <c r="DU247" s="2">
        <v>1013</v>
      </c>
      <c r="DV247" s="2" t="s">
        <v>221</v>
      </c>
      <c r="DW247" s="2" t="s">
        <v>223</v>
      </c>
      <c r="DX247" s="2">
        <v>1</v>
      </c>
      <c r="DY247" s="2"/>
      <c r="DZ247" s="2" t="s">
        <v>3</v>
      </c>
      <c r="EA247" s="2" t="s">
        <v>3</v>
      </c>
      <c r="EB247" s="2" t="s">
        <v>3</v>
      </c>
      <c r="EC247" s="2" t="s">
        <v>3</v>
      </c>
      <c r="ED247" s="2"/>
      <c r="EE247" s="2">
        <v>56938740</v>
      </c>
      <c r="EF247" s="2">
        <v>40</v>
      </c>
      <c r="EG247" s="2" t="s">
        <v>29</v>
      </c>
      <c r="EH247" s="2">
        <v>0</v>
      </c>
      <c r="EI247" s="2" t="s">
        <v>3</v>
      </c>
      <c r="EJ247" s="2">
        <v>2</v>
      </c>
      <c r="EK247" s="2">
        <v>73</v>
      </c>
      <c r="EL247" s="2" t="s">
        <v>85</v>
      </c>
      <c r="EM247" s="2" t="s">
        <v>86</v>
      </c>
      <c r="EN247" s="2"/>
      <c r="EO247" s="2" t="s">
        <v>3</v>
      </c>
      <c r="EP247" s="2"/>
      <c r="EQ247" s="2">
        <v>132096</v>
      </c>
      <c r="ER247" s="2">
        <v>33367.440000000002</v>
      </c>
      <c r="ES247" s="2">
        <v>8980.32</v>
      </c>
      <c r="ET247" s="2">
        <v>2554.52</v>
      </c>
      <c r="EU247" s="2">
        <v>238.01</v>
      </c>
      <c r="EV247" s="2">
        <v>21832.6</v>
      </c>
      <c r="EW247" s="2">
        <v>1730</v>
      </c>
      <c r="EX247" s="2">
        <v>0</v>
      </c>
      <c r="EY247" s="2">
        <v>0</v>
      </c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>
        <v>0</v>
      </c>
      <c r="FR247" s="2">
        <v>0</v>
      </c>
      <c r="FS247" s="2">
        <v>2</v>
      </c>
      <c r="FT247" s="2"/>
      <c r="FU247" s="2"/>
      <c r="FV247" s="2"/>
      <c r="FW247" s="2"/>
      <c r="FX247" s="2">
        <v>90</v>
      </c>
      <c r="FY247" s="2">
        <v>46</v>
      </c>
      <c r="FZ247" s="2"/>
      <c r="GA247" s="2" t="s">
        <v>3</v>
      </c>
      <c r="GB247" s="2"/>
      <c r="GC247" s="2"/>
      <c r="GD247" s="2">
        <v>1</v>
      </c>
      <c r="GE247" s="2"/>
      <c r="GF247" s="2">
        <v>-1824218315</v>
      </c>
      <c r="GG247" s="2">
        <v>2</v>
      </c>
      <c r="GH247" s="2">
        <v>1</v>
      </c>
      <c r="GI247" s="2">
        <v>2</v>
      </c>
      <c r="GJ247" s="2">
        <v>0</v>
      </c>
      <c r="GK247" s="2">
        <v>0</v>
      </c>
      <c r="GL247" s="2">
        <f t="shared" si="281"/>
        <v>0</v>
      </c>
      <c r="GM247" s="2">
        <f t="shared" si="282"/>
        <v>127831.88</v>
      </c>
      <c r="GN247" s="2">
        <f t="shared" si="283"/>
        <v>0</v>
      </c>
      <c r="GO247" s="2">
        <f t="shared" si="284"/>
        <v>127831.88</v>
      </c>
      <c r="GP247" s="2">
        <f t="shared" si="285"/>
        <v>0</v>
      </c>
      <c r="GQ247" s="2"/>
      <c r="GR247" s="2">
        <v>0</v>
      </c>
      <c r="GS247" s="2">
        <v>3</v>
      </c>
      <c r="GT247" s="2">
        <v>0</v>
      </c>
      <c r="GU247" s="2" t="s">
        <v>3</v>
      </c>
      <c r="GV247" s="2">
        <f t="shared" si="286"/>
        <v>0</v>
      </c>
      <c r="GW247" s="2">
        <v>1</v>
      </c>
      <c r="GX247" s="2">
        <f t="shared" si="287"/>
        <v>0</v>
      </c>
      <c r="GY247" s="2"/>
      <c r="GZ247" s="2"/>
      <c r="HA247" s="2">
        <v>0</v>
      </c>
      <c r="HB247" s="2">
        <v>0</v>
      </c>
      <c r="HC247" s="2">
        <f t="shared" si="288"/>
        <v>0</v>
      </c>
      <c r="HD247" s="2"/>
      <c r="HE247" s="2" t="s">
        <v>3</v>
      </c>
      <c r="HF247" s="2" t="s">
        <v>3</v>
      </c>
      <c r="HG247" s="2"/>
      <c r="HH247" s="2"/>
      <c r="HI247" s="2"/>
      <c r="HJ247" s="2"/>
      <c r="HK247" s="2"/>
      <c r="HL247" s="2"/>
      <c r="HM247" s="2" t="s">
        <v>3</v>
      </c>
      <c r="HN247" s="2" t="s">
        <v>3</v>
      </c>
      <c r="HO247" s="2" t="s">
        <v>3</v>
      </c>
      <c r="HP247" s="2" t="s">
        <v>3</v>
      </c>
      <c r="HQ247" s="2" t="s">
        <v>3</v>
      </c>
      <c r="HR247" s="2"/>
      <c r="HS247" s="2">
        <v>0</v>
      </c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>
        <v>0</v>
      </c>
      <c r="IL247" s="2"/>
      <c r="IM247" s="2"/>
      <c r="IN247" s="2"/>
      <c r="IO247" s="2"/>
      <c r="IP247" s="2"/>
      <c r="IQ247" s="2"/>
      <c r="IR247" s="2"/>
      <c r="IS247" s="2"/>
      <c r="IT247" s="2"/>
      <c r="IU247" s="2"/>
    </row>
    <row r="248" spans="1:255" x14ac:dyDescent="0.2">
      <c r="A248" s="3">
        <v>17</v>
      </c>
      <c r="B248" s="3">
        <v>1</v>
      </c>
      <c r="C248" s="3">
        <f>ROW(SmtRes!A634)</f>
        <v>634</v>
      </c>
      <c r="D248" s="3">
        <f>ROW(EtalonRes!A668)</f>
        <v>668</v>
      </c>
      <c r="E248" s="3" t="s">
        <v>3</v>
      </c>
      <c r="F248" s="3" t="s">
        <v>219</v>
      </c>
      <c r="G248" s="3" t="s">
        <v>220</v>
      </c>
      <c r="H248" s="3" t="s">
        <v>221</v>
      </c>
      <c r="I248" s="3">
        <f>ROUND((800+900+200)/1000,9)</f>
        <v>1.9</v>
      </c>
      <c r="J248" s="3">
        <v>0</v>
      </c>
      <c r="K248" s="3">
        <f>ROUND((800+900+200)/1000,9)</f>
        <v>1.9</v>
      </c>
      <c r="O248" s="3">
        <f t="shared" si="264"/>
        <v>2621274.36</v>
      </c>
      <c r="P248" s="3">
        <f t="shared" si="265"/>
        <v>44552.51</v>
      </c>
      <c r="Q248" s="3">
        <f t="shared" si="301"/>
        <v>82601.539999999994</v>
      </c>
      <c r="R248" s="3">
        <f t="shared" si="302"/>
        <v>27190</v>
      </c>
      <c r="S248" s="3">
        <f t="shared" si="266"/>
        <v>2494120.31</v>
      </c>
      <c r="T248" s="3">
        <f t="shared" si="267"/>
        <v>0</v>
      </c>
      <c r="U248" s="3">
        <f t="shared" si="268"/>
        <v>3507.2289999999994</v>
      </c>
      <c r="V248" s="3">
        <f t="shared" si="269"/>
        <v>0</v>
      </c>
      <c r="W248" s="3">
        <f t="shared" si="270"/>
        <v>0</v>
      </c>
      <c r="X248" s="3">
        <f t="shared" si="303"/>
        <v>2269179.2799999998</v>
      </c>
      <c r="Y248" s="3">
        <f t="shared" si="304"/>
        <v>1159802.74</v>
      </c>
      <c r="AA248" s="3">
        <v>-1</v>
      </c>
      <c r="AB248" s="3">
        <f t="shared" si="271"/>
        <v>33367.440000000002</v>
      </c>
      <c r="AC248" s="3">
        <f t="shared" si="305"/>
        <v>8980.32</v>
      </c>
      <c r="AD248" s="3">
        <f t="shared" si="306"/>
        <v>2554.52</v>
      </c>
      <c r="AE248" s="3">
        <f t="shared" si="307"/>
        <v>238.01</v>
      </c>
      <c r="AF248" s="3">
        <f t="shared" si="308"/>
        <v>21832.6</v>
      </c>
      <c r="AG248" s="3">
        <f t="shared" si="272"/>
        <v>0</v>
      </c>
      <c r="AH248" s="3">
        <f t="shared" si="309"/>
        <v>1730</v>
      </c>
      <c r="AI248" s="3">
        <f t="shared" si="310"/>
        <v>0</v>
      </c>
      <c r="AJ248" s="3">
        <f t="shared" si="273"/>
        <v>0</v>
      </c>
      <c r="AK248" s="3">
        <v>33367.440000000002</v>
      </c>
      <c r="AL248" s="3">
        <v>8980.32</v>
      </c>
      <c r="AM248" s="3">
        <v>2554.52</v>
      </c>
      <c r="AN248" s="3">
        <v>238.01</v>
      </c>
      <c r="AO248" s="3">
        <v>21832.6</v>
      </c>
      <c r="AP248" s="3">
        <v>0</v>
      </c>
      <c r="AQ248" s="3">
        <v>1730</v>
      </c>
      <c r="AR248" s="3">
        <v>0</v>
      </c>
      <c r="AS248" s="3">
        <v>0</v>
      </c>
      <c r="AT248" s="3">
        <v>90</v>
      </c>
      <c r="AU248" s="3">
        <v>46</v>
      </c>
      <c r="AV248" s="3">
        <v>1.0669999999999999</v>
      </c>
      <c r="AW248" s="3">
        <v>1.028</v>
      </c>
      <c r="AZ248" s="3">
        <v>1</v>
      </c>
      <c r="BA248" s="3">
        <v>56.35</v>
      </c>
      <c r="BB248" s="3">
        <v>15.95</v>
      </c>
      <c r="BC248" s="3">
        <v>2.54</v>
      </c>
      <c r="BD248" s="3" t="s">
        <v>3</v>
      </c>
      <c r="BE248" s="3" t="s">
        <v>3</v>
      </c>
      <c r="BF248" s="3" t="s">
        <v>3</v>
      </c>
      <c r="BG248" s="3" t="s">
        <v>3</v>
      </c>
      <c r="BH248" s="3">
        <v>0</v>
      </c>
      <c r="BI248" s="3">
        <v>2</v>
      </c>
      <c r="BJ248" s="3" t="s">
        <v>222</v>
      </c>
      <c r="BM248" s="3">
        <v>73</v>
      </c>
      <c r="BN248" s="3">
        <v>0</v>
      </c>
      <c r="BO248" s="3" t="s">
        <v>219</v>
      </c>
      <c r="BP248" s="3">
        <v>1</v>
      </c>
      <c r="BQ248" s="3">
        <v>40</v>
      </c>
      <c r="BR248" s="3">
        <v>0</v>
      </c>
      <c r="BS248" s="3">
        <v>56.35</v>
      </c>
      <c r="BT248" s="3">
        <v>1</v>
      </c>
      <c r="BU248" s="3">
        <v>1</v>
      </c>
      <c r="BV248" s="3">
        <v>1</v>
      </c>
      <c r="BW248" s="3">
        <v>1</v>
      </c>
      <c r="BX248" s="3">
        <v>1</v>
      </c>
      <c r="BY248" s="3" t="s">
        <v>3</v>
      </c>
      <c r="BZ248" s="3">
        <v>90</v>
      </c>
      <c r="CA248" s="3">
        <v>46</v>
      </c>
      <c r="CB248" s="3" t="s">
        <v>3</v>
      </c>
      <c r="CE248" s="3">
        <v>1566</v>
      </c>
      <c r="CF248" s="3">
        <v>0</v>
      </c>
      <c r="CG248" s="3">
        <v>0</v>
      </c>
      <c r="CM248" s="3">
        <v>0</v>
      </c>
      <c r="CN248" s="3" t="s">
        <v>3</v>
      </c>
      <c r="CO248" s="3">
        <v>0</v>
      </c>
      <c r="CP248" s="3">
        <f t="shared" si="274"/>
        <v>2621274.36</v>
      </c>
      <c r="CQ248" s="3">
        <f t="shared" si="275"/>
        <v>23448.7</v>
      </c>
      <c r="CR248" s="3">
        <f t="shared" si="311"/>
        <v>43474.44</v>
      </c>
      <c r="CS248" s="3">
        <f t="shared" si="312"/>
        <v>14310.65</v>
      </c>
      <c r="CT248" s="3">
        <f t="shared" si="276"/>
        <v>1312694.6599999999</v>
      </c>
      <c r="CU248" s="3">
        <f t="shared" si="277"/>
        <v>0</v>
      </c>
      <c r="CV248" s="3">
        <f t="shared" si="278"/>
        <v>1845.9099999999999</v>
      </c>
      <c r="CW248" s="3">
        <f t="shared" si="279"/>
        <v>0</v>
      </c>
      <c r="CX248" s="3">
        <f t="shared" si="280"/>
        <v>0</v>
      </c>
      <c r="CY248" s="3">
        <f t="shared" si="313"/>
        <v>2257587.86</v>
      </c>
      <c r="CZ248" s="3">
        <f t="shared" si="314"/>
        <v>1153878.24</v>
      </c>
      <c r="DC248" s="3" t="s">
        <v>3</v>
      </c>
      <c r="DD248" s="3" t="s">
        <v>3</v>
      </c>
      <c r="DE248" s="3" t="s">
        <v>3</v>
      </c>
      <c r="DF248" s="3" t="s">
        <v>3</v>
      </c>
      <c r="DG248" s="3" t="s">
        <v>3</v>
      </c>
      <c r="DH248" s="3" t="s">
        <v>3</v>
      </c>
      <c r="DI248" s="3" t="s">
        <v>3</v>
      </c>
      <c r="DJ248" s="3" t="s">
        <v>3</v>
      </c>
      <c r="DK248" s="3" t="s">
        <v>3</v>
      </c>
      <c r="DL248" s="3" t="s">
        <v>3</v>
      </c>
      <c r="DM248" s="3" t="s">
        <v>3</v>
      </c>
      <c r="DN248" s="3">
        <v>0</v>
      </c>
      <c r="DO248" s="3">
        <v>0</v>
      </c>
      <c r="DP248" s="3">
        <v>1</v>
      </c>
      <c r="DQ248" s="3">
        <v>1</v>
      </c>
      <c r="DU248" s="3">
        <v>1013</v>
      </c>
      <c r="DV248" s="3" t="s">
        <v>221</v>
      </c>
      <c r="DW248" s="3" t="s">
        <v>223</v>
      </c>
      <c r="DX248" s="3">
        <v>1</v>
      </c>
      <c r="DZ248" s="3" t="s">
        <v>3</v>
      </c>
      <c r="EA248" s="3" t="s">
        <v>3</v>
      </c>
      <c r="EB248" s="3" t="s">
        <v>3</v>
      </c>
      <c r="EC248" s="3" t="s">
        <v>3</v>
      </c>
      <c r="EE248" s="3">
        <v>56938740</v>
      </c>
      <c r="EF248" s="3">
        <v>40</v>
      </c>
      <c r="EG248" s="3" t="s">
        <v>29</v>
      </c>
      <c r="EH248" s="3">
        <v>0</v>
      </c>
      <c r="EI248" s="3" t="s">
        <v>3</v>
      </c>
      <c r="EJ248" s="3">
        <v>2</v>
      </c>
      <c r="EK248" s="3">
        <v>73</v>
      </c>
      <c r="EL248" s="3" t="s">
        <v>85</v>
      </c>
      <c r="EM248" s="3" t="s">
        <v>86</v>
      </c>
      <c r="EO248" s="3" t="s">
        <v>3</v>
      </c>
      <c r="EQ248" s="3">
        <v>132096</v>
      </c>
      <c r="ER248" s="3">
        <v>33367.440000000002</v>
      </c>
      <c r="ES248" s="3">
        <v>8980.32</v>
      </c>
      <c r="ET248" s="3">
        <v>2554.52</v>
      </c>
      <c r="EU248" s="3">
        <v>238.01</v>
      </c>
      <c r="EV248" s="3">
        <v>21832.6</v>
      </c>
      <c r="EW248" s="3">
        <v>1730</v>
      </c>
      <c r="EX248" s="3">
        <v>0</v>
      </c>
      <c r="EY248" s="3">
        <v>0</v>
      </c>
      <c r="FQ248" s="3">
        <v>0</v>
      </c>
      <c r="FR248" s="3">
        <v>0</v>
      </c>
      <c r="FS248" s="3">
        <v>2</v>
      </c>
      <c r="FX248" s="3">
        <v>90</v>
      </c>
      <c r="FY248" s="3">
        <v>46</v>
      </c>
      <c r="GA248" s="3" t="s">
        <v>3</v>
      </c>
      <c r="GD248" s="3">
        <v>1</v>
      </c>
      <c r="GF248" s="3">
        <v>-1824218315</v>
      </c>
      <c r="GG248" s="3">
        <v>2</v>
      </c>
      <c r="GH248" s="3">
        <v>1</v>
      </c>
      <c r="GI248" s="3">
        <v>2</v>
      </c>
      <c r="GJ248" s="3">
        <v>0</v>
      </c>
      <c r="GK248" s="3">
        <v>0</v>
      </c>
      <c r="GL248" s="3">
        <f t="shared" si="281"/>
        <v>0</v>
      </c>
      <c r="GM248" s="3">
        <f t="shared" si="282"/>
        <v>6050256.3799999999</v>
      </c>
      <c r="GN248" s="3">
        <f t="shared" si="283"/>
        <v>0</v>
      </c>
      <c r="GO248" s="3">
        <f t="shared" si="284"/>
        <v>6050256.3799999999</v>
      </c>
      <c r="GP248" s="3">
        <f t="shared" si="285"/>
        <v>0</v>
      </c>
      <c r="GR248" s="3">
        <v>0</v>
      </c>
      <c r="GS248" s="3">
        <v>3</v>
      </c>
      <c r="GT248" s="3">
        <v>0</v>
      </c>
      <c r="GU248" s="3" t="s">
        <v>3</v>
      </c>
      <c r="GV248" s="3">
        <f t="shared" si="286"/>
        <v>0</v>
      </c>
      <c r="GW248" s="3">
        <v>1</v>
      </c>
      <c r="GX248" s="3">
        <f t="shared" si="287"/>
        <v>0</v>
      </c>
      <c r="HA248" s="3">
        <v>0</v>
      </c>
      <c r="HB248" s="3">
        <v>0</v>
      </c>
      <c r="HC248" s="3">
        <f t="shared" si="288"/>
        <v>0</v>
      </c>
      <c r="HE248" s="3" t="s">
        <v>3</v>
      </c>
      <c r="HF248" s="3" t="s">
        <v>3</v>
      </c>
      <c r="HM248" s="3" t="s">
        <v>3</v>
      </c>
      <c r="HN248" s="3" t="s">
        <v>3</v>
      </c>
      <c r="HO248" s="3" t="s">
        <v>3</v>
      </c>
      <c r="HP248" s="3" t="s">
        <v>3</v>
      </c>
      <c r="HQ248" s="3" t="s">
        <v>3</v>
      </c>
      <c r="HS248" s="3">
        <v>0</v>
      </c>
      <c r="IK248" s="3">
        <v>0</v>
      </c>
    </row>
    <row r="249" spans="1:255" x14ac:dyDescent="0.2">
      <c r="A249" s="2">
        <v>18</v>
      </c>
      <c r="B249" s="2">
        <v>1</v>
      </c>
      <c r="C249" s="2">
        <v>616</v>
      </c>
      <c r="D249" s="2"/>
      <c r="E249" s="2" t="s">
        <v>3</v>
      </c>
      <c r="F249" s="2" t="s">
        <v>412</v>
      </c>
      <c r="G249" s="2" t="s">
        <v>413</v>
      </c>
      <c r="H249" s="2" t="s">
        <v>191</v>
      </c>
      <c r="I249" s="2">
        <f>I247*J249</f>
        <v>804</v>
      </c>
      <c r="J249" s="2">
        <v>423.15789473684214</v>
      </c>
      <c r="K249" s="2">
        <v>423.15789469999999</v>
      </c>
      <c r="L249" s="2"/>
      <c r="M249" s="2"/>
      <c r="N249" s="2"/>
      <c r="O249" s="2">
        <f t="shared" si="264"/>
        <v>49510.32</v>
      </c>
      <c r="P249" s="2">
        <f t="shared" si="265"/>
        <v>49510.32</v>
      </c>
      <c r="Q249" s="2">
        <f t="shared" si="301"/>
        <v>0</v>
      </c>
      <c r="R249" s="2">
        <f t="shared" si="302"/>
        <v>0</v>
      </c>
      <c r="S249" s="2">
        <f t="shared" si="266"/>
        <v>0</v>
      </c>
      <c r="T249" s="2">
        <f t="shared" si="267"/>
        <v>0</v>
      </c>
      <c r="U249" s="2">
        <f t="shared" si="268"/>
        <v>0</v>
      </c>
      <c r="V249" s="2">
        <f t="shared" si="269"/>
        <v>0</v>
      </c>
      <c r="W249" s="2">
        <f t="shared" si="270"/>
        <v>0</v>
      </c>
      <c r="X249" s="2">
        <f t="shared" si="303"/>
        <v>0</v>
      </c>
      <c r="Y249" s="2">
        <f t="shared" si="304"/>
        <v>0</v>
      </c>
      <c r="Z249" s="2"/>
      <c r="AA249" s="2">
        <v>-1</v>
      </c>
      <c r="AB249" s="2">
        <f t="shared" si="271"/>
        <v>61.58</v>
      </c>
      <c r="AC249" s="2">
        <f t="shared" si="305"/>
        <v>61.58</v>
      </c>
      <c r="AD249" s="2">
        <f t="shared" si="306"/>
        <v>0</v>
      </c>
      <c r="AE249" s="2">
        <f t="shared" si="307"/>
        <v>0</v>
      </c>
      <c r="AF249" s="2">
        <f t="shared" si="308"/>
        <v>0</v>
      </c>
      <c r="AG249" s="2">
        <f t="shared" si="272"/>
        <v>0</v>
      </c>
      <c r="AH249" s="2">
        <f t="shared" si="309"/>
        <v>0</v>
      </c>
      <c r="AI249" s="2">
        <f t="shared" si="310"/>
        <v>0</v>
      </c>
      <c r="AJ249" s="2">
        <f t="shared" si="273"/>
        <v>0</v>
      </c>
      <c r="AK249" s="2">
        <v>61.58</v>
      </c>
      <c r="AL249" s="2">
        <v>61.58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90</v>
      </c>
      <c r="AU249" s="2">
        <v>46</v>
      </c>
      <c r="AV249" s="2">
        <v>1</v>
      </c>
      <c r="AW249" s="2">
        <v>1</v>
      </c>
      <c r="AX249" s="2"/>
      <c r="AY249" s="2"/>
      <c r="AZ249" s="2">
        <v>1</v>
      </c>
      <c r="BA249" s="2">
        <v>1</v>
      </c>
      <c r="BB249" s="2">
        <v>1</v>
      </c>
      <c r="BC249" s="2">
        <v>1</v>
      </c>
      <c r="BD249" s="2" t="s">
        <v>3</v>
      </c>
      <c r="BE249" s="2" t="s">
        <v>3</v>
      </c>
      <c r="BF249" s="2" t="s">
        <v>3</v>
      </c>
      <c r="BG249" s="2" t="s">
        <v>3</v>
      </c>
      <c r="BH249" s="2">
        <v>3</v>
      </c>
      <c r="BI249" s="2">
        <v>2</v>
      </c>
      <c r="BJ249" s="2" t="s">
        <v>414</v>
      </c>
      <c r="BK249" s="2"/>
      <c r="BL249" s="2"/>
      <c r="BM249" s="2">
        <v>73</v>
      </c>
      <c r="BN249" s="2">
        <v>0</v>
      </c>
      <c r="BO249" s="2" t="s">
        <v>3</v>
      </c>
      <c r="BP249" s="2">
        <v>0</v>
      </c>
      <c r="BQ249" s="2">
        <v>40</v>
      </c>
      <c r="BR249" s="2">
        <v>0</v>
      </c>
      <c r="BS249" s="2">
        <v>1</v>
      </c>
      <c r="BT249" s="2">
        <v>1</v>
      </c>
      <c r="BU249" s="2">
        <v>1</v>
      </c>
      <c r="BV249" s="2">
        <v>1</v>
      </c>
      <c r="BW249" s="2">
        <v>1</v>
      </c>
      <c r="BX249" s="2">
        <v>1</v>
      </c>
      <c r="BY249" s="2" t="s">
        <v>3</v>
      </c>
      <c r="BZ249" s="2">
        <v>90</v>
      </c>
      <c r="CA249" s="2">
        <v>46</v>
      </c>
      <c r="CB249" s="2" t="s">
        <v>3</v>
      </c>
      <c r="CC249" s="2"/>
      <c r="CD249" s="2"/>
      <c r="CE249" s="2">
        <v>1566</v>
      </c>
      <c r="CF249" s="2">
        <v>0</v>
      </c>
      <c r="CG249" s="2">
        <v>0</v>
      </c>
      <c r="CH249" s="2"/>
      <c r="CI249" s="2"/>
      <c r="CJ249" s="2"/>
      <c r="CK249" s="2"/>
      <c r="CL249" s="2"/>
      <c r="CM249" s="2">
        <v>0</v>
      </c>
      <c r="CN249" s="2" t="s">
        <v>3</v>
      </c>
      <c r="CO249" s="2">
        <v>0</v>
      </c>
      <c r="CP249" s="2">
        <f t="shared" si="274"/>
        <v>49510.32</v>
      </c>
      <c r="CQ249" s="2">
        <f t="shared" si="275"/>
        <v>61.58</v>
      </c>
      <c r="CR249" s="2">
        <f t="shared" si="311"/>
        <v>0</v>
      </c>
      <c r="CS249" s="2">
        <f t="shared" si="312"/>
        <v>0</v>
      </c>
      <c r="CT249" s="2">
        <f t="shared" si="276"/>
        <v>0</v>
      </c>
      <c r="CU249" s="2">
        <f t="shared" si="277"/>
        <v>0</v>
      </c>
      <c r="CV249" s="2">
        <f t="shared" si="278"/>
        <v>0</v>
      </c>
      <c r="CW249" s="2">
        <f t="shared" si="279"/>
        <v>0</v>
      </c>
      <c r="CX249" s="2">
        <f t="shared" si="280"/>
        <v>0</v>
      </c>
      <c r="CY249" s="2">
        <f t="shared" si="313"/>
        <v>0</v>
      </c>
      <c r="CZ249" s="2">
        <f t="shared" si="314"/>
        <v>0</v>
      </c>
      <c r="DA249" s="2"/>
      <c r="DB249" s="2"/>
      <c r="DC249" s="2" t="s">
        <v>3</v>
      </c>
      <c r="DD249" s="2" t="s">
        <v>3</v>
      </c>
      <c r="DE249" s="2" t="s">
        <v>3</v>
      </c>
      <c r="DF249" s="2" t="s">
        <v>3</v>
      </c>
      <c r="DG249" s="2" t="s">
        <v>3</v>
      </c>
      <c r="DH249" s="2" t="s">
        <v>3</v>
      </c>
      <c r="DI249" s="2" t="s">
        <v>3</v>
      </c>
      <c r="DJ249" s="2" t="s">
        <v>3</v>
      </c>
      <c r="DK249" s="2" t="s">
        <v>3</v>
      </c>
      <c r="DL249" s="2" t="s">
        <v>3</v>
      </c>
      <c r="DM249" s="2" t="s">
        <v>3</v>
      </c>
      <c r="DN249" s="2">
        <v>0</v>
      </c>
      <c r="DO249" s="2">
        <v>0</v>
      </c>
      <c r="DP249" s="2">
        <v>1</v>
      </c>
      <c r="DQ249" s="2">
        <v>1</v>
      </c>
      <c r="DR249" s="2"/>
      <c r="DS249" s="2"/>
      <c r="DT249" s="2"/>
      <c r="DU249" s="2">
        <v>1003</v>
      </c>
      <c r="DV249" s="2" t="s">
        <v>191</v>
      </c>
      <c r="DW249" s="2" t="s">
        <v>191</v>
      </c>
      <c r="DX249" s="2">
        <v>1</v>
      </c>
      <c r="DY249" s="2"/>
      <c r="DZ249" s="2" t="s">
        <v>3</v>
      </c>
      <c r="EA249" s="2" t="s">
        <v>3</v>
      </c>
      <c r="EB249" s="2" t="s">
        <v>3</v>
      </c>
      <c r="EC249" s="2" t="s">
        <v>3</v>
      </c>
      <c r="ED249" s="2"/>
      <c r="EE249" s="2">
        <v>56938740</v>
      </c>
      <c r="EF249" s="2">
        <v>40</v>
      </c>
      <c r="EG249" s="2" t="s">
        <v>29</v>
      </c>
      <c r="EH249" s="2">
        <v>0</v>
      </c>
      <c r="EI249" s="2" t="s">
        <v>3</v>
      </c>
      <c r="EJ249" s="2">
        <v>2</v>
      </c>
      <c r="EK249" s="2">
        <v>73</v>
      </c>
      <c r="EL249" s="2" t="s">
        <v>85</v>
      </c>
      <c r="EM249" s="2" t="s">
        <v>86</v>
      </c>
      <c r="EN249" s="2"/>
      <c r="EO249" s="2" t="s">
        <v>3</v>
      </c>
      <c r="EP249" s="2"/>
      <c r="EQ249" s="2">
        <v>1024</v>
      </c>
      <c r="ER249" s="2">
        <v>61.58</v>
      </c>
      <c r="ES249" s="2">
        <v>61.58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>
        <v>0</v>
      </c>
      <c r="FR249" s="2">
        <v>0</v>
      </c>
      <c r="FS249" s="2">
        <v>0</v>
      </c>
      <c r="FT249" s="2"/>
      <c r="FU249" s="2"/>
      <c r="FV249" s="2"/>
      <c r="FW249" s="2"/>
      <c r="FX249" s="2">
        <v>90</v>
      </c>
      <c r="FY249" s="2">
        <v>46</v>
      </c>
      <c r="FZ249" s="2"/>
      <c r="GA249" s="2" t="s">
        <v>3</v>
      </c>
      <c r="GB249" s="2"/>
      <c r="GC249" s="2"/>
      <c r="GD249" s="2">
        <v>1</v>
      </c>
      <c r="GE249" s="2"/>
      <c r="GF249" s="2">
        <v>-2119850974</v>
      </c>
      <c r="GG249" s="2">
        <v>2</v>
      </c>
      <c r="GH249" s="2">
        <v>1</v>
      </c>
      <c r="GI249" s="2">
        <v>-2</v>
      </c>
      <c r="GJ249" s="2">
        <v>0</v>
      </c>
      <c r="GK249" s="2">
        <v>0</v>
      </c>
      <c r="GL249" s="2">
        <f t="shared" si="281"/>
        <v>0</v>
      </c>
      <c r="GM249" s="2">
        <f t="shared" si="282"/>
        <v>49510.32</v>
      </c>
      <c r="GN249" s="2">
        <f t="shared" si="283"/>
        <v>0</v>
      </c>
      <c r="GO249" s="2">
        <f t="shared" si="284"/>
        <v>49510.32</v>
      </c>
      <c r="GP249" s="2">
        <f t="shared" si="285"/>
        <v>0</v>
      </c>
      <c r="GQ249" s="2"/>
      <c r="GR249" s="2">
        <v>0</v>
      </c>
      <c r="GS249" s="2">
        <v>3</v>
      </c>
      <c r="GT249" s="2">
        <v>0</v>
      </c>
      <c r="GU249" s="2" t="s">
        <v>3</v>
      </c>
      <c r="GV249" s="2">
        <f t="shared" si="286"/>
        <v>0</v>
      </c>
      <c r="GW249" s="2">
        <v>1</v>
      </c>
      <c r="GX249" s="2">
        <f t="shared" si="287"/>
        <v>0</v>
      </c>
      <c r="GY249" s="2"/>
      <c r="GZ249" s="2"/>
      <c r="HA249" s="2">
        <v>0</v>
      </c>
      <c r="HB249" s="2">
        <v>0</v>
      </c>
      <c r="HC249" s="2">
        <f t="shared" si="288"/>
        <v>0</v>
      </c>
      <c r="HD249" s="2"/>
      <c r="HE249" s="2" t="s">
        <v>3</v>
      </c>
      <c r="HF249" s="2" t="s">
        <v>3</v>
      </c>
      <c r="HG249" s="2"/>
      <c r="HH249" s="2"/>
      <c r="HI249" s="2"/>
      <c r="HJ249" s="2"/>
      <c r="HK249" s="2"/>
      <c r="HL249" s="2"/>
      <c r="HM249" s="2" t="s">
        <v>3</v>
      </c>
      <c r="HN249" s="2" t="s">
        <v>3</v>
      </c>
      <c r="HO249" s="2" t="s">
        <v>3</v>
      </c>
      <c r="HP249" s="2" t="s">
        <v>3</v>
      </c>
      <c r="HQ249" s="2" t="s">
        <v>3</v>
      </c>
      <c r="HR249" s="2"/>
      <c r="HS249" s="2">
        <v>0</v>
      </c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>
        <v>0</v>
      </c>
      <c r="IL249" s="2"/>
      <c r="IM249" s="2"/>
      <c r="IN249" s="2"/>
      <c r="IO249" s="2"/>
      <c r="IP249" s="2"/>
      <c r="IQ249" s="2"/>
      <c r="IR249" s="2"/>
      <c r="IS249" s="2"/>
      <c r="IT249" s="2"/>
      <c r="IU249" s="2"/>
    </row>
    <row r="250" spans="1:255" x14ac:dyDescent="0.2">
      <c r="A250" s="3">
        <v>18</v>
      </c>
      <c r="B250" s="3">
        <v>1</v>
      </c>
      <c r="C250" s="3">
        <v>633</v>
      </c>
      <c r="E250" s="3" t="s">
        <v>3</v>
      </c>
      <c r="F250" s="3" t="s">
        <v>412</v>
      </c>
      <c r="G250" s="3" t="s">
        <v>413</v>
      </c>
      <c r="H250" s="3" t="s">
        <v>191</v>
      </c>
      <c r="I250" s="3">
        <f>I248*J250</f>
        <v>804</v>
      </c>
      <c r="J250" s="3">
        <v>423.15789473684214</v>
      </c>
      <c r="K250" s="3">
        <v>423.15789469999999</v>
      </c>
      <c r="O250" s="3">
        <f t="shared" si="264"/>
        <v>588677.69999999995</v>
      </c>
      <c r="P250" s="3">
        <f t="shared" si="265"/>
        <v>588677.69999999995</v>
      </c>
      <c r="Q250" s="3">
        <f t="shared" si="301"/>
        <v>0</v>
      </c>
      <c r="R250" s="3">
        <f t="shared" si="302"/>
        <v>0</v>
      </c>
      <c r="S250" s="3">
        <f t="shared" si="266"/>
        <v>0</v>
      </c>
      <c r="T250" s="3">
        <f t="shared" si="267"/>
        <v>0</v>
      </c>
      <c r="U250" s="3">
        <f t="shared" si="268"/>
        <v>0</v>
      </c>
      <c r="V250" s="3">
        <f t="shared" si="269"/>
        <v>0</v>
      </c>
      <c r="W250" s="3">
        <f t="shared" si="270"/>
        <v>0</v>
      </c>
      <c r="X250" s="3">
        <f t="shared" si="303"/>
        <v>0</v>
      </c>
      <c r="Y250" s="3">
        <f t="shared" si="304"/>
        <v>0</v>
      </c>
      <c r="AA250" s="3">
        <v>-1</v>
      </c>
      <c r="AB250" s="3">
        <f t="shared" si="271"/>
        <v>61.58</v>
      </c>
      <c r="AC250" s="3">
        <f t="shared" si="305"/>
        <v>61.58</v>
      </c>
      <c r="AD250" s="3">
        <f t="shared" si="306"/>
        <v>0</v>
      </c>
      <c r="AE250" s="3">
        <f t="shared" si="307"/>
        <v>0</v>
      </c>
      <c r="AF250" s="3">
        <f t="shared" si="308"/>
        <v>0</v>
      </c>
      <c r="AG250" s="3">
        <f t="shared" si="272"/>
        <v>0</v>
      </c>
      <c r="AH250" s="3">
        <f t="shared" si="309"/>
        <v>0</v>
      </c>
      <c r="AI250" s="3">
        <f t="shared" si="310"/>
        <v>0</v>
      </c>
      <c r="AJ250" s="3">
        <f t="shared" si="273"/>
        <v>0</v>
      </c>
      <c r="AK250" s="3">
        <v>61.58</v>
      </c>
      <c r="AL250" s="3">
        <v>61.58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90</v>
      </c>
      <c r="AU250" s="3">
        <v>46</v>
      </c>
      <c r="AV250" s="3">
        <v>1</v>
      </c>
      <c r="AW250" s="3">
        <v>1</v>
      </c>
      <c r="AZ250" s="3">
        <v>1</v>
      </c>
      <c r="BA250" s="3">
        <v>1</v>
      </c>
      <c r="BB250" s="3">
        <v>1</v>
      </c>
      <c r="BC250" s="3">
        <v>11.89</v>
      </c>
      <c r="BD250" s="3" t="s">
        <v>3</v>
      </c>
      <c r="BE250" s="3" t="s">
        <v>3</v>
      </c>
      <c r="BF250" s="3" t="s">
        <v>3</v>
      </c>
      <c r="BG250" s="3" t="s">
        <v>3</v>
      </c>
      <c r="BH250" s="3">
        <v>3</v>
      </c>
      <c r="BI250" s="3">
        <v>2</v>
      </c>
      <c r="BJ250" s="3" t="s">
        <v>414</v>
      </c>
      <c r="BM250" s="3">
        <v>73</v>
      </c>
      <c r="BN250" s="3">
        <v>0</v>
      </c>
      <c r="BO250" s="3" t="s">
        <v>412</v>
      </c>
      <c r="BP250" s="3">
        <v>1</v>
      </c>
      <c r="BQ250" s="3">
        <v>40</v>
      </c>
      <c r="BR250" s="3">
        <v>0</v>
      </c>
      <c r="BS250" s="3">
        <v>1</v>
      </c>
      <c r="BT250" s="3">
        <v>1</v>
      </c>
      <c r="BU250" s="3">
        <v>1</v>
      </c>
      <c r="BV250" s="3">
        <v>1</v>
      </c>
      <c r="BW250" s="3">
        <v>1</v>
      </c>
      <c r="BX250" s="3">
        <v>1</v>
      </c>
      <c r="BY250" s="3" t="s">
        <v>3</v>
      </c>
      <c r="BZ250" s="3">
        <v>90</v>
      </c>
      <c r="CA250" s="3">
        <v>46</v>
      </c>
      <c r="CB250" s="3" t="s">
        <v>3</v>
      </c>
      <c r="CE250" s="3">
        <v>1566</v>
      </c>
      <c r="CF250" s="3">
        <v>0</v>
      </c>
      <c r="CG250" s="3">
        <v>0</v>
      </c>
      <c r="CM250" s="3">
        <v>0</v>
      </c>
      <c r="CN250" s="3" t="s">
        <v>3</v>
      </c>
      <c r="CO250" s="3">
        <v>0</v>
      </c>
      <c r="CP250" s="3">
        <f t="shared" si="274"/>
        <v>588677.69999999995</v>
      </c>
      <c r="CQ250" s="3">
        <f t="shared" si="275"/>
        <v>732.19</v>
      </c>
      <c r="CR250" s="3">
        <f t="shared" si="311"/>
        <v>0</v>
      </c>
      <c r="CS250" s="3">
        <f t="shared" si="312"/>
        <v>0</v>
      </c>
      <c r="CT250" s="3">
        <f t="shared" si="276"/>
        <v>0</v>
      </c>
      <c r="CU250" s="3">
        <f t="shared" si="277"/>
        <v>0</v>
      </c>
      <c r="CV250" s="3">
        <f t="shared" si="278"/>
        <v>0</v>
      </c>
      <c r="CW250" s="3">
        <f t="shared" si="279"/>
        <v>0</v>
      </c>
      <c r="CX250" s="3">
        <f t="shared" si="280"/>
        <v>0</v>
      </c>
      <c r="CY250" s="3">
        <f t="shared" si="313"/>
        <v>0</v>
      </c>
      <c r="CZ250" s="3">
        <f t="shared" si="314"/>
        <v>0</v>
      </c>
      <c r="DC250" s="3" t="s">
        <v>3</v>
      </c>
      <c r="DD250" s="3" t="s">
        <v>3</v>
      </c>
      <c r="DE250" s="3" t="s">
        <v>3</v>
      </c>
      <c r="DF250" s="3" t="s">
        <v>3</v>
      </c>
      <c r="DG250" s="3" t="s">
        <v>3</v>
      </c>
      <c r="DH250" s="3" t="s">
        <v>3</v>
      </c>
      <c r="DI250" s="3" t="s">
        <v>3</v>
      </c>
      <c r="DJ250" s="3" t="s">
        <v>3</v>
      </c>
      <c r="DK250" s="3" t="s">
        <v>3</v>
      </c>
      <c r="DL250" s="3" t="s">
        <v>3</v>
      </c>
      <c r="DM250" s="3" t="s">
        <v>3</v>
      </c>
      <c r="DN250" s="3">
        <v>0</v>
      </c>
      <c r="DO250" s="3">
        <v>0</v>
      </c>
      <c r="DP250" s="3">
        <v>1</v>
      </c>
      <c r="DQ250" s="3">
        <v>1</v>
      </c>
      <c r="DU250" s="3">
        <v>1003</v>
      </c>
      <c r="DV250" s="3" t="s">
        <v>191</v>
      </c>
      <c r="DW250" s="3" t="s">
        <v>191</v>
      </c>
      <c r="DX250" s="3">
        <v>1</v>
      </c>
      <c r="DZ250" s="3" t="s">
        <v>3</v>
      </c>
      <c r="EA250" s="3" t="s">
        <v>3</v>
      </c>
      <c r="EB250" s="3" t="s">
        <v>3</v>
      </c>
      <c r="EC250" s="3" t="s">
        <v>3</v>
      </c>
      <c r="EE250" s="3">
        <v>56938740</v>
      </c>
      <c r="EF250" s="3">
        <v>40</v>
      </c>
      <c r="EG250" s="3" t="s">
        <v>29</v>
      </c>
      <c r="EH250" s="3">
        <v>0</v>
      </c>
      <c r="EI250" s="3" t="s">
        <v>3</v>
      </c>
      <c r="EJ250" s="3">
        <v>2</v>
      </c>
      <c r="EK250" s="3">
        <v>73</v>
      </c>
      <c r="EL250" s="3" t="s">
        <v>85</v>
      </c>
      <c r="EM250" s="3" t="s">
        <v>86</v>
      </c>
      <c r="EO250" s="3" t="s">
        <v>3</v>
      </c>
      <c r="EQ250" s="3">
        <v>1024</v>
      </c>
      <c r="ER250" s="3">
        <v>61.58</v>
      </c>
      <c r="ES250" s="3">
        <v>61.58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FQ250" s="3">
        <v>0</v>
      </c>
      <c r="FR250" s="3">
        <v>0</v>
      </c>
      <c r="FS250" s="3">
        <v>0</v>
      </c>
      <c r="FX250" s="3">
        <v>90</v>
      </c>
      <c r="FY250" s="3">
        <v>46</v>
      </c>
      <c r="GA250" s="3" t="s">
        <v>3</v>
      </c>
      <c r="GD250" s="3">
        <v>1</v>
      </c>
      <c r="GF250" s="3">
        <v>-2119850974</v>
      </c>
      <c r="GG250" s="3">
        <v>2</v>
      </c>
      <c r="GH250" s="3">
        <v>1</v>
      </c>
      <c r="GI250" s="3">
        <v>2</v>
      </c>
      <c r="GJ250" s="3">
        <v>0</v>
      </c>
      <c r="GK250" s="3">
        <v>0</v>
      </c>
      <c r="GL250" s="3">
        <f t="shared" si="281"/>
        <v>0</v>
      </c>
      <c r="GM250" s="3">
        <f t="shared" si="282"/>
        <v>588677.69999999995</v>
      </c>
      <c r="GN250" s="3">
        <f t="shared" si="283"/>
        <v>0</v>
      </c>
      <c r="GO250" s="3">
        <f t="shared" si="284"/>
        <v>588677.69999999995</v>
      </c>
      <c r="GP250" s="3">
        <f t="shared" si="285"/>
        <v>0</v>
      </c>
      <c r="GR250" s="3">
        <v>0</v>
      </c>
      <c r="GS250" s="3">
        <v>3</v>
      </c>
      <c r="GT250" s="3">
        <v>0</v>
      </c>
      <c r="GU250" s="3" t="s">
        <v>3</v>
      </c>
      <c r="GV250" s="3">
        <f t="shared" si="286"/>
        <v>0</v>
      </c>
      <c r="GW250" s="3">
        <v>1</v>
      </c>
      <c r="GX250" s="3">
        <f t="shared" si="287"/>
        <v>0</v>
      </c>
      <c r="HA250" s="3">
        <v>0</v>
      </c>
      <c r="HB250" s="3">
        <v>0</v>
      </c>
      <c r="HC250" s="3">
        <f t="shared" si="288"/>
        <v>0</v>
      </c>
      <c r="HE250" s="3" t="s">
        <v>3</v>
      </c>
      <c r="HF250" s="3" t="s">
        <v>3</v>
      </c>
      <c r="HM250" s="3" t="s">
        <v>3</v>
      </c>
      <c r="HN250" s="3" t="s">
        <v>3</v>
      </c>
      <c r="HO250" s="3" t="s">
        <v>3</v>
      </c>
      <c r="HP250" s="3" t="s">
        <v>3</v>
      </c>
      <c r="HQ250" s="3" t="s">
        <v>3</v>
      </c>
      <c r="HS250" s="3">
        <v>0</v>
      </c>
      <c r="IK250" s="3">
        <v>0</v>
      </c>
    </row>
    <row r="251" spans="1:255" x14ac:dyDescent="0.2">
      <c r="A251" s="2">
        <v>18</v>
      </c>
      <c r="B251" s="2">
        <v>1</v>
      </c>
      <c r="C251" s="2">
        <v>615</v>
      </c>
      <c r="D251" s="2"/>
      <c r="E251" s="2" t="s">
        <v>3</v>
      </c>
      <c r="F251" s="2" t="s">
        <v>224</v>
      </c>
      <c r="G251" s="2" t="s">
        <v>225</v>
      </c>
      <c r="H251" s="2" t="s">
        <v>191</v>
      </c>
      <c r="I251" s="2">
        <f>I247*J251</f>
        <v>904.5</v>
      </c>
      <c r="J251" s="2">
        <v>476.0526315789474</v>
      </c>
      <c r="K251" s="2">
        <v>476.05263159999998</v>
      </c>
      <c r="L251" s="2"/>
      <c r="M251" s="2"/>
      <c r="N251" s="2"/>
      <c r="O251" s="2">
        <f t="shared" si="264"/>
        <v>46382.76</v>
      </c>
      <c r="P251" s="2">
        <f t="shared" si="265"/>
        <v>46382.76</v>
      </c>
      <c r="Q251" s="2">
        <f t="shared" si="301"/>
        <v>0</v>
      </c>
      <c r="R251" s="2">
        <f t="shared" si="302"/>
        <v>0</v>
      </c>
      <c r="S251" s="2">
        <f t="shared" si="266"/>
        <v>0</v>
      </c>
      <c r="T251" s="2">
        <f t="shared" si="267"/>
        <v>0</v>
      </c>
      <c r="U251" s="2">
        <f t="shared" si="268"/>
        <v>0</v>
      </c>
      <c r="V251" s="2">
        <f t="shared" si="269"/>
        <v>0</v>
      </c>
      <c r="W251" s="2">
        <f t="shared" si="270"/>
        <v>0</v>
      </c>
      <c r="X251" s="2">
        <f t="shared" si="303"/>
        <v>0</v>
      </c>
      <c r="Y251" s="2">
        <f t="shared" si="304"/>
        <v>0</v>
      </c>
      <c r="Z251" s="2"/>
      <c r="AA251" s="2">
        <v>-1</v>
      </c>
      <c r="AB251" s="2">
        <f t="shared" si="271"/>
        <v>51.28</v>
      </c>
      <c r="AC251" s="2">
        <f t="shared" si="305"/>
        <v>51.28</v>
      </c>
      <c r="AD251" s="2">
        <f t="shared" si="306"/>
        <v>0</v>
      </c>
      <c r="AE251" s="2">
        <f t="shared" si="307"/>
        <v>0</v>
      </c>
      <c r="AF251" s="2">
        <f t="shared" si="308"/>
        <v>0</v>
      </c>
      <c r="AG251" s="2">
        <f t="shared" si="272"/>
        <v>0</v>
      </c>
      <c r="AH251" s="2">
        <f t="shared" si="309"/>
        <v>0</v>
      </c>
      <c r="AI251" s="2">
        <f t="shared" si="310"/>
        <v>0</v>
      </c>
      <c r="AJ251" s="2">
        <f t="shared" si="273"/>
        <v>0</v>
      </c>
      <c r="AK251" s="2">
        <v>51.28</v>
      </c>
      <c r="AL251" s="2">
        <v>51.28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90</v>
      </c>
      <c r="AU251" s="2">
        <v>46</v>
      </c>
      <c r="AV251" s="2">
        <v>1</v>
      </c>
      <c r="AW251" s="2">
        <v>1</v>
      </c>
      <c r="AX251" s="2"/>
      <c r="AY251" s="2"/>
      <c r="AZ251" s="2">
        <v>1</v>
      </c>
      <c r="BA251" s="2">
        <v>1</v>
      </c>
      <c r="BB251" s="2">
        <v>1</v>
      </c>
      <c r="BC251" s="2">
        <v>1</v>
      </c>
      <c r="BD251" s="2" t="s">
        <v>3</v>
      </c>
      <c r="BE251" s="2" t="s">
        <v>3</v>
      </c>
      <c r="BF251" s="2" t="s">
        <v>3</v>
      </c>
      <c r="BG251" s="2" t="s">
        <v>3</v>
      </c>
      <c r="BH251" s="2">
        <v>3</v>
      </c>
      <c r="BI251" s="2">
        <v>2</v>
      </c>
      <c r="BJ251" s="2" t="s">
        <v>226</v>
      </c>
      <c r="BK251" s="2"/>
      <c r="BL251" s="2"/>
      <c r="BM251" s="2">
        <v>73</v>
      </c>
      <c r="BN251" s="2">
        <v>0</v>
      </c>
      <c r="BO251" s="2" t="s">
        <v>3</v>
      </c>
      <c r="BP251" s="2">
        <v>0</v>
      </c>
      <c r="BQ251" s="2">
        <v>40</v>
      </c>
      <c r="BR251" s="2">
        <v>0</v>
      </c>
      <c r="BS251" s="2">
        <v>1</v>
      </c>
      <c r="BT251" s="2">
        <v>1</v>
      </c>
      <c r="BU251" s="2">
        <v>1</v>
      </c>
      <c r="BV251" s="2">
        <v>1</v>
      </c>
      <c r="BW251" s="2">
        <v>1</v>
      </c>
      <c r="BX251" s="2">
        <v>1</v>
      </c>
      <c r="BY251" s="2" t="s">
        <v>3</v>
      </c>
      <c r="BZ251" s="2">
        <v>90</v>
      </c>
      <c r="CA251" s="2">
        <v>46</v>
      </c>
      <c r="CB251" s="2" t="s">
        <v>3</v>
      </c>
      <c r="CC251" s="2"/>
      <c r="CD251" s="2"/>
      <c r="CE251" s="2">
        <v>1566</v>
      </c>
      <c r="CF251" s="2">
        <v>0</v>
      </c>
      <c r="CG251" s="2">
        <v>0</v>
      </c>
      <c r="CH251" s="2"/>
      <c r="CI251" s="2"/>
      <c r="CJ251" s="2"/>
      <c r="CK251" s="2"/>
      <c r="CL251" s="2"/>
      <c r="CM251" s="2">
        <v>0</v>
      </c>
      <c r="CN251" s="2" t="s">
        <v>3</v>
      </c>
      <c r="CO251" s="2">
        <v>0</v>
      </c>
      <c r="CP251" s="2">
        <f t="shared" si="274"/>
        <v>46382.76</v>
      </c>
      <c r="CQ251" s="2">
        <f t="shared" si="275"/>
        <v>51.28</v>
      </c>
      <c r="CR251" s="2">
        <f t="shared" si="311"/>
        <v>0</v>
      </c>
      <c r="CS251" s="2">
        <f t="shared" si="312"/>
        <v>0</v>
      </c>
      <c r="CT251" s="2">
        <f t="shared" si="276"/>
        <v>0</v>
      </c>
      <c r="CU251" s="2">
        <f t="shared" si="277"/>
        <v>0</v>
      </c>
      <c r="CV251" s="2">
        <f t="shared" si="278"/>
        <v>0</v>
      </c>
      <c r="CW251" s="2">
        <f t="shared" si="279"/>
        <v>0</v>
      </c>
      <c r="CX251" s="2">
        <f t="shared" si="280"/>
        <v>0</v>
      </c>
      <c r="CY251" s="2">
        <f t="shared" si="313"/>
        <v>0</v>
      </c>
      <c r="CZ251" s="2">
        <f t="shared" si="314"/>
        <v>0</v>
      </c>
      <c r="DA251" s="2"/>
      <c r="DB251" s="2"/>
      <c r="DC251" s="2" t="s">
        <v>3</v>
      </c>
      <c r="DD251" s="2" t="s">
        <v>3</v>
      </c>
      <c r="DE251" s="2" t="s">
        <v>3</v>
      </c>
      <c r="DF251" s="2" t="s">
        <v>3</v>
      </c>
      <c r="DG251" s="2" t="s">
        <v>3</v>
      </c>
      <c r="DH251" s="2" t="s">
        <v>3</v>
      </c>
      <c r="DI251" s="2" t="s">
        <v>3</v>
      </c>
      <c r="DJ251" s="2" t="s">
        <v>3</v>
      </c>
      <c r="DK251" s="2" t="s">
        <v>3</v>
      </c>
      <c r="DL251" s="2" t="s">
        <v>3</v>
      </c>
      <c r="DM251" s="2" t="s">
        <v>3</v>
      </c>
      <c r="DN251" s="2">
        <v>0</v>
      </c>
      <c r="DO251" s="2">
        <v>0</v>
      </c>
      <c r="DP251" s="2">
        <v>1</v>
      </c>
      <c r="DQ251" s="2">
        <v>1</v>
      </c>
      <c r="DR251" s="2"/>
      <c r="DS251" s="2"/>
      <c r="DT251" s="2"/>
      <c r="DU251" s="2">
        <v>1003</v>
      </c>
      <c r="DV251" s="2" t="s">
        <v>191</v>
      </c>
      <c r="DW251" s="2" t="s">
        <v>191</v>
      </c>
      <c r="DX251" s="2">
        <v>1</v>
      </c>
      <c r="DY251" s="2"/>
      <c r="DZ251" s="2" t="s">
        <v>3</v>
      </c>
      <c r="EA251" s="2" t="s">
        <v>3</v>
      </c>
      <c r="EB251" s="2" t="s">
        <v>3</v>
      </c>
      <c r="EC251" s="2" t="s">
        <v>3</v>
      </c>
      <c r="ED251" s="2"/>
      <c r="EE251" s="2">
        <v>56938740</v>
      </c>
      <c r="EF251" s="2">
        <v>40</v>
      </c>
      <c r="EG251" s="2" t="s">
        <v>29</v>
      </c>
      <c r="EH251" s="2">
        <v>0</v>
      </c>
      <c r="EI251" s="2" t="s">
        <v>3</v>
      </c>
      <c r="EJ251" s="2">
        <v>2</v>
      </c>
      <c r="EK251" s="2">
        <v>73</v>
      </c>
      <c r="EL251" s="2" t="s">
        <v>85</v>
      </c>
      <c r="EM251" s="2" t="s">
        <v>86</v>
      </c>
      <c r="EN251" s="2"/>
      <c r="EO251" s="2" t="s">
        <v>3</v>
      </c>
      <c r="EP251" s="2"/>
      <c r="EQ251" s="2">
        <v>1024</v>
      </c>
      <c r="ER251" s="2">
        <v>51.28</v>
      </c>
      <c r="ES251" s="2">
        <v>51.28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>
        <v>0</v>
      </c>
      <c r="FR251" s="2">
        <v>0</v>
      </c>
      <c r="FS251" s="2">
        <v>0</v>
      </c>
      <c r="FT251" s="2"/>
      <c r="FU251" s="2"/>
      <c r="FV251" s="2"/>
      <c r="FW251" s="2"/>
      <c r="FX251" s="2">
        <v>90</v>
      </c>
      <c r="FY251" s="2">
        <v>46</v>
      </c>
      <c r="FZ251" s="2"/>
      <c r="GA251" s="2" t="s">
        <v>3</v>
      </c>
      <c r="GB251" s="2"/>
      <c r="GC251" s="2"/>
      <c r="GD251" s="2">
        <v>1</v>
      </c>
      <c r="GE251" s="2"/>
      <c r="GF251" s="2">
        <v>-173671470</v>
      </c>
      <c r="GG251" s="2">
        <v>2</v>
      </c>
      <c r="GH251" s="2">
        <v>1</v>
      </c>
      <c r="GI251" s="2">
        <v>-2</v>
      </c>
      <c r="GJ251" s="2">
        <v>0</v>
      </c>
      <c r="GK251" s="2">
        <v>0</v>
      </c>
      <c r="GL251" s="2">
        <f t="shared" si="281"/>
        <v>0</v>
      </c>
      <c r="GM251" s="2">
        <f t="shared" si="282"/>
        <v>46382.76</v>
      </c>
      <c r="GN251" s="2">
        <f t="shared" si="283"/>
        <v>0</v>
      </c>
      <c r="GO251" s="2">
        <f t="shared" si="284"/>
        <v>46382.76</v>
      </c>
      <c r="GP251" s="2">
        <f t="shared" si="285"/>
        <v>0</v>
      </c>
      <c r="GQ251" s="2"/>
      <c r="GR251" s="2">
        <v>0</v>
      </c>
      <c r="GS251" s="2">
        <v>3</v>
      </c>
      <c r="GT251" s="2">
        <v>0</v>
      </c>
      <c r="GU251" s="2" t="s">
        <v>3</v>
      </c>
      <c r="GV251" s="2">
        <f t="shared" si="286"/>
        <v>0</v>
      </c>
      <c r="GW251" s="2">
        <v>1</v>
      </c>
      <c r="GX251" s="2">
        <f t="shared" si="287"/>
        <v>0</v>
      </c>
      <c r="GY251" s="2"/>
      <c r="GZ251" s="2"/>
      <c r="HA251" s="2">
        <v>0</v>
      </c>
      <c r="HB251" s="2">
        <v>0</v>
      </c>
      <c r="HC251" s="2">
        <f t="shared" si="288"/>
        <v>0</v>
      </c>
      <c r="HD251" s="2"/>
      <c r="HE251" s="2" t="s">
        <v>3</v>
      </c>
      <c r="HF251" s="2" t="s">
        <v>3</v>
      </c>
      <c r="HG251" s="2"/>
      <c r="HH251" s="2"/>
      <c r="HI251" s="2"/>
      <c r="HJ251" s="2"/>
      <c r="HK251" s="2"/>
      <c r="HL251" s="2"/>
      <c r="HM251" s="2" t="s">
        <v>3</v>
      </c>
      <c r="HN251" s="2" t="s">
        <v>3</v>
      </c>
      <c r="HO251" s="2" t="s">
        <v>3</v>
      </c>
      <c r="HP251" s="2" t="s">
        <v>3</v>
      </c>
      <c r="HQ251" s="2" t="s">
        <v>3</v>
      </c>
      <c r="HR251" s="2"/>
      <c r="HS251" s="2">
        <v>0</v>
      </c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>
        <v>0</v>
      </c>
      <c r="IL251" s="2"/>
      <c r="IM251" s="2"/>
      <c r="IN251" s="2"/>
      <c r="IO251" s="2"/>
      <c r="IP251" s="2"/>
      <c r="IQ251" s="2"/>
      <c r="IR251" s="2"/>
      <c r="IS251" s="2"/>
      <c r="IT251" s="2"/>
      <c r="IU251" s="2"/>
    </row>
    <row r="252" spans="1:255" x14ac:dyDescent="0.2">
      <c r="A252" s="3">
        <v>18</v>
      </c>
      <c r="B252" s="3">
        <v>1</v>
      </c>
      <c r="C252" s="3">
        <v>632</v>
      </c>
      <c r="E252" s="3" t="s">
        <v>3</v>
      </c>
      <c r="F252" s="3" t="s">
        <v>224</v>
      </c>
      <c r="G252" s="3" t="s">
        <v>225</v>
      </c>
      <c r="H252" s="3" t="s">
        <v>191</v>
      </c>
      <c r="I252" s="3">
        <f>I248*J252</f>
        <v>904.5</v>
      </c>
      <c r="J252" s="3">
        <v>476.0526315789474</v>
      </c>
      <c r="K252" s="3">
        <v>476.05263159999998</v>
      </c>
      <c r="O252" s="3">
        <f t="shared" si="264"/>
        <v>961050.79</v>
      </c>
      <c r="P252" s="3">
        <f t="shared" si="265"/>
        <v>961050.79</v>
      </c>
      <c r="Q252" s="3">
        <f t="shared" si="301"/>
        <v>0</v>
      </c>
      <c r="R252" s="3">
        <f t="shared" si="302"/>
        <v>0</v>
      </c>
      <c r="S252" s="3">
        <f t="shared" si="266"/>
        <v>0</v>
      </c>
      <c r="T252" s="3">
        <f t="shared" si="267"/>
        <v>0</v>
      </c>
      <c r="U252" s="3">
        <f t="shared" si="268"/>
        <v>0</v>
      </c>
      <c r="V252" s="3">
        <f t="shared" si="269"/>
        <v>0</v>
      </c>
      <c r="W252" s="3">
        <f t="shared" si="270"/>
        <v>0</v>
      </c>
      <c r="X252" s="3">
        <f t="shared" si="303"/>
        <v>0</v>
      </c>
      <c r="Y252" s="3">
        <f t="shared" si="304"/>
        <v>0</v>
      </c>
      <c r="AA252" s="3">
        <v>-1</v>
      </c>
      <c r="AB252" s="3">
        <f t="shared" si="271"/>
        <v>51.28</v>
      </c>
      <c r="AC252" s="3">
        <f t="shared" si="305"/>
        <v>51.28</v>
      </c>
      <c r="AD252" s="3">
        <f t="shared" si="306"/>
        <v>0</v>
      </c>
      <c r="AE252" s="3">
        <f t="shared" si="307"/>
        <v>0</v>
      </c>
      <c r="AF252" s="3">
        <f t="shared" si="308"/>
        <v>0</v>
      </c>
      <c r="AG252" s="3">
        <f t="shared" si="272"/>
        <v>0</v>
      </c>
      <c r="AH252" s="3">
        <f t="shared" si="309"/>
        <v>0</v>
      </c>
      <c r="AI252" s="3">
        <f t="shared" si="310"/>
        <v>0</v>
      </c>
      <c r="AJ252" s="3">
        <f t="shared" si="273"/>
        <v>0</v>
      </c>
      <c r="AK252" s="3">
        <v>51.28</v>
      </c>
      <c r="AL252" s="3">
        <v>51.28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90</v>
      </c>
      <c r="AU252" s="3">
        <v>46</v>
      </c>
      <c r="AV252" s="3">
        <v>1</v>
      </c>
      <c r="AW252" s="3">
        <v>1</v>
      </c>
      <c r="AZ252" s="3">
        <v>1</v>
      </c>
      <c r="BA252" s="3">
        <v>1</v>
      </c>
      <c r="BB252" s="3">
        <v>1</v>
      </c>
      <c r="BC252" s="3">
        <v>20.72</v>
      </c>
      <c r="BD252" s="3" t="s">
        <v>3</v>
      </c>
      <c r="BE252" s="3" t="s">
        <v>3</v>
      </c>
      <c r="BF252" s="3" t="s">
        <v>3</v>
      </c>
      <c r="BG252" s="3" t="s">
        <v>3</v>
      </c>
      <c r="BH252" s="3">
        <v>3</v>
      </c>
      <c r="BI252" s="3">
        <v>2</v>
      </c>
      <c r="BJ252" s="3" t="s">
        <v>226</v>
      </c>
      <c r="BM252" s="3">
        <v>73</v>
      </c>
      <c r="BN252" s="3">
        <v>0</v>
      </c>
      <c r="BO252" s="3" t="s">
        <v>224</v>
      </c>
      <c r="BP252" s="3">
        <v>1</v>
      </c>
      <c r="BQ252" s="3">
        <v>40</v>
      </c>
      <c r="BR252" s="3">
        <v>0</v>
      </c>
      <c r="BS252" s="3">
        <v>1</v>
      </c>
      <c r="BT252" s="3">
        <v>1</v>
      </c>
      <c r="BU252" s="3">
        <v>1</v>
      </c>
      <c r="BV252" s="3">
        <v>1</v>
      </c>
      <c r="BW252" s="3">
        <v>1</v>
      </c>
      <c r="BX252" s="3">
        <v>1</v>
      </c>
      <c r="BY252" s="3" t="s">
        <v>3</v>
      </c>
      <c r="BZ252" s="3">
        <v>90</v>
      </c>
      <c r="CA252" s="3">
        <v>46</v>
      </c>
      <c r="CB252" s="3" t="s">
        <v>3</v>
      </c>
      <c r="CE252" s="3">
        <v>1566</v>
      </c>
      <c r="CF252" s="3">
        <v>0</v>
      </c>
      <c r="CG252" s="3">
        <v>0</v>
      </c>
      <c r="CM252" s="3">
        <v>0</v>
      </c>
      <c r="CN252" s="3" t="s">
        <v>3</v>
      </c>
      <c r="CO252" s="3">
        <v>0</v>
      </c>
      <c r="CP252" s="3">
        <f t="shared" si="274"/>
        <v>961050.79</v>
      </c>
      <c r="CQ252" s="3">
        <f t="shared" si="275"/>
        <v>1062.52</v>
      </c>
      <c r="CR252" s="3">
        <f t="shared" si="311"/>
        <v>0</v>
      </c>
      <c r="CS252" s="3">
        <f t="shared" si="312"/>
        <v>0</v>
      </c>
      <c r="CT252" s="3">
        <f t="shared" si="276"/>
        <v>0</v>
      </c>
      <c r="CU252" s="3">
        <f t="shared" si="277"/>
        <v>0</v>
      </c>
      <c r="CV252" s="3">
        <f t="shared" si="278"/>
        <v>0</v>
      </c>
      <c r="CW252" s="3">
        <f t="shared" si="279"/>
        <v>0</v>
      </c>
      <c r="CX252" s="3">
        <f t="shared" si="280"/>
        <v>0</v>
      </c>
      <c r="CY252" s="3">
        <f t="shared" si="313"/>
        <v>0</v>
      </c>
      <c r="CZ252" s="3">
        <f t="shared" si="314"/>
        <v>0</v>
      </c>
      <c r="DC252" s="3" t="s">
        <v>3</v>
      </c>
      <c r="DD252" s="3" t="s">
        <v>3</v>
      </c>
      <c r="DE252" s="3" t="s">
        <v>3</v>
      </c>
      <c r="DF252" s="3" t="s">
        <v>3</v>
      </c>
      <c r="DG252" s="3" t="s">
        <v>3</v>
      </c>
      <c r="DH252" s="3" t="s">
        <v>3</v>
      </c>
      <c r="DI252" s="3" t="s">
        <v>3</v>
      </c>
      <c r="DJ252" s="3" t="s">
        <v>3</v>
      </c>
      <c r="DK252" s="3" t="s">
        <v>3</v>
      </c>
      <c r="DL252" s="3" t="s">
        <v>3</v>
      </c>
      <c r="DM252" s="3" t="s">
        <v>3</v>
      </c>
      <c r="DN252" s="3">
        <v>0</v>
      </c>
      <c r="DO252" s="3">
        <v>0</v>
      </c>
      <c r="DP252" s="3">
        <v>1</v>
      </c>
      <c r="DQ252" s="3">
        <v>1</v>
      </c>
      <c r="DU252" s="3">
        <v>1003</v>
      </c>
      <c r="DV252" s="3" t="s">
        <v>191</v>
      </c>
      <c r="DW252" s="3" t="s">
        <v>191</v>
      </c>
      <c r="DX252" s="3">
        <v>1</v>
      </c>
      <c r="DZ252" s="3" t="s">
        <v>3</v>
      </c>
      <c r="EA252" s="3" t="s">
        <v>3</v>
      </c>
      <c r="EB252" s="3" t="s">
        <v>3</v>
      </c>
      <c r="EC252" s="3" t="s">
        <v>3</v>
      </c>
      <c r="EE252" s="3">
        <v>56938740</v>
      </c>
      <c r="EF252" s="3">
        <v>40</v>
      </c>
      <c r="EG252" s="3" t="s">
        <v>29</v>
      </c>
      <c r="EH252" s="3">
        <v>0</v>
      </c>
      <c r="EI252" s="3" t="s">
        <v>3</v>
      </c>
      <c r="EJ252" s="3">
        <v>2</v>
      </c>
      <c r="EK252" s="3">
        <v>73</v>
      </c>
      <c r="EL252" s="3" t="s">
        <v>85</v>
      </c>
      <c r="EM252" s="3" t="s">
        <v>86</v>
      </c>
      <c r="EO252" s="3" t="s">
        <v>3</v>
      </c>
      <c r="EQ252" s="3">
        <v>1024</v>
      </c>
      <c r="ER252" s="3">
        <v>51.28</v>
      </c>
      <c r="ES252" s="3">
        <v>51.28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FQ252" s="3">
        <v>0</v>
      </c>
      <c r="FR252" s="3">
        <v>0</v>
      </c>
      <c r="FS252" s="3">
        <v>0</v>
      </c>
      <c r="FX252" s="3">
        <v>90</v>
      </c>
      <c r="FY252" s="3">
        <v>46</v>
      </c>
      <c r="GA252" s="3" t="s">
        <v>3</v>
      </c>
      <c r="GD252" s="3">
        <v>1</v>
      </c>
      <c r="GF252" s="3">
        <v>-173671470</v>
      </c>
      <c r="GG252" s="3">
        <v>2</v>
      </c>
      <c r="GH252" s="3">
        <v>1</v>
      </c>
      <c r="GI252" s="3">
        <v>2</v>
      </c>
      <c r="GJ252" s="3">
        <v>0</v>
      </c>
      <c r="GK252" s="3">
        <v>0</v>
      </c>
      <c r="GL252" s="3">
        <f t="shared" si="281"/>
        <v>0</v>
      </c>
      <c r="GM252" s="3">
        <f t="shared" si="282"/>
        <v>961050.79</v>
      </c>
      <c r="GN252" s="3">
        <f t="shared" si="283"/>
        <v>0</v>
      </c>
      <c r="GO252" s="3">
        <f t="shared" si="284"/>
        <v>961050.79</v>
      </c>
      <c r="GP252" s="3">
        <f t="shared" si="285"/>
        <v>0</v>
      </c>
      <c r="GR252" s="3">
        <v>0</v>
      </c>
      <c r="GS252" s="3">
        <v>3</v>
      </c>
      <c r="GT252" s="3">
        <v>0</v>
      </c>
      <c r="GU252" s="3" t="s">
        <v>3</v>
      </c>
      <c r="GV252" s="3">
        <f t="shared" si="286"/>
        <v>0</v>
      </c>
      <c r="GW252" s="3">
        <v>1</v>
      </c>
      <c r="GX252" s="3">
        <f t="shared" si="287"/>
        <v>0</v>
      </c>
      <c r="HA252" s="3">
        <v>0</v>
      </c>
      <c r="HB252" s="3">
        <v>0</v>
      </c>
      <c r="HC252" s="3">
        <f t="shared" si="288"/>
        <v>0</v>
      </c>
      <c r="HE252" s="3" t="s">
        <v>3</v>
      </c>
      <c r="HF252" s="3" t="s">
        <v>3</v>
      </c>
      <c r="HM252" s="3" t="s">
        <v>3</v>
      </c>
      <c r="HN252" s="3" t="s">
        <v>3</v>
      </c>
      <c r="HO252" s="3" t="s">
        <v>3</v>
      </c>
      <c r="HP252" s="3" t="s">
        <v>3</v>
      </c>
      <c r="HQ252" s="3" t="s">
        <v>3</v>
      </c>
      <c r="HS252" s="3">
        <v>0</v>
      </c>
      <c r="IK252" s="3">
        <v>0</v>
      </c>
    </row>
    <row r="253" spans="1:255" x14ac:dyDescent="0.2">
      <c r="A253" s="2">
        <v>18</v>
      </c>
      <c r="B253" s="2">
        <v>1</v>
      </c>
      <c r="C253" s="2">
        <v>614</v>
      </c>
      <c r="D253" s="2"/>
      <c r="E253" s="2" t="s">
        <v>3</v>
      </c>
      <c r="F253" s="2" t="s">
        <v>227</v>
      </c>
      <c r="G253" s="2" t="s">
        <v>228</v>
      </c>
      <c r="H253" s="2" t="s">
        <v>191</v>
      </c>
      <c r="I253" s="2">
        <f>I247*J253</f>
        <v>201</v>
      </c>
      <c r="J253" s="2">
        <v>105.78947368421053</v>
      </c>
      <c r="K253" s="2">
        <v>105.7894737</v>
      </c>
      <c r="L253" s="2"/>
      <c r="M253" s="2"/>
      <c r="N253" s="2"/>
      <c r="O253" s="2">
        <f t="shared" si="264"/>
        <v>8355.57</v>
      </c>
      <c r="P253" s="2">
        <f t="shared" si="265"/>
        <v>8355.57</v>
      </c>
      <c r="Q253" s="2">
        <f t="shared" si="301"/>
        <v>0</v>
      </c>
      <c r="R253" s="2">
        <f t="shared" si="302"/>
        <v>0</v>
      </c>
      <c r="S253" s="2">
        <f t="shared" si="266"/>
        <v>0</v>
      </c>
      <c r="T253" s="2">
        <f t="shared" si="267"/>
        <v>0</v>
      </c>
      <c r="U253" s="2">
        <f t="shared" si="268"/>
        <v>0</v>
      </c>
      <c r="V253" s="2">
        <f t="shared" si="269"/>
        <v>0</v>
      </c>
      <c r="W253" s="2">
        <f t="shared" si="270"/>
        <v>0</v>
      </c>
      <c r="X253" s="2">
        <f t="shared" si="303"/>
        <v>0</v>
      </c>
      <c r="Y253" s="2">
        <f t="shared" si="304"/>
        <v>0</v>
      </c>
      <c r="Z253" s="2"/>
      <c r="AA253" s="2">
        <v>-1</v>
      </c>
      <c r="AB253" s="2">
        <f t="shared" si="271"/>
        <v>41.57</v>
      </c>
      <c r="AC253" s="2">
        <f t="shared" si="305"/>
        <v>41.57</v>
      </c>
      <c r="AD253" s="2">
        <f t="shared" si="306"/>
        <v>0</v>
      </c>
      <c r="AE253" s="2">
        <f t="shared" si="307"/>
        <v>0</v>
      </c>
      <c r="AF253" s="2">
        <f t="shared" si="308"/>
        <v>0</v>
      </c>
      <c r="AG253" s="2">
        <f t="shared" si="272"/>
        <v>0</v>
      </c>
      <c r="AH253" s="2">
        <f t="shared" si="309"/>
        <v>0</v>
      </c>
      <c r="AI253" s="2">
        <f t="shared" si="310"/>
        <v>0</v>
      </c>
      <c r="AJ253" s="2">
        <f t="shared" si="273"/>
        <v>0</v>
      </c>
      <c r="AK253" s="2">
        <v>41.57</v>
      </c>
      <c r="AL253" s="2">
        <v>41.57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90</v>
      </c>
      <c r="AU253" s="2">
        <v>46</v>
      </c>
      <c r="AV253" s="2">
        <v>1</v>
      </c>
      <c r="AW253" s="2">
        <v>1</v>
      </c>
      <c r="AX253" s="2"/>
      <c r="AY253" s="2"/>
      <c r="AZ253" s="2">
        <v>1</v>
      </c>
      <c r="BA253" s="2">
        <v>1</v>
      </c>
      <c r="BB253" s="2">
        <v>1</v>
      </c>
      <c r="BC253" s="2">
        <v>1</v>
      </c>
      <c r="BD253" s="2" t="s">
        <v>3</v>
      </c>
      <c r="BE253" s="2" t="s">
        <v>3</v>
      </c>
      <c r="BF253" s="2" t="s">
        <v>3</v>
      </c>
      <c r="BG253" s="2" t="s">
        <v>3</v>
      </c>
      <c r="BH253" s="2">
        <v>3</v>
      </c>
      <c r="BI253" s="2">
        <v>2</v>
      </c>
      <c r="BJ253" s="2" t="s">
        <v>229</v>
      </c>
      <c r="BK253" s="2"/>
      <c r="BL253" s="2"/>
      <c r="BM253" s="2">
        <v>73</v>
      </c>
      <c r="BN253" s="2">
        <v>0</v>
      </c>
      <c r="BO253" s="2" t="s">
        <v>3</v>
      </c>
      <c r="BP253" s="2">
        <v>0</v>
      </c>
      <c r="BQ253" s="2">
        <v>40</v>
      </c>
      <c r="BR253" s="2">
        <v>0</v>
      </c>
      <c r="BS253" s="2">
        <v>1</v>
      </c>
      <c r="BT253" s="2">
        <v>1</v>
      </c>
      <c r="BU253" s="2">
        <v>1</v>
      </c>
      <c r="BV253" s="2">
        <v>1</v>
      </c>
      <c r="BW253" s="2">
        <v>1</v>
      </c>
      <c r="BX253" s="2">
        <v>1</v>
      </c>
      <c r="BY253" s="2" t="s">
        <v>3</v>
      </c>
      <c r="BZ253" s="2">
        <v>90</v>
      </c>
      <c r="CA253" s="2">
        <v>46</v>
      </c>
      <c r="CB253" s="2" t="s">
        <v>3</v>
      </c>
      <c r="CC253" s="2"/>
      <c r="CD253" s="2"/>
      <c r="CE253" s="2">
        <v>1566</v>
      </c>
      <c r="CF253" s="2">
        <v>0</v>
      </c>
      <c r="CG253" s="2">
        <v>0</v>
      </c>
      <c r="CH253" s="2"/>
      <c r="CI253" s="2"/>
      <c r="CJ253" s="2"/>
      <c r="CK253" s="2"/>
      <c r="CL253" s="2"/>
      <c r="CM253" s="2">
        <v>0</v>
      </c>
      <c r="CN253" s="2" t="s">
        <v>3</v>
      </c>
      <c r="CO253" s="2">
        <v>0</v>
      </c>
      <c r="CP253" s="2">
        <f t="shared" si="274"/>
        <v>8355.57</v>
      </c>
      <c r="CQ253" s="2">
        <f t="shared" si="275"/>
        <v>41.57</v>
      </c>
      <c r="CR253" s="2">
        <f t="shared" si="311"/>
        <v>0</v>
      </c>
      <c r="CS253" s="2">
        <f t="shared" si="312"/>
        <v>0</v>
      </c>
      <c r="CT253" s="2">
        <f t="shared" si="276"/>
        <v>0</v>
      </c>
      <c r="CU253" s="2">
        <f t="shared" si="277"/>
        <v>0</v>
      </c>
      <c r="CV253" s="2">
        <f t="shared" si="278"/>
        <v>0</v>
      </c>
      <c r="CW253" s="2">
        <f t="shared" si="279"/>
        <v>0</v>
      </c>
      <c r="CX253" s="2">
        <f t="shared" si="280"/>
        <v>0</v>
      </c>
      <c r="CY253" s="2">
        <f t="shared" si="313"/>
        <v>0</v>
      </c>
      <c r="CZ253" s="2">
        <f t="shared" si="314"/>
        <v>0</v>
      </c>
      <c r="DA253" s="2"/>
      <c r="DB253" s="2"/>
      <c r="DC253" s="2" t="s">
        <v>3</v>
      </c>
      <c r="DD253" s="2" t="s">
        <v>3</v>
      </c>
      <c r="DE253" s="2" t="s">
        <v>3</v>
      </c>
      <c r="DF253" s="2" t="s">
        <v>3</v>
      </c>
      <c r="DG253" s="2" t="s">
        <v>3</v>
      </c>
      <c r="DH253" s="2" t="s">
        <v>3</v>
      </c>
      <c r="DI253" s="2" t="s">
        <v>3</v>
      </c>
      <c r="DJ253" s="2" t="s">
        <v>3</v>
      </c>
      <c r="DK253" s="2" t="s">
        <v>3</v>
      </c>
      <c r="DL253" s="2" t="s">
        <v>3</v>
      </c>
      <c r="DM253" s="2" t="s">
        <v>3</v>
      </c>
      <c r="DN253" s="2">
        <v>0</v>
      </c>
      <c r="DO253" s="2">
        <v>0</v>
      </c>
      <c r="DP253" s="2">
        <v>1</v>
      </c>
      <c r="DQ253" s="2">
        <v>1</v>
      </c>
      <c r="DR253" s="2"/>
      <c r="DS253" s="2"/>
      <c r="DT253" s="2"/>
      <c r="DU253" s="2">
        <v>1003</v>
      </c>
      <c r="DV253" s="2" t="s">
        <v>191</v>
      </c>
      <c r="DW253" s="2" t="s">
        <v>191</v>
      </c>
      <c r="DX253" s="2">
        <v>1</v>
      </c>
      <c r="DY253" s="2"/>
      <c r="DZ253" s="2" t="s">
        <v>3</v>
      </c>
      <c r="EA253" s="2" t="s">
        <v>3</v>
      </c>
      <c r="EB253" s="2" t="s">
        <v>3</v>
      </c>
      <c r="EC253" s="2" t="s">
        <v>3</v>
      </c>
      <c r="ED253" s="2"/>
      <c r="EE253" s="2">
        <v>56938740</v>
      </c>
      <c r="EF253" s="2">
        <v>40</v>
      </c>
      <c r="EG253" s="2" t="s">
        <v>29</v>
      </c>
      <c r="EH253" s="2">
        <v>0</v>
      </c>
      <c r="EI253" s="2" t="s">
        <v>3</v>
      </c>
      <c r="EJ253" s="2">
        <v>2</v>
      </c>
      <c r="EK253" s="2">
        <v>73</v>
      </c>
      <c r="EL253" s="2" t="s">
        <v>85</v>
      </c>
      <c r="EM253" s="2" t="s">
        <v>86</v>
      </c>
      <c r="EN253" s="2"/>
      <c r="EO253" s="2" t="s">
        <v>3</v>
      </c>
      <c r="EP253" s="2"/>
      <c r="EQ253" s="2">
        <v>1024</v>
      </c>
      <c r="ER253" s="2">
        <v>41.57</v>
      </c>
      <c r="ES253" s="2">
        <v>41.57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>
        <v>0</v>
      </c>
      <c r="FR253" s="2">
        <v>0</v>
      </c>
      <c r="FS253" s="2">
        <v>0</v>
      </c>
      <c r="FT253" s="2"/>
      <c r="FU253" s="2"/>
      <c r="FV253" s="2"/>
      <c r="FW253" s="2"/>
      <c r="FX253" s="2">
        <v>90</v>
      </c>
      <c r="FY253" s="2">
        <v>46</v>
      </c>
      <c r="FZ253" s="2"/>
      <c r="GA253" s="2" t="s">
        <v>3</v>
      </c>
      <c r="GB253" s="2"/>
      <c r="GC253" s="2"/>
      <c r="GD253" s="2">
        <v>1</v>
      </c>
      <c r="GE253" s="2"/>
      <c r="GF253" s="2">
        <v>-2048145394</v>
      </c>
      <c r="GG253" s="2">
        <v>2</v>
      </c>
      <c r="GH253" s="2">
        <v>1</v>
      </c>
      <c r="GI253" s="2">
        <v>-2</v>
      </c>
      <c r="GJ253" s="2">
        <v>0</v>
      </c>
      <c r="GK253" s="2">
        <v>0</v>
      </c>
      <c r="GL253" s="2">
        <f t="shared" si="281"/>
        <v>0</v>
      </c>
      <c r="GM253" s="2">
        <f t="shared" si="282"/>
        <v>8355.57</v>
      </c>
      <c r="GN253" s="2">
        <f t="shared" si="283"/>
        <v>0</v>
      </c>
      <c r="GO253" s="2">
        <f t="shared" si="284"/>
        <v>8355.57</v>
      </c>
      <c r="GP253" s="2">
        <f t="shared" si="285"/>
        <v>0</v>
      </c>
      <c r="GQ253" s="2"/>
      <c r="GR253" s="2">
        <v>0</v>
      </c>
      <c r="GS253" s="2">
        <v>3</v>
      </c>
      <c r="GT253" s="2">
        <v>0</v>
      </c>
      <c r="GU253" s="2" t="s">
        <v>3</v>
      </c>
      <c r="GV253" s="2">
        <f t="shared" si="286"/>
        <v>0</v>
      </c>
      <c r="GW253" s="2">
        <v>1</v>
      </c>
      <c r="GX253" s="2">
        <f t="shared" si="287"/>
        <v>0</v>
      </c>
      <c r="GY253" s="2"/>
      <c r="GZ253" s="2"/>
      <c r="HA253" s="2">
        <v>0</v>
      </c>
      <c r="HB253" s="2">
        <v>0</v>
      </c>
      <c r="HC253" s="2">
        <f t="shared" si="288"/>
        <v>0</v>
      </c>
      <c r="HD253" s="2"/>
      <c r="HE253" s="2" t="s">
        <v>3</v>
      </c>
      <c r="HF253" s="2" t="s">
        <v>3</v>
      </c>
      <c r="HG253" s="2"/>
      <c r="HH253" s="2"/>
      <c r="HI253" s="2"/>
      <c r="HJ253" s="2"/>
      <c r="HK253" s="2"/>
      <c r="HL253" s="2"/>
      <c r="HM253" s="2" t="s">
        <v>3</v>
      </c>
      <c r="HN253" s="2" t="s">
        <v>3</v>
      </c>
      <c r="HO253" s="2" t="s">
        <v>3</v>
      </c>
      <c r="HP253" s="2" t="s">
        <v>3</v>
      </c>
      <c r="HQ253" s="2" t="s">
        <v>3</v>
      </c>
      <c r="HR253" s="2"/>
      <c r="HS253" s="2">
        <v>0</v>
      </c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>
        <v>0</v>
      </c>
      <c r="IL253" s="2"/>
      <c r="IM253" s="2"/>
      <c r="IN253" s="2"/>
      <c r="IO253" s="2"/>
      <c r="IP253" s="2"/>
      <c r="IQ253" s="2"/>
      <c r="IR253" s="2"/>
      <c r="IS253" s="2"/>
      <c r="IT253" s="2"/>
      <c r="IU253" s="2"/>
    </row>
    <row r="254" spans="1:255" x14ac:dyDescent="0.2">
      <c r="A254" s="3">
        <v>18</v>
      </c>
      <c r="B254" s="3">
        <v>1</v>
      </c>
      <c r="C254" s="3">
        <v>631</v>
      </c>
      <c r="E254" s="3" t="s">
        <v>3</v>
      </c>
      <c r="F254" s="3" t="s">
        <v>227</v>
      </c>
      <c r="G254" s="3" t="s">
        <v>228</v>
      </c>
      <c r="H254" s="3" t="s">
        <v>191</v>
      </c>
      <c r="I254" s="3">
        <f>I248*J254</f>
        <v>201</v>
      </c>
      <c r="J254" s="3">
        <v>105.78947368421053</v>
      </c>
      <c r="K254" s="3">
        <v>105.7894737</v>
      </c>
      <c r="O254" s="3">
        <f t="shared" si="264"/>
        <v>138284.68</v>
      </c>
      <c r="P254" s="3">
        <f t="shared" si="265"/>
        <v>138284.68</v>
      </c>
      <c r="Q254" s="3">
        <f t="shared" si="301"/>
        <v>0</v>
      </c>
      <c r="R254" s="3">
        <f t="shared" si="302"/>
        <v>0</v>
      </c>
      <c r="S254" s="3">
        <f t="shared" si="266"/>
        <v>0</v>
      </c>
      <c r="T254" s="3">
        <f t="shared" si="267"/>
        <v>0</v>
      </c>
      <c r="U254" s="3">
        <f t="shared" si="268"/>
        <v>0</v>
      </c>
      <c r="V254" s="3">
        <f t="shared" si="269"/>
        <v>0</v>
      </c>
      <c r="W254" s="3">
        <f t="shared" si="270"/>
        <v>0</v>
      </c>
      <c r="X254" s="3">
        <f t="shared" si="303"/>
        <v>0</v>
      </c>
      <c r="Y254" s="3">
        <f t="shared" si="304"/>
        <v>0</v>
      </c>
      <c r="AA254" s="3">
        <v>-1</v>
      </c>
      <c r="AB254" s="3">
        <f t="shared" si="271"/>
        <v>41.57</v>
      </c>
      <c r="AC254" s="3">
        <f t="shared" si="305"/>
        <v>41.57</v>
      </c>
      <c r="AD254" s="3">
        <f t="shared" si="306"/>
        <v>0</v>
      </c>
      <c r="AE254" s="3">
        <f t="shared" si="307"/>
        <v>0</v>
      </c>
      <c r="AF254" s="3">
        <f t="shared" si="308"/>
        <v>0</v>
      </c>
      <c r="AG254" s="3">
        <f t="shared" si="272"/>
        <v>0</v>
      </c>
      <c r="AH254" s="3">
        <f t="shared" si="309"/>
        <v>0</v>
      </c>
      <c r="AI254" s="3">
        <f t="shared" si="310"/>
        <v>0</v>
      </c>
      <c r="AJ254" s="3">
        <f t="shared" si="273"/>
        <v>0</v>
      </c>
      <c r="AK254" s="3">
        <v>41.57</v>
      </c>
      <c r="AL254" s="3">
        <v>41.57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90</v>
      </c>
      <c r="AU254" s="3">
        <v>46</v>
      </c>
      <c r="AV254" s="3">
        <v>1</v>
      </c>
      <c r="AW254" s="3">
        <v>1</v>
      </c>
      <c r="AZ254" s="3">
        <v>1</v>
      </c>
      <c r="BA254" s="3">
        <v>1</v>
      </c>
      <c r="BB254" s="3">
        <v>1</v>
      </c>
      <c r="BC254" s="3">
        <v>16.55</v>
      </c>
      <c r="BD254" s="3" t="s">
        <v>3</v>
      </c>
      <c r="BE254" s="3" t="s">
        <v>3</v>
      </c>
      <c r="BF254" s="3" t="s">
        <v>3</v>
      </c>
      <c r="BG254" s="3" t="s">
        <v>3</v>
      </c>
      <c r="BH254" s="3">
        <v>3</v>
      </c>
      <c r="BI254" s="3">
        <v>2</v>
      </c>
      <c r="BJ254" s="3" t="s">
        <v>229</v>
      </c>
      <c r="BM254" s="3">
        <v>73</v>
      </c>
      <c r="BN254" s="3">
        <v>0</v>
      </c>
      <c r="BO254" s="3" t="s">
        <v>227</v>
      </c>
      <c r="BP254" s="3">
        <v>1</v>
      </c>
      <c r="BQ254" s="3">
        <v>40</v>
      </c>
      <c r="BR254" s="3">
        <v>0</v>
      </c>
      <c r="BS254" s="3">
        <v>1</v>
      </c>
      <c r="BT254" s="3">
        <v>1</v>
      </c>
      <c r="BU254" s="3">
        <v>1</v>
      </c>
      <c r="BV254" s="3">
        <v>1</v>
      </c>
      <c r="BW254" s="3">
        <v>1</v>
      </c>
      <c r="BX254" s="3">
        <v>1</v>
      </c>
      <c r="BY254" s="3" t="s">
        <v>3</v>
      </c>
      <c r="BZ254" s="3">
        <v>90</v>
      </c>
      <c r="CA254" s="3">
        <v>46</v>
      </c>
      <c r="CB254" s="3" t="s">
        <v>3</v>
      </c>
      <c r="CE254" s="3">
        <v>1566</v>
      </c>
      <c r="CF254" s="3">
        <v>0</v>
      </c>
      <c r="CG254" s="3">
        <v>0</v>
      </c>
      <c r="CM254" s="3">
        <v>0</v>
      </c>
      <c r="CN254" s="3" t="s">
        <v>3</v>
      </c>
      <c r="CO254" s="3">
        <v>0</v>
      </c>
      <c r="CP254" s="3">
        <f t="shared" si="274"/>
        <v>138284.68</v>
      </c>
      <c r="CQ254" s="3">
        <f t="shared" si="275"/>
        <v>687.98</v>
      </c>
      <c r="CR254" s="3">
        <f t="shared" si="311"/>
        <v>0</v>
      </c>
      <c r="CS254" s="3">
        <f t="shared" si="312"/>
        <v>0</v>
      </c>
      <c r="CT254" s="3">
        <f t="shared" si="276"/>
        <v>0</v>
      </c>
      <c r="CU254" s="3">
        <f t="shared" si="277"/>
        <v>0</v>
      </c>
      <c r="CV254" s="3">
        <f t="shared" si="278"/>
        <v>0</v>
      </c>
      <c r="CW254" s="3">
        <f t="shared" si="279"/>
        <v>0</v>
      </c>
      <c r="CX254" s="3">
        <f t="shared" si="280"/>
        <v>0</v>
      </c>
      <c r="CY254" s="3">
        <f t="shared" si="313"/>
        <v>0</v>
      </c>
      <c r="CZ254" s="3">
        <f t="shared" si="314"/>
        <v>0</v>
      </c>
      <c r="DC254" s="3" t="s">
        <v>3</v>
      </c>
      <c r="DD254" s="3" t="s">
        <v>3</v>
      </c>
      <c r="DE254" s="3" t="s">
        <v>3</v>
      </c>
      <c r="DF254" s="3" t="s">
        <v>3</v>
      </c>
      <c r="DG254" s="3" t="s">
        <v>3</v>
      </c>
      <c r="DH254" s="3" t="s">
        <v>3</v>
      </c>
      <c r="DI254" s="3" t="s">
        <v>3</v>
      </c>
      <c r="DJ254" s="3" t="s">
        <v>3</v>
      </c>
      <c r="DK254" s="3" t="s">
        <v>3</v>
      </c>
      <c r="DL254" s="3" t="s">
        <v>3</v>
      </c>
      <c r="DM254" s="3" t="s">
        <v>3</v>
      </c>
      <c r="DN254" s="3">
        <v>0</v>
      </c>
      <c r="DO254" s="3">
        <v>0</v>
      </c>
      <c r="DP254" s="3">
        <v>1</v>
      </c>
      <c r="DQ254" s="3">
        <v>1</v>
      </c>
      <c r="DU254" s="3">
        <v>1003</v>
      </c>
      <c r="DV254" s="3" t="s">
        <v>191</v>
      </c>
      <c r="DW254" s="3" t="s">
        <v>191</v>
      </c>
      <c r="DX254" s="3">
        <v>1</v>
      </c>
      <c r="DZ254" s="3" t="s">
        <v>3</v>
      </c>
      <c r="EA254" s="3" t="s">
        <v>3</v>
      </c>
      <c r="EB254" s="3" t="s">
        <v>3</v>
      </c>
      <c r="EC254" s="3" t="s">
        <v>3</v>
      </c>
      <c r="EE254" s="3">
        <v>56938740</v>
      </c>
      <c r="EF254" s="3">
        <v>40</v>
      </c>
      <c r="EG254" s="3" t="s">
        <v>29</v>
      </c>
      <c r="EH254" s="3">
        <v>0</v>
      </c>
      <c r="EI254" s="3" t="s">
        <v>3</v>
      </c>
      <c r="EJ254" s="3">
        <v>2</v>
      </c>
      <c r="EK254" s="3">
        <v>73</v>
      </c>
      <c r="EL254" s="3" t="s">
        <v>85</v>
      </c>
      <c r="EM254" s="3" t="s">
        <v>86</v>
      </c>
      <c r="EO254" s="3" t="s">
        <v>3</v>
      </c>
      <c r="EQ254" s="3">
        <v>1024</v>
      </c>
      <c r="ER254" s="3">
        <v>41.57</v>
      </c>
      <c r="ES254" s="3">
        <v>41.57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FQ254" s="3">
        <v>0</v>
      </c>
      <c r="FR254" s="3">
        <v>0</v>
      </c>
      <c r="FS254" s="3">
        <v>0</v>
      </c>
      <c r="FX254" s="3">
        <v>90</v>
      </c>
      <c r="FY254" s="3">
        <v>46</v>
      </c>
      <c r="GA254" s="3" t="s">
        <v>3</v>
      </c>
      <c r="GD254" s="3">
        <v>1</v>
      </c>
      <c r="GF254" s="3">
        <v>-2048145394</v>
      </c>
      <c r="GG254" s="3">
        <v>2</v>
      </c>
      <c r="GH254" s="3">
        <v>1</v>
      </c>
      <c r="GI254" s="3">
        <v>2</v>
      </c>
      <c r="GJ254" s="3">
        <v>0</v>
      </c>
      <c r="GK254" s="3">
        <v>0</v>
      </c>
      <c r="GL254" s="3">
        <f t="shared" si="281"/>
        <v>0</v>
      </c>
      <c r="GM254" s="3">
        <f t="shared" si="282"/>
        <v>138284.68</v>
      </c>
      <c r="GN254" s="3">
        <f t="shared" si="283"/>
        <v>0</v>
      </c>
      <c r="GO254" s="3">
        <f t="shared" si="284"/>
        <v>138284.68</v>
      </c>
      <c r="GP254" s="3">
        <f t="shared" si="285"/>
        <v>0</v>
      </c>
      <c r="GR254" s="3">
        <v>0</v>
      </c>
      <c r="GS254" s="3">
        <v>3</v>
      </c>
      <c r="GT254" s="3">
        <v>0</v>
      </c>
      <c r="GU254" s="3" t="s">
        <v>3</v>
      </c>
      <c r="GV254" s="3">
        <f t="shared" si="286"/>
        <v>0</v>
      </c>
      <c r="GW254" s="3">
        <v>1</v>
      </c>
      <c r="GX254" s="3">
        <f t="shared" si="287"/>
        <v>0</v>
      </c>
      <c r="HA254" s="3">
        <v>0</v>
      </c>
      <c r="HB254" s="3">
        <v>0</v>
      </c>
      <c r="HC254" s="3">
        <f t="shared" si="288"/>
        <v>0</v>
      </c>
      <c r="HE254" s="3" t="s">
        <v>3</v>
      </c>
      <c r="HF254" s="3" t="s">
        <v>3</v>
      </c>
      <c r="HM254" s="3" t="s">
        <v>3</v>
      </c>
      <c r="HN254" s="3" t="s">
        <v>3</v>
      </c>
      <c r="HO254" s="3" t="s">
        <v>3</v>
      </c>
      <c r="HP254" s="3" t="s">
        <v>3</v>
      </c>
      <c r="HQ254" s="3" t="s">
        <v>3</v>
      </c>
      <c r="HS254" s="3">
        <v>0</v>
      </c>
      <c r="IK254" s="3">
        <v>0</v>
      </c>
    </row>
    <row r="255" spans="1:255" x14ac:dyDescent="0.2">
      <c r="A255" s="2">
        <v>17</v>
      </c>
      <c r="B255" s="2">
        <v>1</v>
      </c>
      <c r="C255" s="2">
        <f>ROW(SmtRes!A651)</f>
        <v>651</v>
      </c>
      <c r="D255" s="2">
        <f>ROW(EtalonRes!A683)</f>
        <v>683</v>
      </c>
      <c r="E255" s="2" t="s">
        <v>415</v>
      </c>
      <c r="F255" s="2" t="s">
        <v>231</v>
      </c>
      <c r="G255" s="2" t="s">
        <v>232</v>
      </c>
      <c r="H255" s="2" t="s">
        <v>186</v>
      </c>
      <c r="I255" s="2">
        <f>ROUND((800+900+200)/100,9)</f>
        <v>19</v>
      </c>
      <c r="J255" s="2">
        <v>0</v>
      </c>
      <c r="K255" s="2">
        <f>ROUND((800+900+200)/100,9)</f>
        <v>19</v>
      </c>
      <c r="L255" s="2"/>
      <c r="M255" s="2"/>
      <c r="N255" s="2"/>
      <c r="O255" s="2">
        <f t="shared" si="264"/>
        <v>72061.66</v>
      </c>
      <c r="P255" s="2">
        <f t="shared" si="265"/>
        <v>16895.18</v>
      </c>
      <c r="Q255" s="2">
        <f>(ROUND((ROUND((((ET255*1.2))*AV255*I255),2)*BB255),2)+ROUND((ROUND(((AE255-((EU255*1.2)))*AV255*I255),2)*BS255),2))</f>
        <v>12491.49</v>
      </c>
      <c r="R255" s="2">
        <f>(ROUND((ROUND((((EU255*1.2))*AV255*I255),2)*BS255),2)+ROUND((ROUND(((AE255-((EU255*1.2)))*AV255*I255),2)*BS255),2))</f>
        <v>2468.2800000000002</v>
      </c>
      <c r="S255" s="2">
        <f t="shared" si="266"/>
        <v>42674.99</v>
      </c>
      <c r="T255" s="2">
        <f t="shared" si="267"/>
        <v>0</v>
      </c>
      <c r="U255" s="2">
        <f t="shared" si="268"/>
        <v>3381.5364</v>
      </c>
      <c r="V255" s="2">
        <f t="shared" si="269"/>
        <v>0</v>
      </c>
      <c r="W255" s="2">
        <f t="shared" si="270"/>
        <v>0</v>
      </c>
      <c r="X255" s="2">
        <f>(ROUND((((S255+ROUND((ROUND((((EU255*1.2))*AV255*I255),2)*BS255),2))*AT255)/100),2)+ROUND(((ROUND((ROUND(((AE255-((EU255*1.2)))*AV255*I255),2)*BS255),2)*AT255)/100),2))</f>
        <v>40628.94</v>
      </c>
      <c r="Y255" s="2">
        <f>(ROUND((((S255+ROUND((ROUND((((EU255*1.2))*AV255*I255),2)*BS255),2))*AU255)/100),2)+ROUND(((ROUND((ROUND(((AE255-((EU255*1.2)))*AV255*I255),2)*BS255),2)*AU255)/100),2))</f>
        <v>20765.900000000001</v>
      </c>
      <c r="Z255" s="2"/>
      <c r="AA255" s="2">
        <v>55747649</v>
      </c>
      <c r="AB255" s="2">
        <f t="shared" si="271"/>
        <v>3586.18</v>
      </c>
      <c r="AC255" s="2">
        <f>ROUND(((ES255*1)),6)</f>
        <v>865</v>
      </c>
      <c r="AD255" s="2">
        <f>ROUND(((((ET255*1.2))-((EU255*1.2)))+AE255),6)</f>
        <v>616.16399999999999</v>
      </c>
      <c r="AE255" s="2">
        <f>ROUND(((EU255*1.2)),6)</f>
        <v>121.752</v>
      </c>
      <c r="AF255" s="2">
        <f>ROUND(((EV255*1.2)),6)</f>
        <v>2105.0160000000001</v>
      </c>
      <c r="AG255" s="2">
        <f t="shared" si="272"/>
        <v>0</v>
      </c>
      <c r="AH255" s="2">
        <f>((EW255*1.2))</f>
        <v>166.79999999999998</v>
      </c>
      <c r="AI255" s="2">
        <f>((EX255*1.2))</f>
        <v>0</v>
      </c>
      <c r="AJ255" s="2">
        <f t="shared" si="273"/>
        <v>0</v>
      </c>
      <c r="AK255" s="2">
        <v>3132.65</v>
      </c>
      <c r="AL255" s="2">
        <v>865</v>
      </c>
      <c r="AM255" s="2">
        <v>513.47</v>
      </c>
      <c r="AN255" s="2">
        <v>101.46</v>
      </c>
      <c r="AO255" s="2">
        <v>1754.18</v>
      </c>
      <c r="AP255" s="2">
        <v>0</v>
      </c>
      <c r="AQ255" s="2">
        <v>139</v>
      </c>
      <c r="AR255" s="2">
        <v>0</v>
      </c>
      <c r="AS255" s="2">
        <v>0</v>
      </c>
      <c r="AT255" s="2">
        <v>90</v>
      </c>
      <c r="AU255" s="2">
        <v>46</v>
      </c>
      <c r="AV255" s="2">
        <v>1.0669999999999999</v>
      </c>
      <c r="AW255" s="2">
        <v>1.028</v>
      </c>
      <c r="AX255" s="2"/>
      <c r="AY255" s="2"/>
      <c r="AZ255" s="2">
        <v>1</v>
      </c>
      <c r="BA255" s="2">
        <v>1</v>
      </c>
      <c r="BB255" s="2">
        <v>1</v>
      </c>
      <c r="BC255" s="2">
        <v>1</v>
      </c>
      <c r="BD255" s="2" t="s">
        <v>3</v>
      </c>
      <c r="BE255" s="2" t="s">
        <v>3</v>
      </c>
      <c r="BF255" s="2" t="s">
        <v>3</v>
      </c>
      <c r="BG255" s="2" t="s">
        <v>3</v>
      </c>
      <c r="BH255" s="2">
        <v>0</v>
      </c>
      <c r="BI255" s="2">
        <v>2</v>
      </c>
      <c r="BJ255" s="2" t="s">
        <v>233</v>
      </c>
      <c r="BK255" s="2"/>
      <c r="BL255" s="2"/>
      <c r="BM255" s="2">
        <v>73</v>
      </c>
      <c r="BN255" s="2">
        <v>0</v>
      </c>
      <c r="BO255" s="2" t="s">
        <v>231</v>
      </c>
      <c r="BP255" s="2">
        <v>1</v>
      </c>
      <c r="BQ255" s="2">
        <v>40</v>
      </c>
      <c r="BR255" s="2">
        <v>0</v>
      </c>
      <c r="BS255" s="2">
        <v>1</v>
      </c>
      <c r="BT255" s="2">
        <v>1</v>
      </c>
      <c r="BU255" s="2">
        <v>1</v>
      </c>
      <c r="BV255" s="2">
        <v>1</v>
      </c>
      <c r="BW255" s="2">
        <v>1</v>
      </c>
      <c r="BX255" s="2">
        <v>1</v>
      </c>
      <c r="BY255" s="2" t="s">
        <v>3</v>
      </c>
      <c r="BZ255" s="2">
        <v>90</v>
      </c>
      <c r="CA255" s="2">
        <v>46</v>
      </c>
      <c r="CB255" s="2" t="s">
        <v>3</v>
      </c>
      <c r="CC255" s="2"/>
      <c r="CD255" s="2"/>
      <c r="CE255" s="2">
        <v>1566</v>
      </c>
      <c r="CF255" s="2">
        <v>0</v>
      </c>
      <c r="CG255" s="2">
        <v>0</v>
      </c>
      <c r="CH255" s="2"/>
      <c r="CI255" s="2"/>
      <c r="CJ255" s="2"/>
      <c r="CK255" s="2"/>
      <c r="CL255" s="2"/>
      <c r="CM255" s="2">
        <v>0</v>
      </c>
      <c r="CN255" s="2" t="s">
        <v>716</v>
      </c>
      <c r="CO255" s="2">
        <v>0</v>
      </c>
      <c r="CP255" s="2">
        <f t="shared" si="274"/>
        <v>72061.66</v>
      </c>
      <c r="CQ255" s="2">
        <f t="shared" si="275"/>
        <v>889.22</v>
      </c>
      <c r="CR255" s="2">
        <f>(ROUND((ROUND((((ET255*1.2))*AV255*1),2)*BB255),2)+ROUND((ROUND(((AE255-((EU255*1.2)))*AV255*1),2)*BS255),2))</f>
        <v>657.45</v>
      </c>
      <c r="CS255" s="2">
        <f>(ROUND((ROUND((((EU255*1.2))*AV255*1),2)*BS255),2)+ROUND((ROUND(((AE255-((EU255*1.2)))*AV255*1),2)*BS255),2))</f>
        <v>129.91</v>
      </c>
      <c r="CT255" s="2">
        <f t="shared" si="276"/>
        <v>2246.0500000000002</v>
      </c>
      <c r="CU255" s="2">
        <f t="shared" si="277"/>
        <v>0</v>
      </c>
      <c r="CV255" s="2">
        <f t="shared" si="278"/>
        <v>177.97559999999999</v>
      </c>
      <c r="CW255" s="2">
        <f t="shared" si="279"/>
        <v>0</v>
      </c>
      <c r="CX255" s="2">
        <f t="shared" si="280"/>
        <v>0</v>
      </c>
      <c r="CY255" s="2">
        <f>(ROUND((((S255+ROUND((ROUND((((EU255*1.2))*AV255*1),2)*BS255),2))*AT255)/100),2)+ROUND(((ROUND((ROUND(((AE255-((EU255*1.2)))*AV255*1),2)*BS255),2)*AT255)/100),2))</f>
        <v>38524.410000000003</v>
      </c>
      <c r="CZ255" s="2">
        <f>(ROUND((((S255+ROUND((ROUND((((EU255*1.2))*AV255*1),2)*BS255),2))*AU255)/100),2)+ROUND(((ROUND((ROUND(((AE255-((EU255*1.2)))*AV255*1),2)*BS255),2)*AU255)/100),2))</f>
        <v>19690.25</v>
      </c>
      <c r="DA255" s="2"/>
      <c r="DB255" s="2">
        <v>99</v>
      </c>
      <c r="DC255" s="2" t="s">
        <v>3</v>
      </c>
      <c r="DD255" s="2" t="s">
        <v>48</v>
      </c>
      <c r="DE255" s="2" t="s">
        <v>49</v>
      </c>
      <c r="DF255" s="2" t="s">
        <v>49</v>
      </c>
      <c r="DG255" s="2" t="s">
        <v>49</v>
      </c>
      <c r="DH255" s="2" t="s">
        <v>3</v>
      </c>
      <c r="DI255" s="2" t="s">
        <v>49</v>
      </c>
      <c r="DJ255" s="2" t="s">
        <v>49</v>
      </c>
      <c r="DK255" s="2" t="s">
        <v>3</v>
      </c>
      <c r="DL255" s="2" t="s">
        <v>3</v>
      </c>
      <c r="DM255" s="2" t="s">
        <v>3</v>
      </c>
      <c r="DN255" s="2">
        <v>0</v>
      </c>
      <c r="DO255" s="2">
        <v>0</v>
      </c>
      <c r="DP255" s="2">
        <v>1</v>
      </c>
      <c r="DQ255" s="2">
        <v>1</v>
      </c>
      <c r="DR255" s="2"/>
      <c r="DS255" s="2"/>
      <c r="DT255" s="2"/>
      <c r="DU255" s="2">
        <v>1003</v>
      </c>
      <c r="DV255" s="2" t="s">
        <v>186</v>
      </c>
      <c r="DW255" s="2" t="s">
        <v>186</v>
      </c>
      <c r="DX255" s="2">
        <v>100</v>
      </c>
      <c r="DY255" s="2"/>
      <c r="DZ255" s="2" t="s">
        <v>3</v>
      </c>
      <c r="EA255" s="2" t="s">
        <v>3</v>
      </c>
      <c r="EB255" s="2" t="s">
        <v>3</v>
      </c>
      <c r="EC255" s="2" t="s">
        <v>3</v>
      </c>
      <c r="ED255" s="2"/>
      <c r="EE255" s="2">
        <v>56938740</v>
      </c>
      <c r="EF255" s="2">
        <v>40</v>
      </c>
      <c r="EG255" s="2" t="s">
        <v>29</v>
      </c>
      <c r="EH255" s="2">
        <v>0</v>
      </c>
      <c r="EI255" s="2" t="s">
        <v>3</v>
      </c>
      <c r="EJ255" s="2">
        <v>2</v>
      </c>
      <c r="EK255" s="2">
        <v>73</v>
      </c>
      <c r="EL255" s="2" t="s">
        <v>85</v>
      </c>
      <c r="EM255" s="2" t="s">
        <v>86</v>
      </c>
      <c r="EN255" s="2"/>
      <c r="EO255" s="2" t="s">
        <v>50</v>
      </c>
      <c r="EP255" s="2"/>
      <c r="EQ255" s="2">
        <v>131072</v>
      </c>
      <c r="ER255" s="2">
        <v>3132.65</v>
      </c>
      <c r="ES255" s="2">
        <v>865</v>
      </c>
      <c r="ET255" s="2">
        <v>513.47</v>
      </c>
      <c r="EU255" s="2">
        <v>101.46</v>
      </c>
      <c r="EV255" s="2">
        <v>1754.18</v>
      </c>
      <c r="EW255" s="2">
        <v>139</v>
      </c>
      <c r="EX255" s="2">
        <v>0</v>
      </c>
      <c r="EY255" s="2">
        <v>0</v>
      </c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>
        <v>0</v>
      </c>
      <c r="FR255" s="2">
        <v>0</v>
      </c>
      <c r="FS255" s="2">
        <v>2</v>
      </c>
      <c r="FT255" s="2"/>
      <c r="FU255" s="2"/>
      <c r="FV255" s="2"/>
      <c r="FW255" s="2"/>
      <c r="FX255" s="2">
        <v>90</v>
      </c>
      <c r="FY255" s="2">
        <v>46</v>
      </c>
      <c r="FZ255" s="2"/>
      <c r="GA255" s="2" t="s">
        <v>3</v>
      </c>
      <c r="GB255" s="2"/>
      <c r="GC255" s="2"/>
      <c r="GD255" s="2">
        <v>1</v>
      </c>
      <c r="GE255" s="2"/>
      <c r="GF255" s="2">
        <v>-358609466</v>
      </c>
      <c r="GG255" s="2">
        <v>2</v>
      </c>
      <c r="GH255" s="2">
        <v>1</v>
      </c>
      <c r="GI255" s="2">
        <v>2</v>
      </c>
      <c r="GJ255" s="2">
        <v>0</v>
      </c>
      <c r="GK255" s="2">
        <v>0</v>
      </c>
      <c r="GL255" s="2">
        <f t="shared" si="281"/>
        <v>0</v>
      </c>
      <c r="GM255" s="2">
        <f t="shared" si="282"/>
        <v>133456.5</v>
      </c>
      <c r="GN255" s="2">
        <f t="shared" si="283"/>
        <v>0</v>
      </c>
      <c r="GO255" s="2">
        <f t="shared" si="284"/>
        <v>133456.5</v>
      </c>
      <c r="GP255" s="2">
        <f t="shared" si="285"/>
        <v>0</v>
      </c>
      <c r="GQ255" s="2"/>
      <c r="GR255" s="2">
        <v>0</v>
      </c>
      <c r="GS255" s="2">
        <v>3</v>
      </c>
      <c r="GT255" s="2">
        <v>0</v>
      </c>
      <c r="GU255" s="2" t="s">
        <v>3</v>
      </c>
      <c r="GV255" s="2">
        <f t="shared" si="286"/>
        <v>0</v>
      </c>
      <c r="GW255" s="2">
        <v>1</v>
      </c>
      <c r="GX255" s="2">
        <f t="shared" si="287"/>
        <v>0</v>
      </c>
      <c r="GY255" s="2"/>
      <c r="GZ255" s="2"/>
      <c r="HA255" s="2">
        <v>0</v>
      </c>
      <c r="HB255" s="2">
        <v>0</v>
      </c>
      <c r="HC255" s="2">
        <f t="shared" si="288"/>
        <v>0</v>
      </c>
      <c r="HD255" s="2"/>
      <c r="HE255" s="2" t="s">
        <v>3</v>
      </c>
      <c r="HF255" s="2" t="s">
        <v>3</v>
      </c>
      <c r="HG255" s="2"/>
      <c r="HH255" s="2"/>
      <c r="HI255" s="2"/>
      <c r="HJ255" s="2"/>
      <c r="HK255" s="2"/>
      <c r="HL255" s="2"/>
      <c r="HM255" s="2" t="s">
        <v>3</v>
      </c>
      <c r="HN255" s="2" t="s">
        <v>3</v>
      </c>
      <c r="HO255" s="2" t="s">
        <v>3</v>
      </c>
      <c r="HP255" s="2" t="s">
        <v>3</v>
      </c>
      <c r="HQ255" s="2" t="s">
        <v>3</v>
      </c>
      <c r="HR255" s="2"/>
      <c r="HS255" s="2">
        <v>0</v>
      </c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>
        <v>0</v>
      </c>
      <c r="IL255" s="2"/>
      <c r="IM255" s="2"/>
      <c r="IN255" s="2"/>
      <c r="IO255" s="2"/>
      <c r="IP255" s="2"/>
      <c r="IQ255" s="2"/>
      <c r="IR255" s="2"/>
      <c r="IS255" s="2"/>
      <c r="IT255" s="2"/>
      <c r="IU255" s="2"/>
    </row>
    <row r="256" spans="1:255" x14ac:dyDescent="0.2">
      <c r="A256" s="3">
        <v>17</v>
      </c>
      <c r="B256" s="3">
        <v>1</v>
      </c>
      <c r="C256" s="3">
        <f>ROW(SmtRes!A668)</f>
        <v>668</v>
      </c>
      <c r="D256" s="3">
        <f>ROW(EtalonRes!A698)</f>
        <v>698</v>
      </c>
      <c r="E256" s="3" t="s">
        <v>415</v>
      </c>
      <c r="F256" s="3" t="s">
        <v>231</v>
      </c>
      <c r="G256" s="3" t="s">
        <v>232</v>
      </c>
      <c r="H256" s="3" t="s">
        <v>186</v>
      </c>
      <c r="I256" s="3">
        <f>ROUND((800+900+200)/100,9)</f>
        <v>19</v>
      </c>
      <c r="J256" s="3">
        <v>0</v>
      </c>
      <c r="K256" s="3">
        <f>ROUND((800+900+200)/100,9)</f>
        <v>19</v>
      </c>
      <c r="O256" s="3">
        <f t="shared" si="264"/>
        <v>2699810.31</v>
      </c>
      <c r="P256" s="3">
        <f t="shared" si="265"/>
        <v>37000.44</v>
      </c>
      <c r="Q256" s="3">
        <f>(ROUND((ROUND((((ET256*1.2))*AV256*I256),2)*BB256),2)+ROUND((ROUND(((AE256-((EU256*1.2)))*AV256*I256),2)*BS256),2))</f>
        <v>258074.18</v>
      </c>
      <c r="R256" s="3">
        <f>(ROUND((ROUND((((EU256*1.2))*AV256*I256),2)*BS256),2)+ROUND((ROUND(((AE256-((EU256*1.2)))*AV256*I256),2)*BS256),2))</f>
        <v>139087.57999999999</v>
      </c>
      <c r="S256" s="3">
        <f t="shared" si="266"/>
        <v>2404735.69</v>
      </c>
      <c r="T256" s="3">
        <f t="shared" si="267"/>
        <v>0</v>
      </c>
      <c r="U256" s="3">
        <f t="shared" si="268"/>
        <v>3381.5364</v>
      </c>
      <c r="V256" s="3">
        <f t="shared" si="269"/>
        <v>0</v>
      </c>
      <c r="W256" s="3">
        <f t="shared" si="270"/>
        <v>0</v>
      </c>
      <c r="X256" s="3">
        <f>(ROUND((((S256+ROUND((ROUND((((EU256*1.2))*AV256*I256),2)*BS256),2))*AT256)/100),2)+ROUND(((ROUND((ROUND(((AE256-((EU256*1.2)))*AV256*I256),2)*BS256),2)*AT256)/100),2))</f>
        <v>2289440.94</v>
      </c>
      <c r="Y256" s="3">
        <f>(ROUND((((S256+ROUND((ROUND((((EU256*1.2))*AV256*I256),2)*BS256),2))*AU256)/100),2)+ROUND(((ROUND((ROUND(((AE256-((EU256*1.2)))*AV256*I256),2)*BS256),2)*AU256)/100),2))</f>
        <v>1170158.7</v>
      </c>
      <c r="AA256" s="3">
        <v>55747651</v>
      </c>
      <c r="AB256" s="3">
        <f t="shared" si="271"/>
        <v>3586.18</v>
      </c>
      <c r="AC256" s="3">
        <f>ROUND(((ES256*1)),6)</f>
        <v>865</v>
      </c>
      <c r="AD256" s="3">
        <f>ROUND(((((ET256*1.2))-((EU256*1.2)))+AE256),6)</f>
        <v>616.16399999999999</v>
      </c>
      <c r="AE256" s="3">
        <f>ROUND(((EU256*1.2)),6)</f>
        <v>121.752</v>
      </c>
      <c r="AF256" s="3">
        <f>ROUND(((EV256*1.2)),6)</f>
        <v>2105.0160000000001</v>
      </c>
      <c r="AG256" s="3">
        <f t="shared" si="272"/>
        <v>0</v>
      </c>
      <c r="AH256" s="3">
        <f>((EW256*1.2))</f>
        <v>166.79999999999998</v>
      </c>
      <c r="AI256" s="3">
        <f>((EX256*1.2))</f>
        <v>0</v>
      </c>
      <c r="AJ256" s="3">
        <f t="shared" si="273"/>
        <v>0</v>
      </c>
      <c r="AK256" s="3">
        <v>3132.65</v>
      </c>
      <c r="AL256" s="3">
        <v>865</v>
      </c>
      <c r="AM256" s="3">
        <v>513.47</v>
      </c>
      <c r="AN256" s="3">
        <v>101.46</v>
      </c>
      <c r="AO256" s="3">
        <v>1754.18</v>
      </c>
      <c r="AP256" s="3">
        <v>0</v>
      </c>
      <c r="AQ256" s="3">
        <v>139</v>
      </c>
      <c r="AR256" s="3">
        <v>0</v>
      </c>
      <c r="AS256" s="3">
        <v>0</v>
      </c>
      <c r="AT256" s="3">
        <v>90</v>
      </c>
      <c r="AU256" s="3">
        <v>46</v>
      </c>
      <c r="AV256" s="3">
        <v>1.0669999999999999</v>
      </c>
      <c r="AW256" s="3">
        <v>1.028</v>
      </c>
      <c r="AZ256" s="3">
        <v>1</v>
      </c>
      <c r="BA256" s="3">
        <v>56.35</v>
      </c>
      <c r="BB256" s="3">
        <v>20.66</v>
      </c>
      <c r="BC256" s="3">
        <v>2.19</v>
      </c>
      <c r="BD256" s="3" t="s">
        <v>3</v>
      </c>
      <c r="BE256" s="3" t="s">
        <v>3</v>
      </c>
      <c r="BF256" s="3" t="s">
        <v>3</v>
      </c>
      <c r="BG256" s="3" t="s">
        <v>3</v>
      </c>
      <c r="BH256" s="3">
        <v>0</v>
      </c>
      <c r="BI256" s="3">
        <v>2</v>
      </c>
      <c r="BJ256" s="3" t="s">
        <v>233</v>
      </c>
      <c r="BM256" s="3">
        <v>73</v>
      </c>
      <c r="BN256" s="3">
        <v>0</v>
      </c>
      <c r="BO256" s="3" t="s">
        <v>231</v>
      </c>
      <c r="BP256" s="3">
        <v>1</v>
      </c>
      <c r="BQ256" s="3">
        <v>40</v>
      </c>
      <c r="BR256" s="3">
        <v>0</v>
      </c>
      <c r="BS256" s="3">
        <v>56.35</v>
      </c>
      <c r="BT256" s="3">
        <v>1</v>
      </c>
      <c r="BU256" s="3">
        <v>1</v>
      </c>
      <c r="BV256" s="3">
        <v>1</v>
      </c>
      <c r="BW256" s="3">
        <v>1</v>
      </c>
      <c r="BX256" s="3">
        <v>1</v>
      </c>
      <c r="BY256" s="3" t="s">
        <v>3</v>
      </c>
      <c r="BZ256" s="3">
        <v>90</v>
      </c>
      <c r="CA256" s="3">
        <v>46</v>
      </c>
      <c r="CB256" s="3" t="s">
        <v>3</v>
      </c>
      <c r="CE256" s="3">
        <v>1566</v>
      </c>
      <c r="CF256" s="3">
        <v>0</v>
      </c>
      <c r="CG256" s="3">
        <v>0</v>
      </c>
      <c r="CM256" s="3">
        <v>0</v>
      </c>
      <c r="CN256" s="3" t="s">
        <v>716</v>
      </c>
      <c r="CO256" s="3">
        <v>0</v>
      </c>
      <c r="CP256" s="3">
        <f t="shared" si="274"/>
        <v>2699810.31</v>
      </c>
      <c r="CQ256" s="3">
        <f t="shared" si="275"/>
        <v>1947.39</v>
      </c>
      <c r="CR256" s="3">
        <f>(ROUND((ROUND((((ET256*1.2))*AV256*1),2)*BB256),2)+ROUND((ROUND(((AE256-((EU256*1.2)))*AV256*1),2)*BS256),2))</f>
        <v>13582.92</v>
      </c>
      <c r="CS256" s="3">
        <f>(ROUND((ROUND((((EU256*1.2))*AV256*1),2)*BS256),2)+ROUND((ROUND(((AE256-((EU256*1.2)))*AV256*1),2)*BS256),2))</f>
        <v>7320.43</v>
      </c>
      <c r="CT256" s="3">
        <f t="shared" si="276"/>
        <v>126564.92</v>
      </c>
      <c r="CU256" s="3">
        <f t="shared" si="277"/>
        <v>0</v>
      </c>
      <c r="CV256" s="3">
        <f t="shared" si="278"/>
        <v>177.97559999999999</v>
      </c>
      <c r="CW256" s="3">
        <f t="shared" si="279"/>
        <v>0</v>
      </c>
      <c r="CX256" s="3">
        <f t="shared" si="280"/>
        <v>0</v>
      </c>
      <c r="CY256" s="3">
        <f>(ROUND((((S256+ROUND((ROUND((((EU256*1.2))*AV256*1),2)*BS256),2))*AT256)/100),2)+ROUND(((ROUND((ROUND(((AE256-((EU256*1.2)))*AV256*1),2)*BS256),2)*AT256)/100),2))</f>
        <v>2170850.5099999998</v>
      </c>
      <c r="CZ256" s="3">
        <f>(ROUND((((S256+ROUND((ROUND((((EU256*1.2))*AV256*1),2)*BS256),2))*AU256)/100),2)+ROUND(((ROUND((ROUND(((AE256-((EU256*1.2)))*AV256*1),2)*BS256),2)*AU256)/100),2))</f>
        <v>1109545.82</v>
      </c>
      <c r="DB256" s="3">
        <v>100</v>
      </c>
      <c r="DC256" s="3" t="s">
        <v>3</v>
      </c>
      <c r="DD256" s="3" t="s">
        <v>48</v>
      </c>
      <c r="DE256" s="3" t="s">
        <v>49</v>
      </c>
      <c r="DF256" s="3" t="s">
        <v>49</v>
      </c>
      <c r="DG256" s="3" t="s">
        <v>49</v>
      </c>
      <c r="DH256" s="3" t="s">
        <v>3</v>
      </c>
      <c r="DI256" s="3" t="s">
        <v>49</v>
      </c>
      <c r="DJ256" s="3" t="s">
        <v>49</v>
      </c>
      <c r="DK256" s="3" t="s">
        <v>3</v>
      </c>
      <c r="DL256" s="3" t="s">
        <v>3</v>
      </c>
      <c r="DM256" s="3" t="s">
        <v>3</v>
      </c>
      <c r="DN256" s="3">
        <v>0</v>
      </c>
      <c r="DO256" s="3">
        <v>0</v>
      </c>
      <c r="DP256" s="3">
        <v>1</v>
      </c>
      <c r="DQ256" s="3">
        <v>1</v>
      </c>
      <c r="DU256" s="3">
        <v>1003</v>
      </c>
      <c r="DV256" s="3" t="s">
        <v>186</v>
      </c>
      <c r="DW256" s="3" t="s">
        <v>186</v>
      </c>
      <c r="DX256" s="3">
        <v>100</v>
      </c>
      <c r="DZ256" s="3" t="s">
        <v>3</v>
      </c>
      <c r="EA256" s="3" t="s">
        <v>3</v>
      </c>
      <c r="EB256" s="3" t="s">
        <v>3</v>
      </c>
      <c r="EC256" s="3" t="s">
        <v>3</v>
      </c>
      <c r="EE256" s="3">
        <v>56938740</v>
      </c>
      <c r="EF256" s="3">
        <v>40</v>
      </c>
      <c r="EG256" s="3" t="s">
        <v>29</v>
      </c>
      <c r="EH256" s="3">
        <v>0</v>
      </c>
      <c r="EI256" s="3" t="s">
        <v>3</v>
      </c>
      <c r="EJ256" s="3">
        <v>2</v>
      </c>
      <c r="EK256" s="3">
        <v>73</v>
      </c>
      <c r="EL256" s="3" t="s">
        <v>85</v>
      </c>
      <c r="EM256" s="3" t="s">
        <v>86</v>
      </c>
      <c r="EO256" s="3" t="s">
        <v>50</v>
      </c>
      <c r="EQ256" s="3">
        <v>131072</v>
      </c>
      <c r="ER256" s="3">
        <v>3132.65</v>
      </c>
      <c r="ES256" s="3">
        <v>865</v>
      </c>
      <c r="ET256" s="3">
        <v>513.47</v>
      </c>
      <c r="EU256" s="3">
        <v>101.46</v>
      </c>
      <c r="EV256" s="3">
        <v>1754.18</v>
      </c>
      <c r="EW256" s="3">
        <v>139</v>
      </c>
      <c r="EX256" s="3">
        <v>0</v>
      </c>
      <c r="EY256" s="3">
        <v>0</v>
      </c>
      <c r="FQ256" s="3">
        <v>0</v>
      </c>
      <c r="FR256" s="3">
        <v>0</v>
      </c>
      <c r="FS256" s="3">
        <v>2</v>
      </c>
      <c r="FX256" s="3">
        <v>90</v>
      </c>
      <c r="FY256" s="3">
        <v>46</v>
      </c>
      <c r="GA256" s="3" t="s">
        <v>3</v>
      </c>
      <c r="GD256" s="3">
        <v>1</v>
      </c>
      <c r="GF256" s="3">
        <v>-358609466</v>
      </c>
      <c r="GG256" s="3">
        <v>2</v>
      </c>
      <c r="GH256" s="3">
        <v>1</v>
      </c>
      <c r="GI256" s="3">
        <v>2</v>
      </c>
      <c r="GJ256" s="3">
        <v>0</v>
      </c>
      <c r="GK256" s="3">
        <v>0</v>
      </c>
      <c r="GL256" s="3">
        <f t="shared" si="281"/>
        <v>0</v>
      </c>
      <c r="GM256" s="3">
        <f t="shared" si="282"/>
        <v>6159409.9500000002</v>
      </c>
      <c r="GN256" s="3">
        <f t="shared" si="283"/>
        <v>0</v>
      </c>
      <c r="GO256" s="3">
        <f t="shared" si="284"/>
        <v>6159409.9500000002</v>
      </c>
      <c r="GP256" s="3">
        <f t="shared" si="285"/>
        <v>0</v>
      </c>
      <c r="GR256" s="3">
        <v>0</v>
      </c>
      <c r="GS256" s="3">
        <v>3</v>
      </c>
      <c r="GT256" s="3">
        <v>0</v>
      </c>
      <c r="GU256" s="3" t="s">
        <v>3</v>
      </c>
      <c r="GV256" s="3">
        <f t="shared" si="286"/>
        <v>0</v>
      </c>
      <c r="GW256" s="3">
        <v>1</v>
      </c>
      <c r="GX256" s="3">
        <f t="shared" si="287"/>
        <v>0</v>
      </c>
      <c r="HA256" s="3">
        <v>0</v>
      </c>
      <c r="HB256" s="3">
        <v>0</v>
      </c>
      <c r="HC256" s="3">
        <f t="shared" si="288"/>
        <v>0</v>
      </c>
      <c r="HE256" s="3" t="s">
        <v>3</v>
      </c>
      <c r="HF256" s="3" t="s">
        <v>3</v>
      </c>
      <c r="HM256" s="3" t="s">
        <v>3</v>
      </c>
      <c r="HN256" s="3" t="s">
        <v>3</v>
      </c>
      <c r="HO256" s="3" t="s">
        <v>3</v>
      </c>
      <c r="HP256" s="3" t="s">
        <v>3</v>
      </c>
      <c r="HQ256" s="3" t="s">
        <v>3</v>
      </c>
      <c r="HS256" s="3">
        <v>0</v>
      </c>
      <c r="IK256" s="3">
        <v>0</v>
      </c>
    </row>
    <row r="257" spans="1:255" x14ac:dyDescent="0.2">
      <c r="A257" s="2">
        <v>18</v>
      </c>
      <c r="B257" s="2">
        <v>1</v>
      </c>
      <c r="C257" s="2">
        <v>650</v>
      </c>
      <c r="D257" s="2"/>
      <c r="E257" s="2" t="s">
        <v>416</v>
      </c>
      <c r="F257" s="2" t="s">
        <v>412</v>
      </c>
      <c r="G257" s="2" t="s">
        <v>413</v>
      </c>
      <c r="H257" s="2" t="s">
        <v>191</v>
      </c>
      <c r="I257" s="2">
        <f>I255*J257</f>
        <v>804</v>
      </c>
      <c r="J257" s="2">
        <v>42.315789473684212</v>
      </c>
      <c r="K257" s="2">
        <v>42.315789469999999</v>
      </c>
      <c r="L257" s="2"/>
      <c r="M257" s="2"/>
      <c r="N257" s="2"/>
      <c r="O257" s="2">
        <f t="shared" si="264"/>
        <v>49510.32</v>
      </c>
      <c r="P257" s="2">
        <f t="shared" si="265"/>
        <v>49510.32</v>
      </c>
      <c r="Q257" s="2">
        <f t="shared" ref="Q257:Q262" si="315">(ROUND((ROUND(((ET257)*AV257*I257),2)*BB257),2)+ROUND((ROUND(((AE257-(EU257))*AV257*I257),2)*BS257),2))</f>
        <v>0</v>
      </c>
      <c r="R257" s="2">
        <f t="shared" ref="R257:R262" si="316">(ROUND((ROUND(((EU257)*AV257*I257),2)*BS257),2)+ROUND((ROUND(((AE257-(EU257))*AV257*I257),2)*BS257),2))</f>
        <v>0</v>
      </c>
      <c r="S257" s="2">
        <f t="shared" si="266"/>
        <v>0</v>
      </c>
      <c r="T257" s="2">
        <f t="shared" si="267"/>
        <v>0</v>
      </c>
      <c r="U257" s="2">
        <f t="shared" si="268"/>
        <v>0</v>
      </c>
      <c r="V257" s="2">
        <f t="shared" si="269"/>
        <v>0</v>
      </c>
      <c r="W257" s="2">
        <f t="shared" si="270"/>
        <v>0</v>
      </c>
      <c r="X257" s="2">
        <f t="shared" ref="X257:X262" si="317">(ROUND((((S257+ROUND((ROUND(((EU257)*AV257*I257),2)*BS257),2))*AT257)/100),2)+ROUND(((ROUND((ROUND(((AE257-(EU257))*AV257*I257),2)*BS257),2)*AT257)/100),2))</f>
        <v>0</v>
      </c>
      <c r="Y257" s="2">
        <f t="shared" ref="Y257:Y262" si="318">(ROUND((((S257+ROUND((ROUND(((EU257)*AV257*I257),2)*BS257),2))*AU257)/100),2)+ROUND(((ROUND((ROUND(((AE257-(EU257))*AV257*I257),2)*BS257),2)*AU257)/100),2))</f>
        <v>0</v>
      </c>
      <c r="Z257" s="2"/>
      <c r="AA257" s="2">
        <v>55747649</v>
      </c>
      <c r="AB257" s="2">
        <f t="shared" si="271"/>
        <v>61.58</v>
      </c>
      <c r="AC257" s="2">
        <f t="shared" ref="AC257:AC262" si="319">ROUND((ES257),6)</f>
        <v>61.58</v>
      </c>
      <c r="AD257" s="2">
        <f t="shared" ref="AD257:AD262" si="320">ROUND((((ET257)-(EU257))+AE257),6)</f>
        <v>0</v>
      </c>
      <c r="AE257" s="2">
        <f t="shared" ref="AE257:AF262" si="321">ROUND((EU257),6)</f>
        <v>0</v>
      </c>
      <c r="AF257" s="2">
        <f t="shared" si="321"/>
        <v>0</v>
      </c>
      <c r="AG257" s="2">
        <f t="shared" si="272"/>
        <v>0</v>
      </c>
      <c r="AH257" s="2">
        <f t="shared" ref="AH257:AI262" si="322">(EW257)</f>
        <v>0</v>
      </c>
      <c r="AI257" s="2">
        <f t="shared" si="322"/>
        <v>0</v>
      </c>
      <c r="AJ257" s="2">
        <f t="shared" si="273"/>
        <v>0</v>
      </c>
      <c r="AK257" s="2">
        <v>61.58</v>
      </c>
      <c r="AL257" s="2">
        <v>61.58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90</v>
      </c>
      <c r="AU257" s="2">
        <v>46</v>
      </c>
      <c r="AV257" s="2">
        <v>1</v>
      </c>
      <c r="AW257" s="2">
        <v>1</v>
      </c>
      <c r="AX257" s="2"/>
      <c r="AY257" s="2"/>
      <c r="AZ257" s="2">
        <v>1</v>
      </c>
      <c r="BA257" s="2">
        <v>1</v>
      </c>
      <c r="BB257" s="2">
        <v>1</v>
      </c>
      <c r="BC257" s="2">
        <v>1</v>
      </c>
      <c r="BD257" s="2" t="s">
        <v>3</v>
      </c>
      <c r="BE257" s="2" t="s">
        <v>3</v>
      </c>
      <c r="BF257" s="2" t="s">
        <v>3</v>
      </c>
      <c r="BG257" s="2" t="s">
        <v>3</v>
      </c>
      <c r="BH257" s="2">
        <v>3</v>
      </c>
      <c r="BI257" s="2">
        <v>2</v>
      </c>
      <c r="BJ257" s="2" t="s">
        <v>414</v>
      </c>
      <c r="BK257" s="2"/>
      <c r="BL257" s="2"/>
      <c r="BM257" s="2">
        <v>73</v>
      </c>
      <c r="BN257" s="2">
        <v>0</v>
      </c>
      <c r="BO257" s="2" t="s">
        <v>3</v>
      </c>
      <c r="BP257" s="2">
        <v>0</v>
      </c>
      <c r="BQ257" s="2">
        <v>40</v>
      </c>
      <c r="BR257" s="2">
        <v>0</v>
      </c>
      <c r="BS257" s="2">
        <v>1</v>
      </c>
      <c r="BT257" s="2">
        <v>1</v>
      </c>
      <c r="BU257" s="2">
        <v>1</v>
      </c>
      <c r="BV257" s="2">
        <v>1</v>
      </c>
      <c r="BW257" s="2">
        <v>1</v>
      </c>
      <c r="BX257" s="2">
        <v>1</v>
      </c>
      <c r="BY257" s="2" t="s">
        <v>3</v>
      </c>
      <c r="BZ257" s="2">
        <v>90</v>
      </c>
      <c r="CA257" s="2">
        <v>46</v>
      </c>
      <c r="CB257" s="2" t="s">
        <v>3</v>
      </c>
      <c r="CC257" s="2"/>
      <c r="CD257" s="2"/>
      <c r="CE257" s="2">
        <v>1566</v>
      </c>
      <c r="CF257" s="2">
        <v>0</v>
      </c>
      <c r="CG257" s="2">
        <v>0</v>
      </c>
      <c r="CH257" s="2"/>
      <c r="CI257" s="2"/>
      <c r="CJ257" s="2"/>
      <c r="CK257" s="2"/>
      <c r="CL257" s="2"/>
      <c r="CM257" s="2">
        <v>0</v>
      </c>
      <c r="CN257" s="2" t="s">
        <v>3</v>
      </c>
      <c r="CO257" s="2">
        <v>0</v>
      </c>
      <c r="CP257" s="2">
        <f t="shared" si="274"/>
        <v>49510.32</v>
      </c>
      <c r="CQ257" s="2">
        <f t="shared" si="275"/>
        <v>61.58</v>
      </c>
      <c r="CR257" s="2">
        <f t="shared" ref="CR257:CR262" si="323">(ROUND((ROUND(((ET257)*AV257*1),2)*BB257),2)+ROUND((ROUND(((AE257-(EU257))*AV257*1),2)*BS257),2))</f>
        <v>0</v>
      </c>
      <c r="CS257" s="2">
        <f t="shared" ref="CS257:CS262" si="324">(ROUND((ROUND(((EU257)*AV257*1),2)*BS257),2)+ROUND((ROUND(((AE257-(EU257))*AV257*1),2)*BS257),2))</f>
        <v>0</v>
      </c>
      <c r="CT257" s="2">
        <f t="shared" si="276"/>
        <v>0</v>
      </c>
      <c r="CU257" s="2">
        <f t="shared" si="277"/>
        <v>0</v>
      </c>
      <c r="CV257" s="2">
        <f t="shared" si="278"/>
        <v>0</v>
      </c>
      <c r="CW257" s="2">
        <f t="shared" si="279"/>
        <v>0</v>
      </c>
      <c r="CX257" s="2">
        <f t="shared" si="280"/>
        <v>0</v>
      </c>
      <c r="CY257" s="2">
        <f t="shared" ref="CY257:CY262" si="325">(ROUND((((S257+ROUND((ROUND(((EU257)*AV257*1),2)*BS257),2))*AT257)/100),2)+ROUND(((ROUND((ROUND(((AE257-(EU257))*AV257*1),2)*BS257),2)*AT257)/100),2))</f>
        <v>0</v>
      </c>
      <c r="CZ257" s="2">
        <f t="shared" ref="CZ257:CZ262" si="326">(ROUND((((S257+ROUND((ROUND(((EU257)*AV257*1),2)*BS257),2))*AU257)/100),2)+ROUND(((ROUND((ROUND(((AE257-(EU257))*AV257*1),2)*BS257),2)*AU257)/100),2))</f>
        <v>0</v>
      </c>
      <c r="DA257" s="2"/>
      <c r="DB257" s="2"/>
      <c r="DC257" s="2" t="s">
        <v>3</v>
      </c>
      <c r="DD257" s="2" t="s">
        <v>3</v>
      </c>
      <c r="DE257" s="2" t="s">
        <v>3</v>
      </c>
      <c r="DF257" s="2" t="s">
        <v>3</v>
      </c>
      <c r="DG257" s="2" t="s">
        <v>3</v>
      </c>
      <c r="DH257" s="2" t="s">
        <v>3</v>
      </c>
      <c r="DI257" s="2" t="s">
        <v>3</v>
      </c>
      <c r="DJ257" s="2" t="s">
        <v>3</v>
      </c>
      <c r="DK257" s="2" t="s">
        <v>3</v>
      </c>
      <c r="DL257" s="2" t="s">
        <v>3</v>
      </c>
      <c r="DM257" s="2" t="s">
        <v>3</v>
      </c>
      <c r="DN257" s="2">
        <v>0</v>
      </c>
      <c r="DO257" s="2">
        <v>0</v>
      </c>
      <c r="DP257" s="2">
        <v>1</v>
      </c>
      <c r="DQ257" s="2">
        <v>1</v>
      </c>
      <c r="DR257" s="2"/>
      <c r="DS257" s="2"/>
      <c r="DT257" s="2"/>
      <c r="DU257" s="2">
        <v>1003</v>
      </c>
      <c r="DV257" s="2" t="s">
        <v>191</v>
      </c>
      <c r="DW257" s="2" t="s">
        <v>191</v>
      </c>
      <c r="DX257" s="2">
        <v>1</v>
      </c>
      <c r="DY257" s="2"/>
      <c r="DZ257" s="2" t="s">
        <v>3</v>
      </c>
      <c r="EA257" s="2" t="s">
        <v>3</v>
      </c>
      <c r="EB257" s="2" t="s">
        <v>3</v>
      </c>
      <c r="EC257" s="2" t="s">
        <v>3</v>
      </c>
      <c r="ED257" s="2"/>
      <c r="EE257" s="2">
        <v>56938740</v>
      </c>
      <c r="EF257" s="2">
        <v>40</v>
      </c>
      <c r="EG257" s="2" t="s">
        <v>29</v>
      </c>
      <c r="EH257" s="2">
        <v>0</v>
      </c>
      <c r="EI257" s="2" t="s">
        <v>3</v>
      </c>
      <c r="EJ257" s="2">
        <v>2</v>
      </c>
      <c r="EK257" s="2">
        <v>73</v>
      </c>
      <c r="EL257" s="2" t="s">
        <v>85</v>
      </c>
      <c r="EM257" s="2" t="s">
        <v>86</v>
      </c>
      <c r="EN257" s="2"/>
      <c r="EO257" s="2" t="s">
        <v>3</v>
      </c>
      <c r="EP257" s="2"/>
      <c r="EQ257" s="2">
        <v>0</v>
      </c>
      <c r="ER257" s="2">
        <v>61.58</v>
      </c>
      <c r="ES257" s="2">
        <v>61.58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>
        <v>0</v>
      </c>
      <c r="FR257" s="2">
        <v>0</v>
      </c>
      <c r="FS257" s="2">
        <v>0</v>
      </c>
      <c r="FT257" s="2"/>
      <c r="FU257" s="2"/>
      <c r="FV257" s="2"/>
      <c r="FW257" s="2"/>
      <c r="FX257" s="2">
        <v>90</v>
      </c>
      <c r="FY257" s="2">
        <v>46</v>
      </c>
      <c r="FZ257" s="2"/>
      <c r="GA257" s="2" t="s">
        <v>3</v>
      </c>
      <c r="GB257" s="2"/>
      <c r="GC257" s="2"/>
      <c r="GD257" s="2">
        <v>1</v>
      </c>
      <c r="GE257" s="2"/>
      <c r="GF257" s="2">
        <v>-2119850974</v>
      </c>
      <c r="GG257" s="2">
        <v>2</v>
      </c>
      <c r="GH257" s="2">
        <v>1</v>
      </c>
      <c r="GI257" s="2">
        <v>-2</v>
      </c>
      <c r="GJ257" s="2">
        <v>0</v>
      </c>
      <c r="GK257" s="2">
        <v>0</v>
      </c>
      <c r="GL257" s="2">
        <f t="shared" si="281"/>
        <v>0</v>
      </c>
      <c r="GM257" s="2">
        <f t="shared" si="282"/>
        <v>49510.32</v>
      </c>
      <c r="GN257" s="2">
        <f t="shared" si="283"/>
        <v>0</v>
      </c>
      <c r="GO257" s="2">
        <f t="shared" si="284"/>
        <v>49510.32</v>
      </c>
      <c r="GP257" s="2">
        <f t="shared" si="285"/>
        <v>0</v>
      </c>
      <c r="GQ257" s="2"/>
      <c r="GR257" s="2">
        <v>0</v>
      </c>
      <c r="GS257" s="2">
        <v>3</v>
      </c>
      <c r="GT257" s="2">
        <v>0</v>
      </c>
      <c r="GU257" s="2" t="s">
        <v>3</v>
      </c>
      <c r="GV257" s="2">
        <f t="shared" si="286"/>
        <v>0</v>
      </c>
      <c r="GW257" s="2">
        <v>1</v>
      </c>
      <c r="GX257" s="2">
        <f t="shared" si="287"/>
        <v>0</v>
      </c>
      <c r="GY257" s="2"/>
      <c r="GZ257" s="2"/>
      <c r="HA257" s="2">
        <v>0</v>
      </c>
      <c r="HB257" s="2">
        <v>0</v>
      </c>
      <c r="HC257" s="2">
        <f t="shared" si="288"/>
        <v>0</v>
      </c>
      <c r="HD257" s="2"/>
      <c r="HE257" s="2" t="s">
        <v>3</v>
      </c>
      <c r="HF257" s="2" t="s">
        <v>3</v>
      </c>
      <c r="HG257" s="2"/>
      <c r="HH257" s="2"/>
      <c r="HI257" s="2"/>
      <c r="HJ257" s="2"/>
      <c r="HK257" s="2"/>
      <c r="HL257" s="2"/>
      <c r="HM257" s="2" t="s">
        <v>3</v>
      </c>
      <c r="HN257" s="2" t="s">
        <v>3</v>
      </c>
      <c r="HO257" s="2" t="s">
        <v>3</v>
      </c>
      <c r="HP257" s="2" t="s">
        <v>3</v>
      </c>
      <c r="HQ257" s="2" t="s">
        <v>3</v>
      </c>
      <c r="HR257" s="2"/>
      <c r="HS257" s="2">
        <v>0</v>
      </c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>
        <v>0</v>
      </c>
      <c r="IL257" s="2"/>
      <c r="IM257" s="2"/>
      <c r="IN257" s="2"/>
      <c r="IO257" s="2"/>
      <c r="IP257" s="2"/>
      <c r="IQ257" s="2"/>
      <c r="IR257" s="2"/>
      <c r="IS257" s="2"/>
      <c r="IT257" s="2"/>
      <c r="IU257" s="2"/>
    </row>
    <row r="258" spans="1:255" x14ac:dyDescent="0.2">
      <c r="A258" s="3">
        <v>18</v>
      </c>
      <c r="B258" s="3">
        <v>1</v>
      </c>
      <c r="C258" s="3">
        <v>667</v>
      </c>
      <c r="E258" s="3" t="s">
        <v>416</v>
      </c>
      <c r="F258" s="3" t="s">
        <v>412</v>
      </c>
      <c r="G258" s="3" t="s">
        <v>413</v>
      </c>
      <c r="H258" s="3" t="s">
        <v>191</v>
      </c>
      <c r="I258" s="3">
        <f>I256*J258</f>
        <v>804</v>
      </c>
      <c r="J258" s="3">
        <v>42.315789473684212</v>
      </c>
      <c r="K258" s="3">
        <v>42.315789469999999</v>
      </c>
      <c r="O258" s="3">
        <f t="shared" si="264"/>
        <v>588677.69999999995</v>
      </c>
      <c r="P258" s="3">
        <f t="shared" si="265"/>
        <v>588677.69999999995</v>
      </c>
      <c r="Q258" s="3">
        <f t="shared" si="315"/>
        <v>0</v>
      </c>
      <c r="R258" s="3">
        <f t="shared" si="316"/>
        <v>0</v>
      </c>
      <c r="S258" s="3">
        <f t="shared" si="266"/>
        <v>0</v>
      </c>
      <c r="T258" s="3">
        <f t="shared" si="267"/>
        <v>0</v>
      </c>
      <c r="U258" s="3">
        <f t="shared" si="268"/>
        <v>0</v>
      </c>
      <c r="V258" s="3">
        <f t="shared" si="269"/>
        <v>0</v>
      </c>
      <c r="W258" s="3">
        <f t="shared" si="270"/>
        <v>0</v>
      </c>
      <c r="X258" s="3">
        <f t="shared" si="317"/>
        <v>0</v>
      </c>
      <c r="Y258" s="3">
        <f t="shared" si="318"/>
        <v>0</v>
      </c>
      <c r="AA258" s="3">
        <v>55747651</v>
      </c>
      <c r="AB258" s="3">
        <f t="shared" si="271"/>
        <v>61.58</v>
      </c>
      <c r="AC258" s="3">
        <f t="shared" si="319"/>
        <v>61.58</v>
      </c>
      <c r="AD258" s="3">
        <f t="shared" si="320"/>
        <v>0</v>
      </c>
      <c r="AE258" s="3">
        <f t="shared" si="321"/>
        <v>0</v>
      </c>
      <c r="AF258" s="3">
        <f t="shared" si="321"/>
        <v>0</v>
      </c>
      <c r="AG258" s="3">
        <f t="shared" si="272"/>
        <v>0</v>
      </c>
      <c r="AH258" s="3">
        <f t="shared" si="322"/>
        <v>0</v>
      </c>
      <c r="AI258" s="3">
        <f t="shared" si="322"/>
        <v>0</v>
      </c>
      <c r="AJ258" s="3">
        <f t="shared" si="273"/>
        <v>0</v>
      </c>
      <c r="AK258" s="3">
        <v>61.58</v>
      </c>
      <c r="AL258" s="3">
        <v>61.58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90</v>
      </c>
      <c r="AU258" s="3">
        <v>46</v>
      </c>
      <c r="AV258" s="3">
        <v>1</v>
      </c>
      <c r="AW258" s="3">
        <v>1</v>
      </c>
      <c r="AZ258" s="3">
        <v>1</v>
      </c>
      <c r="BA258" s="3">
        <v>1</v>
      </c>
      <c r="BB258" s="3">
        <v>1</v>
      </c>
      <c r="BC258" s="3">
        <v>11.89</v>
      </c>
      <c r="BD258" s="3" t="s">
        <v>3</v>
      </c>
      <c r="BE258" s="3" t="s">
        <v>3</v>
      </c>
      <c r="BF258" s="3" t="s">
        <v>3</v>
      </c>
      <c r="BG258" s="3" t="s">
        <v>3</v>
      </c>
      <c r="BH258" s="3">
        <v>3</v>
      </c>
      <c r="BI258" s="3">
        <v>2</v>
      </c>
      <c r="BJ258" s="3" t="s">
        <v>414</v>
      </c>
      <c r="BM258" s="3">
        <v>73</v>
      </c>
      <c r="BN258" s="3">
        <v>0</v>
      </c>
      <c r="BO258" s="3" t="s">
        <v>412</v>
      </c>
      <c r="BP258" s="3">
        <v>1</v>
      </c>
      <c r="BQ258" s="3">
        <v>40</v>
      </c>
      <c r="BR258" s="3">
        <v>0</v>
      </c>
      <c r="BS258" s="3">
        <v>1</v>
      </c>
      <c r="BT258" s="3">
        <v>1</v>
      </c>
      <c r="BU258" s="3">
        <v>1</v>
      </c>
      <c r="BV258" s="3">
        <v>1</v>
      </c>
      <c r="BW258" s="3">
        <v>1</v>
      </c>
      <c r="BX258" s="3">
        <v>1</v>
      </c>
      <c r="BY258" s="3" t="s">
        <v>3</v>
      </c>
      <c r="BZ258" s="3">
        <v>90</v>
      </c>
      <c r="CA258" s="3">
        <v>46</v>
      </c>
      <c r="CB258" s="3" t="s">
        <v>3</v>
      </c>
      <c r="CE258" s="3">
        <v>1566</v>
      </c>
      <c r="CF258" s="3">
        <v>0</v>
      </c>
      <c r="CG258" s="3">
        <v>0</v>
      </c>
      <c r="CM258" s="3">
        <v>0</v>
      </c>
      <c r="CN258" s="3" t="s">
        <v>3</v>
      </c>
      <c r="CO258" s="3">
        <v>0</v>
      </c>
      <c r="CP258" s="3">
        <f t="shared" si="274"/>
        <v>588677.69999999995</v>
      </c>
      <c r="CQ258" s="3">
        <f t="shared" si="275"/>
        <v>732.19</v>
      </c>
      <c r="CR258" s="3">
        <f t="shared" si="323"/>
        <v>0</v>
      </c>
      <c r="CS258" s="3">
        <f t="shared" si="324"/>
        <v>0</v>
      </c>
      <c r="CT258" s="3">
        <f t="shared" si="276"/>
        <v>0</v>
      </c>
      <c r="CU258" s="3">
        <f t="shared" si="277"/>
        <v>0</v>
      </c>
      <c r="CV258" s="3">
        <f t="shared" si="278"/>
        <v>0</v>
      </c>
      <c r="CW258" s="3">
        <f t="shared" si="279"/>
        <v>0</v>
      </c>
      <c r="CX258" s="3">
        <f t="shared" si="280"/>
        <v>0</v>
      </c>
      <c r="CY258" s="3">
        <f t="shared" si="325"/>
        <v>0</v>
      </c>
      <c r="CZ258" s="3">
        <f t="shared" si="326"/>
        <v>0</v>
      </c>
      <c r="DC258" s="3" t="s">
        <v>3</v>
      </c>
      <c r="DD258" s="3" t="s">
        <v>3</v>
      </c>
      <c r="DE258" s="3" t="s">
        <v>3</v>
      </c>
      <c r="DF258" s="3" t="s">
        <v>3</v>
      </c>
      <c r="DG258" s="3" t="s">
        <v>3</v>
      </c>
      <c r="DH258" s="3" t="s">
        <v>3</v>
      </c>
      <c r="DI258" s="3" t="s">
        <v>3</v>
      </c>
      <c r="DJ258" s="3" t="s">
        <v>3</v>
      </c>
      <c r="DK258" s="3" t="s">
        <v>3</v>
      </c>
      <c r="DL258" s="3" t="s">
        <v>3</v>
      </c>
      <c r="DM258" s="3" t="s">
        <v>3</v>
      </c>
      <c r="DN258" s="3">
        <v>0</v>
      </c>
      <c r="DO258" s="3">
        <v>0</v>
      </c>
      <c r="DP258" s="3">
        <v>1</v>
      </c>
      <c r="DQ258" s="3">
        <v>1</v>
      </c>
      <c r="DU258" s="3">
        <v>1003</v>
      </c>
      <c r="DV258" s="3" t="s">
        <v>191</v>
      </c>
      <c r="DW258" s="3" t="s">
        <v>191</v>
      </c>
      <c r="DX258" s="3">
        <v>1</v>
      </c>
      <c r="DZ258" s="3" t="s">
        <v>3</v>
      </c>
      <c r="EA258" s="3" t="s">
        <v>3</v>
      </c>
      <c r="EB258" s="3" t="s">
        <v>3</v>
      </c>
      <c r="EC258" s="3" t="s">
        <v>3</v>
      </c>
      <c r="EE258" s="3">
        <v>56938740</v>
      </c>
      <c r="EF258" s="3">
        <v>40</v>
      </c>
      <c r="EG258" s="3" t="s">
        <v>29</v>
      </c>
      <c r="EH258" s="3">
        <v>0</v>
      </c>
      <c r="EI258" s="3" t="s">
        <v>3</v>
      </c>
      <c r="EJ258" s="3">
        <v>2</v>
      </c>
      <c r="EK258" s="3">
        <v>73</v>
      </c>
      <c r="EL258" s="3" t="s">
        <v>85</v>
      </c>
      <c r="EM258" s="3" t="s">
        <v>86</v>
      </c>
      <c r="EO258" s="3" t="s">
        <v>3</v>
      </c>
      <c r="EQ258" s="3">
        <v>0</v>
      </c>
      <c r="ER258" s="3">
        <v>61.58</v>
      </c>
      <c r="ES258" s="3">
        <v>61.58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FQ258" s="3">
        <v>0</v>
      </c>
      <c r="FR258" s="3">
        <v>0</v>
      </c>
      <c r="FS258" s="3">
        <v>0</v>
      </c>
      <c r="FX258" s="3">
        <v>90</v>
      </c>
      <c r="FY258" s="3">
        <v>46</v>
      </c>
      <c r="GA258" s="3" t="s">
        <v>3</v>
      </c>
      <c r="GD258" s="3">
        <v>1</v>
      </c>
      <c r="GF258" s="3">
        <v>-2119850974</v>
      </c>
      <c r="GG258" s="3">
        <v>2</v>
      </c>
      <c r="GH258" s="3">
        <v>1</v>
      </c>
      <c r="GI258" s="3">
        <v>2</v>
      </c>
      <c r="GJ258" s="3">
        <v>0</v>
      </c>
      <c r="GK258" s="3">
        <v>0</v>
      </c>
      <c r="GL258" s="3">
        <f t="shared" si="281"/>
        <v>0</v>
      </c>
      <c r="GM258" s="3">
        <f t="shared" si="282"/>
        <v>588677.69999999995</v>
      </c>
      <c r="GN258" s="3">
        <f t="shared" si="283"/>
        <v>0</v>
      </c>
      <c r="GO258" s="3">
        <f t="shared" si="284"/>
        <v>588677.69999999995</v>
      </c>
      <c r="GP258" s="3">
        <f t="shared" si="285"/>
        <v>0</v>
      </c>
      <c r="GR258" s="3">
        <v>0</v>
      </c>
      <c r="GS258" s="3">
        <v>3</v>
      </c>
      <c r="GT258" s="3">
        <v>0</v>
      </c>
      <c r="GU258" s="3" t="s">
        <v>3</v>
      </c>
      <c r="GV258" s="3">
        <f t="shared" si="286"/>
        <v>0</v>
      </c>
      <c r="GW258" s="3">
        <v>1</v>
      </c>
      <c r="GX258" s="3">
        <f t="shared" si="287"/>
        <v>0</v>
      </c>
      <c r="HA258" s="3">
        <v>0</v>
      </c>
      <c r="HB258" s="3">
        <v>0</v>
      </c>
      <c r="HC258" s="3">
        <f t="shared" si="288"/>
        <v>0</v>
      </c>
      <c r="HE258" s="3" t="s">
        <v>3</v>
      </c>
      <c r="HF258" s="3" t="s">
        <v>3</v>
      </c>
      <c r="HM258" s="3" t="s">
        <v>3</v>
      </c>
      <c r="HN258" s="3" t="s">
        <v>3</v>
      </c>
      <c r="HO258" s="3" t="s">
        <v>3</v>
      </c>
      <c r="HP258" s="3" t="s">
        <v>3</v>
      </c>
      <c r="HQ258" s="3" t="s">
        <v>3</v>
      </c>
      <c r="HS258" s="3">
        <v>0</v>
      </c>
      <c r="IK258" s="3">
        <v>0</v>
      </c>
    </row>
    <row r="259" spans="1:255" x14ac:dyDescent="0.2">
      <c r="A259" s="2">
        <v>18</v>
      </c>
      <c r="B259" s="2">
        <v>1</v>
      </c>
      <c r="C259" s="2">
        <v>649</v>
      </c>
      <c r="D259" s="2"/>
      <c r="E259" s="2" t="s">
        <v>417</v>
      </c>
      <c r="F259" s="2" t="s">
        <v>224</v>
      </c>
      <c r="G259" s="2" t="s">
        <v>225</v>
      </c>
      <c r="H259" s="2" t="s">
        <v>191</v>
      </c>
      <c r="I259" s="2">
        <f>I255*J259</f>
        <v>904.5</v>
      </c>
      <c r="J259" s="2">
        <v>47.60526315789474</v>
      </c>
      <c r="K259" s="2">
        <v>47.60526316</v>
      </c>
      <c r="L259" s="2"/>
      <c r="M259" s="2"/>
      <c r="N259" s="2"/>
      <c r="O259" s="2">
        <f t="shared" si="264"/>
        <v>46382.76</v>
      </c>
      <c r="P259" s="2">
        <f t="shared" si="265"/>
        <v>46382.76</v>
      </c>
      <c r="Q259" s="2">
        <f t="shared" si="315"/>
        <v>0</v>
      </c>
      <c r="R259" s="2">
        <f t="shared" si="316"/>
        <v>0</v>
      </c>
      <c r="S259" s="2">
        <f t="shared" si="266"/>
        <v>0</v>
      </c>
      <c r="T259" s="2">
        <f t="shared" si="267"/>
        <v>0</v>
      </c>
      <c r="U259" s="2">
        <f t="shared" si="268"/>
        <v>0</v>
      </c>
      <c r="V259" s="2">
        <f t="shared" si="269"/>
        <v>0</v>
      </c>
      <c r="W259" s="2">
        <f t="shared" si="270"/>
        <v>0</v>
      </c>
      <c r="X259" s="2">
        <f t="shared" si="317"/>
        <v>0</v>
      </c>
      <c r="Y259" s="2">
        <f t="shared" si="318"/>
        <v>0</v>
      </c>
      <c r="Z259" s="2"/>
      <c r="AA259" s="2">
        <v>55747649</v>
      </c>
      <c r="AB259" s="2">
        <f t="shared" si="271"/>
        <v>51.28</v>
      </c>
      <c r="AC259" s="2">
        <f t="shared" si="319"/>
        <v>51.28</v>
      </c>
      <c r="AD259" s="2">
        <f t="shared" si="320"/>
        <v>0</v>
      </c>
      <c r="AE259" s="2">
        <f t="shared" si="321"/>
        <v>0</v>
      </c>
      <c r="AF259" s="2">
        <f t="shared" si="321"/>
        <v>0</v>
      </c>
      <c r="AG259" s="2">
        <f t="shared" si="272"/>
        <v>0</v>
      </c>
      <c r="AH259" s="2">
        <f t="shared" si="322"/>
        <v>0</v>
      </c>
      <c r="AI259" s="2">
        <f t="shared" si="322"/>
        <v>0</v>
      </c>
      <c r="AJ259" s="2">
        <f t="shared" si="273"/>
        <v>0</v>
      </c>
      <c r="AK259" s="2">
        <v>51.28</v>
      </c>
      <c r="AL259" s="2">
        <v>51.28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90</v>
      </c>
      <c r="AU259" s="2">
        <v>46</v>
      </c>
      <c r="AV259" s="2">
        <v>1</v>
      </c>
      <c r="AW259" s="2">
        <v>1</v>
      </c>
      <c r="AX259" s="2"/>
      <c r="AY259" s="2"/>
      <c r="AZ259" s="2">
        <v>1</v>
      </c>
      <c r="BA259" s="2">
        <v>1</v>
      </c>
      <c r="BB259" s="2">
        <v>1</v>
      </c>
      <c r="BC259" s="2">
        <v>1</v>
      </c>
      <c r="BD259" s="2" t="s">
        <v>3</v>
      </c>
      <c r="BE259" s="2" t="s">
        <v>3</v>
      </c>
      <c r="BF259" s="2" t="s">
        <v>3</v>
      </c>
      <c r="BG259" s="2" t="s">
        <v>3</v>
      </c>
      <c r="BH259" s="2">
        <v>3</v>
      </c>
      <c r="BI259" s="2">
        <v>2</v>
      </c>
      <c r="BJ259" s="2" t="s">
        <v>226</v>
      </c>
      <c r="BK259" s="2"/>
      <c r="BL259" s="2"/>
      <c r="BM259" s="2">
        <v>73</v>
      </c>
      <c r="BN259" s="2">
        <v>0</v>
      </c>
      <c r="BO259" s="2" t="s">
        <v>3</v>
      </c>
      <c r="BP259" s="2">
        <v>0</v>
      </c>
      <c r="BQ259" s="2">
        <v>40</v>
      </c>
      <c r="BR259" s="2">
        <v>0</v>
      </c>
      <c r="BS259" s="2">
        <v>1</v>
      </c>
      <c r="BT259" s="2">
        <v>1</v>
      </c>
      <c r="BU259" s="2">
        <v>1</v>
      </c>
      <c r="BV259" s="2">
        <v>1</v>
      </c>
      <c r="BW259" s="2">
        <v>1</v>
      </c>
      <c r="BX259" s="2">
        <v>1</v>
      </c>
      <c r="BY259" s="2" t="s">
        <v>3</v>
      </c>
      <c r="BZ259" s="2">
        <v>90</v>
      </c>
      <c r="CA259" s="2">
        <v>46</v>
      </c>
      <c r="CB259" s="2" t="s">
        <v>3</v>
      </c>
      <c r="CC259" s="2"/>
      <c r="CD259" s="2"/>
      <c r="CE259" s="2">
        <v>1566</v>
      </c>
      <c r="CF259" s="2">
        <v>0</v>
      </c>
      <c r="CG259" s="2">
        <v>0</v>
      </c>
      <c r="CH259" s="2"/>
      <c r="CI259" s="2"/>
      <c r="CJ259" s="2"/>
      <c r="CK259" s="2"/>
      <c r="CL259" s="2"/>
      <c r="CM259" s="2">
        <v>0</v>
      </c>
      <c r="CN259" s="2" t="s">
        <v>3</v>
      </c>
      <c r="CO259" s="2">
        <v>0</v>
      </c>
      <c r="CP259" s="2">
        <f t="shared" si="274"/>
        <v>46382.76</v>
      </c>
      <c r="CQ259" s="2">
        <f t="shared" si="275"/>
        <v>51.28</v>
      </c>
      <c r="CR259" s="2">
        <f t="shared" si="323"/>
        <v>0</v>
      </c>
      <c r="CS259" s="2">
        <f t="shared" si="324"/>
        <v>0</v>
      </c>
      <c r="CT259" s="2">
        <f t="shared" si="276"/>
        <v>0</v>
      </c>
      <c r="CU259" s="2">
        <f t="shared" si="277"/>
        <v>0</v>
      </c>
      <c r="CV259" s="2">
        <f t="shared" si="278"/>
        <v>0</v>
      </c>
      <c r="CW259" s="2">
        <f t="shared" si="279"/>
        <v>0</v>
      </c>
      <c r="CX259" s="2">
        <f t="shared" si="280"/>
        <v>0</v>
      </c>
      <c r="CY259" s="2">
        <f t="shared" si="325"/>
        <v>0</v>
      </c>
      <c r="CZ259" s="2">
        <f t="shared" si="326"/>
        <v>0</v>
      </c>
      <c r="DA259" s="2"/>
      <c r="DB259" s="2"/>
      <c r="DC259" s="2" t="s">
        <v>3</v>
      </c>
      <c r="DD259" s="2" t="s">
        <v>3</v>
      </c>
      <c r="DE259" s="2" t="s">
        <v>3</v>
      </c>
      <c r="DF259" s="2" t="s">
        <v>3</v>
      </c>
      <c r="DG259" s="2" t="s">
        <v>3</v>
      </c>
      <c r="DH259" s="2" t="s">
        <v>3</v>
      </c>
      <c r="DI259" s="2" t="s">
        <v>3</v>
      </c>
      <c r="DJ259" s="2" t="s">
        <v>3</v>
      </c>
      <c r="DK259" s="2" t="s">
        <v>3</v>
      </c>
      <c r="DL259" s="2" t="s">
        <v>3</v>
      </c>
      <c r="DM259" s="2" t="s">
        <v>3</v>
      </c>
      <c r="DN259" s="2">
        <v>0</v>
      </c>
      <c r="DO259" s="2">
        <v>0</v>
      </c>
      <c r="DP259" s="2">
        <v>1</v>
      </c>
      <c r="DQ259" s="2">
        <v>1</v>
      </c>
      <c r="DR259" s="2"/>
      <c r="DS259" s="2"/>
      <c r="DT259" s="2"/>
      <c r="DU259" s="2">
        <v>1003</v>
      </c>
      <c r="DV259" s="2" t="s">
        <v>191</v>
      </c>
      <c r="DW259" s="2" t="s">
        <v>191</v>
      </c>
      <c r="DX259" s="2">
        <v>1</v>
      </c>
      <c r="DY259" s="2"/>
      <c r="DZ259" s="2" t="s">
        <v>3</v>
      </c>
      <c r="EA259" s="2" t="s">
        <v>3</v>
      </c>
      <c r="EB259" s="2" t="s">
        <v>3</v>
      </c>
      <c r="EC259" s="2" t="s">
        <v>3</v>
      </c>
      <c r="ED259" s="2"/>
      <c r="EE259" s="2">
        <v>56938740</v>
      </c>
      <c r="EF259" s="2">
        <v>40</v>
      </c>
      <c r="EG259" s="2" t="s">
        <v>29</v>
      </c>
      <c r="EH259" s="2">
        <v>0</v>
      </c>
      <c r="EI259" s="2" t="s">
        <v>3</v>
      </c>
      <c r="EJ259" s="2">
        <v>2</v>
      </c>
      <c r="EK259" s="2">
        <v>73</v>
      </c>
      <c r="EL259" s="2" t="s">
        <v>85</v>
      </c>
      <c r="EM259" s="2" t="s">
        <v>86</v>
      </c>
      <c r="EN259" s="2"/>
      <c r="EO259" s="2" t="s">
        <v>3</v>
      </c>
      <c r="EP259" s="2"/>
      <c r="EQ259" s="2">
        <v>0</v>
      </c>
      <c r="ER259" s="2">
        <v>51.28</v>
      </c>
      <c r="ES259" s="2">
        <v>51.28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>
        <v>0</v>
      </c>
      <c r="FR259" s="2">
        <v>0</v>
      </c>
      <c r="FS259" s="2">
        <v>0</v>
      </c>
      <c r="FT259" s="2"/>
      <c r="FU259" s="2"/>
      <c r="FV259" s="2"/>
      <c r="FW259" s="2"/>
      <c r="FX259" s="2">
        <v>90</v>
      </c>
      <c r="FY259" s="2">
        <v>46</v>
      </c>
      <c r="FZ259" s="2"/>
      <c r="GA259" s="2" t="s">
        <v>3</v>
      </c>
      <c r="GB259" s="2"/>
      <c r="GC259" s="2"/>
      <c r="GD259" s="2">
        <v>1</v>
      </c>
      <c r="GE259" s="2"/>
      <c r="GF259" s="2">
        <v>-173671470</v>
      </c>
      <c r="GG259" s="2">
        <v>2</v>
      </c>
      <c r="GH259" s="2">
        <v>1</v>
      </c>
      <c r="GI259" s="2">
        <v>-2</v>
      </c>
      <c r="GJ259" s="2">
        <v>0</v>
      </c>
      <c r="GK259" s="2">
        <v>0</v>
      </c>
      <c r="GL259" s="2">
        <f t="shared" si="281"/>
        <v>0</v>
      </c>
      <c r="GM259" s="2">
        <f t="shared" si="282"/>
        <v>46382.76</v>
      </c>
      <c r="GN259" s="2">
        <f t="shared" si="283"/>
        <v>0</v>
      </c>
      <c r="GO259" s="2">
        <f t="shared" si="284"/>
        <v>46382.76</v>
      </c>
      <c r="GP259" s="2">
        <f t="shared" si="285"/>
        <v>0</v>
      </c>
      <c r="GQ259" s="2"/>
      <c r="GR259" s="2">
        <v>0</v>
      </c>
      <c r="GS259" s="2">
        <v>3</v>
      </c>
      <c r="GT259" s="2">
        <v>0</v>
      </c>
      <c r="GU259" s="2" t="s">
        <v>3</v>
      </c>
      <c r="GV259" s="2">
        <f t="shared" si="286"/>
        <v>0</v>
      </c>
      <c r="GW259" s="2">
        <v>1</v>
      </c>
      <c r="GX259" s="2">
        <f t="shared" si="287"/>
        <v>0</v>
      </c>
      <c r="GY259" s="2"/>
      <c r="GZ259" s="2"/>
      <c r="HA259" s="2">
        <v>0</v>
      </c>
      <c r="HB259" s="2">
        <v>0</v>
      </c>
      <c r="HC259" s="2">
        <f t="shared" si="288"/>
        <v>0</v>
      </c>
      <c r="HD259" s="2"/>
      <c r="HE259" s="2" t="s">
        <v>3</v>
      </c>
      <c r="HF259" s="2" t="s">
        <v>3</v>
      </c>
      <c r="HG259" s="2"/>
      <c r="HH259" s="2"/>
      <c r="HI259" s="2"/>
      <c r="HJ259" s="2"/>
      <c r="HK259" s="2"/>
      <c r="HL259" s="2"/>
      <c r="HM259" s="2" t="s">
        <v>3</v>
      </c>
      <c r="HN259" s="2" t="s">
        <v>3</v>
      </c>
      <c r="HO259" s="2" t="s">
        <v>3</v>
      </c>
      <c r="HP259" s="2" t="s">
        <v>3</v>
      </c>
      <c r="HQ259" s="2" t="s">
        <v>3</v>
      </c>
      <c r="HR259" s="2"/>
      <c r="HS259" s="2">
        <v>0</v>
      </c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>
        <v>0</v>
      </c>
      <c r="IL259" s="2"/>
      <c r="IM259" s="2"/>
      <c r="IN259" s="2"/>
      <c r="IO259" s="2"/>
      <c r="IP259" s="2"/>
      <c r="IQ259" s="2"/>
      <c r="IR259" s="2"/>
      <c r="IS259" s="2"/>
      <c r="IT259" s="2"/>
      <c r="IU259" s="2"/>
    </row>
    <row r="260" spans="1:255" x14ac:dyDescent="0.2">
      <c r="A260" s="3">
        <v>18</v>
      </c>
      <c r="B260" s="3">
        <v>1</v>
      </c>
      <c r="C260" s="3">
        <v>666</v>
      </c>
      <c r="E260" s="3" t="s">
        <v>417</v>
      </c>
      <c r="F260" s="3" t="s">
        <v>224</v>
      </c>
      <c r="G260" s="3" t="s">
        <v>225</v>
      </c>
      <c r="H260" s="3" t="s">
        <v>191</v>
      </c>
      <c r="I260" s="3">
        <f>I256*J260</f>
        <v>904.5</v>
      </c>
      <c r="J260" s="3">
        <v>47.60526315789474</v>
      </c>
      <c r="K260" s="3">
        <v>47.60526316</v>
      </c>
      <c r="O260" s="3">
        <f t="shared" si="264"/>
        <v>961050.79</v>
      </c>
      <c r="P260" s="3">
        <f t="shared" si="265"/>
        <v>961050.79</v>
      </c>
      <c r="Q260" s="3">
        <f t="shared" si="315"/>
        <v>0</v>
      </c>
      <c r="R260" s="3">
        <f t="shared" si="316"/>
        <v>0</v>
      </c>
      <c r="S260" s="3">
        <f t="shared" si="266"/>
        <v>0</v>
      </c>
      <c r="T260" s="3">
        <f t="shared" si="267"/>
        <v>0</v>
      </c>
      <c r="U260" s="3">
        <f t="shared" si="268"/>
        <v>0</v>
      </c>
      <c r="V260" s="3">
        <f t="shared" si="269"/>
        <v>0</v>
      </c>
      <c r="W260" s="3">
        <f t="shared" si="270"/>
        <v>0</v>
      </c>
      <c r="X260" s="3">
        <f t="shared" si="317"/>
        <v>0</v>
      </c>
      <c r="Y260" s="3">
        <f t="shared" si="318"/>
        <v>0</v>
      </c>
      <c r="AA260" s="3">
        <v>55747651</v>
      </c>
      <c r="AB260" s="3">
        <f t="shared" si="271"/>
        <v>51.28</v>
      </c>
      <c r="AC260" s="3">
        <f t="shared" si="319"/>
        <v>51.28</v>
      </c>
      <c r="AD260" s="3">
        <f t="shared" si="320"/>
        <v>0</v>
      </c>
      <c r="AE260" s="3">
        <f t="shared" si="321"/>
        <v>0</v>
      </c>
      <c r="AF260" s="3">
        <f t="shared" si="321"/>
        <v>0</v>
      </c>
      <c r="AG260" s="3">
        <f t="shared" si="272"/>
        <v>0</v>
      </c>
      <c r="AH260" s="3">
        <f t="shared" si="322"/>
        <v>0</v>
      </c>
      <c r="AI260" s="3">
        <f t="shared" si="322"/>
        <v>0</v>
      </c>
      <c r="AJ260" s="3">
        <f t="shared" si="273"/>
        <v>0</v>
      </c>
      <c r="AK260" s="3">
        <v>51.28</v>
      </c>
      <c r="AL260" s="3">
        <v>51.28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90</v>
      </c>
      <c r="AU260" s="3">
        <v>46</v>
      </c>
      <c r="AV260" s="3">
        <v>1</v>
      </c>
      <c r="AW260" s="3">
        <v>1</v>
      </c>
      <c r="AZ260" s="3">
        <v>1</v>
      </c>
      <c r="BA260" s="3">
        <v>1</v>
      </c>
      <c r="BB260" s="3">
        <v>1</v>
      </c>
      <c r="BC260" s="3">
        <v>20.72</v>
      </c>
      <c r="BD260" s="3" t="s">
        <v>3</v>
      </c>
      <c r="BE260" s="3" t="s">
        <v>3</v>
      </c>
      <c r="BF260" s="3" t="s">
        <v>3</v>
      </c>
      <c r="BG260" s="3" t="s">
        <v>3</v>
      </c>
      <c r="BH260" s="3">
        <v>3</v>
      </c>
      <c r="BI260" s="3">
        <v>2</v>
      </c>
      <c r="BJ260" s="3" t="s">
        <v>226</v>
      </c>
      <c r="BM260" s="3">
        <v>73</v>
      </c>
      <c r="BN260" s="3">
        <v>0</v>
      </c>
      <c r="BO260" s="3" t="s">
        <v>224</v>
      </c>
      <c r="BP260" s="3">
        <v>1</v>
      </c>
      <c r="BQ260" s="3">
        <v>40</v>
      </c>
      <c r="BR260" s="3">
        <v>0</v>
      </c>
      <c r="BS260" s="3">
        <v>1</v>
      </c>
      <c r="BT260" s="3">
        <v>1</v>
      </c>
      <c r="BU260" s="3">
        <v>1</v>
      </c>
      <c r="BV260" s="3">
        <v>1</v>
      </c>
      <c r="BW260" s="3">
        <v>1</v>
      </c>
      <c r="BX260" s="3">
        <v>1</v>
      </c>
      <c r="BY260" s="3" t="s">
        <v>3</v>
      </c>
      <c r="BZ260" s="3">
        <v>90</v>
      </c>
      <c r="CA260" s="3">
        <v>46</v>
      </c>
      <c r="CB260" s="3" t="s">
        <v>3</v>
      </c>
      <c r="CE260" s="3">
        <v>1566</v>
      </c>
      <c r="CF260" s="3">
        <v>0</v>
      </c>
      <c r="CG260" s="3">
        <v>0</v>
      </c>
      <c r="CM260" s="3">
        <v>0</v>
      </c>
      <c r="CN260" s="3" t="s">
        <v>3</v>
      </c>
      <c r="CO260" s="3">
        <v>0</v>
      </c>
      <c r="CP260" s="3">
        <f t="shared" si="274"/>
        <v>961050.79</v>
      </c>
      <c r="CQ260" s="3">
        <f t="shared" si="275"/>
        <v>1062.52</v>
      </c>
      <c r="CR260" s="3">
        <f t="shared" si="323"/>
        <v>0</v>
      </c>
      <c r="CS260" s="3">
        <f t="shared" si="324"/>
        <v>0</v>
      </c>
      <c r="CT260" s="3">
        <f t="shared" si="276"/>
        <v>0</v>
      </c>
      <c r="CU260" s="3">
        <f t="shared" si="277"/>
        <v>0</v>
      </c>
      <c r="CV260" s="3">
        <f t="shared" si="278"/>
        <v>0</v>
      </c>
      <c r="CW260" s="3">
        <f t="shared" si="279"/>
        <v>0</v>
      </c>
      <c r="CX260" s="3">
        <f t="shared" si="280"/>
        <v>0</v>
      </c>
      <c r="CY260" s="3">
        <f t="shared" si="325"/>
        <v>0</v>
      </c>
      <c r="CZ260" s="3">
        <f t="shared" si="326"/>
        <v>0</v>
      </c>
      <c r="DC260" s="3" t="s">
        <v>3</v>
      </c>
      <c r="DD260" s="3" t="s">
        <v>3</v>
      </c>
      <c r="DE260" s="3" t="s">
        <v>3</v>
      </c>
      <c r="DF260" s="3" t="s">
        <v>3</v>
      </c>
      <c r="DG260" s="3" t="s">
        <v>3</v>
      </c>
      <c r="DH260" s="3" t="s">
        <v>3</v>
      </c>
      <c r="DI260" s="3" t="s">
        <v>3</v>
      </c>
      <c r="DJ260" s="3" t="s">
        <v>3</v>
      </c>
      <c r="DK260" s="3" t="s">
        <v>3</v>
      </c>
      <c r="DL260" s="3" t="s">
        <v>3</v>
      </c>
      <c r="DM260" s="3" t="s">
        <v>3</v>
      </c>
      <c r="DN260" s="3">
        <v>0</v>
      </c>
      <c r="DO260" s="3">
        <v>0</v>
      </c>
      <c r="DP260" s="3">
        <v>1</v>
      </c>
      <c r="DQ260" s="3">
        <v>1</v>
      </c>
      <c r="DU260" s="3">
        <v>1003</v>
      </c>
      <c r="DV260" s="3" t="s">
        <v>191</v>
      </c>
      <c r="DW260" s="3" t="s">
        <v>191</v>
      </c>
      <c r="DX260" s="3">
        <v>1</v>
      </c>
      <c r="DZ260" s="3" t="s">
        <v>3</v>
      </c>
      <c r="EA260" s="3" t="s">
        <v>3</v>
      </c>
      <c r="EB260" s="3" t="s">
        <v>3</v>
      </c>
      <c r="EC260" s="3" t="s">
        <v>3</v>
      </c>
      <c r="EE260" s="3">
        <v>56938740</v>
      </c>
      <c r="EF260" s="3">
        <v>40</v>
      </c>
      <c r="EG260" s="3" t="s">
        <v>29</v>
      </c>
      <c r="EH260" s="3">
        <v>0</v>
      </c>
      <c r="EI260" s="3" t="s">
        <v>3</v>
      </c>
      <c r="EJ260" s="3">
        <v>2</v>
      </c>
      <c r="EK260" s="3">
        <v>73</v>
      </c>
      <c r="EL260" s="3" t="s">
        <v>85</v>
      </c>
      <c r="EM260" s="3" t="s">
        <v>86</v>
      </c>
      <c r="EO260" s="3" t="s">
        <v>3</v>
      </c>
      <c r="EQ260" s="3">
        <v>0</v>
      </c>
      <c r="ER260" s="3">
        <v>51.28</v>
      </c>
      <c r="ES260" s="3">
        <v>51.28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FQ260" s="3">
        <v>0</v>
      </c>
      <c r="FR260" s="3">
        <v>0</v>
      </c>
      <c r="FS260" s="3">
        <v>0</v>
      </c>
      <c r="FX260" s="3">
        <v>90</v>
      </c>
      <c r="FY260" s="3">
        <v>46</v>
      </c>
      <c r="GA260" s="3" t="s">
        <v>3</v>
      </c>
      <c r="GD260" s="3">
        <v>1</v>
      </c>
      <c r="GF260" s="3">
        <v>-173671470</v>
      </c>
      <c r="GG260" s="3">
        <v>2</v>
      </c>
      <c r="GH260" s="3">
        <v>1</v>
      </c>
      <c r="GI260" s="3">
        <v>2</v>
      </c>
      <c r="GJ260" s="3">
        <v>0</v>
      </c>
      <c r="GK260" s="3">
        <v>0</v>
      </c>
      <c r="GL260" s="3">
        <f t="shared" si="281"/>
        <v>0</v>
      </c>
      <c r="GM260" s="3">
        <f t="shared" si="282"/>
        <v>961050.79</v>
      </c>
      <c r="GN260" s="3">
        <f t="shared" si="283"/>
        <v>0</v>
      </c>
      <c r="GO260" s="3">
        <f t="shared" si="284"/>
        <v>961050.79</v>
      </c>
      <c r="GP260" s="3">
        <f t="shared" si="285"/>
        <v>0</v>
      </c>
      <c r="GR260" s="3">
        <v>0</v>
      </c>
      <c r="GS260" s="3">
        <v>3</v>
      </c>
      <c r="GT260" s="3">
        <v>0</v>
      </c>
      <c r="GU260" s="3" t="s">
        <v>3</v>
      </c>
      <c r="GV260" s="3">
        <f t="shared" si="286"/>
        <v>0</v>
      </c>
      <c r="GW260" s="3">
        <v>1</v>
      </c>
      <c r="GX260" s="3">
        <f t="shared" si="287"/>
        <v>0</v>
      </c>
      <c r="HA260" s="3">
        <v>0</v>
      </c>
      <c r="HB260" s="3">
        <v>0</v>
      </c>
      <c r="HC260" s="3">
        <f t="shared" si="288"/>
        <v>0</v>
      </c>
      <c r="HE260" s="3" t="s">
        <v>3</v>
      </c>
      <c r="HF260" s="3" t="s">
        <v>3</v>
      </c>
      <c r="HM260" s="3" t="s">
        <v>3</v>
      </c>
      <c r="HN260" s="3" t="s">
        <v>3</v>
      </c>
      <c r="HO260" s="3" t="s">
        <v>3</v>
      </c>
      <c r="HP260" s="3" t="s">
        <v>3</v>
      </c>
      <c r="HQ260" s="3" t="s">
        <v>3</v>
      </c>
      <c r="HS260" s="3">
        <v>0</v>
      </c>
      <c r="IK260" s="3">
        <v>0</v>
      </c>
    </row>
    <row r="261" spans="1:255" x14ac:dyDescent="0.2">
      <c r="A261" s="2">
        <v>18</v>
      </c>
      <c r="B261" s="2">
        <v>1</v>
      </c>
      <c r="C261" s="2">
        <v>648</v>
      </c>
      <c r="D261" s="2"/>
      <c r="E261" s="2" t="s">
        <v>418</v>
      </c>
      <c r="F261" s="2" t="s">
        <v>419</v>
      </c>
      <c r="G261" s="2" t="s">
        <v>420</v>
      </c>
      <c r="H261" s="2" t="s">
        <v>191</v>
      </c>
      <c r="I261" s="2">
        <f>I255*J261</f>
        <v>201</v>
      </c>
      <c r="J261" s="2">
        <v>10.578947368421053</v>
      </c>
      <c r="K261" s="2">
        <v>10.57894737</v>
      </c>
      <c r="L261" s="2"/>
      <c r="M261" s="2"/>
      <c r="N261" s="2"/>
      <c r="O261" s="2">
        <f t="shared" si="264"/>
        <v>6313.41</v>
      </c>
      <c r="P261" s="2">
        <f t="shared" si="265"/>
        <v>6313.41</v>
      </c>
      <c r="Q261" s="2">
        <f t="shared" si="315"/>
        <v>0</v>
      </c>
      <c r="R261" s="2">
        <f t="shared" si="316"/>
        <v>0</v>
      </c>
      <c r="S261" s="2">
        <f t="shared" si="266"/>
        <v>0</v>
      </c>
      <c r="T261" s="2">
        <f t="shared" si="267"/>
        <v>0</v>
      </c>
      <c r="U261" s="2">
        <f t="shared" si="268"/>
        <v>0</v>
      </c>
      <c r="V261" s="2">
        <f t="shared" si="269"/>
        <v>0</v>
      </c>
      <c r="W261" s="2">
        <f t="shared" si="270"/>
        <v>0</v>
      </c>
      <c r="X261" s="2">
        <f t="shared" si="317"/>
        <v>0</v>
      </c>
      <c r="Y261" s="2">
        <f t="shared" si="318"/>
        <v>0</v>
      </c>
      <c r="Z261" s="2"/>
      <c r="AA261" s="2">
        <v>55747649</v>
      </c>
      <c r="AB261" s="2">
        <f t="shared" si="271"/>
        <v>31.41</v>
      </c>
      <c r="AC261" s="2">
        <f t="shared" si="319"/>
        <v>31.41</v>
      </c>
      <c r="AD261" s="2">
        <f t="shared" si="320"/>
        <v>0</v>
      </c>
      <c r="AE261" s="2">
        <f t="shared" si="321"/>
        <v>0</v>
      </c>
      <c r="AF261" s="2">
        <f t="shared" si="321"/>
        <v>0</v>
      </c>
      <c r="AG261" s="2">
        <f t="shared" si="272"/>
        <v>0</v>
      </c>
      <c r="AH261" s="2">
        <f t="shared" si="322"/>
        <v>0</v>
      </c>
      <c r="AI261" s="2">
        <f t="shared" si="322"/>
        <v>0</v>
      </c>
      <c r="AJ261" s="2">
        <f t="shared" si="273"/>
        <v>0</v>
      </c>
      <c r="AK261" s="2">
        <v>31.41</v>
      </c>
      <c r="AL261" s="2">
        <v>31.41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90</v>
      </c>
      <c r="AU261" s="2">
        <v>46</v>
      </c>
      <c r="AV261" s="2">
        <v>1</v>
      </c>
      <c r="AW261" s="2">
        <v>1</v>
      </c>
      <c r="AX261" s="2"/>
      <c r="AY261" s="2"/>
      <c r="AZ261" s="2">
        <v>1</v>
      </c>
      <c r="BA261" s="2">
        <v>1</v>
      </c>
      <c r="BB261" s="2">
        <v>1</v>
      </c>
      <c r="BC261" s="2">
        <v>1</v>
      </c>
      <c r="BD261" s="2" t="s">
        <v>3</v>
      </c>
      <c r="BE261" s="2" t="s">
        <v>3</v>
      </c>
      <c r="BF261" s="2" t="s">
        <v>3</v>
      </c>
      <c r="BG261" s="2" t="s">
        <v>3</v>
      </c>
      <c r="BH261" s="2">
        <v>3</v>
      </c>
      <c r="BI261" s="2">
        <v>2</v>
      </c>
      <c r="BJ261" s="2" t="s">
        <v>421</v>
      </c>
      <c r="BK261" s="2"/>
      <c r="BL261" s="2"/>
      <c r="BM261" s="2">
        <v>73</v>
      </c>
      <c r="BN261" s="2">
        <v>0</v>
      </c>
      <c r="BO261" s="2" t="s">
        <v>3</v>
      </c>
      <c r="BP261" s="2">
        <v>0</v>
      </c>
      <c r="BQ261" s="2">
        <v>40</v>
      </c>
      <c r="BR261" s="2">
        <v>0</v>
      </c>
      <c r="BS261" s="2">
        <v>1</v>
      </c>
      <c r="BT261" s="2">
        <v>1</v>
      </c>
      <c r="BU261" s="2">
        <v>1</v>
      </c>
      <c r="BV261" s="2">
        <v>1</v>
      </c>
      <c r="BW261" s="2">
        <v>1</v>
      </c>
      <c r="BX261" s="2">
        <v>1</v>
      </c>
      <c r="BY261" s="2" t="s">
        <v>3</v>
      </c>
      <c r="BZ261" s="2">
        <v>90</v>
      </c>
      <c r="CA261" s="2">
        <v>46</v>
      </c>
      <c r="CB261" s="2" t="s">
        <v>3</v>
      </c>
      <c r="CC261" s="2"/>
      <c r="CD261" s="2"/>
      <c r="CE261" s="2">
        <v>1566</v>
      </c>
      <c r="CF261" s="2">
        <v>0</v>
      </c>
      <c r="CG261" s="2">
        <v>0</v>
      </c>
      <c r="CH261" s="2"/>
      <c r="CI261" s="2"/>
      <c r="CJ261" s="2"/>
      <c r="CK261" s="2"/>
      <c r="CL261" s="2"/>
      <c r="CM261" s="2">
        <v>0</v>
      </c>
      <c r="CN261" s="2" t="s">
        <v>3</v>
      </c>
      <c r="CO261" s="2">
        <v>0</v>
      </c>
      <c r="CP261" s="2">
        <f t="shared" si="274"/>
        <v>6313.41</v>
      </c>
      <c r="CQ261" s="2">
        <f t="shared" si="275"/>
        <v>31.41</v>
      </c>
      <c r="CR261" s="2">
        <f t="shared" si="323"/>
        <v>0</v>
      </c>
      <c r="CS261" s="2">
        <f t="shared" si="324"/>
        <v>0</v>
      </c>
      <c r="CT261" s="2">
        <f t="shared" si="276"/>
        <v>0</v>
      </c>
      <c r="CU261" s="2">
        <f t="shared" si="277"/>
        <v>0</v>
      </c>
      <c r="CV261" s="2">
        <f t="shared" si="278"/>
        <v>0</v>
      </c>
      <c r="CW261" s="2">
        <f t="shared" si="279"/>
        <v>0</v>
      </c>
      <c r="CX261" s="2">
        <f t="shared" si="280"/>
        <v>0</v>
      </c>
      <c r="CY261" s="2">
        <f t="shared" si="325"/>
        <v>0</v>
      </c>
      <c r="CZ261" s="2">
        <f t="shared" si="326"/>
        <v>0</v>
      </c>
      <c r="DA261" s="2"/>
      <c r="DB261" s="2"/>
      <c r="DC261" s="2" t="s">
        <v>3</v>
      </c>
      <c r="DD261" s="2" t="s">
        <v>3</v>
      </c>
      <c r="DE261" s="2" t="s">
        <v>3</v>
      </c>
      <c r="DF261" s="2" t="s">
        <v>3</v>
      </c>
      <c r="DG261" s="2" t="s">
        <v>3</v>
      </c>
      <c r="DH261" s="2" t="s">
        <v>3</v>
      </c>
      <c r="DI261" s="2" t="s">
        <v>3</v>
      </c>
      <c r="DJ261" s="2" t="s">
        <v>3</v>
      </c>
      <c r="DK261" s="2" t="s">
        <v>3</v>
      </c>
      <c r="DL261" s="2" t="s">
        <v>3</v>
      </c>
      <c r="DM261" s="2" t="s">
        <v>3</v>
      </c>
      <c r="DN261" s="2">
        <v>0</v>
      </c>
      <c r="DO261" s="2">
        <v>0</v>
      </c>
      <c r="DP261" s="2">
        <v>1</v>
      </c>
      <c r="DQ261" s="2">
        <v>1</v>
      </c>
      <c r="DR261" s="2"/>
      <c r="DS261" s="2"/>
      <c r="DT261" s="2"/>
      <c r="DU261" s="2">
        <v>1003</v>
      </c>
      <c r="DV261" s="2" t="s">
        <v>191</v>
      </c>
      <c r="DW261" s="2" t="s">
        <v>191</v>
      </c>
      <c r="DX261" s="2">
        <v>1</v>
      </c>
      <c r="DY261" s="2"/>
      <c r="DZ261" s="2" t="s">
        <v>3</v>
      </c>
      <c r="EA261" s="2" t="s">
        <v>3</v>
      </c>
      <c r="EB261" s="2" t="s">
        <v>3</v>
      </c>
      <c r="EC261" s="2" t="s">
        <v>3</v>
      </c>
      <c r="ED261" s="2"/>
      <c r="EE261" s="2">
        <v>56938740</v>
      </c>
      <c r="EF261" s="2">
        <v>40</v>
      </c>
      <c r="EG261" s="2" t="s">
        <v>29</v>
      </c>
      <c r="EH261" s="2">
        <v>0</v>
      </c>
      <c r="EI261" s="2" t="s">
        <v>3</v>
      </c>
      <c r="EJ261" s="2">
        <v>2</v>
      </c>
      <c r="EK261" s="2">
        <v>73</v>
      </c>
      <c r="EL261" s="2" t="s">
        <v>85</v>
      </c>
      <c r="EM261" s="2" t="s">
        <v>86</v>
      </c>
      <c r="EN261" s="2"/>
      <c r="EO261" s="2" t="s">
        <v>3</v>
      </c>
      <c r="EP261" s="2"/>
      <c r="EQ261" s="2">
        <v>0</v>
      </c>
      <c r="ER261" s="2">
        <v>31.41</v>
      </c>
      <c r="ES261" s="2">
        <v>31.41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>
        <v>0</v>
      </c>
      <c r="FR261" s="2">
        <v>0</v>
      </c>
      <c r="FS261" s="2">
        <v>0</v>
      </c>
      <c r="FT261" s="2"/>
      <c r="FU261" s="2"/>
      <c r="FV261" s="2"/>
      <c r="FW261" s="2"/>
      <c r="FX261" s="2">
        <v>90</v>
      </c>
      <c r="FY261" s="2">
        <v>46</v>
      </c>
      <c r="FZ261" s="2"/>
      <c r="GA261" s="2" t="s">
        <v>3</v>
      </c>
      <c r="GB261" s="2"/>
      <c r="GC261" s="2"/>
      <c r="GD261" s="2">
        <v>1</v>
      </c>
      <c r="GE261" s="2"/>
      <c r="GF261" s="2">
        <v>935342670</v>
      </c>
      <c r="GG261" s="2">
        <v>2</v>
      </c>
      <c r="GH261" s="2">
        <v>1</v>
      </c>
      <c r="GI261" s="2">
        <v>-2</v>
      </c>
      <c r="GJ261" s="2">
        <v>0</v>
      </c>
      <c r="GK261" s="2">
        <v>0</v>
      </c>
      <c r="GL261" s="2">
        <f t="shared" si="281"/>
        <v>0</v>
      </c>
      <c r="GM261" s="2">
        <f t="shared" si="282"/>
        <v>6313.41</v>
      </c>
      <c r="GN261" s="2">
        <f t="shared" si="283"/>
        <v>0</v>
      </c>
      <c r="GO261" s="2">
        <f t="shared" si="284"/>
        <v>6313.41</v>
      </c>
      <c r="GP261" s="2">
        <f t="shared" si="285"/>
        <v>0</v>
      </c>
      <c r="GQ261" s="2"/>
      <c r="GR261" s="2">
        <v>0</v>
      </c>
      <c r="GS261" s="2">
        <v>3</v>
      </c>
      <c r="GT261" s="2">
        <v>0</v>
      </c>
      <c r="GU261" s="2" t="s">
        <v>3</v>
      </c>
      <c r="GV261" s="2">
        <f t="shared" si="286"/>
        <v>0</v>
      </c>
      <c r="GW261" s="2">
        <v>1</v>
      </c>
      <c r="GX261" s="2">
        <f t="shared" si="287"/>
        <v>0</v>
      </c>
      <c r="GY261" s="2"/>
      <c r="GZ261" s="2"/>
      <c r="HA261" s="2">
        <v>0</v>
      </c>
      <c r="HB261" s="2">
        <v>0</v>
      </c>
      <c r="HC261" s="2">
        <f t="shared" si="288"/>
        <v>0</v>
      </c>
      <c r="HD261" s="2"/>
      <c r="HE261" s="2" t="s">
        <v>3</v>
      </c>
      <c r="HF261" s="2" t="s">
        <v>3</v>
      </c>
      <c r="HG261" s="2"/>
      <c r="HH261" s="2"/>
      <c r="HI261" s="2"/>
      <c r="HJ261" s="2"/>
      <c r="HK261" s="2"/>
      <c r="HL261" s="2"/>
      <c r="HM261" s="2" t="s">
        <v>3</v>
      </c>
      <c r="HN261" s="2" t="s">
        <v>3</v>
      </c>
      <c r="HO261" s="2" t="s">
        <v>3</v>
      </c>
      <c r="HP261" s="2" t="s">
        <v>3</v>
      </c>
      <c r="HQ261" s="2" t="s">
        <v>3</v>
      </c>
      <c r="HR261" s="2"/>
      <c r="HS261" s="2">
        <v>0</v>
      </c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>
        <v>0</v>
      </c>
      <c r="IL261" s="2"/>
      <c r="IM261" s="2"/>
      <c r="IN261" s="2"/>
      <c r="IO261" s="2"/>
      <c r="IP261" s="2"/>
      <c r="IQ261" s="2"/>
      <c r="IR261" s="2"/>
      <c r="IS261" s="2"/>
      <c r="IT261" s="2"/>
      <c r="IU261" s="2"/>
    </row>
    <row r="262" spans="1:255" x14ac:dyDescent="0.2">
      <c r="A262" s="3">
        <v>18</v>
      </c>
      <c r="B262" s="3">
        <v>1</v>
      </c>
      <c r="C262" s="3">
        <v>665</v>
      </c>
      <c r="E262" s="3" t="s">
        <v>418</v>
      </c>
      <c r="F262" s="3" t="s">
        <v>419</v>
      </c>
      <c r="G262" s="3" t="s">
        <v>420</v>
      </c>
      <c r="H262" s="3" t="s">
        <v>191</v>
      </c>
      <c r="I262" s="3">
        <f>I256*J262</f>
        <v>201</v>
      </c>
      <c r="J262" s="3">
        <v>10.578947368421053</v>
      </c>
      <c r="K262" s="3">
        <v>10.57894737</v>
      </c>
      <c r="O262" s="3">
        <f t="shared" si="264"/>
        <v>116861.22</v>
      </c>
      <c r="P262" s="3">
        <f t="shared" si="265"/>
        <v>116861.22</v>
      </c>
      <c r="Q262" s="3">
        <f t="shared" si="315"/>
        <v>0</v>
      </c>
      <c r="R262" s="3">
        <f t="shared" si="316"/>
        <v>0</v>
      </c>
      <c r="S262" s="3">
        <f t="shared" si="266"/>
        <v>0</v>
      </c>
      <c r="T262" s="3">
        <f t="shared" si="267"/>
        <v>0</v>
      </c>
      <c r="U262" s="3">
        <f t="shared" si="268"/>
        <v>0</v>
      </c>
      <c r="V262" s="3">
        <f t="shared" si="269"/>
        <v>0</v>
      </c>
      <c r="W262" s="3">
        <f t="shared" si="270"/>
        <v>0</v>
      </c>
      <c r="X262" s="3">
        <f t="shared" si="317"/>
        <v>0</v>
      </c>
      <c r="Y262" s="3">
        <f t="shared" si="318"/>
        <v>0</v>
      </c>
      <c r="AA262" s="3">
        <v>55747651</v>
      </c>
      <c r="AB262" s="3">
        <f t="shared" si="271"/>
        <v>31.41</v>
      </c>
      <c r="AC262" s="3">
        <f t="shared" si="319"/>
        <v>31.41</v>
      </c>
      <c r="AD262" s="3">
        <f t="shared" si="320"/>
        <v>0</v>
      </c>
      <c r="AE262" s="3">
        <f t="shared" si="321"/>
        <v>0</v>
      </c>
      <c r="AF262" s="3">
        <f t="shared" si="321"/>
        <v>0</v>
      </c>
      <c r="AG262" s="3">
        <f t="shared" si="272"/>
        <v>0</v>
      </c>
      <c r="AH262" s="3">
        <f t="shared" si="322"/>
        <v>0</v>
      </c>
      <c r="AI262" s="3">
        <f t="shared" si="322"/>
        <v>0</v>
      </c>
      <c r="AJ262" s="3">
        <f t="shared" si="273"/>
        <v>0</v>
      </c>
      <c r="AK262" s="3">
        <v>31.41</v>
      </c>
      <c r="AL262" s="3">
        <v>31.41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90</v>
      </c>
      <c r="AU262" s="3">
        <v>46</v>
      </c>
      <c r="AV262" s="3">
        <v>1</v>
      </c>
      <c r="AW262" s="3">
        <v>1</v>
      </c>
      <c r="AZ262" s="3">
        <v>1</v>
      </c>
      <c r="BA262" s="3">
        <v>1</v>
      </c>
      <c r="BB262" s="3">
        <v>1</v>
      </c>
      <c r="BC262" s="3">
        <v>18.510000000000002</v>
      </c>
      <c r="BD262" s="3" t="s">
        <v>3</v>
      </c>
      <c r="BE262" s="3" t="s">
        <v>3</v>
      </c>
      <c r="BF262" s="3" t="s">
        <v>3</v>
      </c>
      <c r="BG262" s="3" t="s">
        <v>3</v>
      </c>
      <c r="BH262" s="3">
        <v>3</v>
      </c>
      <c r="BI262" s="3">
        <v>2</v>
      </c>
      <c r="BJ262" s="3" t="s">
        <v>421</v>
      </c>
      <c r="BM262" s="3">
        <v>73</v>
      </c>
      <c r="BN262" s="3">
        <v>0</v>
      </c>
      <c r="BO262" s="3" t="s">
        <v>419</v>
      </c>
      <c r="BP262" s="3">
        <v>1</v>
      </c>
      <c r="BQ262" s="3">
        <v>40</v>
      </c>
      <c r="BR262" s="3">
        <v>0</v>
      </c>
      <c r="BS262" s="3">
        <v>1</v>
      </c>
      <c r="BT262" s="3">
        <v>1</v>
      </c>
      <c r="BU262" s="3">
        <v>1</v>
      </c>
      <c r="BV262" s="3">
        <v>1</v>
      </c>
      <c r="BW262" s="3">
        <v>1</v>
      </c>
      <c r="BX262" s="3">
        <v>1</v>
      </c>
      <c r="BY262" s="3" t="s">
        <v>3</v>
      </c>
      <c r="BZ262" s="3">
        <v>90</v>
      </c>
      <c r="CA262" s="3">
        <v>46</v>
      </c>
      <c r="CB262" s="3" t="s">
        <v>3</v>
      </c>
      <c r="CE262" s="3">
        <v>1566</v>
      </c>
      <c r="CF262" s="3">
        <v>0</v>
      </c>
      <c r="CG262" s="3">
        <v>0</v>
      </c>
      <c r="CM262" s="3">
        <v>0</v>
      </c>
      <c r="CN262" s="3" t="s">
        <v>3</v>
      </c>
      <c r="CO262" s="3">
        <v>0</v>
      </c>
      <c r="CP262" s="3">
        <f t="shared" si="274"/>
        <v>116861.22</v>
      </c>
      <c r="CQ262" s="3">
        <f t="shared" si="275"/>
        <v>581.4</v>
      </c>
      <c r="CR262" s="3">
        <f t="shared" si="323"/>
        <v>0</v>
      </c>
      <c r="CS262" s="3">
        <f t="shared" si="324"/>
        <v>0</v>
      </c>
      <c r="CT262" s="3">
        <f t="shared" si="276"/>
        <v>0</v>
      </c>
      <c r="CU262" s="3">
        <f t="shared" si="277"/>
        <v>0</v>
      </c>
      <c r="CV262" s="3">
        <f t="shared" si="278"/>
        <v>0</v>
      </c>
      <c r="CW262" s="3">
        <f t="shared" si="279"/>
        <v>0</v>
      </c>
      <c r="CX262" s="3">
        <f t="shared" si="280"/>
        <v>0</v>
      </c>
      <c r="CY262" s="3">
        <f t="shared" si="325"/>
        <v>0</v>
      </c>
      <c r="CZ262" s="3">
        <f t="shared" si="326"/>
        <v>0</v>
      </c>
      <c r="DC262" s="3" t="s">
        <v>3</v>
      </c>
      <c r="DD262" s="3" t="s">
        <v>3</v>
      </c>
      <c r="DE262" s="3" t="s">
        <v>3</v>
      </c>
      <c r="DF262" s="3" t="s">
        <v>3</v>
      </c>
      <c r="DG262" s="3" t="s">
        <v>3</v>
      </c>
      <c r="DH262" s="3" t="s">
        <v>3</v>
      </c>
      <c r="DI262" s="3" t="s">
        <v>3</v>
      </c>
      <c r="DJ262" s="3" t="s">
        <v>3</v>
      </c>
      <c r="DK262" s="3" t="s">
        <v>3</v>
      </c>
      <c r="DL262" s="3" t="s">
        <v>3</v>
      </c>
      <c r="DM262" s="3" t="s">
        <v>3</v>
      </c>
      <c r="DN262" s="3">
        <v>0</v>
      </c>
      <c r="DO262" s="3">
        <v>0</v>
      </c>
      <c r="DP262" s="3">
        <v>1</v>
      </c>
      <c r="DQ262" s="3">
        <v>1</v>
      </c>
      <c r="DU262" s="3">
        <v>1003</v>
      </c>
      <c r="DV262" s="3" t="s">
        <v>191</v>
      </c>
      <c r="DW262" s="3" t="s">
        <v>191</v>
      </c>
      <c r="DX262" s="3">
        <v>1</v>
      </c>
      <c r="DZ262" s="3" t="s">
        <v>3</v>
      </c>
      <c r="EA262" s="3" t="s">
        <v>3</v>
      </c>
      <c r="EB262" s="3" t="s">
        <v>3</v>
      </c>
      <c r="EC262" s="3" t="s">
        <v>3</v>
      </c>
      <c r="EE262" s="3">
        <v>56938740</v>
      </c>
      <c r="EF262" s="3">
        <v>40</v>
      </c>
      <c r="EG262" s="3" t="s">
        <v>29</v>
      </c>
      <c r="EH262" s="3">
        <v>0</v>
      </c>
      <c r="EI262" s="3" t="s">
        <v>3</v>
      </c>
      <c r="EJ262" s="3">
        <v>2</v>
      </c>
      <c r="EK262" s="3">
        <v>73</v>
      </c>
      <c r="EL262" s="3" t="s">
        <v>85</v>
      </c>
      <c r="EM262" s="3" t="s">
        <v>86</v>
      </c>
      <c r="EO262" s="3" t="s">
        <v>3</v>
      </c>
      <c r="EQ262" s="3">
        <v>0</v>
      </c>
      <c r="ER262" s="3">
        <v>31.41</v>
      </c>
      <c r="ES262" s="3">
        <v>31.41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FQ262" s="3">
        <v>0</v>
      </c>
      <c r="FR262" s="3">
        <v>0</v>
      </c>
      <c r="FS262" s="3">
        <v>0</v>
      </c>
      <c r="FX262" s="3">
        <v>90</v>
      </c>
      <c r="FY262" s="3">
        <v>46</v>
      </c>
      <c r="GA262" s="3" t="s">
        <v>3</v>
      </c>
      <c r="GD262" s="3">
        <v>1</v>
      </c>
      <c r="GF262" s="3">
        <v>935342670</v>
      </c>
      <c r="GG262" s="3">
        <v>2</v>
      </c>
      <c r="GH262" s="3">
        <v>1</v>
      </c>
      <c r="GI262" s="3">
        <v>2</v>
      </c>
      <c r="GJ262" s="3">
        <v>0</v>
      </c>
      <c r="GK262" s="3">
        <v>0</v>
      </c>
      <c r="GL262" s="3">
        <f t="shared" si="281"/>
        <v>0</v>
      </c>
      <c r="GM262" s="3">
        <f t="shared" si="282"/>
        <v>116861.22</v>
      </c>
      <c r="GN262" s="3">
        <f t="shared" si="283"/>
        <v>0</v>
      </c>
      <c r="GO262" s="3">
        <f t="shared" si="284"/>
        <v>116861.22</v>
      </c>
      <c r="GP262" s="3">
        <f t="shared" si="285"/>
        <v>0</v>
      </c>
      <c r="GR262" s="3">
        <v>0</v>
      </c>
      <c r="GS262" s="3">
        <v>3</v>
      </c>
      <c r="GT262" s="3">
        <v>0</v>
      </c>
      <c r="GU262" s="3" t="s">
        <v>3</v>
      </c>
      <c r="GV262" s="3">
        <f t="shared" si="286"/>
        <v>0</v>
      </c>
      <c r="GW262" s="3">
        <v>1</v>
      </c>
      <c r="GX262" s="3">
        <f t="shared" si="287"/>
        <v>0</v>
      </c>
      <c r="HA262" s="3">
        <v>0</v>
      </c>
      <c r="HB262" s="3">
        <v>0</v>
      </c>
      <c r="HC262" s="3">
        <f t="shared" si="288"/>
        <v>0</v>
      </c>
      <c r="HE262" s="3" t="s">
        <v>3</v>
      </c>
      <c r="HF262" s="3" t="s">
        <v>3</v>
      </c>
      <c r="HM262" s="3" t="s">
        <v>3</v>
      </c>
      <c r="HN262" s="3" t="s">
        <v>3</v>
      </c>
      <c r="HO262" s="3" t="s">
        <v>3</v>
      </c>
      <c r="HP262" s="3" t="s">
        <v>3</v>
      </c>
      <c r="HQ262" s="3" t="s">
        <v>3</v>
      </c>
      <c r="HS262" s="3">
        <v>0</v>
      </c>
      <c r="IK262" s="3">
        <v>0</v>
      </c>
    </row>
    <row r="263" spans="1:255" x14ac:dyDescent="0.2">
      <c r="A263" s="2">
        <v>17</v>
      </c>
      <c r="B263" s="2">
        <v>1</v>
      </c>
      <c r="C263" s="2">
        <f>ROW(SmtRes!A672)</f>
        <v>672</v>
      </c>
      <c r="D263" s="2">
        <f>ROW(EtalonRes!A702)</f>
        <v>702</v>
      </c>
      <c r="E263" s="2" t="s">
        <v>3</v>
      </c>
      <c r="F263" s="2" t="s">
        <v>422</v>
      </c>
      <c r="G263" s="2" t="s">
        <v>423</v>
      </c>
      <c r="H263" s="2" t="s">
        <v>424</v>
      </c>
      <c r="I263" s="2">
        <f>ROUND((165)/100,9)</f>
        <v>1.65</v>
      </c>
      <c r="J263" s="2">
        <v>0</v>
      </c>
      <c r="K263" s="2">
        <f>ROUND((165)/100,9)</f>
        <v>1.65</v>
      </c>
      <c r="L263" s="2"/>
      <c r="M263" s="2"/>
      <c r="N263" s="2"/>
      <c r="O263" s="2">
        <f t="shared" si="264"/>
        <v>6846.08</v>
      </c>
      <c r="P263" s="2">
        <f t="shared" si="265"/>
        <v>4098.95</v>
      </c>
      <c r="Q263" s="2">
        <f>(ROUND((ROUND((((ET263*1.2))*AV263*I263),2)*BB263),2)+ROUND((ROUND(((AE263-((EU263*1.2)))*AV263*I263),2)*BS263),2))</f>
        <v>0</v>
      </c>
      <c r="R263" s="2">
        <f>(ROUND((ROUND((((EU263*1.2))*AV263*I263),2)*BS263),2)+ROUND((ROUND(((AE263-((EU263*1.2)))*AV263*I263),2)*BS263),2))</f>
        <v>0</v>
      </c>
      <c r="S263" s="2">
        <f t="shared" si="266"/>
        <v>2747.13</v>
      </c>
      <c r="T263" s="2">
        <f t="shared" si="267"/>
        <v>0</v>
      </c>
      <c r="U263" s="2">
        <f t="shared" si="268"/>
        <v>236.61791999999997</v>
      </c>
      <c r="V263" s="2">
        <f t="shared" si="269"/>
        <v>0</v>
      </c>
      <c r="W263" s="2">
        <f t="shared" si="270"/>
        <v>0</v>
      </c>
      <c r="X263" s="2">
        <f>(ROUND((((S263+ROUND((ROUND((((EU263*1.2))*AV263*I263),2)*BS263),2))*AT263)/100),2)+ROUND(((ROUND((ROUND(((AE263-((EU263*1.2)))*AV263*I263),2)*BS263),2)*AT263)/100),2))</f>
        <v>2829.54</v>
      </c>
      <c r="Y263" s="2">
        <f>(ROUND((((S263+ROUND((ROUND((((EU263*1.2))*AV263*I263),2)*BS263),2))*AU263)/100),2)+ROUND(((ROUND((ROUND(((AE263-((EU263*1.2)))*AV263*I263),2)*BS263),2)*AU263)/100),2))</f>
        <v>1428.51</v>
      </c>
      <c r="Z263" s="2"/>
      <c r="AA263" s="2">
        <v>-1</v>
      </c>
      <c r="AB263" s="2">
        <f t="shared" si="271"/>
        <v>4044.5940000000001</v>
      </c>
      <c r="AC263" s="2">
        <f>ROUND(((ES263*1)),6)</f>
        <v>2484.21</v>
      </c>
      <c r="AD263" s="2">
        <f>ROUND(((((ET263*1.2))-((EU263*1.2)))+AE263),6)</f>
        <v>0</v>
      </c>
      <c r="AE263" s="2">
        <f t="shared" ref="AE263:AF266" si="327">ROUND(((EU263*1.2)),6)</f>
        <v>0</v>
      </c>
      <c r="AF263" s="2">
        <f t="shared" si="327"/>
        <v>1560.384</v>
      </c>
      <c r="AG263" s="2">
        <f t="shared" si="272"/>
        <v>0</v>
      </c>
      <c r="AH263" s="2">
        <f t="shared" ref="AH263:AI266" si="328">((EW263*1.2))</f>
        <v>134.4</v>
      </c>
      <c r="AI263" s="2">
        <f t="shared" si="328"/>
        <v>0</v>
      </c>
      <c r="AJ263" s="2">
        <f t="shared" si="273"/>
        <v>0</v>
      </c>
      <c r="AK263" s="2">
        <v>3784.53</v>
      </c>
      <c r="AL263" s="2">
        <v>2484.21</v>
      </c>
      <c r="AM263" s="2">
        <v>0</v>
      </c>
      <c r="AN263" s="2">
        <v>0</v>
      </c>
      <c r="AO263" s="2">
        <v>1300.32</v>
      </c>
      <c r="AP263" s="2">
        <v>0</v>
      </c>
      <c r="AQ263" s="2">
        <v>112</v>
      </c>
      <c r="AR263" s="2">
        <v>0</v>
      </c>
      <c r="AS263" s="2">
        <v>0</v>
      </c>
      <c r="AT263" s="2">
        <v>103</v>
      </c>
      <c r="AU263" s="2">
        <v>52</v>
      </c>
      <c r="AV263" s="2">
        <v>1.0669999999999999</v>
      </c>
      <c r="AW263" s="2">
        <v>1</v>
      </c>
      <c r="AX263" s="2"/>
      <c r="AY263" s="2"/>
      <c r="AZ263" s="2">
        <v>1</v>
      </c>
      <c r="BA263" s="2">
        <v>1</v>
      </c>
      <c r="BB263" s="2">
        <v>1</v>
      </c>
      <c r="BC263" s="2">
        <v>1</v>
      </c>
      <c r="BD263" s="2" t="s">
        <v>3</v>
      </c>
      <c r="BE263" s="2" t="s">
        <v>3</v>
      </c>
      <c r="BF263" s="2" t="s">
        <v>3</v>
      </c>
      <c r="BG263" s="2" t="s">
        <v>3</v>
      </c>
      <c r="BH263" s="2">
        <v>0</v>
      </c>
      <c r="BI263" s="2">
        <v>1</v>
      </c>
      <c r="BJ263" s="2" t="s">
        <v>425</v>
      </c>
      <c r="BK263" s="2"/>
      <c r="BL263" s="2"/>
      <c r="BM263" s="2">
        <v>103</v>
      </c>
      <c r="BN263" s="2">
        <v>0</v>
      </c>
      <c r="BO263" s="2" t="s">
        <v>422</v>
      </c>
      <c r="BP263" s="2">
        <v>1</v>
      </c>
      <c r="BQ263" s="2">
        <v>60</v>
      </c>
      <c r="BR263" s="2">
        <v>0</v>
      </c>
      <c r="BS263" s="2">
        <v>1</v>
      </c>
      <c r="BT263" s="2">
        <v>1</v>
      </c>
      <c r="BU263" s="2">
        <v>1</v>
      </c>
      <c r="BV263" s="2">
        <v>1</v>
      </c>
      <c r="BW263" s="2">
        <v>1</v>
      </c>
      <c r="BX263" s="2">
        <v>1</v>
      </c>
      <c r="BY263" s="2" t="s">
        <v>3</v>
      </c>
      <c r="BZ263" s="2">
        <v>103</v>
      </c>
      <c r="CA263" s="2">
        <v>52</v>
      </c>
      <c r="CB263" s="2" t="s">
        <v>3</v>
      </c>
      <c r="CC263" s="2"/>
      <c r="CD263" s="2"/>
      <c r="CE263" s="2">
        <v>1566</v>
      </c>
      <c r="CF263" s="2">
        <v>0</v>
      </c>
      <c r="CG263" s="2">
        <v>0</v>
      </c>
      <c r="CH263" s="2"/>
      <c r="CI263" s="2"/>
      <c r="CJ263" s="2"/>
      <c r="CK263" s="2"/>
      <c r="CL263" s="2"/>
      <c r="CM263" s="2">
        <v>0</v>
      </c>
      <c r="CN263" s="2" t="s">
        <v>716</v>
      </c>
      <c r="CO263" s="2">
        <v>0</v>
      </c>
      <c r="CP263" s="2">
        <f t="shared" si="274"/>
        <v>6846.08</v>
      </c>
      <c r="CQ263" s="2">
        <f t="shared" si="275"/>
        <v>2484.21</v>
      </c>
      <c r="CR263" s="2">
        <f>(ROUND((ROUND((((ET263*1.2))*AV263*1),2)*BB263),2)+ROUND((ROUND(((AE263-((EU263*1.2)))*AV263*1),2)*BS263),2))</f>
        <v>0</v>
      </c>
      <c r="CS263" s="2">
        <f>(ROUND((ROUND((((EU263*1.2))*AV263*1),2)*BS263),2)+ROUND((ROUND(((AE263-((EU263*1.2)))*AV263*1),2)*BS263),2))</f>
        <v>0</v>
      </c>
      <c r="CT263" s="2">
        <f t="shared" si="276"/>
        <v>1664.93</v>
      </c>
      <c r="CU263" s="2">
        <f t="shared" si="277"/>
        <v>0</v>
      </c>
      <c r="CV263" s="2">
        <f t="shared" si="278"/>
        <v>143.40479999999999</v>
      </c>
      <c r="CW263" s="2">
        <f t="shared" si="279"/>
        <v>0</v>
      </c>
      <c r="CX263" s="2">
        <f t="shared" si="280"/>
        <v>0</v>
      </c>
      <c r="CY263" s="2">
        <f>(ROUND((((S263+ROUND((ROUND((((EU263*1.2))*AV263*1),2)*BS263),2))*AT263)/100),2)+ROUND(((ROUND((ROUND(((AE263-((EU263*1.2)))*AV263*1),2)*BS263),2)*AT263)/100),2))</f>
        <v>2829.54</v>
      </c>
      <c r="CZ263" s="2">
        <f>(ROUND((((S263+ROUND((ROUND((((EU263*1.2))*AV263*1),2)*BS263),2))*AU263)/100),2)+ROUND(((ROUND((ROUND(((AE263-((EU263*1.2)))*AV263*1),2)*BS263),2)*AU263)/100),2))</f>
        <v>1428.51</v>
      </c>
      <c r="DA263" s="2"/>
      <c r="DB263" s="2">
        <v>101</v>
      </c>
      <c r="DC263" s="2" t="s">
        <v>3</v>
      </c>
      <c r="DD263" s="2" t="s">
        <v>48</v>
      </c>
      <c r="DE263" s="2" t="s">
        <v>49</v>
      </c>
      <c r="DF263" s="2" t="s">
        <v>49</v>
      </c>
      <c r="DG263" s="2" t="s">
        <v>49</v>
      </c>
      <c r="DH263" s="2" t="s">
        <v>3</v>
      </c>
      <c r="DI263" s="2" t="s">
        <v>49</v>
      </c>
      <c r="DJ263" s="2" t="s">
        <v>49</v>
      </c>
      <c r="DK263" s="2" t="s">
        <v>3</v>
      </c>
      <c r="DL263" s="2" t="s">
        <v>3</v>
      </c>
      <c r="DM263" s="2" t="s">
        <v>3</v>
      </c>
      <c r="DN263" s="2">
        <v>0</v>
      </c>
      <c r="DO263" s="2">
        <v>0</v>
      </c>
      <c r="DP263" s="2">
        <v>1</v>
      </c>
      <c r="DQ263" s="2">
        <v>1</v>
      </c>
      <c r="DR263" s="2"/>
      <c r="DS263" s="2"/>
      <c r="DT263" s="2"/>
      <c r="DU263" s="2">
        <v>1013</v>
      </c>
      <c r="DV263" s="2" t="s">
        <v>424</v>
      </c>
      <c r="DW263" s="2" t="s">
        <v>424</v>
      </c>
      <c r="DX263" s="2">
        <v>1</v>
      </c>
      <c r="DY263" s="2"/>
      <c r="DZ263" s="2" t="s">
        <v>3</v>
      </c>
      <c r="EA263" s="2" t="s">
        <v>3</v>
      </c>
      <c r="EB263" s="2" t="s">
        <v>3</v>
      </c>
      <c r="EC263" s="2" t="s">
        <v>3</v>
      </c>
      <c r="ED263" s="2"/>
      <c r="EE263" s="2">
        <v>56938770</v>
      </c>
      <c r="EF263" s="2">
        <v>60</v>
      </c>
      <c r="EG263" s="2" t="s">
        <v>426</v>
      </c>
      <c r="EH263" s="2">
        <v>0</v>
      </c>
      <c r="EI263" s="2" t="s">
        <v>3</v>
      </c>
      <c r="EJ263" s="2">
        <v>1</v>
      </c>
      <c r="EK263" s="2">
        <v>103</v>
      </c>
      <c r="EL263" s="2" t="s">
        <v>427</v>
      </c>
      <c r="EM263" s="2" t="s">
        <v>428</v>
      </c>
      <c r="EN263" s="2"/>
      <c r="EO263" s="2" t="s">
        <v>50</v>
      </c>
      <c r="EP263" s="2"/>
      <c r="EQ263" s="2">
        <v>132096</v>
      </c>
      <c r="ER263" s="2">
        <v>3784.53</v>
      </c>
      <c r="ES263" s="2">
        <v>2484.21</v>
      </c>
      <c r="ET263" s="2">
        <v>0</v>
      </c>
      <c r="EU263" s="2">
        <v>0</v>
      </c>
      <c r="EV263" s="2">
        <v>1300.32</v>
      </c>
      <c r="EW263" s="2">
        <v>112</v>
      </c>
      <c r="EX263" s="2">
        <v>0</v>
      </c>
      <c r="EY263" s="2">
        <v>0</v>
      </c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>
        <v>0</v>
      </c>
      <c r="FR263" s="2">
        <v>0</v>
      </c>
      <c r="FS263" s="2">
        <v>0</v>
      </c>
      <c r="FT263" s="2"/>
      <c r="FU263" s="2"/>
      <c r="FV263" s="2"/>
      <c r="FW263" s="2"/>
      <c r="FX263" s="2">
        <v>103</v>
      </c>
      <c r="FY263" s="2">
        <v>52</v>
      </c>
      <c r="FZ263" s="2"/>
      <c r="GA263" s="2" t="s">
        <v>3</v>
      </c>
      <c r="GB263" s="2"/>
      <c r="GC263" s="2"/>
      <c r="GD263" s="2">
        <v>1</v>
      </c>
      <c r="GE263" s="2"/>
      <c r="GF263" s="2">
        <v>-160211445</v>
      </c>
      <c r="GG263" s="2">
        <v>2</v>
      </c>
      <c r="GH263" s="2">
        <v>1</v>
      </c>
      <c r="GI263" s="2">
        <v>2</v>
      </c>
      <c r="GJ263" s="2">
        <v>0</v>
      </c>
      <c r="GK263" s="2">
        <v>0</v>
      </c>
      <c r="GL263" s="2">
        <f t="shared" si="281"/>
        <v>0</v>
      </c>
      <c r="GM263" s="2">
        <f t="shared" si="282"/>
        <v>11104.13</v>
      </c>
      <c r="GN263" s="2">
        <f t="shared" si="283"/>
        <v>11104.13</v>
      </c>
      <c r="GO263" s="2">
        <f t="shared" si="284"/>
        <v>0</v>
      </c>
      <c r="GP263" s="2">
        <f t="shared" si="285"/>
        <v>0</v>
      </c>
      <c r="GQ263" s="2"/>
      <c r="GR263" s="2">
        <v>0</v>
      </c>
      <c r="GS263" s="2">
        <v>3</v>
      </c>
      <c r="GT263" s="2">
        <v>0</v>
      </c>
      <c r="GU263" s="2" t="s">
        <v>3</v>
      </c>
      <c r="GV263" s="2">
        <f t="shared" si="286"/>
        <v>0</v>
      </c>
      <c r="GW263" s="2">
        <v>1</v>
      </c>
      <c r="GX263" s="2">
        <f t="shared" si="287"/>
        <v>0</v>
      </c>
      <c r="GY263" s="2"/>
      <c r="GZ263" s="2"/>
      <c r="HA263" s="2">
        <v>0</v>
      </c>
      <c r="HB263" s="2">
        <v>0</v>
      </c>
      <c r="HC263" s="2">
        <f t="shared" si="288"/>
        <v>0</v>
      </c>
      <c r="HD263" s="2"/>
      <c r="HE263" s="2" t="s">
        <v>3</v>
      </c>
      <c r="HF263" s="2" t="s">
        <v>3</v>
      </c>
      <c r="HG263" s="2"/>
      <c r="HH263" s="2"/>
      <c r="HI263" s="2"/>
      <c r="HJ263" s="2"/>
      <c r="HK263" s="2"/>
      <c r="HL263" s="2"/>
      <c r="HM263" s="2" t="s">
        <v>3</v>
      </c>
      <c r="HN263" s="2" t="s">
        <v>3</v>
      </c>
      <c r="HO263" s="2" t="s">
        <v>3</v>
      </c>
      <c r="HP263" s="2" t="s">
        <v>3</v>
      </c>
      <c r="HQ263" s="2" t="s">
        <v>3</v>
      </c>
      <c r="HR263" s="2"/>
      <c r="HS263" s="2">
        <v>0</v>
      </c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>
        <v>0</v>
      </c>
      <c r="IL263" s="2"/>
      <c r="IM263" s="2"/>
      <c r="IN263" s="2"/>
      <c r="IO263" s="2"/>
      <c r="IP263" s="2"/>
      <c r="IQ263" s="2"/>
      <c r="IR263" s="2"/>
      <c r="IS263" s="2"/>
      <c r="IT263" s="2"/>
      <c r="IU263" s="2"/>
    </row>
    <row r="264" spans="1:255" x14ac:dyDescent="0.2">
      <c r="A264" s="3">
        <v>17</v>
      </c>
      <c r="B264" s="3">
        <v>1</v>
      </c>
      <c r="C264" s="3">
        <f>ROW(SmtRes!A676)</f>
        <v>676</v>
      </c>
      <c r="D264" s="3">
        <f>ROW(EtalonRes!A706)</f>
        <v>706</v>
      </c>
      <c r="E264" s="3" t="s">
        <v>3</v>
      </c>
      <c r="F264" s="3" t="s">
        <v>422</v>
      </c>
      <c r="G264" s="3" t="s">
        <v>423</v>
      </c>
      <c r="H264" s="3" t="s">
        <v>424</v>
      </c>
      <c r="I264" s="3">
        <f>ROUND((165)/100,9)</f>
        <v>1.65</v>
      </c>
      <c r="J264" s="3">
        <v>0</v>
      </c>
      <c r="K264" s="3">
        <f>ROUND((165)/100,9)</f>
        <v>1.65</v>
      </c>
      <c r="O264" s="3">
        <f t="shared" si="264"/>
        <v>181198.02</v>
      </c>
      <c r="P264" s="3">
        <f t="shared" si="265"/>
        <v>26397.24</v>
      </c>
      <c r="Q264" s="3">
        <f>(ROUND((ROUND((((ET264*1.2))*AV264*I264),2)*BB264),2)+ROUND((ROUND(((AE264-((EU264*1.2)))*AV264*I264),2)*BS264),2))</f>
        <v>0</v>
      </c>
      <c r="R264" s="3">
        <f>(ROUND((ROUND((((EU264*1.2))*AV264*I264),2)*BS264),2)+ROUND((ROUND(((AE264-((EU264*1.2)))*AV264*I264),2)*BS264),2))</f>
        <v>0</v>
      </c>
      <c r="S264" s="3">
        <f t="shared" si="266"/>
        <v>154800.78</v>
      </c>
      <c r="T264" s="3">
        <f t="shared" si="267"/>
        <v>0</v>
      </c>
      <c r="U264" s="3">
        <f t="shared" si="268"/>
        <v>236.61791999999997</v>
      </c>
      <c r="V264" s="3">
        <f t="shared" si="269"/>
        <v>0</v>
      </c>
      <c r="W264" s="3">
        <f t="shared" si="270"/>
        <v>0</v>
      </c>
      <c r="X264" s="3">
        <f>(ROUND((((S264+ROUND((ROUND((((EU264*1.2))*AV264*I264),2)*BS264),2))*AT264)/100),2)+ROUND(((ROUND((ROUND(((AE264-((EU264*1.2)))*AV264*I264),2)*BS264),2)*AT264)/100),2))</f>
        <v>159444.79999999999</v>
      </c>
      <c r="Y264" s="3">
        <f>(ROUND((((S264+ROUND((ROUND((((EU264*1.2))*AV264*I264),2)*BS264),2))*AU264)/100),2)+ROUND(((ROUND((ROUND(((AE264-((EU264*1.2)))*AV264*I264),2)*BS264),2)*AU264)/100),2))</f>
        <v>80496.41</v>
      </c>
      <c r="AA264" s="3">
        <v>-1</v>
      </c>
      <c r="AB264" s="3">
        <f t="shared" si="271"/>
        <v>4044.5940000000001</v>
      </c>
      <c r="AC264" s="3">
        <f>ROUND(((ES264*1)),6)</f>
        <v>2484.21</v>
      </c>
      <c r="AD264" s="3">
        <f>ROUND(((((ET264*1.2))-((EU264*1.2)))+AE264),6)</f>
        <v>0</v>
      </c>
      <c r="AE264" s="3">
        <f t="shared" si="327"/>
        <v>0</v>
      </c>
      <c r="AF264" s="3">
        <f t="shared" si="327"/>
        <v>1560.384</v>
      </c>
      <c r="AG264" s="3">
        <f t="shared" si="272"/>
        <v>0</v>
      </c>
      <c r="AH264" s="3">
        <f t="shared" si="328"/>
        <v>134.4</v>
      </c>
      <c r="AI264" s="3">
        <f t="shared" si="328"/>
        <v>0</v>
      </c>
      <c r="AJ264" s="3">
        <f t="shared" si="273"/>
        <v>0</v>
      </c>
      <c r="AK264" s="3">
        <v>3784.53</v>
      </c>
      <c r="AL264" s="3">
        <v>2484.21</v>
      </c>
      <c r="AM264" s="3">
        <v>0</v>
      </c>
      <c r="AN264" s="3">
        <v>0</v>
      </c>
      <c r="AO264" s="3">
        <v>1300.32</v>
      </c>
      <c r="AP264" s="3">
        <v>0</v>
      </c>
      <c r="AQ264" s="3">
        <v>112</v>
      </c>
      <c r="AR264" s="3">
        <v>0</v>
      </c>
      <c r="AS264" s="3">
        <v>0</v>
      </c>
      <c r="AT264" s="3">
        <v>103</v>
      </c>
      <c r="AU264" s="3">
        <v>52</v>
      </c>
      <c r="AV264" s="3">
        <v>1.0669999999999999</v>
      </c>
      <c r="AW264" s="3">
        <v>1</v>
      </c>
      <c r="AZ264" s="3">
        <v>1</v>
      </c>
      <c r="BA264" s="3">
        <v>56.35</v>
      </c>
      <c r="BB264" s="3">
        <v>1</v>
      </c>
      <c r="BC264" s="3">
        <v>6.44</v>
      </c>
      <c r="BD264" s="3" t="s">
        <v>3</v>
      </c>
      <c r="BE264" s="3" t="s">
        <v>3</v>
      </c>
      <c r="BF264" s="3" t="s">
        <v>3</v>
      </c>
      <c r="BG264" s="3" t="s">
        <v>3</v>
      </c>
      <c r="BH264" s="3">
        <v>0</v>
      </c>
      <c r="BI264" s="3">
        <v>1</v>
      </c>
      <c r="BJ264" s="3" t="s">
        <v>425</v>
      </c>
      <c r="BM264" s="3">
        <v>103</v>
      </c>
      <c r="BN264" s="3">
        <v>0</v>
      </c>
      <c r="BO264" s="3" t="s">
        <v>422</v>
      </c>
      <c r="BP264" s="3">
        <v>1</v>
      </c>
      <c r="BQ264" s="3">
        <v>60</v>
      </c>
      <c r="BR264" s="3">
        <v>0</v>
      </c>
      <c r="BS264" s="3">
        <v>56.35</v>
      </c>
      <c r="BT264" s="3">
        <v>1</v>
      </c>
      <c r="BU264" s="3">
        <v>1</v>
      </c>
      <c r="BV264" s="3">
        <v>1</v>
      </c>
      <c r="BW264" s="3">
        <v>1</v>
      </c>
      <c r="BX264" s="3">
        <v>1</v>
      </c>
      <c r="BY264" s="3" t="s">
        <v>3</v>
      </c>
      <c r="BZ264" s="3">
        <v>103</v>
      </c>
      <c r="CA264" s="3">
        <v>52</v>
      </c>
      <c r="CB264" s="3" t="s">
        <v>3</v>
      </c>
      <c r="CE264" s="3">
        <v>1566</v>
      </c>
      <c r="CF264" s="3">
        <v>0</v>
      </c>
      <c r="CG264" s="3">
        <v>0</v>
      </c>
      <c r="CM264" s="3">
        <v>0</v>
      </c>
      <c r="CN264" s="3" t="s">
        <v>716</v>
      </c>
      <c r="CO264" s="3">
        <v>0</v>
      </c>
      <c r="CP264" s="3">
        <f t="shared" si="274"/>
        <v>181198.02</v>
      </c>
      <c r="CQ264" s="3">
        <f t="shared" si="275"/>
        <v>15998.31</v>
      </c>
      <c r="CR264" s="3">
        <f>(ROUND((ROUND((((ET264*1.2))*AV264*1),2)*BB264),2)+ROUND((ROUND(((AE264-((EU264*1.2)))*AV264*1),2)*BS264),2))</f>
        <v>0</v>
      </c>
      <c r="CS264" s="3">
        <f>(ROUND((ROUND((((EU264*1.2))*AV264*1),2)*BS264),2)+ROUND((ROUND(((AE264-((EU264*1.2)))*AV264*1),2)*BS264),2))</f>
        <v>0</v>
      </c>
      <c r="CT264" s="3">
        <f t="shared" si="276"/>
        <v>93818.81</v>
      </c>
      <c r="CU264" s="3">
        <f t="shared" si="277"/>
        <v>0</v>
      </c>
      <c r="CV264" s="3">
        <f t="shared" si="278"/>
        <v>143.40479999999999</v>
      </c>
      <c r="CW264" s="3">
        <f t="shared" si="279"/>
        <v>0</v>
      </c>
      <c r="CX264" s="3">
        <f t="shared" si="280"/>
        <v>0</v>
      </c>
      <c r="CY264" s="3">
        <f>(ROUND((((S264+ROUND((ROUND((((EU264*1.2))*AV264*1),2)*BS264),2))*AT264)/100),2)+ROUND(((ROUND((ROUND(((AE264-((EU264*1.2)))*AV264*1),2)*BS264),2)*AT264)/100),2))</f>
        <v>159444.79999999999</v>
      </c>
      <c r="CZ264" s="3">
        <f>(ROUND((((S264+ROUND((ROUND((((EU264*1.2))*AV264*1),2)*BS264),2))*AU264)/100),2)+ROUND(((ROUND((ROUND(((AE264-((EU264*1.2)))*AV264*1),2)*BS264),2)*AU264)/100),2))</f>
        <v>80496.41</v>
      </c>
      <c r="DB264" s="3">
        <v>102</v>
      </c>
      <c r="DC264" s="3" t="s">
        <v>3</v>
      </c>
      <c r="DD264" s="3" t="s">
        <v>48</v>
      </c>
      <c r="DE264" s="3" t="s">
        <v>49</v>
      </c>
      <c r="DF264" s="3" t="s">
        <v>49</v>
      </c>
      <c r="DG264" s="3" t="s">
        <v>49</v>
      </c>
      <c r="DH264" s="3" t="s">
        <v>3</v>
      </c>
      <c r="DI264" s="3" t="s">
        <v>49</v>
      </c>
      <c r="DJ264" s="3" t="s">
        <v>49</v>
      </c>
      <c r="DK264" s="3" t="s">
        <v>3</v>
      </c>
      <c r="DL264" s="3" t="s">
        <v>3</v>
      </c>
      <c r="DM264" s="3" t="s">
        <v>3</v>
      </c>
      <c r="DN264" s="3">
        <v>0</v>
      </c>
      <c r="DO264" s="3">
        <v>0</v>
      </c>
      <c r="DP264" s="3">
        <v>1</v>
      </c>
      <c r="DQ264" s="3">
        <v>1</v>
      </c>
      <c r="DU264" s="3">
        <v>1013</v>
      </c>
      <c r="DV264" s="3" t="s">
        <v>424</v>
      </c>
      <c r="DW264" s="3" t="s">
        <v>424</v>
      </c>
      <c r="DX264" s="3">
        <v>1</v>
      </c>
      <c r="DZ264" s="3" t="s">
        <v>3</v>
      </c>
      <c r="EA264" s="3" t="s">
        <v>3</v>
      </c>
      <c r="EB264" s="3" t="s">
        <v>3</v>
      </c>
      <c r="EC264" s="3" t="s">
        <v>3</v>
      </c>
      <c r="EE264" s="3">
        <v>56938770</v>
      </c>
      <c r="EF264" s="3">
        <v>60</v>
      </c>
      <c r="EG264" s="3" t="s">
        <v>426</v>
      </c>
      <c r="EH264" s="3">
        <v>0</v>
      </c>
      <c r="EI264" s="3" t="s">
        <v>3</v>
      </c>
      <c r="EJ264" s="3">
        <v>1</v>
      </c>
      <c r="EK264" s="3">
        <v>103</v>
      </c>
      <c r="EL264" s="3" t="s">
        <v>427</v>
      </c>
      <c r="EM264" s="3" t="s">
        <v>428</v>
      </c>
      <c r="EO264" s="3" t="s">
        <v>50</v>
      </c>
      <c r="EQ264" s="3">
        <v>132096</v>
      </c>
      <c r="ER264" s="3">
        <v>3784.53</v>
      </c>
      <c r="ES264" s="3">
        <v>2484.21</v>
      </c>
      <c r="ET264" s="3">
        <v>0</v>
      </c>
      <c r="EU264" s="3">
        <v>0</v>
      </c>
      <c r="EV264" s="3">
        <v>1300.32</v>
      </c>
      <c r="EW264" s="3">
        <v>112</v>
      </c>
      <c r="EX264" s="3">
        <v>0</v>
      </c>
      <c r="EY264" s="3">
        <v>0</v>
      </c>
      <c r="FQ264" s="3">
        <v>0</v>
      </c>
      <c r="FR264" s="3">
        <v>0</v>
      </c>
      <c r="FS264" s="3">
        <v>0</v>
      </c>
      <c r="FX264" s="3">
        <v>103</v>
      </c>
      <c r="FY264" s="3">
        <v>52</v>
      </c>
      <c r="GA264" s="3" t="s">
        <v>3</v>
      </c>
      <c r="GD264" s="3">
        <v>1</v>
      </c>
      <c r="GF264" s="3">
        <v>-160211445</v>
      </c>
      <c r="GG264" s="3">
        <v>2</v>
      </c>
      <c r="GH264" s="3">
        <v>1</v>
      </c>
      <c r="GI264" s="3">
        <v>2</v>
      </c>
      <c r="GJ264" s="3">
        <v>0</v>
      </c>
      <c r="GK264" s="3">
        <v>0</v>
      </c>
      <c r="GL264" s="3">
        <f t="shared" si="281"/>
        <v>0</v>
      </c>
      <c r="GM264" s="3">
        <f t="shared" si="282"/>
        <v>421139.23</v>
      </c>
      <c r="GN264" s="3">
        <f t="shared" si="283"/>
        <v>421139.23</v>
      </c>
      <c r="GO264" s="3">
        <f t="shared" si="284"/>
        <v>0</v>
      </c>
      <c r="GP264" s="3">
        <f t="shared" si="285"/>
        <v>0</v>
      </c>
      <c r="GR264" s="3">
        <v>0</v>
      </c>
      <c r="GS264" s="3">
        <v>3</v>
      </c>
      <c r="GT264" s="3">
        <v>0</v>
      </c>
      <c r="GU264" s="3" t="s">
        <v>3</v>
      </c>
      <c r="GV264" s="3">
        <f t="shared" si="286"/>
        <v>0</v>
      </c>
      <c r="GW264" s="3">
        <v>1</v>
      </c>
      <c r="GX264" s="3">
        <f t="shared" si="287"/>
        <v>0</v>
      </c>
      <c r="HA264" s="3">
        <v>0</v>
      </c>
      <c r="HB264" s="3">
        <v>0</v>
      </c>
      <c r="HC264" s="3">
        <f t="shared" si="288"/>
        <v>0</v>
      </c>
      <c r="HE264" s="3" t="s">
        <v>3</v>
      </c>
      <c r="HF264" s="3" t="s">
        <v>3</v>
      </c>
      <c r="HM264" s="3" t="s">
        <v>3</v>
      </c>
      <c r="HN264" s="3" t="s">
        <v>3</v>
      </c>
      <c r="HO264" s="3" t="s">
        <v>3</v>
      </c>
      <c r="HP264" s="3" t="s">
        <v>3</v>
      </c>
      <c r="HQ264" s="3" t="s">
        <v>3</v>
      </c>
      <c r="HS264" s="3">
        <v>0</v>
      </c>
      <c r="IK264" s="3">
        <v>0</v>
      </c>
    </row>
    <row r="265" spans="1:255" x14ac:dyDescent="0.2">
      <c r="A265" s="2">
        <v>17</v>
      </c>
      <c r="B265" s="2">
        <v>1</v>
      </c>
      <c r="C265" s="2">
        <f>ROW(SmtRes!A680)</f>
        <v>680</v>
      </c>
      <c r="D265" s="2">
        <f>ROW(EtalonRes!A711)</f>
        <v>711</v>
      </c>
      <c r="E265" s="2" t="s">
        <v>429</v>
      </c>
      <c r="F265" s="2" t="s">
        <v>121</v>
      </c>
      <c r="G265" s="2" t="s">
        <v>122</v>
      </c>
      <c r="H265" s="2" t="s">
        <v>25</v>
      </c>
      <c r="I265" s="2">
        <f>ROUND(8,9)</f>
        <v>8</v>
      </c>
      <c r="J265" s="2">
        <v>0</v>
      </c>
      <c r="K265" s="2">
        <f>ROUND(8,9)</f>
        <v>8</v>
      </c>
      <c r="L265" s="2"/>
      <c r="M265" s="2"/>
      <c r="N265" s="2"/>
      <c r="O265" s="2">
        <f t="shared" ref="O265:O286" si="329">ROUND(CP265,2)</f>
        <v>587.80999999999995</v>
      </c>
      <c r="P265" s="2">
        <f t="shared" ref="P265:P274" si="330">ROUND((ROUND((AC265*AW265*I265),2)*BC265),2)</f>
        <v>32.32</v>
      </c>
      <c r="Q265" s="2">
        <f>(ROUND((ROUND((((ET265*1.2))*AV265*I265),2)*BB265),2)+ROUND((ROUND(((AE265-((EU265*1.2)))*AV265*I265),2)*BS265),2))</f>
        <v>25.51</v>
      </c>
      <c r="R265" s="2">
        <f>(ROUND((ROUND((((EU265*1.2))*AV265*I265),2)*BS265),2)+ROUND((ROUND(((AE265-((EU265*1.2)))*AV265*I265),2)*BS265),2))</f>
        <v>3.89</v>
      </c>
      <c r="S265" s="2">
        <f t="shared" ref="S265:S286" si="331">ROUND((ROUND((AF265*AV265*I265),2)*BA265),2)</f>
        <v>529.98</v>
      </c>
      <c r="T265" s="2">
        <f t="shared" ref="T265:T286" si="332">ROUND(CU265*I265,2)</f>
        <v>0</v>
      </c>
      <c r="U265" s="2">
        <f t="shared" ref="U265:U286" si="333">CV265*I265</f>
        <v>41.997119999999988</v>
      </c>
      <c r="V265" s="2">
        <f t="shared" ref="V265:V286" si="334">CW265*I265</f>
        <v>0</v>
      </c>
      <c r="W265" s="2">
        <f t="shared" ref="W265:W286" si="335">ROUND(CX265*I265,2)</f>
        <v>0</v>
      </c>
      <c r="X265" s="2">
        <f>(ROUND((((S265+ROUND((ROUND((((EU265*1.2))*AV265*I265),2)*BS265),2))*AT265)/100),2)+ROUND(((ROUND((ROUND(((AE265-((EU265*1.2)))*AV265*I265),2)*BS265),2)*AT265)/100),2))</f>
        <v>480.48</v>
      </c>
      <c r="Y265" s="2">
        <f>(ROUND((((S265+ROUND((ROUND((((EU265*1.2))*AV265*I265),2)*BS265),2))*AU265)/100),2)+ROUND(((ROUND((ROUND(((AE265-((EU265*1.2)))*AV265*I265),2)*BS265),2)*AU265)/100),2))</f>
        <v>245.58</v>
      </c>
      <c r="Z265" s="2"/>
      <c r="AA265" s="2">
        <v>55747649</v>
      </c>
      <c r="AB265" s="2">
        <f t="shared" ref="AB265:AB286" si="336">ROUND((AC265+AD265+AF265),6)</f>
        <v>69.006</v>
      </c>
      <c r="AC265" s="2">
        <f>ROUND(((ES265*1)),6)</f>
        <v>3.93</v>
      </c>
      <c r="AD265" s="2">
        <f>ROUND(((((ET265*1.2))-((EU265*1.2)))+AE265),6)</f>
        <v>2.988</v>
      </c>
      <c r="AE265" s="2">
        <f t="shared" si="327"/>
        <v>0.45600000000000002</v>
      </c>
      <c r="AF265" s="2">
        <f t="shared" si="327"/>
        <v>62.088000000000001</v>
      </c>
      <c r="AG265" s="2">
        <f t="shared" ref="AG265:AG286" si="337">ROUND((AP265),6)</f>
        <v>0</v>
      </c>
      <c r="AH265" s="2">
        <f t="shared" si="328"/>
        <v>4.919999999999999</v>
      </c>
      <c r="AI265" s="2">
        <f t="shared" si="328"/>
        <v>0</v>
      </c>
      <c r="AJ265" s="2">
        <f t="shared" ref="AJ265:AJ286" si="338">(AS265)</f>
        <v>0</v>
      </c>
      <c r="AK265" s="2">
        <v>58.16</v>
      </c>
      <c r="AL265" s="2">
        <v>3.93</v>
      </c>
      <c r="AM265" s="2">
        <v>2.4900000000000002</v>
      </c>
      <c r="AN265" s="2">
        <v>0.38</v>
      </c>
      <c r="AO265" s="2">
        <v>51.74</v>
      </c>
      <c r="AP265" s="2">
        <v>0</v>
      </c>
      <c r="AQ265" s="2">
        <v>4.0999999999999996</v>
      </c>
      <c r="AR265" s="2">
        <v>0</v>
      </c>
      <c r="AS265" s="2">
        <v>0</v>
      </c>
      <c r="AT265" s="2">
        <v>90</v>
      </c>
      <c r="AU265" s="2">
        <v>46</v>
      </c>
      <c r="AV265" s="2">
        <v>1.0669999999999999</v>
      </c>
      <c r="AW265" s="2">
        <v>1.028</v>
      </c>
      <c r="AX265" s="2"/>
      <c r="AY265" s="2"/>
      <c r="AZ265" s="2">
        <v>1</v>
      </c>
      <c r="BA265" s="2">
        <v>1</v>
      </c>
      <c r="BB265" s="2">
        <v>1</v>
      </c>
      <c r="BC265" s="2">
        <v>1</v>
      </c>
      <c r="BD265" s="2" t="s">
        <v>3</v>
      </c>
      <c r="BE265" s="2" t="s">
        <v>3</v>
      </c>
      <c r="BF265" s="2" t="s">
        <v>3</v>
      </c>
      <c r="BG265" s="2" t="s">
        <v>3</v>
      </c>
      <c r="BH265" s="2">
        <v>0</v>
      </c>
      <c r="BI265" s="2">
        <v>2</v>
      </c>
      <c r="BJ265" s="2" t="s">
        <v>123</v>
      </c>
      <c r="BK265" s="2"/>
      <c r="BL265" s="2"/>
      <c r="BM265" s="2">
        <v>73</v>
      </c>
      <c r="BN265" s="2">
        <v>0</v>
      </c>
      <c r="BO265" s="2" t="s">
        <v>121</v>
      </c>
      <c r="BP265" s="2">
        <v>1</v>
      </c>
      <c r="BQ265" s="2">
        <v>40</v>
      </c>
      <c r="BR265" s="2">
        <v>0</v>
      </c>
      <c r="BS265" s="2">
        <v>1</v>
      </c>
      <c r="BT265" s="2">
        <v>1</v>
      </c>
      <c r="BU265" s="2">
        <v>1</v>
      </c>
      <c r="BV265" s="2">
        <v>1</v>
      </c>
      <c r="BW265" s="2">
        <v>1</v>
      </c>
      <c r="BX265" s="2">
        <v>1</v>
      </c>
      <c r="BY265" s="2" t="s">
        <v>3</v>
      </c>
      <c r="BZ265" s="2">
        <v>90</v>
      </c>
      <c r="CA265" s="2">
        <v>46</v>
      </c>
      <c r="CB265" s="2" t="s">
        <v>3</v>
      </c>
      <c r="CC265" s="2"/>
      <c r="CD265" s="2"/>
      <c r="CE265" s="2">
        <v>1566</v>
      </c>
      <c r="CF265" s="2">
        <v>0</v>
      </c>
      <c r="CG265" s="2">
        <v>0</v>
      </c>
      <c r="CH265" s="2"/>
      <c r="CI265" s="2"/>
      <c r="CJ265" s="2"/>
      <c r="CK265" s="2"/>
      <c r="CL265" s="2"/>
      <c r="CM265" s="2">
        <v>0</v>
      </c>
      <c r="CN265" s="2" t="s">
        <v>716</v>
      </c>
      <c r="CO265" s="2">
        <v>0</v>
      </c>
      <c r="CP265" s="2">
        <f t="shared" ref="CP265:CP286" si="339">(P265+Q265+S265)</f>
        <v>587.81000000000006</v>
      </c>
      <c r="CQ265" s="2">
        <f t="shared" ref="CQ265:CQ274" si="340">ROUND((ROUND((AC265*AW265*1),2)*BC265),2)</f>
        <v>4.04</v>
      </c>
      <c r="CR265" s="2">
        <f>(ROUND((ROUND((((ET265*1.2))*AV265*1),2)*BB265),2)+ROUND((ROUND(((AE265-((EU265*1.2)))*AV265*1),2)*BS265),2))</f>
        <v>3.19</v>
      </c>
      <c r="CS265" s="2">
        <f>(ROUND((ROUND((((EU265*1.2))*AV265*1),2)*BS265),2)+ROUND((ROUND(((AE265-((EU265*1.2)))*AV265*1),2)*BS265),2))</f>
        <v>0.49</v>
      </c>
      <c r="CT265" s="2">
        <f t="shared" ref="CT265:CT286" si="341">ROUND((ROUND((AF265*AV265*1),2)*BA265),2)</f>
        <v>66.25</v>
      </c>
      <c r="CU265" s="2">
        <f t="shared" ref="CU265:CU286" si="342">AG265</f>
        <v>0</v>
      </c>
      <c r="CV265" s="2">
        <f t="shared" ref="CV265:CV286" si="343">(AH265*AV265)</f>
        <v>5.2496399999999985</v>
      </c>
      <c r="CW265" s="2">
        <f t="shared" ref="CW265:CW286" si="344">AI265</f>
        <v>0</v>
      </c>
      <c r="CX265" s="2">
        <f t="shared" ref="CX265:CX286" si="345">AJ265</f>
        <v>0</v>
      </c>
      <c r="CY265" s="2">
        <f>(ROUND((((S265+ROUND((ROUND((((EU265*1.2))*AV265*1),2)*BS265),2))*AT265)/100),2)+ROUND(((ROUND((ROUND(((AE265-((EU265*1.2)))*AV265*1),2)*BS265),2)*AT265)/100),2))</f>
        <v>477.42</v>
      </c>
      <c r="CZ265" s="2">
        <f>(ROUND((((S265+ROUND((ROUND((((EU265*1.2))*AV265*1),2)*BS265),2))*AU265)/100),2)+ROUND(((ROUND((ROUND(((AE265-((EU265*1.2)))*AV265*1),2)*BS265),2)*AU265)/100),2))</f>
        <v>244.02</v>
      </c>
      <c r="DA265" s="2"/>
      <c r="DB265" s="2">
        <v>103</v>
      </c>
      <c r="DC265" s="2" t="s">
        <v>3</v>
      </c>
      <c r="DD265" s="2" t="s">
        <v>48</v>
      </c>
      <c r="DE265" s="2" t="s">
        <v>49</v>
      </c>
      <c r="DF265" s="2" t="s">
        <v>49</v>
      </c>
      <c r="DG265" s="2" t="s">
        <v>49</v>
      </c>
      <c r="DH265" s="2" t="s">
        <v>3</v>
      </c>
      <c r="DI265" s="2" t="s">
        <v>49</v>
      </c>
      <c r="DJ265" s="2" t="s">
        <v>49</v>
      </c>
      <c r="DK265" s="2" t="s">
        <v>3</v>
      </c>
      <c r="DL265" s="2" t="s">
        <v>3</v>
      </c>
      <c r="DM265" s="2" t="s">
        <v>3</v>
      </c>
      <c r="DN265" s="2">
        <v>0</v>
      </c>
      <c r="DO265" s="2">
        <v>0</v>
      </c>
      <c r="DP265" s="2">
        <v>1</v>
      </c>
      <c r="DQ265" s="2">
        <v>1</v>
      </c>
      <c r="DR265" s="2"/>
      <c r="DS265" s="2"/>
      <c r="DT265" s="2"/>
      <c r="DU265" s="2">
        <v>1013</v>
      </c>
      <c r="DV265" s="2" t="s">
        <v>25</v>
      </c>
      <c r="DW265" s="2" t="s">
        <v>25</v>
      </c>
      <c r="DX265" s="2">
        <v>1</v>
      </c>
      <c r="DY265" s="2"/>
      <c r="DZ265" s="2" t="s">
        <v>3</v>
      </c>
      <c r="EA265" s="2" t="s">
        <v>3</v>
      </c>
      <c r="EB265" s="2" t="s">
        <v>3</v>
      </c>
      <c r="EC265" s="2" t="s">
        <v>3</v>
      </c>
      <c r="ED265" s="2"/>
      <c r="EE265" s="2">
        <v>56938740</v>
      </c>
      <c r="EF265" s="2">
        <v>40</v>
      </c>
      <c r="EG265" s="2" t="s">
        <v>29</v>
      </c>
      <c r="EH265" s="2">
        <v>0</v>
      </c>
      <c r="EI265" s="2" t="s">
        <v>3</v>
      </c>
      <c r="EJ265" s="2">
        <v>2</v>
      </c>
      <c r="EK265" s="2">
        <v>73</v>
      </c>
      <c r="EL265" s="2" t="s">
        <v>85</v>
      </c>
      <c r="EM265" s="2" t="s">
        <v>86</v>
      </c>
      <c r="EN265" s="2"/>
      <c r="EO265" s="2" t="s">
        <v>50</v>
      </c>
      <c r="EP265" s="2"/>
      <c r="EQ265" s="2">
        <v>131072</v>
      </c>
      <c r="ER265" s="2">
        <v>58.16</v>
      </c>
      <c r="ES265" s="2">
        <v>3.93</v>
      </c>
      <c r="ET265" s="2">
        <v>2.4900000000000002</v>
      </c>
      <c r="EU265" s="2">
        <v>0.38</v>
      </c>
      <c r="EV265" s="2">
        <v>51.74</v>
      </c>
      <c r="EW265" s="2">
        <v>4.0999999999999996</v>
      </c>
      <c r="EX265" s="2">
        <v>0</v>
      </c>
      <c r="EY265" s="2">
        <v>0</v>
      </c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>
        <v>0</v>
      </c>
      <c r="FR265" s="2">
        <v>0</v>
      </c>
      <c r="FS265" s="2">
        <v>2</v>
      </c>
      <c r="FT265" s="2"/>
      <c r="FU265" s="2"/>
      <c r="FV265" s="2"/>
      <c r="FW265" s="2"/>
      <c r="FX265" s="2">
        <v>90</v>
      </c>
      <c r="FY265" s="2">
        <v>46</v>
      </c>
      <c r="FZ265" s="2"/>
      <c r="GA265" s="2" t="s">
        <v>3</v>
      </c>
      <c r="GB265" s="2"/>
      <c r="GC265" s="2"/>
      <c r="GD265" s="2">
        <v>1</v>
      </c>
      <c r="GE265" s="2"/>
      <c r="GF265" s="2">
        <v>1723816868</v>
      </c>
      <c r="GG265" s="2">
        <v>2</v>
      </c>
      <c r="GH265" s="2">
        <v>1</v>
      </c>
      <c r="GI265" s="2">
        <v>2</v>
      </c>
      <c r="GJ265" s="2">
        <v>0</v>
      </c>
      <c r="GK265" s="2">
        <v>0</v>
      </c>
      <c r="GL265" s="2">
        <f t="shared" ref="GL265:GL286" si="346">ROUND(IF(AND(BH265=3,BI265=3,FS265&lt;&gt;0),P265,0),2)</f>
        <v>0</v>
      </c>
      <c r="GM265" s="2">
        <f t="shared" ref="GM265:GM286" si="347">ROUND(O265+X265+Y265,2)+GX265</f>
        <v>1313.87</v>
      </c>
      <c r="GN265" s="2">
        <f t="shared" ref="GN265:GN286" si="348">IF(OR(BI265=0,BI265=1),GM265-GX265,0)</f>
        <v>0</v>
      </c>
      <c r="GO265" s="2">
        <f t="shared" ref="GO265:GO286" si="349">IF(BI265=2,GM265-GX265,0)</f>
        <v>1313.87</v>
      </c>
      <c r="GP265" s="2">
        <f t="shared" ref="GP265:GP286" si="350">IF(BI265=4,GM265-GX265,0)</f>
        <v>0</v>
      </c>
      <c r="GQ265" s="2"/>
      <c r="GR265" s="2">
        <v>0</v>
      </c>
      <c r="GS265" s="2">
        <v>3</v>
      </c>
      <c r="GT265" s="2">
        <v>0</v>
      </c>
      <c r="GU265" s="2" t="s">
        <v>3</v>
      </c>
      <c r="GV265" s="2">
        <f t="shared" ref="GV265:GV286" si="351">ROUND((GT265),6)</f>
        <v>0</v>
      </c>
      <c r="GW265" s="2">
        <v>1</v>
      </c>
      <c r="GX265" s="2">
        <f t="shared" ref="GX265:GX286" si="352">ROUND(HC265*I265,2)</f>
        <v>0</v>
      </c>
      <c r="GY265" s="2"/>
      <c r="GZ265" s="2"/>
      <c r="HA265" s="2">
        <v>0</v>
      </c>
      <c r="HB265" s="2">
        <v>0</v>
      </c>
      <c r="HC265" s="2">
        <f t="shared" ref="HC265:HC286" si="353">GV265*GW265</f>
        <v>0</v>
      </c>
      <c r="HD265" s="2"/>
      <c r="HE265" s="2" t="s">
        <v>3</v>
      </c>
      <c r="HF265" s="2" t="s">
        <v>3</v>
      </c>
      <c r="HG265" s="2"/>
      <c r="HH265" s="2"/>
      <c r="HI265" s="2"/>
      <c r="HJ265" s="2"/>
      <c r="HK265" s="2"/>
      <c r="HL265" s="2"/>
      <c r="HM265" s="2" t="s">
        <v>3</v>
      </c>
      <c r="HN265" s="2" t="s">
        <v>3</v>
      </c>
      <c r="HO265" s="2" t="s">
        <v>3</v>
      </c>
      <c r="HP265" s="2" t="s">
        <v>3</v>
      </c>
      <c r="HQ265" s="2" t="s">
        <v>3</v>
      </c>
      <c r="HR265" s="2"/>
      <c r="HS265" s="2">
        <v>0</v>
      </c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>
        <v>0</v>
      </c>
      <c r="IL265" s="2"/>
      <c r="IM265" s="2"/>
      <c r="IN265" s="2"/>
      <c r="IO265" s="2"/>
      <c r="IP265" s="2"/>
      <c r="IQ265" s="2"/>
      <c r="IR265" s="2"/>
      <c r="IS265" s="2"/>
      <c r="IT265" s="2"/>
      <c r="IU265" s="2"/>
    </row>
    <row r="266" spans="1:255" x14ac:dyDescent="0.2">
      <c r="A266" s="3">
        <v>17</v>
      </c>
      <c r="B266" s="3">
        <v>1</v>
      </c>
      <c r="C266" s="3">
        <f>ROW(SmtRes!A684)</f>
        <v>684</v>
      </c>
      <c r="D266" s="3">
        <f>ROW(EtalonRes!A716)</f>
        <v>716</v>
      </c>
      <c r="E266" s="3" t="s">
        <v>429</v>
      </c>
      <c r="F266" s="3" t="s">
        <v>121</v>
      </c>
      <c r="G266" s="3" t="s">
        <v>122</v>
      </c>
      <c r="H266" s="3" t="s">
        <v>25</v>
      </c>
      <c r="I266" s="3">
        <f>ROUND(8,9)</f>
        <v>8</v>
      </c>
      <c r="J266" s="3">
        <v>0</v>
      </c>
      <c r="K266" s="3">
        <f>ROUND(8,9)</f>
        <v>8</v>
      </c>
      <c r="O266" s="3">
        <f t="shared" si="329"/>
        <v>30445.46</v>
      </c>
      <c r="P266" s="3">
        <f t="shared" si="330"/>
        <v>145.12</v>
      </c>
      <c r="Q266" s="3">
        <f>(ROUND((ROUND((((ET266*1.2))*AV266*I266),2)*BB266),2)+ROUND((ROUND(((AE266-((EU266*1.2)))*AV266*I266),2)*BS266),2))</f>
        <v>435.97</v>
      </c>
      <c r="R266" s="3">
        <f>(ROUND((ROUND((((EU266*1.2))*AV266*I266),2)*BS266),2)+ROUND((ROUND(((AE266-((EU266*1.2)))*AV266*I266),2)*BS266),2))</f>
        <v>219.2</v>
      </c>
      <c r="S266" s="3">
        <f t="shared" si="331"/>
        <v>29864.37</v>
      </c>
      <c r="T266" s="3">
        <f t="shared" si="332"/>
        <v>0</v>
      </c>
      <c r="U266" s="3">
        <f t="shared" si="333"/>
        <v>41.997119999999988</v>
      </c>
      <c r="V266" s="3">
        <f t="shared" si="334"/>
        <v>0</v>
      </c>
      <c r="W266" s="3">
        <f t="shared" si="335"/>
        <v>0</v>
      </c>
      <c r="X266" s="3">
        <f>(ROUND((((S266+ROUND((ROUND((((EU266*1.2))*AV266*I266),2)*BS266),2))*AT266)/100),2)+ROUND(((ROUND((ROUND(((AE266-((EU266*1.2)))*AV266*I266),2)*BS266),2)*AT266)/100),2))</f>
        <v>27075.21</v>
      </c>
      <c r="Y266" s="3">
        <f>(ROUND((((S266+ROUND((ROUND((((EU266*1.2))*AV266*I266),2)*BS266),2))*AU266)/100),2)+ROUND(((ROUND((ROUND(((AE266-((EU266*1.2)))*AV266*I266),2)*BS266),2)*AU266)/100),2))</f>
        <v>13838.44</v>
      </c>
      <c r="AA266" s="3">
        <v>55747651</v>
      </c>
      <c r="AB266" s="3">
        <f t="shared" si="336"/>
        <v>69.006</v>
      </c>
      <c r="AC266" s="3">
        <f>ROUND(((ES266*1)),6)</f>
        <v>3.93</v>
      </c>
      <c r="AD266" s="3">
        <f>ROUND(((((ET266*1.2))-((EU266*1.2)))+AE266),6)</f>
        <v>2.988</v>
      </c>
      <c r="AE266" s="3">
        <f t="shared" si="327"/>
        <v>0.45600000000000002</v>
      </c>
      <c r="AF266" s="3">
        <f t="shared" si="327"/>
        <v>62.088000000000001</v>
      </c>
      <c r="AG266" s="3">
        <f t="shared" si="337"/>
        <v>0</v>
      </c>
      <c r="AH266" s="3">
        <f t="shared" si="328"/>
        <v>4.919999999999999</v>
      </c>
      <c r="AI266" s="3">
        <f t="shared" si="328"/>
        <v>0</v>
      </c>
      <c r="AJ266" s="3">
        <f t="shared" si="338"/>
        <v>0</v>
      </c>
      <c r="AK266" s="3">
        <v>58.16</v>
      </c>
      <c r="AL266" s="3">
        <v>3.93</v>
      </c>
      <c r="AM266" s="3">
        <v>2.4900000000000002</v>
      </c>
      <c r="AN266" s="3">
        <v>0.38</v>
      </c>
      <c r="AO266" s="3">
        <v>51.74</v>
      </c>
      <c r="AP266" s="3">
        <v>0</v>
      </c>
      <c r="AQ266" s="3">
        <v>4.0999999999999996</v>
      </c>
      <c r="AR266" s="3">
        <v>0</v>
      </c>
      <c r="AS266" s="3">
        <v>0</v>
      </c>
      <c r="AT266" s="3">
        <v>90</v>
      </c>
      <c r="AU266" s="3">
        <v>46</v>
      </c>
      <c r="AV266" s="3">
        <v>1.0669999999999999</v>
      </c>
      <c r="AW266" s="3">
        <v>1.028</v>
      </c>
      <c r="AZ266" s="3">
        <v>1</v>
      </c>
      <c r="BA266" s="3">
        <v>56.35</v>
      </c>
      <c r="BB266" s="3">
        <v>17.09</v>
      </c>
      <c r="BC266" s="3">
        <v>4.49</v>
      </c>
      <c r="BD266" s="3" t="s">
        <v>3</v>
      </c>
      <c r="BE266" s="3" t="s">
        <v>3</v>
      </c>
      <c r="BF266" s="3" t="s">
        <v>3</v>
      </c>
      <c r="BG266" s="3" t="s">
        <v>3</v>
      </c>
      <c r="BH266" s="3">
        <v>0</v>
      </c>
      <c r="BI266" s="3">
        <v>2</v>
      </c>
      <c r="BJ266" s="3" t="s">
        <v>123</v>
      </c>
      <c r="BM266" s="3">
        <v>73</v>
      </c>
      <c r="BN266" s="3">
        <v>0</v>
      </c>
      <c r="BO266" s="3" t="s">
        <v>121</v>
      </c>
      <c r="BP266" s="3">
        <v>1</v>
      </c>
      <c r="BQ266" s="3">
        <v>40</v>
      </c>
      <c r="BR266" s="3">
        <v>0</v>
      </c>
      <c r="BS266" s="3">
        <v>56.35</v>
      </c>
      <c r="BT266" s="3">
        <v>1</v>
      </c>
      <c r="BU266" s="3">
        <v>1</v>
      </c>
      <c r="BV266" s="3">
        <v>1</v>
      </c>
      <c r="BW266" s="3">
        <v>1</v>
      </c>
      <c r="BX266" s="3">
        <v>1</v>
      </c>
      <c r="BY266" s="3" t="s">
        <v>3</v>
      </c>
      <c r="BZ266" s="3">
        <v>90</v>
      </c>
      <c r="CA266" s="3">
        <v>46</v>
      </c>
      <c r="CB266" s="3" t="s">
        <v>3</v>
      </c>
      <c r="CE266" s="3">
        <v>1566</v>
      </c>
      <c r="CF266" s="3">
        <v>0</v>
      </c>
      <c r="CG266" s="3">
        <v>0</v>
      </c>
      <c r="CM266" s="3">
        <v>0</v>
      </c>
      <c r="CN266" s="3" t="s">
        <v>716</v>
      </c>
      <c r="CO266" s="3">
        <v>0</v>
      </c>
      <c r="CP266" s="3">
        <f t="shared" si="339"/>
        <v>30445.46</v>
      </c>
      <c r="CQ266" s="3">
        <f t="shared" si="340"/>
        <v>18.14</v>
      </c>
      <c r="CR266" s="3">
        <f>(ROUND((ROUND((((ET266*1.2))*AV266*1),2)*BB266),2)+ROUND((ROUND(((AE266-((EU266*1.2)))*AV266*1),2)*BS266),2))</f>
        <v>54.52</v>
      </c>
      <c r="CS266" s="3">
        <f>(ROUND((ROUND((((EU266*1.2))*AV266*1),2)*BS266),2)+ROUND((ROUND(((AE266-((EU266*1.2)))*AV266*1),2)*BS266),2))</f>
        <v>27.61</v>
      </c>
      <c r="CT266" s="3">
        <f t="shared" si="341"/>
        <v>3733.19</v>
      </c>
      <c r="CU266" s="3">
        <f t="shared" si="342"/>
        <v>0</v>
      </c>
      <c r="CV266" s="3">
        <f t="shared" si="343"/>
        <v>5.2496399999999985</v>
      </c>
      <c r="CW266" s="3">
        <f t="shared" si="344"/>
        <v>0</v>
      </c>
      <c r="CX266" s="3">
        <f t="shared" si="345"/>
        <v>0</v>
      </c>
      <c r="CY266" s="3">
        <f>(ROUND((((S266+ROUND((ROUND((((EU266*1.2))*AV266*1),2)*BS266),2))*AT266)/100),2)+ROUND(((ROUND((ROUND(((AE266-((EU266*1.2)))*AV266*1),2)*BS266),2)*AT266)/100),2))</f>
        <v>26902.78</v>
      </c>
      <c r="CZ266" s="3">
        <f>(ROUND((((S266+ROUND((ROUND((((EU266*1.2))*AV266*1),2)*BS266),2))*AU266)/100),2)+ROUND(((ROUND((ROUND(((AE266-((EU266*1.2)))*AV266*1),2)*BS266),2)*AU266)/100),2))</f>
        <v>13750.31</v>
      </c>
      <c r="DB266" s="3">
        <v>104</v>
      </c>
      <c r="DC266" s="3" t="s">
        <v>3</v>
      </c>
      <c r="DD266" s="3" t="s">
        <v>48</v>
      </c>
      <c r="DE266" s="3" t="s">
        <v>49</v>
      </c>
      <c r="DF266" s="3" t="s">
        <v>49</v>
      </c>
      <c r="DG266" s="3" t="s">
        <v>49</v>
      </c>
      <c r="DH266" s="3" t="s">
        <v>3</v>
      </c>
      <c r="DI266" s="3" t="s">
        <v>49</v>
      </c>
      <c r="DJ266" s="3" t="s">
        <v>49</v>
      </c>
      <c r="DK266" s="3" t="s">
        <v>3</v>
      </c>
      <c r="DL266" s="3" t="s">
        <v>3</v>
      </c>
      <c r="DM266" s="3" t="s">
        <v>3</v>
      </c>
      <c r="DN266" s="3">
        <v>0</v>
      </c>
      <c r="DO266" s="3">
        <v>0</v>
      </c>
      <c r="DP266" s="3">
        <v>1</v>
      </c>
      <c r="DQ266" s="3">
        <v>1</v>
      </c>
      <c r="DU266" s="3">
        <v>1013</v>
      </c>
      <c r="DV266" s="3" t="s">
        <v>25</v>
      </c>
      <c r="DW266" s="3" t="s">
        <v>25</v>
      </c>
      <c r="DX266" s="3">
        <v>1</v>
      </c>
      <c r="DZ266" s="3" t="s">
        <v>3</v>
      </c>
      <c r="EA266" s="3" t="s">
        <v>3</v>
      </c>
      <c r="EB266" s="3" t="s">
        <v>3</v>
      </c>
      <c r="EC266" s="3" t="s">
        <v>3</v>
      </c>
      <c r="EE266" s="3">
        <v>56938740</v>
      </c>
      <c r="EF266" s="3">
        <v>40</v>
      </c>
      <c r="EG266" s="3" t="s">
        <v>29</v>
      </c>
      <c r="EH266" s="3">
        <v>0</v>
      </c>
      <c r="EI266" s="3" t="s">
        <v>3</v>
      </c>
      <c r="EJ266" s="3">
        <v>2</v>
      </c>
      <c r="EK266" s="3">
        <v>73</v>
      </c>
      <c r="EL266" s="3" t="s">
        <v>85</v>
      </c>
      <c r="EM266" s="3" t="s">
        <v>86</v>
      </c>
      <c r="EO266" s="3" t="s">
        <v>50</v>
      </c>
      <c r="EQ266" s="3">
        <v>131072</v>
      </c>
      <c r="ER266" s="3">
        <v>58.16</v>
      </c>
      <c r="ES266" s="3">
        <v>3.93</v>
      </c>
      <c r="ET266" s="3">
        <v>2.4900000000000002</v>
      </c>
      <c r="EU266" s="3">
        <v>0.38</v>
      </c>
      <c r="EV266" s="3">
        <v>51.74</v>
      </c>
      <c r="EW266" s="3">
        <v>4.0999999999999996</v>
      </c>
      <c r="EX266" s="3">
        <v>0</v>
      </c>
      <c r="EY266" s="3">
        <v>0</v>
      </c>
      <c r="FQ266" s="3">
        <v>0</v>
      </c>
      <c r="FR266" s="3">
        <v>0</v>
      </c>
      <c r="FS266" s="3">
        <v>2</v>
      </c>
      <c r="FX266" s="3">
        <v>90</v>
      </c>
      <c r="FY266" s="3">
        <v>46</v>
      </c>
      <c r="GA266" s="3" t="s">
        <v>3</v>
      </c>
      <c r="GD266" s="3">
        <v>1</v>
      </c>
      <c r="GF266" s="3">
        <v>1723816868</v>
      </c>
      <c r="GG266" s="3">
        <v>2</v>
      </c>
      <c r="GH266" s="3">
        <v>1</v>
      </c>
      <c r="GI266" s="3">
        <v>2</v>
      </c>
      <c r="GJ266" s="3">
        <v>0</v>
      </c>
      <c r="GK266" s="3">
        <v>0</v>
      </c>
      <c r="GL266" s="3">
        <f t="shared" si="346"/>
        <v>0</v>
      </c>
      <c r="GM266" s="3">
        <f t="shared" si="347"/>
        <v>71359.11</v>
      </c>
      <c r="GN266" s="3">
        <f t="shared" si="348"/>
        <v>0</v>
      </c>
      <c r="GO266" s="3">
        <f t="shared" si="349"/>
        <v>71359.11</v>
      </c>
      <c r="GP266" s="3">
        <f t="shared" si="350"/>
        <v>0</v>
      </c>
      <c r="GR266" s="3">
        <v>0</v>
      </c>
      <c r="GS266" s="3">
        <v>3</v>
      </c>
      <c r="GT266" s="3">
        <v>0</v>
      </c>
      <c r="GU266" s="3" t="s">
        <v>3</v>
      </c>
      <c r="GV266" s="3">
        <f t="shared" si="351"/>
        <v>0</v>
      </c>
      <c r="GW266" s="3">
        <v>1</v>
      </c>
      <c r="GX266" s="3">
        <f t="shared" si="352"/>
        <v>0</v>
      </c>
      <c r="HA266" s="3">
        <v>0</v>
      </c>
      <c r="HB266" s="3">
        <v>0</v>
      </c>
      <c r="HC266" s="3">
        <f t="shared" si="353"/>
        <v>0</v>
      </c>
      <c r="HE266" s="3" t="s">
        <v>3</v>
      </c>
      <c r="HF266" s="3" t="s">
        <v>3</v>
      </c>
      <c r="HM266" s="3" t="s">
        <v>3</v>
      </c>
      <c r="HN266" s="3" t="s">
        <v>3</v>
      </c>
      <c r="HO266" s="3" t="s">
        <v>3</v>
      </c>
      <c r="HP266" s="3" t="s">
        <v>3</v>
      </c>
      <c r="HQ266" s="3" t="s">
        <v>3</v>
      </c>
      <c r="HS266" s="3">
        <v>0</v>
      </c>
      <c r="IK266" s="3">
        <v>0</v>
      </c>
    </row>
    <row r="267" spans="1:255" x14ac:dyDescent="0.2">
      <c r="A267" s="2">
        <v>18</v>
      </c>
      <c r="B267" s="2">
        <v>1</v>
      </c>
      <c r="C267" s="2">
        <v>680</v>
      </c>
      <c r="D267" s="2"/>
      <c r="E267" s="2" t="s">
        <v>430</v>
      </c>
      <c r="F267" s="2" t="s">
        <v>125</v>
      </c>
      <c r="G267" s="2" t="s">
        <v>126</v>
      </c>
      <c r="H267" s="2" t="s">
        <v>118</v>
      </c>
      <c r="I267" s="2">
        <f>I265*J267</f>
        <v>8</v>
      </c>
      <c r="J267" s="2">
        <v>1</v>
      </c>
      <c r="K267" s="2">
        <v>1</v>
      </c>
      <c r="L267" s="2"/>
      <c r="M267" s="2"/>
      <c r="N267" s="2"/>
      <c r="O267" s="2">
        <f t="shared" si="329"/>
        <v>17423.439999999999</v>
      </c>
      <c r="P267" s="2">
        <f t="shared" si="330"/>
        <v>17423.439999999999</v>
      </c>
      <c r="Q267" s="2">
        <f>(ROUND((ROUND(((ET267)*AV267*I267),2)*BB267),2)+ROUND((ROUND(((AE267-(EU267))*AV267*I267),2)*BS267),2))</f>
        <v>0</v>
      </c>
      <c r="R267" s="2">
        <f>(ROUND((ROUND(((EU267)*AV267*I267),2)*BS267),2)+ROUND((ROUND(((AE267-(EU267))*AV267*I267),2)*BS267),2))</f>
        <v>0</v>
      </c>
      <c r="S267" s="2">
        <f t="shared" si="331"/>
        <v>0</v>
      </c>
      <c r="T267" s="2">
        <f t="shared" si="332"/>
        <v>0</v>
      </c>
      <c r="U267" s="2">
        <f t="shared" si="333"/>
        <v>0</v>
      </c>
      <c r="V267" s="2">
        <f t="shared" si="334"/>
        <v>0</v>
      </c>
      <c r="W267" s="2">
        <f t="shared" si="335"/>
        <v>0</v>
      </c>
      <c r="X267" s="2">
        <f>(ROUND((((S267+ROUND((ROUND(((EU267)*AV267*I267),2)*BS267),2))*AT267)/100),2)+ROUND(((ROUND((ROUND(((AE267-(EU267))*AV267*I267),2)*BS267),2)*AT267)/100),2))</f>
        <v>0</v>
      </c>
      <c r="Y267" s="2">
        <f>(ROUND((((S267+ROUND((ROUND(((EU267)*AV267*I267),2)*BS267),2))*AU267)/100),2)+ROUND(((ROUND((ROUND(((AE267-(EU267))*AV267*I267),2)*BS267),2)*AU267)/100),2))</f>
        <v>0</v>
      </c>
      <c r="Z267" s="2"/>
      <c r="AA267" s="2">
        <v>55747649</v>
      </c>
      <c r="AB267" s="2">
        <f t="shared" si="336"/>
        <v>2177.9299999999998</v>
      </c>
      <c r="AC267" s="2">
        <f>ROUND((ES267),6)</f>
        <v>2177.9299999999998</v>
      </c>
      <c r="AD267" s="2">
        <f>ROUND((((ET267)-(EU267))+AE267),6)</f>
        <v>0</v>
      </c>
      <c r="AE267" s="2">
        <f t="shared" ref="AE267:AF270" si="354">ROUND((EU267),6)</f>
        <v>0</v>
      </c>
      <c r="AF267" s="2">
        <f t="shared" si="354"/>
        <v>0</v>
      </c>
      <c r="AG267" s="2">
        <f t="shared" si="337"/>
        <v>0</v>
      </c>
      <c r="AH267" s="2">
        <f t="shared" ref="AH267:AI270" si="355">(EW267)</f>
        <v>0</v>
      </c>
      <c r="AI267" s="2">
        <f t="shared" si="355"/>
        <v>0</v>
      </c>
      <c r="AJ267" s="2">
        <f t="shared" si="338"/>
        <v>0</v>
      </c>
      <c r="AK267" s="2">
        <v>2177.9299999999998</v>
      </c>
      <c r="AL267" s="2">
        <v>2177.9299999999998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90</v>
      </c>
      <c r="AU267" s="2">
        <v>46</v>
      </c>
      <c r="AV267" s="2">
        <v>1</v>
      </c>
      <c r="AW267" s="2">
        <v>1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3</v>
      </c>
      <c r="BI267" s="2">
        <v>2</v>
      </c>
      <c r="BJ267" s="2" t="s">
        <v>127</v>
      </c>
      <c r="BK267" s="2"/>
      <c r="BL267" s="2"/>
      <c r="BM267" s="2">
        <v>73</v>
      </c>
      <c r="BN267" s="2">
        <v>0</v>
      </c>
      <c r="BO267" s="2" t="s">
        <v>3</v>
      </c>
      <c r="BP267" s="2">
        <v>0</v>
      </c>
      <c r="BQ267" s="2">
        <v>40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90</v>
      </c>
      <c r="CA267" s="2">
        <v>46</v>
      </c>
      <c r="CB267" s="2" t="s">
        <v>3</v>
      </c>
      <c r="CC267" s="2"/>
      <c r="CD267" s="2"/>
      <c r="CE267" s="2">
        <v>1566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3</v>
      </c>
      <c r="CO267" s="2">
        <v>0</v>
      </c>
      <c r="CP267" s="2">
        <f t="shared" si="339"/>
        <v>17423.439999999999</v>
      </c>
      <c r="CQ267" s="2">
        <f t="shared" si="340"/>
        <v>2177.9299999999998</v>
      </c>
      <c r="CR267" s="2">
        <f>(ROUND((ROUND(((ET267)*AV267*1),2)*BB267),2)+ROUND((ROUND(((AE267-(EU267))*AV267*1),2)*BS267),2))</f>
        <v>0</v>
      </c>
      <c r="CS267" s="2">
        <f>(ROUND((ROUND(((EU267)*AV267*1),2)*BS267),2)+ROUND((ROUND(((AE267-(EU267))*AV267*1),2)*BS267),2))</f>
        <v>0</v>
      </c>
      <c r="CT267" s="2">
        <f t="shared" si="341"/>
        <v>0</v>
      </c>
      <c r="CU267" s="2">
        <f t="shared" si="342"/>
        <v>0</v>
      </c>
      <c r="CV267" s="2">
        <f t="shared" si="343"/>
        <v>0</v>
      </c>
      <c r="CW267" s="2">
        <f t="shared" si="344"/>
        <v>0</v>
      </c>
      <c r="CX267" s="2">
        <f t="shared" si="345"/>
        <v>0</v>
      </c>
      <c r="CY267" s="2">
        <f>(ROUND((((S267+ROUND((ROUND(((EU267)*AV267*1),2)*BS267),2))*AT267)/100),2)+ROUND(((ROUND((ROUND(((AE267-(EU267))*AV267*1),2)*BS267),2)*AT267)/100),2))</f>
        <v>0</v>
      </c>
      <c r="CZ267" s="2">
        <f>(ROUND((((S267+ROUND((ROUND(((EU267)*AV267*1),2)*BS267),2))*AU267)/100),2)+ROUND(((ROUND((ROUND(((AE267-(EU267))*AV267*1),2)*BS267),2)*AU267)/100),2))</f>
        <v>0</v>
      </c>
      <c r="DA267" s="2"/>
      <c r="DB267" s="2"/>
      <c r="DC267" s="2" t="s">
        <v>3</v>
      </c>
      <c r="DD267" s="2" t="s">
        <v>3</v>
      </c>
      <c r="DE267" s="2" t="s">
        <v>3</v>
      </c>
      <c r="DF267" s="2" t="s">
        <v>3</v>
      </c>
      <c r="DG267" s="2" t="s">
        <v>3</v>
      </c>
      <c r="DH267" s="2" t="s">
        <v>3</v>
      </c>
      <c r="DI267" s="2" t="s">
        <v>3</v>
      </c>
      <c r="DJ267" s="2" t="s">
        <v>3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1010</v>
      </c>
      <c r="DV267" s="2" t="s">
        <v>118</v>
      </c>
      <c r="DW267" s="2" t="s">
        <v>118</v>
      </c>
      <c r="DX267" s="2">
        <v>1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56938740</v>
      </c>
      <c r="EF267" s="2">
        <v>40</v>
      </c>
      <c r="EG267" s="2" t="s">
        <v>29</v>
      </c>
      <c r="EH267" s="2">
        <v>0</v>
      </c>
      <c r="EI267" s="2" t="s">
        <v>3</v>
      </c>
      <c r="EJ267" s="2">
        <v>2</v>
      </c>
      <c r="EK267" s="2">
        <v>73</v>
      </c>
      <c r="EL267" s="2" t="s">
        <v>85</v>
      </c>
      <c r="EM267" s="2" t="s">
        <v>86</v>
      </c>
      <c r="EN267" s="2"/>
      <c r="EO267" s="2" t="s">
        <v>3</v>
      </c>
      <c r="EP267" s="2"/>
      <c r="EQ267" s="2">
        <v>0</v>
      </c>
      <c r="ER267" s="2">
        <v>2177.9299999999998</v>
      </c>
      <c r="ES267" s="2">
        <v>2177.9299999999998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90</v>
      </c>
      <c r="FY267" s="2">
        <v>46</v>
      </c>
      <c r="FZ267" s="2"/>
      <c r="GA267" s="2" t="s">
        <v>3</v>
      </c>
      <c r="GB267" s="2"/>
      <c r="GC267" s="2"/>
      <c r="GD267" s="2">
        <v>1</v>
      </c>
      <c r="GE267" s="2"/>
      <c r="GF267" s="2">
        <v>873960273</v>
      </c>
      <c r="GG267" s="2">
        <v>2</v>
      </c>
      <c r="GH267" s="2">
        <v>1</v>
      </c>
      <c r="GI267" s="2">
        <v>-2</v>
      </c>
      <c r="GJ267" s="2">
        <v>0</v>
      </c>
      <c r="GK267" s="2">
        <v>0</v>
      </c>
      <c r="GL267" s="2">
        <f t="shared" si="346"/>
        <v>0</v>
      </c>
      <c r="GM267" s="2">
        <f t="shared" si="347"/>
        <v>17423.439999999999</v>
      </c>
      <c r="GN267" s="2">
        <f t="shared" si="348"/>
        <v>0</v>
      </c>
      <c r="GO267" s="2">
        <f t="shared" si="349"/>
        <v>17423.439999999999</v>
      </c>
      <c r="GP267" s="2">
        <f t="shared" si="350"/>
        <v>0</v>
      </c>
      <c r="GQ267" s="2"/>
      <c r="GR267" s="2">
        <v>0</v>
      </c>
      <c r="GS267" s="2">
        <v>3</v>
      </c>
      <c r="GT267" s="2">
        <v>0</v>
      </c>
      <c r="GU267" s="2" t="s">
        <v>3</v>
      </c>
      <c r="GV267" s="2">
        <f t="shared" si="351"/>
        <v>0</v>
      </c>
      <c r="GW267" s="2">
        <v>1</v>
      </c>
      <c r="GX267" s="2">
        <f t="shared" si="352"/>
        <v>0</v>
      </c>
      <c r="GY267" s="2"/>
      <c r="GZ267" s="2"/>
      <c r="HA267" s="2">
        <v>0</v>
      </c>
      <c r="HB267" s="2">
        <v>0</v>
      </c>
      <c r="HC267" s="2">
        <f t="shared" si="353"/>
        <v>0</v>
      </c>
      <c r="HD267" s="2"/>
      <c r="HE267" s="2" t="s">
        <v>3</v>
      </c>
      <c r="HF267" s="2" t="s">
        <v>3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">
      <c r="A268" s="3">
        <v>18</v>
      </c>
      <c r="B268" s="3">
        <v>1</v>
      </c>
      <c r="C268" s="3">
        <v>684</v>
      </c>
      <c r="E268" s="3" t="s">
        <v>430</v>
      </c>
      <c r="F268" s="3" t="s">
        <v>125</v>
      </c>
      <c r="G268" s="3" t="s">
        <v>126</v>
      </c>
      <c r="H268" s="3" t="s">
        <v>118</v>
      </c>
      <c r="I268" s="3">
        <f>I266*J268</f>
        <v>8</v>
      </c>
      <c r="J268" s="3">
        <v>1</v>
      </c>
      <c r="K268" s="3">
        <v>1</v>
      </c>
      <c r="O268" s="3">
        <f t="shared" si="329"/>
        <v>54186.9</v>
      </c>
      <c r="P268" s="3">
        <f t="shared" si="330"/>
        <v>54186.9</v>
      </c>
      <c r="Q268" s="3">
        <f>(ROUND((ROUND(((ET268)*AV268*I268),2)*BB268),2)+ROUND((ROUND(((AE268-(EU268))*AV268*I268),2)*BS268),2))</f>
        <v>0</v>
      </c>
      <c r="R268" s="3">
        <f>(ROUND((ROUND(((EU268)*AV268*I268),2)*BS268),2)+ROUND((ROUND(((AE268-(EU268))*AV268*I268),2)*BS268),2))</f>
        <v>0</v>
      </c>
      <c r="S268" s="3">
        <f t="shared" si="331"/>
        <v>0</v>
      </c>
      <c r="T268" s="3">
        <f t="shared" si="332"/>
        <v>0</v>
      </c>
      <c r="U268" s="3">
        <f t="shared" si="333"/>
        <v>0</v>
      </c>
      <c r="V268" s="3">
        <f t="shared" si="334"/>
        <v>0</v>
      </c>
      <c r="W268" s="3">
        <f t="shared" si="335"/>
        <v>0</v>
      </c>
      <c r="X268" s="3">
        <f>(ROUND((((S268+ROUND((ROUND(((EU268)*AV268*I268),2)*BS268),2))*AT268)/100),2)+ROUND(((ROUND((ROUND(((AE268-(EU268))*AV268*I268),2)*BS268),2)*AT268)/100),2))</f>
        <v>0</v>
      </c>
      <c r="Y268" s="3">
        <f>(ROUND((((S268+ROUND((ROUND(((EU268)*AV268*I268),2)*BS268),2))*AU268)/100),2)+ROUND(((ROUND((ROUND(((AE268-(EU268))*AV268*I268),2)*BS268),2)*AU268)/100),2))</f>
        <v>0</v>
      </c>
      <c r="AA268" s="3">
        <v>55747651</v>
      </c>
      <c r="AB268" s="3">
        <f t="shared" si="336"/>
        <v>2177.9299999999998</v>
      </c>
      <c r="AC268" s="3">
        <f>ROUND((ES268),6)</f>
        <v>2177.9299999999998</v>
      </c>
      <c r="AD268" s="3">
        <f>ROUND((((ET268)-(EU268))+AE268),6)</f>
        <v>0</v>
      </c>
      <c r="AE268" s="3">
        <f t="shared" si="354"/>
        <v>0</v>
      </c>
      <c r="AF268" s="3">
        <f t="shared" si="354"/>
        <v>0</v>
      </c>
      <c r="AG268" s="3">
        <f t="shared" si="337"/>
        <v>0</v>
      </c>
      <c r="AH268" s="3">
        <f t="shared" si="355"/>
        <v>0</v>
      </c>
      <c r="AI268" s="3">
        <f t="shared" si="355"/>
        <v>0</v>
      </c>
      <c r="AJ268" s="3">
        <f t="shared" si="338"/>
        <v>0</v>
      </c>
      <c r="AK268" s="3">
        <v>2177.9299999999998</v>
      </c>
      <c r="AL268" s="3">
        <v>2177.9299999999998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90</v>
      </c>
      <c r="AU268" s="3">
        <v>46</v>
      </c>
      <c r="AV268" s="3">
        <v>1</v>
      </c>
      <c r="AW268" s="3">
        <v>1</v>
      </c>
      <c r="AZ268" s="3">
        <v>1</v>
      </c>
      <c r="BA268" s="3">
        <v>1</v>
      </c>
      <c r="BB268" s="3">
        <v>1</v>
      </c>
      <c r="BC268" s="3">
        <v>3.11</v>
      </c>
      <c r="BD268" s="3" t="s">
        <v>3</v>
      </c>
      <c r="BE268" s="3" t="s">
        <v>3</v>
      </c>
      <c r="BF268" s="3" t="s">
        <v>3</v>
      </c>
      <c r="BG268" s="3" t="s">
        <v>3</v>
      </c>
      <c r="BH268" s="3">
        <v>3</v>
      </c>
      <c r="BI268" s="3">
        <v>2</v>
      </c>
      <c r="BJ268" s="3" t="s">
        <v>127</v>
      </c>
      <c r="BM268" s="3">
        <v>73</v>
      </c>
      <c r="BN268" s="3">
        <v>0</v>
      </c>
      <c r="BO268" s="3" t="s">
        <v>125</v>
      </c>
      <c r="BP268" s="3">
        <v>1</v>
      </c>
      <c r="BQ268" s="3">
        <v>40</v>
      </c>
      <c r="BR268" s="3">
        <v>0</v>
      </c>
      <c r="BS268" s="3">
        <v>1</v>
      </c>
      <c r="BT268" s="3">
        <v>1</v>
      </c>
      <c r="BU268" s="3">
        <v>1</v>
      </c>
      <c r="BV268" s="3">
        <v>1</v>
      </c>
      <c r="BW268" s="3">
        <v>1</v>
      </c>
      <c r="BX268" s="3">
        <v>1</v>
      </c>
      <c r="BY268" s="3" t="s">
        <v>3</v>
      </c>
      <c r="BZ268" s="3">
        <v>90</v>
      </c>
      <c r="CA268" s="3">
        <v>46</v>
      </c>
      <c r="CB268" s="3" t="s">
        <v>3</v>
      </c>
      <c r="CE268" s="3">
        <v>1566</v>
      </c>
      <c r="CF268" s="3">
        <v>0</v>
      </c>
      <c r="CG268" s="3">
        <v>0</v>
      </c>
      <c r="CM268" s="3">
        <v>0</v>
      </c>
      <c r="CN268" s="3" t="s">
        <v>3</v>
      </c>
      <c r="CO268" s="3">
        <v>0</v>
      </c>
      <c r="CP268" s="3">
        <f t="shared" si="339"/>
        <v>54186.9</v>
      </c>
      <c r="CQ268" s="3">
        <f t="shared" si="340"/>
        <v>6773.36</v>
      </c>
      <c r="CR268" s="3">
        <f>(ROUND((ROUND(((ET268)*AV268*1),2)*BB268),2)+ROUND((ROUND(((AE268-(EU268))*AV268*1),2)*BS268),2))</f>
        <v>0</v>
      </c>
      <c r="CS268" s="3">
        <f>(ROUND((ROUND(((EU268)*AV268*1),2)*BS268),2)+ROUND((ROUND(((AE268-(EU268))*AV268*1),2)*BS268),2))</f>
        <v>0</v>
      </c>
      <c r="CT268" s="3">
        <f t="shared" si="341"/>
        <v>0</v>
      </c>
      <c r="CU268" s="3">
        <f t="shared" si="342"/>
        <v>0</v>
      </c>
      <c r="CV268" s="3">
        <f t="shared" si="343"/>
        <v>0</v>
      </c>
      <c r="CW268" s="3">
        <f t="shared" si="344"/>
        <v>0</v>
      </c>
      <c r="CX268" s="3">
        <f t="shared" si="345"/>
        <v>0</v>
      </c>
      <c r="CY268" s="3">
        <f>(ROUND((((S268+ROUND((ROUND(((EU268)*AV268*1),2)*BS268),2))*AT268)/100),2)+ROUND(((ROUND((ROUND(((AE268-(EU268))*AV268*1),2)*BS268),2)*AT268)/100),2))</f>
        <v>0</v>
      </c>
      <c r="CZ268" s="3">
        <f>(ROUND((((S268+ROUND((ROUND(((EU268)*AV268*1),2)*BS268),2))*AU268)/100),2)+ROUND(((ROUND((ROUND(((AE268-(EU268))*AV268*1),2)*BS268),2)*AU268)/100),2))</f>
        <v>0</v>
      </c>
      <c r="DC268" s="3" t="s">
        <v>3</v>
      </c>
      <c r="DD268" s="3" t="s">
        <v>3</v>
      </c>
      <c r="DE268" s="3" t="s">
        <v>3</v>
      </c>
      <c r="DF268" s="3" t="s">
        <v>3</v>
      </c>
      <c r="DG268" s="3" t="s">
        <v>3</v>
      </c>
      <c r="DH268" s="3" t="s">
        <v>3</v>
      </c>
      <c r="DI268" s="3" t="s">
        <v>3</v>
      </c>
      <c r="DJ268" s="3" t="s">
        <v>3</v>
      </c>
      <c r="DK268" s="3" t="s">
        <v>3</v>
      </c>
      <c r="DL268" s="3" t="s">
        <v>3</v>
      </c>
      <c r="DM268" s="3" t="s">
        <v>3</v>
      </c>
      <c r="DN268" s="3">
        <v>0</v>
      </c>
      <c r="DO268" s="3">
        <v>0</v>
      </c>
      <c r="DP268" s="3">
        <v>1</v>
      </c>
      <c r="DQ268" s="3">
        <v>1</v>
      </c>
      <c r="DU268" s="3">
        <v>1010</v>
      </c>
      <c r="DV268" s="3" t="s">
        <v>118</v>
      </c>
      <c r="DW268" s="3" t="s">
        <v>118</v>
      </c>
      <c r="DX268" s="3">
        <v>1</v>
      </c>
      <c r="DZ268" s="3" t="s">
        <v>3</v>
      </c>
      <c r="EA268" s="3" t="s">
        <v>3</v>
      </c>
      <c r="EB268" s="3" t="s">
        <v>3</v>
      </c>
      <c r="EC268" s="3" t="s">
        <v>3</v>
      </c>
      <c r="EE268" s="3">
        <v>56938740</v>
      </c>
      <c r="EF268" s="3">
        <v>40</v>
      </c>
      <c r="EG268" s="3" t="s">
        <v>29</v>
      </c>
      <c r="EH268" s="3">
        <v>0</v>
      </c>
      <c r="EI268" s="3" t="s">
        <v>3</v>
      </c>
      <c r="EJ268" s="3">
        <v>2</v>
      </c>
      <c r="EK268" s="3">
        <v>73</v>
      </c>
      <c r="EL268" s="3" t="s">
        <v>85</v>
      </c>
      <c r="EM268" s="3" t="s">
        <v>86</v>
      </c>
      <c r="EO268" s="3" t="s">
        <v>3</v>
      </c>
      <c r="EQ268" s="3">
        <v>0</v>
      </c>
      <c r="ER268" s="3">
        <v>2177.9299999999998</v>
      </c>
      <c r="ES268" s="3">
        <v>2177.9299999999998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FQ268" s="3">
        <v>0</v>
      </c>
      <c r="FR268" s="3">
        <v>0</v>
      </c>
      <c r="FS268" s="3">
        <v>0</v>
      </c>
      <c r="FX268" s="3">
        <v>90</v>
      </c>
      <c r="FY268" s="3">
        <v>46</v>
      </c>
      <c r="GA268" s="3" t="s">
        <v>3</v>
      </c>
      <c r="GD268" s="3">
        <v>1</v>
      </c>
      <c r="GF268" s="3">
        <v>873960273</v>
      </c>
      <c r="GG268" s="3">
        <v>2</v>
      </c>
      <c r="GH268" s="3">
        <v>1</v>
      </c>
      <c r="GI268" s="3">
        <v>2</v>
      </c>
      <c r="GJ268" s="3">
        <v>0</v>
      </c>
      <c r="GK268" s="3">
        <v>0</v>
      </c>
      <c r="GL268" s="3">
        <f t="shared" si="346"/>
        <v>0</v>
      </c>
      <c r="GM268" s="3">
        <f t="shared" si="347"/>
        <v>54186.9</v>
      </c>
      <c r="GN268" s="3">
        <f t="shared" si="348"/>
        <v>0</v>
      </c>
      <c r="GO268" s="3">
        <f t="shared" si="349"/>
        <v>54186.9</v>
      </c>
      <c r="GP268" s="3">
        <f t="shared" si="350"/>
        <v>0</v>
      </c>
      <c r="GR268" s="3">
        <v>0</v>
      </c>
      <c r="GS268" s="3">
        <v>3</v>
      </c>
      <c r="GT268" s="3">
        <v>0</v>
      </c>
      <c r="GU268" s="3" t="s">
        <v>3</v>
      </c>
      <c r="GV268" s="3">
        <f t="shared" si="351"/>
        <v>0</v>
      </c>
      <c r="GW268" s="3">
        <v>1</v>
      </c>
      <c r="GX268" s="3">
        <f t="shared" si="352"/>
        <v>0</v>
      </c>
      <c r="HA268" s="3">
        <v>0</v>
      </c>
      <c r="HB268" s="3">
        <v>0</v>
      </c>
      <c r="HC268" s="3">
        <f t="shared" si="353"/>
        <v>0</v>
      </c>
      <c r="HE268" s="3" t="s">
        <v>3</v>
      </c>
      <c r="HF268" s="3" t="s">
        <v>3</v>
      </c>
      <c r="HM268" s="3" t="s">
        <v>3</v>
      </c>
      <c r="HN268" s="3" t="s">
        <v>3</v>
      </c>
      <c r="HO268" s="3" t="s">
        <v>3</v>
      </c>
      <c r="HP268" s="3" t="s">
        <v>3</v>
      </c>
      <c r="HQ268" s="3" t="s">
        <v>3</v>
      </c>
      <c r="HS268" s="3">
        <v>0</v>
      </c>
      <c r="IK268" s="3">
        <v>0</v>
      </c>
    </row>
    <row r="269" spans="1:255" x14ac:dyDescent="0.2">
      <c r="A269" s="2">
        <v>17</v>
      </c>
      <c r="B269" s="2">
        <v>1</v>
      </c>
      <c r="C269" s="2"/>
      <c r="D269" s="2"/>
      <c r="E269" s="2" t="s">
        <v>431</v>
      </c>
      <c r="F269" s="2" t="s">
        <v>129</v>
      </c>
      <c r="G269" s="2" t="s">
        <v>130</v>
      </c>
      <c r="H269" s="2" t="s">
        <v>118</v>
      </c>
      <c r="I269" s="2">
        <v>16</v>
      </c>
      <c r="J269" s="2">
        <v>0</v>
      </c>
      <c r="K269" s="2">
        <v>16</v>
      </c>
      <c r="L269" s="2"/>
      <c r="M269" s="2"/>
      <c r="N269" s="2"/>
      <c r="O269" s="2">
        <f t="shared" si="329"/>
        <v>1715.68</v>
      </c>
      <c r="P269" s="2">
        <f t="shared" si="330"/>
        <v>1715.68</v>
      </c>
      <c r="Q269" s="2">
        <f>(ROUND((ROUND(((ET269)*AV269*I269),2)*BB269),2)+ROUND((ROUND(((AE269-(EU269))*AV269*I269),2)*BS269),2))</f>
        <v>0</v>
      </c>
      <c r="R269" s="2">
        <f>(ROUND((ROUND(((EU269)*AV269*I269),2)*BS269),2)+ROUND((ROUND(((AE269-(EU269))*AV269*I269),2)*BS269),2))</f>
        <v>0</v>
      </c>
      <c r="S269" s="2">
        <f t="shared" si="331"/>
        <v>0</v>
      </c>
      <c r="T269" s="2">
        <f t="shared" si="332"/>
        <v>0</v>
      </c>
      <c r="U269" s="2">
        <f t="shared" si="333"/>
        <v>0</v>
      </c>
      <c r="V269" s="2">
        <f t="shared" si="334"/>
        <v>0</v>
      </c>
      <c r="W269" s="2">
        <f t="shared" si="335"/>
        <v>0</v>
      </c>
      <c r="X269" s="2">
        <f>(ROUND((((S269+ROUND((ROUND(((EU269)*AV269*I269),2)*BS269),2))*AT269)/100),2)+ROUND(((ROUND((ROUND(((AE269-(EU269))*AV269*I269),2)*BS269),2)*AT269)/100),2))</f>
        <v>0</v>
      </c>
      <c r="Y269" s="2">
        <f>(ROUND((((S269+ROUND((ROUND(((EU269)*AV269*I269),2)*BS269),2))*AU269)/100),2)+ROUND(((ROUND((ROUND(((AE269-(EU269))*AV269*I269),2)*BS269),2)*AU269)/100),2))</f>
        <v>0</v>
      </c>
      <c r="Z269" s="2"/>
      <c r="AA269" s="2">
        <v>55747649</v>
      </c>
      <c r="AB269" s="2">
        <f t="shared" si="336"/>
        <v>107.23</v>
      </c>
      <c r="AC269" s="2">
        <f>ROUND((ES269),6)</f>
        <v>107.23</v>
      </c>
      <c r="AD269" s="2">
        <f>ROUND((((ET269)-(EU269))+AE269),6)</f>
        <v>0</v>
      </c>
      <c r="AE269" s="2">
        <f t="shared" si="354"/>
        <v>0</v>
      </c>
      <c r="AF269" s="2">
        <f t="shared" si="354"/>
        <v>0</v>
      </c>
      <c r="AG269" s="2">
        <f t="shared" si="337"/>
        <v>0</v>
      </c>
      <c r="AH269" s="2">
        <f t="shared" si="355"/>
        <v>0</v>
      </c>
      <c r="AI269" s="2">
        <f t="shared" si="355"/>
        <v>0</v>
      </c>
      <c r="AJ269" s="2">
        <f t="shared" si="338"/>
        <v>0</v>
      </c>
      <c r="AK269" s="2">
        <v>107.23</v>
      </c>
      <c r="AL269" s="2">
        <v>107.23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90</v>
      </c>
      <c r="AU269" s="2">
        <v>46</v>
      </c>
      <c r="AV269" s="2">
        <v>1</v>
      </c>
      <c r="AW269" s="2">
        <v>1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3</v>
      </c>
      <c r="BI269" s="2">
        <v>2</v>
      </c>
      <c r="BJ269" s="2" t="s">
        <v>131</v>
      </c>
      <c r="BK269" s="2"/>
      <c r="BL269" s="2"/>
      <c r="BM269" s="2">
        <v>73</v>
      </c>
      <c r="BN269" s="2">
        <v>0</v>
      </c>
      <c r="BO269" s="2" t="s">
        <v>3</v>
      </c>
      <c r="BP269" s="2">
        <v>0</v>
      </c>
      <c r="BQ269" s="2">
        <v>40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90</v>
      </c>
      <c r="CA269" s="2">
        <v>46</v>
      </c>
      <c r="CB269" s="2" t="s">
        <v>3</v>
      </c>
      <c r="CC269" s="2"/>
      <c r="CD269" s="2"/>
      <c r="CE269" s="2">
        <v>1566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3</v>
      </c>
      <c r="CO269" s="2">
        <v>0</v>
      </c>
      <c r="CP269" s="2">
        <f t="shared" si="339"/>
        <v>1715.68</v>
      </c>
      <c r="CQ269" s="2">
        <f t="shared" si="340"/>
        <v>107.23</v>
      </c>
      <c r="CR269" s="2">
        <f>(ROUND((ROUND(((ET269)*AV269*1),2)*BB269),2)+ROUND((ROUND(((AE269-(EU269))*AV269*1),2)*BS269),2))</f>
        <v>0</v>
      </c>
      <c r="CS269" s="2">
        <f>(ROUND((ROUND(((EU269)*AV269*1),2)*BS269),2)+ROUND((ROUND(((AE269-(EU269))*AV269*1),2)*BS269),2))</f>
        <v>0</v>
      </c>
      <c r="CT269" s="2">
        <f t="shared" si="341"/>
        <v>0</v>
      </c>
      <c r="CU269" s="2">
        <f t="shared" si="342"/>
        <v>0</v>
      </c>
      <c r="CV269" s="2">
        <f t="shared" si="343"/>
        <v>0</v>
      </c>
      <c r="CW269" s="2">
        <f t="shared" si="344"/>
        <v>0</v>
      </c>
      <c r="CX269" s="2">
        <f t="shared" si="345"/>
        <v>0</v>
      </c>
      <c r="CY269" s="2">
        <f>(ROUND((((S269+ROUND((ROUND(((EU269)*AV269*1),2)*BS269),2))*AT269)/100),2)+ROUND(((ROUND((ROUND(((AE269-(EU269))*AV269*1),2)*BS269),2)*AT269)/100),2))</f>
        <v>0</v>
      </c>
      <c r="CZ269" s="2">
        <f>(ROUND((((S269+ROUND((ROUND(((EU269)*AV269*1),2)*BS269),2))*AU269)/100),2)+ROUND(((ROUND((ROUND(((AE269-(EU269))*AV269*1),2)*BS269),2)*AU269)/100),2))</f>
        <v>0</v>
      </c>
      <c r="DA269" s="2"/>
      <c r="DB269" s="2"/>
      <c r="DC269" s="2" t="s">
        <v>3</v>
      </c>
      <c r="DD269" s="2" t="s">
        <v>3</v>
      </c>
      <c r="DE269" s="2" t="s">
        <v>3</v>
      </c>
      <c r="DF269" s="2" t="s">
        <v>3</v>
      </c>
      <c r="DG269" s="2" t="s">
        <v>3</v>
      </c>
      <c r="DH269" s="2" t="s">
        <v>3</v>
      </c>
      <c r="DI269" s="2" t="s">
        <v>3</v>
      </c>
      <c r="DJ269" s="2" t="s">
        <v>3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1010</v>
      </c>
      <c r="DV269" s="2" t="s">
        <v>118</v>
      </c>
      <c r="DW269" s="2" t="s">
        <v>118</v>
      </c>
      <c r="DX269" s="2">
        <v>1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56938740</v>
      </c>
      <c r="EF269" s="2">
        <v>40</v>
      </c>
      <c r="EG269" s="2" t="s">
        <v>29</v>
      </c>
      <c r="EH269" s="2">
        <v>0</v>
      </c>
      <c r="EI269" s="2" t="s">
        <v>3</v>
      </c>
      <c r="EJ269" s="2">
        <v>2</v>
      </c>
      <c r="EK269" s="2">
        <v>73</v>
      </c>
      <c r="EL269" s="2" t="s">
        <v>85</v>
      </c>
      <c r="EM269" s="2" t="s">
        <v>86</v>
      </c>
      <c r="EN269" s="2"/>
      <c r="EO269" s="2" t="s">
        <v>3</v>
      </c>
      <c r="EP269" s="2"/>
      <c r="EQ269" s="2">
        <v>0</v>
      </c>
      <c r="ER269" s="2">
        <v>107.23</v>
      </c>
      <c r="ES269" s="2">
        <v>107.23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90</v>
      </c>
      <c r="FY269" s="2">
        <v>46</v>
      </c>
      <c r="FZ269" s="2"/>
      <c r="GA269" s="2" t="s">
        <v>3</v>
      </c>
      <c r="GB269" s="2"/>
      <c r="GC269" s="2"/>
      <c r="GD269" s="2">
        <v>1</v>
      </c>
      <c r="GE269" s="2"/>
      <c r="GF269" s="2">
        <v>235948314</v>
      </c>
      <c r="GG269" s="2">
        <v>2</v>
      </c>
      <c r="GH269" s="2">
        <v>1</v>
      </c>
      <c r="GI269" s="2">
        <v>-2</v>
      </c>
      <c r="GJ269" s="2">
        <v>0</v>
      </c>
      <c r="GK269" s="2">
        <v>0</v>
      </c>
      <c r="GL269" s="2">
        <f t="shared" si="346"/>
        <v>0</v>
      </c>
      <c r="GM269" s="2">
        <f t="shared" si="347"/>
        <v>1715.68</v>
      </c>
      <c r="GN269" s="2">
        <f t="shared" si="348"/>
        <v>0</v>
      </c>
      <c r="GO269" s="2">
        <f t="shared" si="349"/>
        <v>1715.68</v>
      </c>
      <c r="GP269" s="2">
        <f t="shared" si="350"/>
        <v>0</v>
      </c>
      <c r="GQ269" s="2"/>
      <c r="GR269" s="2">
        <v>0</v>
      </c>
      <c r="GS269" s="2">
        <v>3</v>
      </c>
      <c r="GT269" s="2">
        <v>0</v>
      </c>
      <c r="GU269" s="2" t="s">
        <v>3</v>
      </c>
      <c r="GV269" s="2">
        <f t="shared" si="351"/>
        <v>0</v>
      </c>
      <c r="GW269" s="2">
        <v>1</v>
      </c>
      <c r="GX269" s="2">
        <f t="shared" si="352"/>
        <v>0</v>
      </c>
      <c r="GY269" s="2"/>
      <c r="GZ269" s="2"/>
      <c r="HA269" s="2">
        <v>0</v>
      </c>
      <c r="HB269" s="2">
        <v>0</v>
      </c>
      <c r="HC269" s="2">
        <f t="shared" si="353"/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">
      <c r="A270" s="3">
        <v>17</v>
      </c>
      <c r="B270" s="3">
        <v>1</v>
      </c>
      <c r="E270" s="3" t="s">
        <v>431</v>
      </c>
      <c r="F270" s="3" t="s">
        <v>129</v>
      </c>
      <c r="G270" s="3" t="s">
        <v>130</v>
      </c>
      <c r="H270" s="3" t="s">
        <v>118</v>
      </c>
      <c r="I270" s="3">
        <v>16</v>
      </c>
      <c r="J270" s="3">
        <v>0</v>
      </c>
      <c r="K270" s="3">
        <v>16</v>
      </c>
      <c r="O270" s="3">
        <f t="shared" si="329"/>
        <v>11906.82</v>
      </c>
      <c r="P270" s="3">
        <f t="shared" si="330"/>
        <v>11906.82</v>
      </c>
      <c r="Q270" s="3">
        <f>(ROUND((ROUND(((ET270)*AV270*I270),2)*BB270),2)+ROUND((ROUND(((AE270-(EU270))*AV270*I270),2)*BS270),2))</f>
        <v>0</v>
      </c>
      <c r="R270" s="3">
        <f>(ROUND((ROUND(((EU270)*AV270*I270),2)*BS270),2)+ROUND((ROUND(((AE270-(EU270))*AV270*I270),2)*BS270),2))</f>
        <v>0</v>
      </c>
      <c r="S270" s="3">
        <f t="shared" si="331"/>
        <v>0</v>
      </c>
      <c r="T270" s="3">
        <f t="shared" si="332"/>
        <v>0</v>
      </c>
      <c r="U270" s="3">
        <f t="shared" si="333"/>
        <v>0</v>
      </c>
      <c r="V270" s="3">
        <f t="shared" si="334"/>
        <v>0</v>
      </c>
      <c r="W270" s="3">
        <f t="shared" si="335"/>
        <v>0</v>
      </c>
      <c r="X270" s="3">
        <f>(ROUND((((S270+ROUND((ROUND(((EU270)*AV270*I270),2)*BS270),2))*AT270)/100),2)+ROUND(((ROUND((ROUND(((AE270-(EU270))*AV270*I270),2)*BS270),2)*AT270)/100),2))</f>
        <v>0</v>
      </c>
      <c r="Y270" s="3">
        <f>(ROUND((((S270+ROUND((ROUND(((EU270)*AV270*I270),2)*BS270),2))*AU270)/100),2)+ROUND(((ROUND((ROUND(((AE270-(EU270))*AV270*I270),2)*BS270),2)*AU270)/100),2))</f>
        <v>0</v>
      </c>
      <c r="AA270" s="3">
        <v>55747651</v>
      </c>
      <c r="AB270" s="3">
        <f t="shared" si="336"/>
        <v>107.23</v>
      </c>
      <c r="AC270" s="3">
        <f>ROUND((ES270),6)</f>
        <v>107.23</v>
      </c>
      <c r="AD270" s="3">
        <f>ROUND((((ET270)-(EU270))+AE270),6)</f>
        <v>0</v>
      </c>
      <c r="AE270" s="3">
        <f t="shared" si="354"/>
        <v>0</v>
      </c>
      <c r="AF270" s="3">
        <f t="shared" si="354"/>
        <v>0</v>
      </c>
      <c r="AG270" s="3">
        <f t="shared" si="337"/>
        <v>0</v>
      </c>
      <c r="AH270" s="3">
        <f t="shared" si="355"/>
        <v>0</v>
      </c>
      <c r="AI270" s="3">
        <f t="shared" si="355"/>
        <v>0</v>
      </c>
      <c r="AJ270" s="3">
        <f t="shared" si="338"/>
        <v>0</v>
      </c>
      <c r="AK270" s="3">
        <v>107.23</v>
      </c>
      <c r="AL270" s="3">
        <v>107.23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90</v>
      </c>
      <c r="AU270" s="3">
        <v>46</v>
      </c>
      <c r="AV270" s="3">
        <v>1</v>
      </c>
      <c r="AW270" s="3">
        <v>1</v>
      </c>
      <c r="AZ270" s="3">
        <v>1</v>
      </c>
      <c r="BA270" s="3">
        <v>1</v>
      </c>
      <c r="BB270" s="3">
        <v>1</v>
      </c>
      <c r="BC270" s="3">
        <v>6.94</v>
      </c>
      <c r="BD270" s="3" t="s">
        <v>3</v>
      </c>
      <c r="BE270" s="3" t="s">
        <v>3</v>
      </c>
      <c r="BF270" s="3" t="s">
        <v>3</v>
      </c>
      <c r="BG270" s="3" t="s">
        <v>3</v>
      </c>
      <c r="BH270" s="3">
        <v>3</v>
      </c>
      <c r="BI270" s="3">
        <v>2</v>
      </c>
      <c r="BJ270" s="3" t="s">
        <v>131</v>
      </c>
      <c r="BM270" s="3">
        <v>73</v>
      </c>
      <c r="BN270" s="3">
        <v>0</v>
      </c>
      <c r="BO270" s="3" t="s">
        <v>129</v>
      </c>
      <c r="BP270" s="3">
        <v>1</v>
      </c>
      <c r="BQ270" s="3">
        <v>40</v>
      </c>
      <c r="BR270" s="3">
        <v>0</v>
      </c>
      <c r="BS270" s="3">
        <v>1</v>
      </c>
      <c r="BT270" s="3">
        <v>1</v>
      </c>
      <c r="BU270" s="3">
        <v>1</v>
      </c>
      <c r="BV270" s="3">
        <v>1</v>
      </c>
      <c r="BW270" s="3">
        <v>1</v>
      </c>
      <c r="BX270" s="3">
        <v>1</v>
      </c>
      <c r="BY270" s="3" t="s">
        <v>3</v>
      </c>
      <c r="BZ270" s="3">
        <v>90</v>
      </c>
      <c r="CA270" s="3">
        <v>46</v>
      </c>
      <c r="CB270" s="3" t="s">
        <v>3</v>
      </c>
      <c r="CE270" s="3">
        <v>1566</v>
      </c>
      <c r="CF270" s="3">
        <v>0</v>
      </c>
      <c r="CG270" s="3">
        <v>0</v>
      </c>
      <c r="CM270" s="3">
        <v>0</v>
      </c>
      <c r="CN270" s="3" t="s">
        <v>3</v>
      </c>
      <c r="CO270" s="3">
        <v>0</v>
      </c>
      <c r="CP270" s="3">
        <f t="shared" si="339"/>
        <v>11906.82</v>
      </c>
      <c r="CQ270" s="3">
        <f t="shared" si="340"/>
        <v>744.18</v>
      </c>
      <c r="CR270" s="3">
        <f>(ROUND((ROUND(((ET270)*AV270*1),2)*BB270),2)+ROUND((ROUND(((AE270-(EU270))*AV270*1),2)*BS270),2))</f>
        <v>0</v>
      </c>
      <c r="CS270" s="3">
        <f>(ROUND((ROUND(((EU270)*AV270*1),2)*BS270),2)+ROUND((ROUND(((AE270-(EU270))*AV270*1),2)*BS270),2))</f>
        <v>0</v>
      </c>
      <c r="CT270" s="3">
        <f t="shared" si="341"/>
        <v>0</v>
      </c>
      <c r="CU270" s="3">
        <f t="shared" si="342"/>
        <v>0</v>
      </c>
      <c r="CV270" s="3">
        <f t="shared" si="343"/>
        <v>0</v>
      </c>
      <c r="CW270" s="3">
        <f t="shared" si="344"/>
        <v>0</v>
      </c>
      <c r="CX270" s="3">
        <f t="shared" si="345"/>
        <v>0</v>
      </c>
      <c r="CY270" s="3">
        <f>(ROUND((((S270+ROUND((ROUND(((EU270)*AV270*1),2)*BS270),2))*AT270)/100),2)+ROUND(((ROUND((ROUND(((AE270-(EU270))*AV270*1),2)*BS270),2)*AT270)/100),2))</f>
        <v>0</v>
      </c>
      <c r="CZ270" s="3">
        <f>(ROUND((((S270+ROUND((ROUND(((EU270)*AV270*1),2)*BS270),2))*AU270)/100),2)+ROUND(((ROUND((ROUND(((AE270-(EU270))*AV270*1),2)*BS270),2)*AU270)/100),2))</f>
        <v>0</v>
      </c>
      <c r="DC270" s="3" t="s">
        <v>3</v>
      </c>
      <c r="DD270" s="3" t="s">
        <v>3</v>
      </c>
      <c r="DE270" s="3" t="s">
        <v>3</v>
      </c>
      <c r="DF270" s="3" t="s">
        <v>3</v>
      </c>
      <c r="DG270" s="3" t="s">
        <v>3</v>
      </c>
      <c r="DH270" s="3" t="s">
        <v>3</v>
      </c>
      <c r="DI270" s="3" t="s">
        <v>3</v>
      </c>
      <c r="DJ270" s="3" t="s">
        <v>3</v>
      </c>
      <c r="DK270" s="3" t="s">
        <v>3</v>
      </c>
      <c r="DL270" s="3" t="s">
        <v>3</v>
      </c>
      <c r="DM270" s="3" t="s">
        <v>3</v>
      </c>
      <c r="DN270" s="3">
        <v>0</v>
      </c>
      <c r="DO270" s="3">
        <v>0</v>
      </c>
      <c r="DP270" s="3">
        <v>1</v>
      </c>
      <c r="DQ270" s="3">
        <v>1</v>
      </c>
      <c r="DU270" s="3">
        <v>1010</v>
      </c>
      <c r="DV270" s="3" t="s">
        <v>118</v>
      </c>
      <c r="DW270" s="3" t="s">
        <v>118</v>
      </c>
      <c r="DX270" s="3">
        <v>1</v>
      </c>
      <c r="DZ270" s="3" t="s">
        <v>3</v>
      </c>
      <c r="EA270" s="3" t="s">
        <v>3</v>
      </c>
      <c r="EB270" s="3" t="s">
        <v>3</v>
      </c>
      <c r="EC270" s="3" t="s">
        <v>3</v>
      </c>
      <c r="EE270" s="3">
        <v>56938740</v>
      </c>
      <c r="EF270" s="3">
        <v>40</v>
      </c>
      <c r="EG270" s="3" t="s">
        <v>29</v>
      </c>
      <c r="EH270" s="3">
        <v>0</v>
      </c>
      <c r="EI270" s="3" t="s">
        <v>3</v>
      </c>
      <c r="EJ270" s="3">
        <v>2</v>
      </c>
      <c r="EK270" s="3">
        <v>73</v>
      </c>
      <c r="EL270" s="3" t="s">
        <v>85</v>
      </c>
      <c r="EM270" s="3" t="s">
        <v>86</v>
      </c>
      <c r="EO270" s="3" t="s">
        <v>3</v>
      </c>
      <c r="EQ270" s="3">
        <v>0</v>
      </c>
      <c r="ER270" s="3">
        <v>107.23</v>
      </c>
      <c r="ES270" s="3">
        <v>107.23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FQ270" s="3">
        <v>0</v>
      </c>
      <c r="FR270" s="3">
        <v>0</v>
      </c>
      <c r="FS270" s="3">
        <v>0</v>
      </c>
      <c r="FX270" s="3">
        <v>90</v>
      </c>
      <c r="FY270" s="3">
        <v>46</v>
      </c>
      <c r="GA270" s="3" t="s">
        <v>3</v>
      </c>
      <c r="GD270" s="3">
        <v>1</v>
      </c>
      <c r="GF270" s="3">
        <v>235948314</v>
      </c>
      <c r="GG270" s="3">
        <v>2</v>
      </c>
      <c r="GH270" s="3">
        <v>1</v>
      </c>
      <c r="GI270" s="3">
        <v>2</v>
      </c>
      <c r="GJ270" s="3">
        <v>0</v>
      </c>
      <c r="GK270" s="3">
        <v>0</v>
      </c>
      <c r="GL270" s="3">
        <f t="shared" si="346"/>
        <v>0</v>
      </c>
      <c r="GM270" s="3">
        <f t="shared" si="347"/>
        <v>11906.82</v>
      </c>
      <c r="GN270" s="3">
        <f t="shared" si="348"/>
        <v>0</v>
      </c>
      <c r="GO270" s="3">
        <f t="shared" si="349"/>
        <v>11906.82</v>
      </c>
      <c r="GP270" s="3">
        <f t="shared" si="350"/>
        <v>0</v>
      </c>
      <c r="GR270" s="3">
        <v>0</v>
      </c>
      <c r="GS270" s="3">
        <v>3</v>
      </c>
      <c r="GT270" s="3">
        <v>0</v>
      </c>
      <c r="GU270" s="3" t="s">
        <v>3</v>
      </c>
      <c r="GV270" s="3">
        <f t="shared" si="351"/>
        <v>0</v>
      </c>
      <c r="GW270" s="3">
        <v>1</v>
      </c>
      <c r="GX270" s="3">
        <f t="shared" si="352"/>
        <v>0</v>
      </c>
      <c r="HA270" s="3">
        <v>0</v>
      </c>
      <c r="HB270" s="3">
        <v>0</v>
      </c>
      <c r="HC270" s="3">
        <f t="shared" si="353"/>
        <v>0</v>
      </c>
      <c r="HE270" s="3" t="s">
        <v>3</v>
      </c>
      <c r="HF270" s="3" t="s">
        <v>3</v>
      </c>
      <c r="HM270" s="3" t="s">
        <v>3</v>
      </c>
      <c r="HN270" s="3" t="s">
        <v>3</v>
      </c>
      <c r="HO270" s="3" t="s">
        <v>3</v>
      </c>
      <c r="HP270" s="3" t="s">
        <v>3</v>
      </c>
      <c r="HQ270" s="3" t="s">
        <v>3</v>
      </c>
      <c r="HS270" s="3">
        <v>0</v>
      </c>
      <c r="IK270" s="3">
        <v>0</v>
      </c>
    </row>
    <row r="271" spans="1:255" x14ac:dyDescent="0.2">
      <c r="A271" s="2">
        <v>17</v>
      </c>
      <c r="B271" s="2">
        <v>1</v>
      </c>
      <c r="C271" s="2">
        <f>ROW(SmtRes!A690)</f>
        <v>690</v>
      </c>
      <c r="D271" s="2">
        <f>ROW(EtalonRes!A723)</f>
        <v>723</v>
      </c>
      <c r="E271" s="2" t="s">
        <v>432</v>
      </c>
      <c r="F271" s="2" t="s">
        <v>155</v>
      </c>
      <c r="G271" s="2" t="s">
        <v>156</v>
      </c>
      <c r="H271" s="2" t="s">
        <v>25</v>
      </c>
      <c r="I271" s="2">
        <f>ROUND(8,9)</f>
        <v>8</v>
      </c>
      <c r="J271" s="2">
        <v>0</v>
      </c>
      <c r="K271" s="2">
        <f>ROUND(8,9)</f>
        <v>8</v>
      </c>
      <c r="L271" s="2"/>
      <c r="M271" s="2"/>
      <c r="N271" s="2"/>
      <c r="O271" s="2">
        <f t="shared" si="329"/>
        <v>816.24</v>
      </c>
      <c r="P271" s="2">
        <f t="shared" si="330"/>
        <v>35.61</v>
      </c>
      <c r="Q271" s="2">
        <f>(ROUND((ROUND((((ET271*1.2))*AV271*I271),2)*BB271),2)+ROUND((ROUND(((AE271-((EU271*1.2)))*AV271*I271),2)*BS271),2))</f>
        <v>82.56</v>
      </c>
      <c r="R271" s="2">
        <f>(ROUND((ROUND((((EU271*1.2))*AV271*I271),2)*BS271),2)+ROUND((ROUND(((AE271-((EU271*1.2)))*AV271*I271),2)*BS271),2))</f>
        <v>2.56</v>
      </c>
      <c r="S271" s="2">
        <f t="shared" si="331"/>
        <v>698.07</v>
      </c>
      <c r="T271" s="2">
        <f t="shared" si="332"/>
        <v>0</v>
      </c>
      <c r="U271" s="2">
        <f t="shared" si="333"/>
        <v>55.313279999999999</v>
      </c>
      <c r="V271" s="2">
        <f t="shared" si="334"/>
        <v>0</v>
      </c>
      <c r="W271" s="2">
        <f t="shared" si="335"/>
        <v>0</v>
      </c>
      <c r="X271" s="2">
        <f>(ROUND((((S271+ROUND((ROUND((((EU271*1.2))*AV271*I271),2)*BS271),2))*AT271)/100),2)+ROUND(((ROUND((ROUND(((AE271-((EU271*1.2)))*AV271*I271),2)*BS271),2)*AT271)/100),2))</f>
        <v>630.57000000000005</v>
      </c>
      <c r="Y271" s="2">
        <f>(ROUND((((S271+ROUND((ROUND((((EU271*1.2))*AV271*I271),2)*BS271),2))*AU271)/100),2)+ROUND(((ROUND((ROUND(((AE271-((EU271*1.2)))*AV271*I271),2)*BS271),2)*AU271)/100),2))</f>
        <v>322.29000000000002</v>
      </c>
      <c r="Z271" s="2"/>
      <c r="AA271" s="2">
        <v>55747649</v>
      </c>
      <c r="AB271" s="2">
        <f t="shared" si="336"/>
        <v>95.781999999999996</v>
      </c>
      <c r="AC271" s="2">
        <f>ROUND(((ES271*1)),6)</f>
        <v>4.33</v>
      </c>
      <c r="AD271" s="2">
        <f>ROUND(((((ET271*1.2))-((EU271*1.2)))+AE271),6)</f>
        <v>9.6720000000000006</v>
      </c>
      <c r="AE271" s="2">
        <f t="shared" ref="AE271:AF274" si="356">ROUND(((EU271*1.2)),6)</f>
        <v>0.3</v>
      </c>
      <c r="AF271" s="2">
        <f t="shared" si="356"/>
        <v>81.78</v>
      </c>
      <c r="AG271" s="2">
        <f t="shared" si="337"/>
        <v>0</v>
      </c>
      <c r="AH271" s="2">
        <f t="shared" ref="AH271:AI274" si="357">((EW271*1.2))</f>
        <v>6.48</v>
      </c>
      <c r="AI271" s="2">
        <f t="shared" si="357"/>
        <v>0</v>
      </c>
      <c r="AJ271" s="2">
        <f t="shared" si="338"/>
        <v>0</v>
      </c>
      <c r="AK271" s="2">
        <v>80.540000000000006</v>
      </c>
      <c r="AL271" s="2">
        <v>4.33</v>
      </c>
      <c r="AM271" s="2">
        <v>8.06</v>
      </c>
      <c r="AN271" s="2">
        <v>0.25</v>
      </c>
      <c r="AO271" s="2">
        <v>68.150000000000006</v>
      </c>
      <c r="AP271" s="2">
        <v>0</v>
      </c>
      <c r="AQ271" s="2">
        <v>5.4</v>
      </c>
      <c r="AR271" s="2">
        <v>0</v>
      </c>
      <c r="AS271" s="2">
        <v>0</v>
      </c>
      <c r="AT271" s="2">
        <v>90</v>
      </c>
      <c r="AU271" s="2">
        <v>46</v>
      </c>
      <c r="AV271" s="2">
        <v>1.0669999999999999</v>
      </c>
      <c r="AW271" s="2">
        <v>1.028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0</v>
      </c>
      <c r="BI271" s="2">
        <v>2</v>
      </c>
      <c r="BJ271" s="2" t="s">
        <v>157</v>
      </c>
      <c r="BK271" s="2"/>
      <c r="BL271" s="2"/>
      <c r="BM271" s="2">
        <v>73</v>
      </c>
      <c r="BN271" s="2">
        <v>0</v>
      </c>
      <c r="BO271" s="2" t="s">
        <v>155</v>
      </c>
      <c r="BP271" s="2">
        <v>1</v>
      </c>
      <c r="BQ271" s="2">
        <v>40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90</v>
      </c>
      <c r="CA271" s="2">
        <v>46</v>
      </c>
      <c r="CB271" s="2" t="s">
        <v>3</v>
      </c>
      <c r="CC271" s="2"/>
      <c r="CD271" s="2"/>
      <c r="CE271" s="2">
        <v>1566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716</v>
      </c>
      <c r="CO271" s="2">
        <v>0</v>
      </c>
      <c r="CP271" s="2">
        <f t="shared" si="339"/>
        <v>816.24</v>
      </c>
      <c r="CQ271" s="2">
        <f t="shared" si="340"/>
        <v>4.45</v>
      </c>
      <c r="CR271" s="2">
        <f>(ROUND((ROUND((((ET271*1.2))*AV271*1),2)*BB271),2)+ROUND((ROUND(((AE271-((EU271*1.2)))*AV271*1),2)*BS271),2))</f>
        <v>10.32</v>
      </c>
      <c r="CS271" s="2">
        <f>(ROUND((ROUND((((EU271*1.2))*AV271*1),2)*BS271),2)+ROUND((ROUND(((AE271-((EU271*1.2)))*AV271*1),2)*BS271),2))</f>
        <v>0.32</v>
      </c>
      <c r="CT271" s="2">
        <f t="shared" si="341"/>
        <v>87.26</v>
      </c>
      <c r="CU271" s="2">
        <f t="shared" si="342"/>
        <v>0</v>
      </c>
      <c r="CV271" s="2">
        <f t="shared" si="343"/>
        <v>6.9141599999999999</v>
      </c>
      <c r="CW271" s="2">
        <f t="shared" si="344"/>
        <v>0</v>
      </c>
      <c r="CX271" s="2">
        <f t="shared" si="345"/>
        <v>0</v>
      </c>
      <c r="CY271" s="2">
        <f>(ROUND((((S271+ROUND((ROUND((((EU271*1.2))*AV271*1),2)*BS271),2))*AT271)/100),2)+ROUND(((ROUND((ROUND(((AE271-((EU271*1.2)))*AV271*1),2)*BS271),2)*AT271)/100),2))</f>
        <v>628.54999999999995</v>
      </c>
      <c r="CZ271" s="2">
        <f>(ROUND((((S271+ROUND((ROUND((((EU271*1.2))*AV271*1),2)*BS271),2))*AU271)/100),2)+ROUND(((ROUND((ROUND(((AE271-((EU271*1.2)))*AV271*1),2)*BS271),2)*AU271)/100),2))</f>
        <v>321.26</v>
      </c>
      <c r="DA271" s="2"/>
      <c r="DB271" s="2">
        <v>105</v>
      </c>
      <c r="DC271" s="2" t="s">
        <v>3</v>
      </c>
      <c r="DD271" s="2" t="s">
        <v>48</v>
      </c>
      <c r="DE271" s="2" t="s">
        <v>49</v>
      </c>
      <c r="DF271" s="2" t="s">
        <v>49</v>
      </c>
      <c r="DG271" s="2" t="s">
        <v>49</v>
      </c>
      <c r="DH271" s="2" t="s">
        <v>3</v>
      </c>
      <c r="DI271" s="2" t="s">
        <v>49</v>
      </c>
      <c r="DJ271" s="2" t="s">
        <v>49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1013</v>
      </c>
      <c r="DV271" s="2" t="s">
        <v>25</v>
      </c>
      <c r="DW271" s="2" t="s">
        <v>25</v>
      </c>
      <c r="DX271" s="2">
        <v>1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56938740</v>
      </c>
      <c r="EF271" s="2">
        <v>40</v>
      </c>
      <c r="EG271" s="2" t="s">
        <v>29</v>
      </c>
      <c r="EH271" s="2">
        <v>0</v>
      </c>
      <c r="EI271" s="2" t="s">
        <v>3</v>
      </c>
      <c r="EJ271" s="2">
        <v>2</v>
      </c>
      <c r="EK271" s="2">
        <v>73</v>
      </c>
      <c r="EL271" s="2" t="s">
        <v>85</v>
      </c>
      <c r="EM271" s="2" t="s">
        <v>86</v>
      </c>
      <c r="EN271" s="2"/>
      <c r="EO271" s="2" t="s">
        <v>50</v>
      </c>
      <c r="EP271" s="2"/>
      <c r="EQ271" s="2">
        <v>131072</v>
      </c>
      <c r="ER271" s="2">
        <v>80.540000000000006</v>
      </c>
      <c r="ES271" s="2">
        <v>4.33</v>
      </c>
      <c r="ET271" s="2">
        <v>8.06</v>
      </c>
      <c r="EU271" s="2">
        <v>0.25</v>
      </c>
      <c r="EV271" s="2">
        <v>68.150000000000006</v>
      </c>
      <c r="EW271" s="2">
        <v>5.4</v>
      </c>
      <c r="EX271" s="2">
        <v>0</v>
      </c>
      <c r="EY271" s="2">
        <v>0</v>
      </c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2</v>
      </c>
      <c r="FT271" s="2"/>
      <c r="FU271" s="2"/>
      <c r="FV271" s="2"/>
      <c r="FW271" s="2"/>
      <c r="FX271" s="2">
        <v>90</v>
      </c>
      <c r="FY271" s="2">
        <v>46</v>
      </c>
      <c r="FZ271" s="2"/>
      <c r="GA271" s="2" t="s">
        <v>3</v>
      </c>
      <c r="GB271" s="2"/>
      <c r="GC271" s="2"/>
      <c r="GD271" s="2">
        <v>1</v>
      </c>
      <c r="GE271" s="2"/>
      <c r="GF271" s="2">
        <v>-914769333</v>
      </c>
      <c r="GG271" s="2">
        <v>2</v>
      </c>
      <c r="GH271" s="2">
        <v>1</v>
      </c>
      <c r="GI271" s="2">
        <v>2</v>
      </c>
      <c r="GJ271" s="2">
        <v>0</v>
      </c>
      <c r="GK271" s="2">
        <v>0</v>
      </c>
      <c r="GL271" s="2">
        <f t="shared" si="346"/>
        <v>0</v>
      </c>
      <c r="GM271" s="2">
        <f t="shared" si="347"/>
        <v>1769.1</v>
      </c>
      <c r="GN271" s="2">
        <f t="shared" si="348"/>
        <v>0</v>
      </c>
      <c r="GO271" s="2">
        <f t="shared" si="349"/>
        <v>1769.1</v>
      </c>
      <c r="GP271" s="2">
        <f t="shared" si="350"/>
        <v>0</v>
      </c>
      <c r="GQ271" s="2"/>
      <c r="GR271" s="2">
        <v>0</v>
      </c>
      <c r="GS271" s="2">
        <v>3</v>
      </c>
      <c r="GT271" s="2">
        <v>0</v>
      </c>
      <c r="GU271" s="2" t="s">
        <v>3</v>
      </c>
      <c r="GV271" s="2">
        <f t="shared" si="351"/>
        <v>0</v>
      </c>
      <c r="GW271" s="2">
        <v>1</v>
      </c>
      <c r="GX271" s="2">
        <f t="shared" si="352"/>
        <v>0</v>
      </c>
      <c r="GY271" s="2"/>
      <c r="GZ271" s="2"/>
      <c r="HA271" s="2">
        <v>0</v>
      </c>
      <c r="HB271" s="2">
        <v>0</v>
      </c>
      <c r="HC271" s="2">
        <f t="shared" si="353"/>
        <v>0</v>
      </c>
      <c r="HD271" s="2"/>
      <c r="HE271" s="2" t="s">
        <v>3</v>
      </c>
      <c r="HF271" s="2" t="s">
        <v>3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">
      <c r="A272" s="3">
        <v>17</v>
      </c>
      <c r="B272" s="3">
        <v>1</v>
      </c>
      <c r="C272" s="3">
        <f>ROW(SmtRes!A696)</f>
        <v>696</v>
      </c>
      <c r="D272" s="3">
        <f>ROW(EtalonRes!A730)</f>
        <v>730</v>
      </c>
      <c r="E272" s="3" t="s">
        <v>432</v>
      </c>
      <c r="F272" s="3" t="s">
        <v>155</v>
      </c>
      <c r="G272" s="3" t="s">
        <v>156</v>
      </c>
      <c r="H272" s="3" t="s">
        <v>25</v>
      </c>
      <c r="I272" s="3">
        <f>ROUND(8,9)</f>
        <v>8</v>
      </c>
      <c r="J272" s="3">
        <v>0</v>
      </c>
      <c r="K272" s="3">
        <f>ROUND(8,9)</f>
        <v>8</v>
      </c>
      <c r="O272" s="3">
        <f t="shared" si="329"/>
        <v>40886.53</v>
      </c>
      <c r="P272" s="3">
        <f t="shared" si="330"/>
        <v>377.11</v>
      </c>
      <c r="Q272" s="3">
        <f>(ROUND((ROUND((((ET272*1.2))*AV272*I272),2)*BB272),2)+ROUND((ROUND(((AE272-((EU272*1.2)))*AV272*I272),2)*BS272),2))</f>
        <v>1173.18</v>
      </c>
      <c r="R272" s="3">
        <f>(ROUND((ROUND((((EU272*1.2))*AV272*I272),2)*BS272),2)+ROUND((ROUND(((AE272-((EU272*1.2)))*AV272*I272),2)*BS272),2))</f>
        <v>144.26</v>
      </c>
      <c r="S272" s="3">
        <f t="shared" si="331"/>
        <v>39336.239999999998</v>
      </c>
      <c r="T272" s="3">
        <f t="shared" si="332"/>
        <v>0</v>
      </c>
      <c r="U272" s="3">
        <f t="shared" si="333"/>
        <v>55.313279999999999</v>
      </c>
      <c r="V272" s="3">
        <f t="shared" si="334"/>
        <v>0</v>
      </c>
      <c r="W272" s="3">
        <f t="shared" si="335"/>
        <v>0</v>
      </c>
      <c r="X272" s="3">
        <f>(ROUND((((S272+ROUND((ROUND((((EU272*1.2))*AV272*I272),2)*BS272),2))*AT272)/100),2)+ROUND(((ROUND((ROUND(((AE272-((EU272*1.2)))*AV272*I272),2)*BS272),2)*AT272)/100),2))</f>
        <v>35532.449999999997</v>
      </c>
      <c r="Y272" s="3">
        <f>(ROUND((((S272+ROUND((ROUND((((EU272*1.2))*AV272*I272),2)*BS272),2))*AU272)/100),2)+ROUND(((ROUND((ROUND(((AE272-((EU272*1.2)))*AV272*I272),2)*BS272),2)*AU272)/100),2))</f>
        <v>18161.03</v>
      </c>
      <c r="AA272" s="3">
        <v>55747651</v>
      </c>
      <c r="AB272" s="3">
        <f t="shared" si="336"/>
        <v>95.781999999999996</v>
      </c>
      <c r="AC272" s="3">
        <f>ROUND(((ES272*1)),6)</f>
        <v>4.33</v>
      </c>
      <c r="AD272" s="3">
        <f>ROUND(((((ET272*1.2))-((EU272*1.2)))+AE272),6)</f>
        <v>9.6720000000000006</v>
      </c>
      <c r="AE272" s="3">
        <f t="shared" si="356"/>
        <v>0.3</v>
      </c>
      <c r="AF272" s="3">
        <f t="shared" si="356"/>
        <v>81.78</v>
      </c>
      <c r="AG272" s="3">
        <f t="shared" si="337"/>
        <v>0</v>
      </c>
      <c r="AH272" s="3">
        <f t="shared" si="357"/>
        <v>6.48</v>
      </c>
      <c r="AI272" s="3">
        <f t="shared" si="357"/>
        <v>0</v>
      </c>
      <c r="AJ272" s="3">
        <f t="shared" si="338"/>
        <v>0</v>
      </c>
      <c r="AK272" s="3">
        <v>80.540000000000006</v>
      </c>
      <c r="AL272" s="3">
        <v>4.33</v>
      </c>
      <c r="AM272" s="3">
        <v>8.06</v>
      </c>
      <c r="AN272" s="3">
        <v>0.25</v>
      </c>
      <c r="AO272" s="3">
        <v>68.150000000000006</v>
      </c>
      <c r="AP272" s="3">
        <v>0</v>
      </c>
      <c r="AQ272" s="3">
        <v>5.4</v>
      </c>
      <c r="AR272" s="3">
        <v>0</v>
      </c>
      <c r="AS272" s="3">
        <v>0</v>
      </c>
      <c r="AT272" s="3">
        <v>90</v>
      </c>
      <c r="AU272" s="3">
        <v>46</v>
      </c>
      <c r="AV272" s="3">
        <v>1.0669999999999999</v>
      </c>
      <c r="AW272" s="3">
        <v>1.028</v>
      </c>
      <c r="AZ272" s="3">
        <v>1</v>
      </c>
      <c r="BA272" s="3">
        <v>56.35</v>
      </c>
      <c r="BB272" s="3">
        <v>14.21</v>
      </c>
      <c r="BC272" s="3">
        <v>10.59</v>
      </c>
      <c r="BD272" s="3" t="s">
        <v>3</v>
      </c>
      <c r="BE272" s="3" t="s">
        <v>3</v>
      </c>
      <c r="BF272" s="3" t="s">
        <v>3</v>
      </c>
      <c r="BG272" s="3" t="s">
        <v>3</v>
      </c>
      <c r="BH272" s="3">
        <v>0</v>
      </c>
      <c r="BI272" s="3">
        <v>2</v>
      </c>
      <c r="BJ272" s="3" t="s">
        <v>157</v>
      </c>
      <c r="BM272" s="3">
        <v>73</v>
      </c>
      <c r="BN272" s="3">
        <v>0</v>
      </c>
      <c r="BO272" s="3" t="s">
        <v>155</v>
      </c>
      <c r="BP272" s="3">
        <v>1</v>
      </c>
      <c r="BQ272" s="3">
        <v>40</v>
      </c>
      <c r="BR272" s="3">
        <v>0</v>
      </c>
      <c r="BS272" s="3">
        <v>56.35</v>
      </c>
      <c r="BT272" s="3">
        <v>1</v>
      </c>
      <c r="BU272" s="3">
        <v>1</v>
      </c>
      <c r="BV272" s="3">
        <v>1</v>
      </c>
      <c r="BW272" s="3">
        <v>1</v>
      </c>
      <c r="BX272" s="3">
        <v>1</v>
      </c>
      <c r="BY272" s="3" t="s">
        <v>3</v>
      </c>
      <c r="BZ272" s="3">
        <v>90</v>
      </c>
      <c r="CA272" s="3">
        <v>46</v>
      </c>
      <c r="CB272" s="3" t="s">
        <v>3</v>
      </c>
      <c r="CE272" s="3">
        <v>1566</v>
      </c>
      <c r="CF272" s="3">
        <v>0</v>
      </c>
      <c r="CG272" s="3">
        <v>0</v>
      </c>
      <c r="CM272" s="3">
        <v>0</v>
      </c>
      <c r="CN272" s="3" t="s">
        <v>716</v>
      </c>
      <c r="CO272" s="3">
        <v>0</v>
      </c>
      <c r="CP272" s="3">
        <f t="shared" si="339"/>
        <v>40886.53</v>
      </c>
      <c r="CQ272" s="3">
        <f t="shared" si="340"/>
        <v>47.13</v>
      </c>
      <c r="CR272" s="3">
        <f>(ROUND((ROUND((((ET272*1.2))*AV272*1),2)*BB272),2)+ROUND((ROUND(((AE272-((EU272*1.2)))*AV272*1),2)*BS272),2))</f>
        <v>146.65</v>
      </c>
      <c r="CS272" s="3">
        <f>(ROUND((ROUND((((EU272*1.2))*AV272*1),2)*BS272),2)+ROUND((ROUND(((AE272-((EU272*1.2)))*AV272*1),2)*BS272),2))</f>
        <v>18.03</v>
      </c>
      <c r="CT272" s="3">
        <f t="shared" si="341"/>
        <v>4917.1000000000004</v>
      </c>
      <c r="CU272" s="3">
        <f t="shared" si="342"/>
        <v>0</v>
      </c>
      <c r="CV272" s="3">
        <f t="shared" si="343"/>
        <v>6.9141599999999999</v>
      </c>
      <c r="CW272" s="3">
        <f t="shared" si="344"/>
        <v>0</v>
      </c>
      <c r="CX272" s="3">
        <f t="shared" si="345"/>
        <v>0</v>
      </c>
      <c r="CY272" s="3">
        <f>(ROUND((((S272+ROUND((ROUND((((EU272*1.2))*AV272*1),2)*BS272),2))*AT272)/100),2)+ROUND(((ROUND((ROUND(((AE272-((EU272*1.2)))*AV272*1),2)*BS272),2)*AT272)/100),2))</f>
        <v>35418.839999999997</v>
      </c>
      <c r="CZ272" s="3">
        <f>(ROUND((((S272+ROUND((ROUND((((EU272*1.2))*AV272*1),2)*BS272),2))*AU272)/100),2)+ROUND(((ROUND((ROUND(((AE272-((EU272*1.2)))*AV272*1),2)*BS272),2)*AU272)/100),2))</f>
        <v>18102.96</v>
      </c>
      <c r="DB272" s="3">
        <v>106</v>
      </c>
      <c r="DC272" s="3" t="s">
        <v>3</v>
      </c>
      <c r="DD272" s="3" t="s">
        <v>48</v>
      </c>
      <c r="DE272" s="3" t="s">
        <v>49</v>
      </c>
      <c r="DF272" s="3" t="s">
        <v>49</v>
      </c>
      <c r="DG272" s="3" t="s">
        <v>49</v>
      </c>
      <c r="DH272" s="3" t="s">
        <v>3</v>
      </c>
      <c r="DI272" s="3" t="s">
        <v>49</v>
      </c>
      <c r="DJ272" s="3" t="s">
        <v>49</v>
      </c>
      <c r="DK272" s="3" t="s">
        <v>3</v>
      </c>
      <c r="DL272" s="3" t="s">
        <v>3</v>
      </c>
      <c r="DM272" s="3" t="s">
        <v>3</v>
      </c>
      <c r="DN272" s="3">
        <v>0</v>
      </c>
      <c r="DO272" s="3">
        <v>0</v>
      </c>
      <c r="DP272" s="3">
        <v>1</v>
      </c>
      <c r="DQ272" s="3">
        <v>1</v>
      </c>
      <c r="DU272" s="3">
        <v>1013</v>
      </c>
      <c r="DV272" s="3" t="s">
        <v>25</v>
      </c>
      <c r="DW272" s="3" t="s">
        <v>25</v>
      </c>
      <c r="DX272" s="3">
        <v>1</v>
      </c>
      <c r="DZ272" s="3" t="s">
        <v>3</v>
      </c>
      <c r="EA272" s="3" t="s">
        <v>3</v>
      </c>
      <c r="EB272" s="3" t="s">
        <v>3</v>
      </c>
      <c r="EC272" s="3" t="s">
        <v>3</v>
      </c>
      <c r="EE272" s="3">
        <v>56938740</v>
      </c>
      <c r="EF272" s="3">
        <v>40</v>
      </c>
      <c r="EG272" s="3" t="s">
        <v>29</v>
      </c>
      <c r="EH272" s="3">
        <v>0</v>
      </c>
      <c r="EI272" s="3" t="s">
        <v>3</v>
      </c>
      <c r="EJ272" s="3">
        <v>2</v>
      </c>
      <c r="EK272" s="3">
        <v>73</v>
      </c>
      <c r="EL272" s="3" t="s">
        <v>85</v>
      </c>
      <c r="EM272" s="3" t="s">
        <v>86</v>
      </c>
      <c r="EO272" s="3" t="s">
        <v>50</v>
      </c>
      <c r="EQ272" s="3">
        <v>131072</v>
      </c>
      <c r="ER272" s="3">
        <v>80.540000000000006</v>
      </c>
      <c r="ES272" s="3">
        <v>4.33</v>
      </c>
      <c r="ET272" s="3">
        <v>8.06</v>
      </c>
      <c r="EU272" s="3">
        <v>0.25</v>
      </c>
      <c r="EV272" s="3">
        <v>68.150000000000006</v>
      </c>
      <c r="EW272" s="3">
        <v>5.4</v>
      </c>
      <c r="EX272" s="3">
        <v>0</v>
      </c>
      <c r="EY272" s="3">
        <v>0</v>
      </c>
      <c r="FQ272" s="3">
        <v>0</v>
      </c>
      <c r="FR272" s="3">
        <v>0</v>
      </c>
      <c r="FS272" s="3">
        <v>2</v>
      </c>
      <c r="FX272" s="3">
        <v>90</v>
      </c>
      <c r="FY272" s="3">
        <v>46</v>
      </c>
      <c r="GA272" s="3" t="s">
        <v>3</v>
      </c>
      <c r="GD272" s="3">
        <v>1</v>
      </c>
      <c r="GF272" s="3">
        <v>-914769333</v>
      </c>
      <c r="GG272" s="3">
        <v>2</v>
      </c>
      <c r="GH272" s="3">
        <v>1</v>
      </c>
      <c r="GI272" s="3">
        <v>2</v>
      </c>
      <c r="GJ272" s="3">
        <v>0</v>
      </c>
      <c r="GK272" s="3">
        <v>0</v>
      </c>
      <c r="GL272" s="3">
        <f t="shared" si="346"/>
        <v>0</v>
      </c>
      <c r="GM272" s="3">
        <f t="shared" si="347"/>
        <v>94580.01</v>
      </c>
      <c r="GN272" s="3">
        <f t="shared" si="348"/>
        <v>0</v>
      </c>
      <c r="GO272" s="3">
        <f t="shared" si="349"/>
        <v>94580.01</v>
      </c>
      <c r="GP272" s="3">
        <f t="shared" si="350"/>
        <v>0</v>
      </c>
      <c r="GR272" s="3">
        <v>0</v>
      </c>
      <c r="GS272" s="3">
        <v>3</v>
      </c>
      <c r="GT272" s="3">
        <v>0</v>
      </c>
      <c r="GU272" s="3" t="s">
        <v>3</v>
      </c>
      <c r="GV272" s="3">
        <f t="shared" si="351"/>
        <v>0</v>
      </c>
      <c r="GW272" s="3">
        <v>1</v>
      </c>
      <c r="GX272" s="3">
        <f t="shared" si="352"/>
        <v>0</v>
      </c>
      <c r="HA272" s="3">
        <v>0</v>
      </c>
      <c r="HB272" s="3">
        <v>0</v>
      </c>
      <c r="HC272" s="3">
        <f t="shared" si="353"/>
        <v>0</v>
      </c>
      <c r="HE272" s="3" t="s">
        <v>3</v>
      </c>
      <c r="HF272" s="3" t="s">
        <v>3</v>
      </c>
      <c r="HM272" s="3" t="s">
        <v>3</v>
      </c>
      <c r="HN272" s="3" t="s">
        <v>3</v>
      </c>
      <c r="HO272" s="3" t="s">
        <v>3</v>
      </c>
      <c r="HP272" s="3" t="s">
        <v>3</v>
      </c>
      <c r="HQ272" s="3" t="s">
        <v>3</v>
      </c>
      <c r="HS272" s="3">
        <v>0</v>
      </c>
      <c r="IK272" s="3">
        <v>0</v>
      </c>
    </row>
    <row r="273" spans="1:255" x14ac:dyDescent="0.2">
      <c r="A273" s="2">
        <v>17</v>
      </c>
      <c r="B273" s="2">
        <v>1</v>
      </c>
      <c r="C273" s="2">
        <f>ROW(SmtRes!A700)</f>
        <v>700</v>
      </c>
      <c r="D273" s="2">
        <f>ROW(EtalonRes!A734)</f>
        <v>734</v>
      </c>
      <c r="E273" s="2" t="s">
        <v>433</v>
      </c>
      <c r="F273" s="2" t="s">
        <v>434</v>
      </c>
      <c r="G273" s="2" t="s">
        <v>435</v>
      </c>
      <c r="H273" s="2" t="s">
        <v>25</v>
      </c>
      <c r="I273" s="2">
        <f>ROUND(1,9)</f>
        <v>1</v>
      </c>
      <c r="J273" s="2">
        <v>0</v>
      </c>
      <c r="K273" s="2">
        <f>ROUND(1,9)</f>
        <v>1</v>
      </c>
      <c r="L273" s="2"/>
      <c r="M273" s="2"/>
      <c r="N273" s="2"/>
      <c r="O273" s="2">
        <f t="shared" si="329"/>
        <v>5.71</v>
      </c>
      <c r="P273" s="2">
        <f t="shared" si="330"/>
        <v>0.81</v>
      </c>
      <c r="Q273" s="2">
        <f>(ROUND((ROUND((((ET273*1.2))*AV273*I273),2)*BB273),2)+ROUND((ROUND(((AE273-((EU273*1.2)))*AV273*I273),2)*BS273),2))</f>
        <v>0</v>
      </c>
      <c r="R273" s="2">
        <f>(ROUND((ROUND((((EU273*1.2))*AV273*I273),2)*BS273),2)+ROUND((ROUND(((AE273-((EU273*1.2)))*AV273*I273),2)*BS273),2))</f>
        <v>0</v>
      </c>
      <c r="S273" s="2">
        <f t="shared" si="331"/>
        <v>4.9000000000000004</v>
      </c>
      <c r="T273" s="2">
        <f t="shared" si="332"/>
        <v>0</v>
      </c>
      <c r="U273" s="2">
        <f t="shared" si="333"/>
        <v>0.37691999999999998</v>
      </c>
      <c r="V273" s="2">
        <f t="shared" si="334"/>
        <v>0</v>
      </c>
      <c r="W273" s="2">
        <f t="shared" si="335"/>
        <v>0</v>
      </c>
      <c r="X273" s="2">
        <f>(ROUND((((S273+ROUND((ROUND((((EU273*1.2))*AV273*I273),2)*BS273),2))*AT273)/100),2)+ROUND(((ROUND((ROUND(((AE273-((EU273*1.2)))*AV273*I273),2)*BS273),2)*AT273)/100),2))</f>
        <v>4.41</v>
      </c>
      <c r="Y273" s="2">
        <f>(ROUND((((S273+ROUND((ROUND((((EU273*1.2))*AV273*I273),2)*BS273),2))*AU273)/100),2)+ROUND(((ROUND((ROUND(((AE273-((EU273*1.2)))*AV273*I273),2)*BS273),2)*AU273)/100),2))</f>
        <v>2.25</v>
      </c>
      <c r="Z273" s="2"/>
      <c r="AA273" s="2">
        <v>55747649</v>
      </c>
      <c r="AB273" s="2">
        <f t="shared" si="336"/>
        <v>5.49</v>
      </c>
      <c r="AC273" s="2">
        <f>ROUND(((ES273*1)),6)</f>
        <v>0.81</v>
      </c>
      <c r="AD273" s="2">
        <f>ROUND(((((ET273*1.2))-((EU273*1.2)))+AE273),6)</f>
        <v>0</v>
      </c>
      <c r="AE273" s="2">
        <f t="shared" si="356"/>
        <v>0</v>
      </c>
      <c r="AF273" s="2">
        <f t="shared" si="356"/>
        <v>4.68</v>
      </c>
      <c r="AG273" s="2">
        <f t="shared" si="337"/>
        <v>0</v>
      </c>
      <c r="AH273" s="2">
        <f t="shared" si="357"/>
        <v>0.36</v>
      </c>
      <c r="AI273" s="2">
        <f t="shared" si="357"/>
        <v>0</v>
      </c>
      <c r="AJ273" s="2">
        <f t="shared" si="338"/>
        <v>0</v>
      </c>
      <c r="AK273" s="2">
        <v>4.71</v>
      </c>
      <c r="AL273" s="2">
        <v>0.81</v>
      </c>
      <c r="AM273" s="2">
        <v>0</v>
      </c>
      <c r="AN273" s="2">
        <v>0</v>
      </c>
      <c r="AO273" s="2">
        <v>3.9</v>
      </c>
      <c r="AP273" s="2">
        <v>0</v>
      </c>
      <c r="AQ273" s="2">
        <v>0.3</v>
      </c>
      <c r="AR273" s="2">
        <v>0</v>
      </c>
      <c r="AS273" s="2">
        <v>0</v>
      </c>
      <c r="AT273" s="2">
        <v>90</v>
      </c>
      <c r="AU273" s="2">
        <v>46</v>
      </c>
      <c r="AV273" s="2">
        <v>1.0469999999999999</v>
      </c>
      <c r="AW273" s="2">
        <v>1</v>
      </c>
      <c r="AX273" s="2"/>
      <c r="AY273" s="2"/>
      <c r="AZ273" s="2">
        <v>1</v>
      </c>
      <c r="BA273" s="2">
        <v>1</v>
      </c>
      <c r="BB273" s="2">
        <v>1</v>
      </c>
      <c r="BC273" s="2">
        <v>1</v>
      </c>
      <c r="BD273" s="2" t="s">
        <v>3</v>
      </c>
      <c r="BE273" s="2" t="s">
        <v>3</v>
      </c>
      <c r="BF273" s="2" t="s">
        <v>3</v>
      </c>
      <c r="BG273" s="2" t="s">
        <v>3</v>
      </c>
      <c r="BH273" s="2">
        <v>0</v>
      </c>
      <c r="BI273" s="2">
        <v>2</v>
      </c>
      <c r="BJ273" s="2" t="s">
        <v>436</v>
      </c>
      <c r="BK273" s="2"/>
      <c r="BL273" s="2"/>
      <c r="BM273" s="2">
        <v>72</v>
      </c>
      <c r="BN273" s="2">
        <v>0</v>
      </c>
      <c r="BO273" s="2" t="s">
        <v>434</v>
      </c>
      <c r="BP273" s="2">
        <v>1</v>
      </c>
      <c r="BQ273" s="2">
        <v>40</v>
      </c>
      <c r="BR273" s="2">
        <v>0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1</v>
      </c>
      <c r="BY273" s="2" t="s">
        <v>3</v>
      </c>
      <c r="BZ273" s="2">
        <v>90</v>
      </c>
      <c r="CA273" s="2">
        <v>46</v>
      </c>
      <c r="CB273" s="2" t="s">
        <v>3</v>
      </c>
      <c r="CC273" s="2"/>
      <c r="CD273" s="2"/>
      <c r="CE273" s="2">
        <v>1566</v>
      </c>
      <c r="CF273" s="2">
        <v>0</v>
      </c>
      <c r="CG273" s="2">
        <v>0</v>
      </c>
      <c r="CH273" s="2"/>
      <c r="CI273" s="2"/>
      <c r="CJ273" s="2"/>
      <c r="CK273" s="2"/>
      <c r="CL273" s="2"/>
      <c r="CM273" s="2">
        <v>0</v>
      </c>
      <c r="CN273" s="2" t="s">
        <v>716</v>
      </c>
      <c r="CO273" s="2">
        <v>0</v>
      </c>
      <c r="CP273" s="2">
        <f t="shared" si="339"/>
        <v>5.7100000000000009</v>
      </c>
      <c r="CQ273" s="2">
        <f t="shared" si="340"/>
        <v>0.81</v>
      </c>
      <c r="CR273" s="2">
        <f>(ROUND((ROUND((((ET273*1.2))*AV273*1),2)*BB273),2)+ROUND((ROUND(((AE273-((EU273*1.2)))*AV273*1),2)*BS273),2))</f>
        <v>0</v>
      </c>
      <c r="CS273" s="2">
        <f>(ROUND((ROUND((((EU273*1.2))*AV273*1),2)*BS273),2)+ROUND((ROUND(((AE273-((EU273*1.2)))*AV273*1),2)*BS273),2))</f>
        <v>0</v>
      </c>
      <c r="CT273" s="2">
        <f t="shared" si="341"/>
        <v>4.9000000000000004</v>
      </c>
      <c r="CU273" s="2">
        <f t="shared" si="342"/>
        <v>0</v>
      </c>
      <c r="CV273" s="2">
        <f t="shared" si="343"/>
        <v>0.37691999999999998</v>
      </c>
      <c r="CW273" s="2">
        <f t="shared" si="344"/>
        <v>0</v>
      </c>
      <c r="CX273" s="2">
        <f t="shared" si="345"/>
        <v>0</v>
      </c>
      <c r="CY273" s="2">
        <f>(ROUND((((S273+ROUND((ROUND((((EU273*1.2))*AV273*1),2)*BS273),2))*AT273)/100),2)+ROUND(((ROUND((ROUND(((AE273-((EU273*1.2)))*AV273*1),2)*BS273),2)*AT273)/100),2))</f>
        <v>4.41</v>
      </c>
      <c r="CZ273" s="2">
        <f>(ROUND((((S273+ROUND((ROUND((((EU273*1.2))*AV273*1),2)*BS273),2))*AU273)/100),2)+ROUND(((ROUND((ROUND(((AE273-((EU273*1.2)))*AV273*1),2)*BS273),2)*AU273)/100),2))</f>
        <v>2.25</v>
      </c>
      <c r="DA273" s="2"/>
      <c r="DB273" s="2">
        <v>107</v>
      </c>
      <c r="DC273" s="2" t="s">
        <v>3</v>
      </c>
      <c r="DD273" s="2" t="s">
        <v>48</v>
      </c>
      <c r="DE273" s="2" t="s">
        <v>49</v>
      </c>
      <c r="DF273" s="2" t="s">
        <v>49</v>
      </c>
      <c r="DG273" s="2" t="s">
        <v>49</v>
      </c>
      <c r="DH273" s="2" t="s">
        <v>3</v>
      </c>
      <c r="DI273" s="2" t="s">
        <v>49</v>
      </c>
      <c r="DJ273" s="2" t="s">
        <v>49</v>
      </c>
      <c r="DK273" s="2" t="s">
        <v>3</v>
      </c>
      <c r="DL273" s="2" t="s">
        <v>3</v>
      </c>
      <c r="DM273" s="2" t="s">
        <v>3</v>
      </c>
      <c r="DN273" s="2">
        <v>0</v>
      </c>
      <c r="DO273" s="2">
        <v>0</v>
      </c>
      <c r="DP273" s="2">
        <v>1</v>
      </c>
      <c r="DQ273" s="2">
        <v>1</v>
      </c>
      <c r="DR273" s="2"/>
      <c r="DS273" s="2"/>
      <c r="DT273" s="2"/>
      <c r="DU273" s="2">
        <v>1013</v>
      </c>
      <c r="DV273" s="2" t="s">
        <v>25</v>
      </c>
      <c r="DW273" s="2" t="s">
        <v>25</v>
      </c>
      <c r="DX273" s="2">
        <v>1</v>
      </c>
      <c r="DY273" s="2"/>
      <c r="DZ273" s="2" t="s">
        <v>3</v>
      </c>
      <c r="EA273" s="2" t="s">
        <v>3</v>
      </c>
      <c r="EB273" s="2" t="s">
        <v>3</v>
      </c>
      <c r="EC273" s="2" t="s">
        <v>3</v>
      </c>
      <c r="ED273" s="2"/>
      <c r="EE273" s="2">
        <v>56938739</v>
      </c>
      <c r="EF273" s="2">
        <v>40</v>
      </c>
      <c r="EG273" s="2" t="s">
        <v>29</v>
      </c>
      <c r="EH273" s="2">
        <v>0</v>
      </c>
      <c r="EI273" s="2" t="s">
        <v>3</v>
      </c>
      <c r="EJ273" s="2">
        <v>2</v>
      </c>
      <c r="EK273" s="2">
        <v>72</v>
      </c>
      <c r="EL273" s="2" t="s">
        <v>76</v>
      </c>
      <c r="EM273" s="2" t="s">
        <v>77</v>
      </c>
      <c r="EN273" s="2"/>
      <c r="EO273" s="2" t="s">
        <v>50</v>
      </c>
      <c r="EP273" s="2"/>
      <c r="EQ273" s="2">
        <v>131072</v>
      </c>
      <c r="ER273" s="2">
        <v>4.71</v>
      </c>
      <c r="ES273" s="2">
        <v>0.81</v>
      </c>
      <c r="ET273" s="2">
        <v>0</v>
      </c>
      <c r="EU273" s="2">
        <v>0</v>
      </c>
      <c r="EV273" s="2">
        <v>3.9</v>
      </c>
      <c r="EW273" s="2">
        <v>0.3</v>
      </c>
      <c r="EX273" s="2">
        <v>0</v>
      </c>
      <c r="EY273" s="2">
        <v>0</v>
      </c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>
        <v>0</v>
      </c>
      <c r="FR273" s="2">
        <v>0</v>
      </c>
      <c r="FS273" s="2">
        <v>0</v>
      </c>
      <c r="FT273" s="2"/>
      <c r="FU273" s="2"/>
      <c r="FV273" s="2"/>
      <c r="FW273" s="2"/>
      <c r="FX273" s="2">
        <v>90</v>
      </c>
      <c r="FY273" s="2">
        <v>46</v>
      </c>
      <c r="FZ273" s="2"/>
      <c r="GA273" s="2" t="s">
        <v>3</v>
      </c>
      <c r="GB273" s="2"/>
      <c r="GC273" s="2"/>
      <c r="GD273" s="2">
        <v>1</v>
      </c>
      <c r="GE273" s="2"/>
      <c r="GF273" s="2">
        <v>543968639</v>
      </c>
      <c r="GG273" s="2">
        <v>2</v>
      </c>
      <c r="GH273" s="2">
        <v>1</v>
      </c>
      <c r="GI273" s="2">
        <v>2</v>
      </c>
      <c r="GJ273" s="2">
        <v>0</v>
      </c>
      <c r="GK273" s="2">
        <v>0</v>
      </c>
      <c r="GL273" s="2">
        <f t="shared" si="346"/>
        <v>0</v>
      </c>
      <c r="GM273" s="2">
        <f t="shared" si="347"/>
        <v>12.37</v>
      </c>
      <c r="GN273" s="2">
        <f t="shared" si="348"/>
        <v>0</v>
      </c>
      <c r="GO273" s="2">
        <f t="shared" si="349"/>
        <v>12.37</v>
      </c>
      <c r="GP273" s="2">
        <f t="shared" si="350"/>
        <v>0</v>
      </c>
      <c r="GQ273" s="2"/>
      <c r="GR273" s="2">
        <v>0</v>
      </c>
      <c r="GS273" s="2">
        <v>3</v>
      </c>
      <c r="GT273" s="2">
        <v>0</v>
      </c>
      <c r="GU273" s="2" t="s">
        <v>3</v>
      </c>
      <c r="GV273" s="2">
        <f t="shared" si="351"/>
        <v>0</v>
      </c>
      <c r="GW273" s="2">
        <v>1</v>
      </c>
      <c r="GX273" s="2">
        <f t="shared" si="352"/>
        <v>0</v>
      </c>
      <c r="GY273" s="2"/>
      <c r="GZ273" s="2"/>
      <c r="HA273" s="2">
        <v>0</v>
      </c>
      <c r="HB273" s="2">
        <v>0</v>
      </c>
      <c r="HC273" s="2">
        <f t="shared" si="353"/>
        <v>0</v>
      </c>
      <c r="HD273" s="2"/>
      <c r="HE273" s="2" t="s">
        <v>3</v>
      </c>
      <c r="HF273" s="2" t="s">
        <v>3</v>
      </c>
      <c r="HG273" s="2"/>
      <c r="HH273" s="2"/>
      <c r="HI273" s="2"/>
      <c r="HJ273" s="2"/>
      <c r="HK273" s="2"/>
      <c r="HL273" s="2"/>
      <c r="HM273" s="2" t="s">
        <v>3</v>
      </c>
      <c r="HN273" s="2" t="s">
        <v>3</v>
      </c>
      <c r="HO273" s="2" t="s">
        <v>3</v>
      </c>
      <c r="HP273" s="2" t="s">
        <v>3</v>
      </c>
      <c r="HQ273" s="2" t="s">
        <v>3</v>
      </c>
      <c r="HR273" s="2"/>
      <c r="HS273" s="2">
        <v>0</v>
      </c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>
        <v>0</v>
      </c>
      <c r="IL273" s="2"/>
      <c r="IM273" s="2"/>
      <c r="IN273" s="2"/>
      <c r="IO273" s="2"/>
      <c r="IP273" s="2"/>
      <c r="IQ273" s="2"/>
      <c r="IR273" s="2"/>
      <c r="IS273" s="2"/>
      <c r="IT273" s="2"/>
      <c r="IU273" s="2"/>
    </row>
    <row r="274" spans="1:255" x14ac:dyDescent="0.2">
      <c r="A274" s="3">
        <v>17</v>
      </c>
      <c r="B274" s="3">
        <v>1</v>
      </c>
      <c r="C274" s="3">
        <f>ROW(SmtRes!A704)</f>
        <v>704</v>
      </c>
      <c r="D274" s="3">
        <f>ROW(EtalonRes!A738)</f>
        <v>738</v>
      </c>
      <c r="E274" s="3" t="s">
        <v>433</v>
      </c>
      <c r="F274" s="3" t="s">
        <v>434</v>
      </c>
      <c r="G274" s="3" t="s">
        <v>435</v>
      </c>
      <c r="H274" s="3" t="s">
        <v>25</v>
      </c>
      <c r="I274" s="3">
        <f>ROUND(1,9)</f>
        <v>1</v>
      </c>
      <c r="J274" s="3">
        <v>0</v>
      </c>
      <c r="K274" s="3">
        <f>ROUND(1,9)</f>
        <v>1</v>
      </c>
      <c r="O274" s="3">
        <f t="shared" si="329"/>
        <v>290.11</v>
      </c>
      <c r="P274" s="3">
        <f t="shared" si="330"/>
        <v>13.99</v>
      </c>
      <c r="Q274" s="3">
        <f>(ROUND((ROUND((((ET274*1.2))*AV274*I274),2)*BB274),2)+ROUND((ROUND(((AE274-((EU274*1.2)))*AV274*I274),2)*BS274),2))</f>
        <v>0</v>
      </c>
      <c r="R274" s="3">
        <f>(ROUND((ROUND((((EU274*1.2))*AV274*I274),2)*BS274),2)+ROUND((ROUND(((AE274-((EU274*1.2)))*AV274*I274),2)*BS274),2))</f>
        <v>0</v>
      </c>
      <c r="S274" s="3">
        <f t="shared" si="331"/>
        <v>276.12</v>
      </c>
      <c r="T274" s="3">
        <f t="shared" si="332"/>
        <v>0</v>
      </c>
      <c r="U274" s="3">
        <f t="shared" si="333"/>
        <v>0.37691999999999998</v>
      </c>
      <c r="V274" s="3">
        <f t="shared" si="334"/>
        <v>0</v>
      </c>
      <c r="W274" s="3">
        <f t="shared" si="335"/>
        <v>0</v>
      </c>
      <c r="X274" s="3">
        <f>(ROUND((((S274+ROUND((ROUND((((EU274*1.2))*AV274*I274),2)*BS274),2))*AT274)/100),2)+ROUND(((ROUND((ROUND(((AE274-((EU274*1.2)))*AV274*I274),2)*BS274),2)*AT274)/100),2))</f>
        <v>248.51</v>
      </c>
      <c r="Y274" s="3">
        <f>(ROUND((((S274+ROUND((ROUND((((EU274*1.2))*AV274*I274),2)*BS274),2))*AU274)/100),2)+ROUND(((ROUND((ROUND(((AE274-((EU274*1.2)))*AV274*I274),2)*BS274),2)*AU274)/100),2))</f>
        <v>127.02</v>
      </c>
      <c r="AA274" s="3">
        <v>55747651</v>
      </c>
      <c r="AB274" s="3">
        <f t="shared" si="336"/>
        <v>5.49</v>
      </c>
      <c r="AC274" s="3">
        <f>ROUND(((ES274*1)),6)</f>
        <v>0.81</v>
      </c>
      <c r="AD274" s="3">
        <f>ROUND(((((ET274*1.2))-((EU274*1.2)))+AE274),6)</f>
        <v>0</v>
      </c>
      <c r="AE274" s="3">
        <f t="shared" si="356"/>
        <v>0</v>
      </c>
      <c r="AF274" s="3">
        <f t="shared" si="356"/>
        <v>4.68</v>
      </c>
      <c r="AG274" s="3">
        <f t="shared" si="337"/>
        <v>0</v>
      </c>
      <c r="AH274" s="3">
        <f t="shared" si="357"/>
        <v>0.36</v>
      </c>
      <c r="AI274" s="3">
        <f t="shared" si="357"/>
        <v>0</v>
      </c>
      <c r="AJ274" s="3">
        <f t="shared" si="338"/>
        <v>0</v>
      </c>
      <c r="AK274" s="3">
        <v>4.71</v>
      </c>
      <c r="AL274" s="3">
        <v>0.81</v>
      </c>
      <c r="AM274" s="3">
        <v>0</v>
      </c>
      <c r="AN274" s="3">
        <v>0</v>
      </c>
      <c r="AO274" s="3">
        <v>3.9</v>
      </c>
      <c r="AP274" s="3">
        <v>0</v>
      </c>
      <c r="AQ274" s="3">
        <v>0.3</v>
      </c>
      <c r="AR274" s="3">
        <v>0</v>
      </c>
      <c r="AS274" s="3">
        <v>0</v>
      </c>
      <c r="AT274" s="3">
        <v>90</v>
      </c>
      <c r="AU274" s="3">
        <v>46</v>
      </c>
      <c r="AV274" s="3">
        <v>1.0469999999999999</v>
      </c>
      <c r="AW274" s="3">
        <v>1</v>
      </c>
      <c r="AZ274" s="3">
        <v>1</v>
      </c>
      <c r="BA274" s="3">
        <v>56.35</v>
      </c>
      <c r="BB274" s="3">
        <v>1</v>
      </c>
      <c r="BC274" s="3">
        <v>17.27</v>
      </c>
      <c r="BD274" s="3" t="s">
        <v>3</v>
      </c>
      <c r="BE274" s="3" t="s">
        <v>3</v>
      </c>
      <c r="BF274" s="3" t="s">
        <v>3</v>
      </c>
      <c r="BG274" s="3" t="s">
        <v>3</v>
      </c>
      <c r="BH274" s="3">
        <v>0</v>
      </c>
      <c r="BI274" s="3">
        <v>2</v>
      </c>
      <c r="BJ274" s="3" t="s">
        <v>436</v>
      </c>
      <c r="BM274" s="3">
        <v>72</v>
      </c>
      <c r="BN274" s="3">
        <v>0</v>
      </c>
      <c r="BO274" s="3" t="s">
        <v>434</v>
      </c>
      <c r="BP274" s="3">
        <v>1</v>
      </c>
      <c r="BQ274" s="3">
        <v>40</v>
      </c>
      <c r="BR274" s="3">
        <v>0</v>
      </c>
      <c r="BS274" s="3">
        <v>56.35</v>
      </c>
      <c r="BT274" s="3">
        <v>1</v>
      </c>
      <c r="BU274" s="3">
        <v>1</v>
      </c>
      <c r="BV274" s="3">
        <v>1</v>
      </c>
      <c r="BW274" s="3">
        <v>1</v>
      </c>
      <c r="BX274" s="3">
        <v>1</v>
      </c>
      <c r="BY274" s="3" t="s">
        <v>3</v>
      </c>
      <c r="BZ274" s="3">
        <v>90</v>
      </c>
      <c r="CA274" s="3">
        <v>46</v>
      </c>
      <c r="CB274" s="3" t="s">
        <v>3</v>
      </c>
      <c r="CE274" s="3">
        <v>1566</v>
      </c>
      <c r="CF274" s="3">
        <v>0</v>
      </c>
      <c r="CG274" s="3">
        <v>0</v>
      </c>
      <c r="CM274" s="3">
        <v>0</v>
      </c>
      <c r="CN274" s="3" t="s">
        <v>716</v>
      </c>
      <c r="CO274" s="3">
        <v>0</v>
      </c>
      <c r="CP274" s="3">
        <f t="shared" si="339"/>
        <v>290.11</v>
      </c>
      <c r="CQ274" s="3">
        <f t="shared" si="340"/>
        <v>13.99</v>
      </c>
      <c r="CR274" s="3">
        <f>(ROUND((ROUND((((ET274*1.2))*AV274*1),2)*BB274),2)+ROUND((ROUND(((AE274-((EU274*1.2)))*AV274*1),2)*BS274),2))</f>
        <v>0</v>
      </c>
      <c r="CS274" s="3">
        <f>(ROUND((ROUND((((EU274*1.2))*AV274*1),2)*BS274),2)+ROUND((ROUND(((AE274-((EU274*1.2)))*AV274*1),2)*BS274),2))</f>
        <v>0</v>
      </c>
      <c r="CT274" s="3">
        <f t="shared" si="341"/>
        <v>276.12</v>
      </c>
      <c r="CU274" s="3">
        <f t="shared" si="342"/>
        <v>0</v>
      </c>
      <c r="CV274" s="3">
        <f t="shared" si="343"/>
        <v>0.37691999999999998</v>
      </c>
      <c r="CW274" s="3">
        <f t="shared" si="344"/>
        <v>0</v>
      </c>
      <c r="CX274" s="3">
        <f t="shared" si="345"/>
        <v>0</v>
      </c>
      <c r="CY274" s="3">
        <f>(ROUND((((S274+ROUND((ROUND((((EU274*1.2))*AV274*1),2)*BS274),2))*AT274)/100),2)+ROUND(((ROUND((ROUND(((AE274-((EU274*1.2)))*AV274*1),2)*BS274),2)*AT274)/100),2))</f>
        <v>248.51</v>
      </c>
      <c r="CZ274" s="3">
        <f>(ROUND((((S274+ROUND((ROUND((((EU274*1.2))*AV274*1),2)*BS274),2))*AU274)/100),2)+ROUND(((ROUND((ROUND(((AE274-((EU274*1.2)))*AV274*1),2)*BS274),2)*AU274)/100),2))</f>
        <v>127.02</v>
      </c>
      <c r="DB274" s="3">
        <v>108</v>
      </c>
      <c r="DC274" s="3" t="s">
        <v>3</v>
      </c>
      <c r="DD274" s="3" t="s">
        <v>48</v>
      </c>
      <c r="DE274" s="3" t="s">
        <v>49</v>
      </c>
      <c r="DF274" s="3" t="s">
        <v>49</v>
      </c>
      <c r="DG274" s="3" t="s">
        <v>49</v>
      </c>
      <c r="DH274" s="3" t="s">
        <v>3</v>
      </c>
      <c r="DI274" s="3" t="s">
        <v>49</v>
      </c>
      <c r="DJ274" s="3" t="s">
        <v>49</v>
      </c>
      <c r="DK274" s="3" t="s">
        <v>3</v>
      </c>
      <c r="DL274" s="3" t="s">
        <v>3</v>
      </c>
      <c r="DM274" s="3" t="s">
        <v>3</v>
      </c>
      <c r="DN274" s="3">
        <v>0</v>
      </c>
      <c r="DO274" s="3">
        <v>0</v>
      </c>
      <c r="DP274" s="3">
        <v>1</v>
      </c>
      <c r="DQ274" s="3">
        <v>1</v>
      </c>
      <c r="DU274" s="3">
        <v>1013</v>
      </c>
      <c r="DV274" s="3" t="s">
        <v>25</v>
      </c>
      <c r="DW274" s="3" t="s">
        <v>25</v>
      </c>
      <c r="DX274" s="3">
        <v>1</v>
      </c>
      <c r="DZ274" s="3" t="s">
        <v>3</v>
      </c>
      <c r="EA274" s="3" t="s">
        <v>3</v>
      </c>
      <c r="EB274" s="3" t="s">
        <v>3</v>
      </c>
      <c r="EC274" s="3" t="s">
        <v>3</v>
      </c>
      <c r="EE274" s="3">
        <v>56938739</v>
      </c>
      <c r="EF274" s="3">
        <v>40</v>
      </c>
      <c r="EG274" s="3" t="s">
        <v>29</v>
      </c>
      <c r="EH274" s="3">
        <v>0</v>
      </c>
      <c r="EI274" s="3" t="s">
        <v>3</v>
      </c>
      <c r="EJ274" s="3">
        <v>2</v>
      </c>
      <c r="EK274" s="3">
        <v>72</v>
      </c>
      <c r="EL274" s="3" t="s">
        <v>76</v>
      </c>
      <c r="EM274" s="3" t="s">
        <v>77</v>
      </c>
      <c r="EO274" s="3" t="s">
        <v>50</v>
      </c>
      <c r="EQ274" s="3">
        <v>131072</v>
      </c>
      <c r="ER274" s="3">
        <v>4.71</v>
      </c>
      <c r="ES274" s="3">
        <v>0.81</v>
      </c>
      <c r="ET274" s="3">
        <v>0</v>
      </c>
      <c r="EU274" s="3">
        <v>0</v>
      </c>
      <c r="EV274" s="3">
        <v>3.9</v>
      </c>
      <c r="EW274" s="3">
        <v>0.3</v>
      </c>
      <c r="EX274" s="3">
        <v>0</v>
      </c>
      <c r="EY274" s="3">
        <v>0</v>
      </c>
      <c r="FQ274" s="3">
        <v>0</v>
      </c>
      <c r="FR274" s="3">
        <v>0</v>
      </c>
      <c r="FS274" s="3">
        <v>0</v>
      </c>
      <c r="FX274" s="3">
        <v>90</v>
      </c>
      <c r="FY274" s="3">
        <v>46</v>
      </c>
      <c r="GA274" s="3" t="s">
        <v>3</v>
      </c>
      <c r="GD274" s="3">
        <v>1</v>
      </c>
      <c r="GF274" s="3">
        <v>543968639</v>
      </c>
      <c r="GG274" s="3">
        <v>2</v>
      </c>
      <c r="GH274" s="3">
        <v>1</v>
      </c>
      <c r="GI274" s="3">
        <v>2</v>
      </c>
      <c r="GJ274" s="3">
        <v>0</v>
      </c>
      <c r="GK274" s="3">
        <v>0</v>
      </c>
      <c r="GL274" s="3">
        <f t="shared" si="346"/>
        <v>0</v>
      </c>
      <c r="GM274" s="3">
        <f t="shared" si="347"/>
        <v>665.64</v>
      </c>
      <c r="GN274" s="3">
        <f t="shared" si="348"/>
        <v>0</v>
      </c>
      <c r="GO274" s="3">
        <f t="shared" si="349"/>
        <v>665.64</v>
      </c>
      <c r="GP274" s="3">
        <f t="shared" si="350"/>
        <v>0</v>
      </c>
      <c r="GR274" s="3">
        <v>0</v>
      </c>
      <c r="GS274" s="3">
        <v>3</v>
      </c>
      <c r="GT274" s="3">
        <v>0</v>
      </c>
      <c r="GU274" s="3" t="s">
        <v>3</v>
      </c>
      <c r="GV274" s="3">
        <f t="shared" si="351"/>
        <v>0</v>
      </c>
      <c r="GW274" s="3">
        <v>1</v>
      </c>
      <c r="GX274" s="3">
        <f t="shared" si="352"/>
        <v>0</v>
      </c>
      <c r="HA274" s="3">
        <v>0</v>
      </c>
      <c r="HB274" s="3">
        <v>0</v>
      </c>
      <c r="HC274" s="3">
        <f t="shared" si="353"/>
        <v>0</v>
      </c>
      <c r="HE274" s="3" t="s">
        <v>3</v>
      </c>
      <c r="HF274" s="3" t="s">
        <v>3</v>
      </c>
      <c r="HM274" s="3" t="s">
        <v>3</v>
      </c>
      <c r="HN274" s="3" t="s">
        <v>3</v>
      </c>
      <c r="HO274" s="3" t="s">
        <v>3</v>
      </c>
      <c r="HP274" s="3" t="s">
        <v>3</v>
      </c>
      <c r="HQ274" s="3" t="s">
        <v>3</v>
      </c>
      <c r="HS274" s="3">
        <v>0</v>
      </c>
      <c r="IK274" s="3">
        <v>0</v>
      </c>
    </row>
    <row r="275" spans="1:255" x14ac:dyDescent="0.2">
      <c r="A275" s="2">
        <v>18</v>
      </c>
      <c r="B275" s="2">
        <v>1</v>
      </c>
      <c r="C275" s="2">
        <v>700</v>
      </c>
      <c r="D275" s="2"/>
      <c r="E275" s="2" t="s">
        <v>437</v>
      </c>
      <c r="F275" s="2" t="s">
        <v>438</v>
      </c>
      <c r="G275" s="2" t="s">
        <v>439</v>
      </c>
      <c r="H275" s="2" t="s">
        <v>118</v>
      </c>
      <c r="I275" s="2">
        <f>I273*J275</f>
        <v>1</v>
      </c>
      <c r="J275" s="2">
        <v>1</v>
      </c>
      <c r="K275" s="2">
        <v>1</v>
      </c>
      <c r="L275" s="2"/>
      <c r="M275" s="2"/>
      <c r="N275" s="2"/>
      <c r="O275" s="2">
        <f t="shared" si="329"/>
        <v>1798.97</v>
      </c>
      <c r="P275" s="2">
        <f>ROUND((ROUND((AC275*I275),2)*BC275),2)</f>
        <v>1798.97</v>
      </c>
      <c r="Q275" s="2">
        <f t="shared" ref="Q275:Q280" si="358">(ROUND((ROUND(((ET275)*AV275*I275),2)*BB275),2)+ROUND((ROUND(((AE275-(EU275))*AV275*I275),2)*BS275),2))</f>
        <v>0</v>
      </c>
      <c r="R275" s="2">
        <f t="shared" ref="R275:R280" si="359">(ROUND((ROUND(((EU275)*AV275*I275),2)*BS275),2)+ROUND((ROUND(((AE275-(EU275))*AV275*I275),2)*BS275),2))</f>
        <v>0</v>
      </c>
      <c r="S275" s="2">
        <f t="shared" si="331"/>
        <v>0</v>
      </c>
      <c r="T275" s="2">
        <f t="shared" si="332"/>
        <v>0</v>
      </c>
      <c r="U275" s="2">
        <f t="shared" si="333"/>
        <v>0</v>
      </c>
      <c r="V275" s="2">
        <f t="shared" si="334"/>
        <v>0</v>
      </c>
      <c r="W275" s="2">
        <f t="shared" si="335"/>
        <v>0</v>
      </c>
      <c r="X275" s="2">
        <f t="shared" ref="X275:X280" si="360">(ROUND((((S275+ROUND((ROUND(((EU275)*AV275*I275),2)*BS275),2))*AT275)/100),2)+ROUND(((ROUND((ROUND(((AE275-(EU275))*AV275*I275),2)*BS275),2)*AT275)/100),2))</f>
        <v>0</v>
      </c>
      <c r="Y275" s="2">
        <f t="shared" ref="Y275:Y280" si="361">(ROUND((((S275+ROUND((ROUND(((EU275)*AV275*I275),2)*BS275),2))*AU275)/100),2)+ROUND(((ROUND((ROUND(((AE275-(EU275))*AV275*I275),2)*BS275),2)*AU275)/100),2))</f>
        <v>0</v>
      </c>
      <c r="Z275" s="2"/>
      <c r="AA275" s="2">
        <v>55747649</v>
      </c>
      <c r="AB275" s="2">
        <f t="shared" si="336"/>
        <v>1798.97</v>
      </c>
      <c r="AC275" s="2">
        <f t="shared" ref="AC275:AC280" si="362">ROUND((ES275),6)</f>
        <v>1798.97</v>
      </c>
      <c r="AD275" s="2">
        <f t="shared" ref="AD275:AD280" si="363">ROUND((((ET275)-(EU275))+AE275),6)</f>
        <v>0</v>
      </c>
      <c r="AE275" s="2">
        <f t="shared" ref="AE275:AF280" si="364">ROUND((EU275),6)</f>
        <v>0</v>
      </c>
      <c r="AF275" s="2">
        <f t="shared" si="364"/>
        <v>0</v>
      </c>
      <c r="AG275" s="2">
        <f t="shared" si="337"/>
        <v>0</v>
      </c>
      <c r="AH275" s="2">
        <f t="shared" ref="AH275:AI280" si="365">(EW275)</f>
        <v>0</v>
      </c>
      <c r="AI275" s="2">
        <f t="shared" si="365"/>
        <v>0</v>
      </c>
      <c r="AJ275" s="2">
        <f t="shared" si="338"/>
        <v>0</v>
      </c>
      <c r="AK275" s="2">
        <v>1798.9699999999998</v>
      </c>
      <c r="AL275" s="2">
        <v>1798.9699999999998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1</v>
      </c>
      <c r="AW275" s="2">
        <v>1</v>
      </c>
      <c r="AX275" s="2"/>
      <c r="AY275" s="2"/>
      <c r="AZ275" s="2">
        <v>1</v>
      </c>
      <c r="BA275" s="2">
        <v>1</v>
      </c>
      <c r="BB275" s="2">
        <v>1</v>
      </c>
      <c r="BC275" s="2">
        <v>1</v>
      </c>
      <c r="BD275" s="2" t="s">
        <v>3</v>
      </c>
      <c r="BE275" s="2" t="s">
        <v>3</v>
      </c>
      <c r="BF275" s="2" t="s">
        <v>3</v>
      </c>
      <c r="BG275" s="2" t="s">
        <v>3</v>
      </c>
      <c r="BH275" s="2">
        <v>3</v>
      </c>
      <c r="BI275" s="2">
        <v>3</v>
      </c>
      <c r="BJ275" s="2" t="s">
        <v>3</v>
      </c>
      <c r="BK275" s="2"/>
      <c r="BL275" s="2"/>
      <c r="BM275" s="2">
        <v>746</v>
      </c>
      <c r="BN275" s="2">
        <v>0</v>
      </c>
      <c r="BO275" s="2" t="s">
        <v>3</v>
      </c>
      <c r="BP275" s="2">
        <v>0</v>
      </c>
      <c r="BQ275" s="2">
        <v>130</v>
      </c>
      <c r="BR275" s="2">
        <v>0</v>
      </c>
      <c r="BS275" s="2">
        <v>1</v>
      </c>
      <c r="BT275" s="2">
        <v>1</v>
      </c>
      <c r="BU275" s="2">
        <v>1</v>
      </c>
      <c r="BV275" s="2">
        <v>1</v>
      </c>
      <c r="BW275" s="2">
        <v>1</v>
      </c>
      <c r="BX275" s="2">
        <v>1</v>
      </c>
      <c r="BY275" s="2" t="s">
        <v>3</v>
      </c>
      <c r="BZ275" s="2">
        <v>90</v>
      </c>
      <c r="CA275" s="2">
        <v>46</v>
      </c>
      <c r="CB275" s="2" t="s">
        <v>3</v>
      </c>
      <c r="CC275" s="2"/>
      <c r="CD275" s="2"/>
      <c r="CE275" s="2">
        <v>1566</v>
      </c>
      <c r="CF275" s="2">
        <v>0</v>
      </c>
      <c r="CG275" s="2">
        <v>0</v>
      </c>
      <c r="CH275" s="2"/>
      <c r="CI275" s="2"/>
      <c r="CJ275" s="2"/>
      <c r="CK275" s="2"/>
      <c r="CL275" s="2"/>
      <c r="CM275" s="2">
        <v>0</v>
      </c>
      <c r="CN275" s="2" t="s">
        <v>718</v>
      </c>
      <c r="CO275" s="2">
        <v>0</v>
      </c>
      <c r="CP275" s="2">
        <f t="shared" si="339"/>
        <v>1798.97</v>
      </c>
      <c r="CQ275" s="2">
        <f>ROUND((ROUND((AC275*1),2)*BC275),2)</f>
        <v>1798.97</v>
      </c>
      <c r="CR275" s="2">
        <f t="shared" ref="CR275:CR280" si="366">(ROUND((ROUND(((ET275)*AV275*1),2)*BB275),2)+ROUND((ROUND(((AE275-(EU275))*AV275*1),2)*BS275),2))</f>
        <v>0</v>
      </c>
      <c r="CS275" s="2">
        <f t="shared" ref="CS275:CS280" si="367">(ROUND((ROUND(((EU275)*AV275*1),2)*BS275),2)+ROUND((ROUND(((AE275-(EU275))*AV275*1),2)*BS275),2))</f>
        <v>0</v>
      </c>
      <c r="CT275" s="2">
        <f t="shared" si="341"/>
        <v>0</v>
      </c>
      <c r="CU275" s="2">
        <f t="shared" si="342"/>
        <v>0</v>
      </c>
      <c r="CV275" s="2">
        <f t="shared" si="343"/>
        <v>0</v>
      </c>
      <c r="CW275" s="2">
        <f t="shared" si="344"/>
        <v>0</v>
      </c>
      <c r="CX275" s="2">
        <f t="shared" si="345"/>
        <v>0</v>
      </c>
      <c r="CY275" s="2">
        <f t="shared" ref="CY275:CY280" si="368">(ROUND((((S275+ROUND((ROUND(((EU275)*AV275*1),2)*BS275),2))*AT275)/100),2)+ROUND(((ROUND((ROUND(((AE275-(EU275))*AV275*1),2)*BS275),2)*AT275)/100),2))</f>
        <v>0</v>
      </c>
      <c r="CZ275" s="2">
        <f t="shared" ref="CZ275:CZ280" si="369">(ROUND((((S275+ROUND((ROUND(((EU275)*AV275*1),2)*BS275),2))*AU275)/100),2)+ROUND(((ROUND((ROUND(((AE275-(EU275))*AV275*1),2)*BS275),2)*AU275)/100),2))</f>
        <v>0</v>
      </c>
      <c r="DA275" s="2"/>
      <c r="DB275" s="2"/>
      <c r="DC275" s="2" t="s">
        <v>3</v>
      </c>
      <c r="DD275" s="2" t="s">
        <v>3</v>
      </c>
      <c r="DE275" s="2" t="s">
        <v>3</v>
      </c>
      <c r="DF275" s="2" t="s">
        <v>3</v>
      </c>
      <c r="DG275" s="2" t="s">
        <v>3</v>
      </c>
      <c r="DH275" s="2" t="s">
        <v>3</v>
      </c>
      <c r="DI275" s="2" t="s">
        <v>3</v>
      </c>
      <c r="DJ275" s="2" t="s">
        <v>3</v>
      </c>
      <c r="DK275" s="2" t="s">
        <v>3</v>
      </c>
      <c r="DL275" s="2" t="s">
        <v>3</v>
      </c>
      <c r="DM275" s="2" t="s">
        <v>3</v>
      </c>
      <c r="DN275" s="2">
        <v>0</v>
      </c>
      <c r="DO275" s="2">
        <v>0</v>
      </c>
      <c r="DP275" s="2">
        <v>1</v>
      </c>
      <c r="DQ275" s="2">
        <v>1</v>
      </c>
      <c r="DR275" s="2"/>
      <c r="DS275" s="2"/>
      <c r="DT275" s="2"/>
      <c r="DU275" s="2">
        <v>1010</v>
      </c>
      <c r="DV275" s="2" t="s">
        <v>118</v>
      </c>
      <c r="DW275" s="2" t="s">
        <v>118</v>
      </c>
      <c r="DX275" s="2">
        <v>1</v>
      </c>
      <c r="DY275" s="2"/>
      <c r="DZ275" s="2" t="s">
        <v>3</v>
      </c>
      <c r="EA275" s="2" t="s">
        <v>3</v>
      </c>
      <c r="EB275" s="2" t="s">
        <v>3</v>
      </c>
      <c r="EC275" s="2" t="s">
        <v>3</v>
      </c>
      <c r="ED275" s="2"/>
      <c r="EE275" s="2">
        <v>56938841</v>
      </c>
      <c r="EF275" s="2">
        <v>130</v>
      </c>
      <c r="EG275" s="2" t="s">
        <v>105</v>
      </c>
      <c r="EH275" s="2">
        <v>0</v>
      </c>
      <c r="EI275" s="2" t="s">
        <v>3</v>
      </c>
      <c r="EJ275" s="2">
        <v>3</v>
      </c>
      <c r="EK275" s="2">
        <v>746</v>
      </c>
      <c r="EL275" s="2" t="s">
        <v>106</v>
      </c>
      <c r="EM275" s="2" t="s">
        <v>107</v>
      </c>
      <c r="EN275" s="2"/>
      <c r="EO275" s="2" t="s">
        <v>50</v>
      </c>
      <c r="EP275" s="2"/>
      <c r="EQ275" s="2">
        <v>0</v>
      </c>
      <c r="ER275" s="2">
        <v>0</v>
      </c>
      <c r="ES275" s="2">
        <v>1798.9699999999998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>
        <v>0</v>
      </c>
      <c r="FR275" s="2">
        <f>P275</f>
        <v>1798.97</v>
      </c>
      <c r="FS275" s="2">
        <v>0</v>
      </c>
      <c r="FT275" s="2"/>
      <c r="FU275" s="2"/>
      <c r="FV275" s="2"/>
      <c r="FW275" s="2"/>
      <c r="FX275" s="2">
        <v>90</v>
      </c>
      <c r="FY275" s="2">
        <v>46</v>
      </c>
      <c r="FZ275" s="2"/>
      <c r="GA275" s="2" t="s">
        <v>440</v>
      </c>
      <c r="GB275" s="2"/>
      <c r="GC275" s="2"/>
      <c r="GD275" s="2">
        <v>1</v>
      </c>
      <c r="GE275" s="2"/>
      <c r="GF275" s="2">
        <v>-1856623460</v>
      </c>
      <c r="GG275" s="2">
        <v>2</v>
      </c>
      <c r="GH275" s="2">
        <v>4</v>
      </c>
      <c r="GI275" s="2">
        <v>-2</v>
      </c>
      <c r="GJ275" s="2">
        <v>0</v>
      </c>
      <c r="GK275" s="2">
        <v>0</v>
      </c>
      <c r="GL275" s="2">
        <f t="shared" si="346"/>
        <v>0</v>
      </c>
      <c r="GM275" s="2">
        <f t="shared" si="347"/>
        <v>1798.97</v>
      </c>
      <c r="GN275" s="2">
        <f t="shared" si="348"/>
        <v>0</v>
      </c>
      <c r="GO275" s="2">
        <f t="shared" si="349"/>
        <v>0</v>
      </c>
      <c r="GP275" s="2">
        <f t="shared" si="350"/>
        <v>0</v>
      </c>
      <c r="GQ275" s="2"/>
      <c r="GR275" s="2">
        <v>0</v>
      </c>
      <c r="GS275" s="2">
        <v>2</v>
      </c>
      <c r="GT275" s="2">
        <v>0</v>
      </c>
      <c r="GU275" s="2" t="s">
        <v>3</v>
      </c>
      <c r="GV275" s="2">
        <f t="shared" si="351"/>
        <v>0</v>
      </c>
      <c r="GW275" s="2">
        <v>1</v>
      </c>
      <c r="GX275" s="2">
        <f t="shared" si="352"/>
        <v>0</v>
      </c>
      <c r="GY275" s="2"/>
      <c r="GZ275" s="2"/>
      <c r="HA275" s="2">
        <v>0</v>
      </c>
      <c r="HB275" s="2">
        <v>0</v>
      </c>
      <c r="HC275" s="2">
        <f t="shared" si="353"/>
        <v>0</v>
      </c>
      <c r="HD275" s="2"/>
      <c r="HE275" s="2" t="s">
        <v>72</v>
      </c>
      <c r="HF275" s="2" t="s">
        <v>110</v>
      </c>
      <c r="HG275" s="2"/>
      <c r="HH275" s="2"/>
      <c r="HI275" s="2"/>
      <c r="HJ275" s="2"/>
      <c r="HK275" s="2"/>
      <c r="HL275" s="2"/>
      <c r="HM275" s="2" t="s">
        <v>48</v>
      </c>
      <c r="HN275" s="2" t="s">
        <v>3</v>
      </c>
      <c r="HO275" s="2" t="s">
        <v>3</v>
      </c>
      <c r="HP275" s="2" t="s">
        <v>3</v>
      </c>
      <c r="HQ275" s="2" t="s">
        <v>3</v>
      </c>
      <c r="HR275" s="2"/>
      <c r="HS275" s="2">
        <v>0</v>
      </c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>
        <v>0</v>
      </c>
      <c r="IL275" s="2"/>
      <c r="IM275" s="2"/>
      <c r="IN275" s="2"/>
      <c r="IO275" s="2"/>
      <c r="IP275" s="2"/>
      <c r="IQ275" s="2"/>
      <c r="IR275" s="2"/>
      <c r="IS275" s="2"/>
      <c r="IT275" s="2"/>
      <c r="IU275" s="2"/>
    </row>
    <row r="276" spans="1:255" x14ac:dyDescent="0.2">
      <c r="A276" s="3">
        <v>18</v>
      </c>
      <c r="B276" s="3">
        <v>1</v>
      </c>
      <c r="C276" s="3">
        <v>704</v>
      </c>
      <c r="E276" s="3" t="s">
        <v>437</v>
      </c>
      <c r="F276" s="3" t="s">
        <v>438</v>
      </c>
      <c r="G276" s="3" t="s">
        <v>439</v>
      </c>
      <c r="H276" s="3" t="s">
        <v>118</v>
      </c>
      <c r="I276" s="3">
        <f>I274*J276</f>
        <v>1</v>
      </c>
      <c r="J276" s="3">
        <v>1</v>
      </c>
      <c r="K276" s="3">
        <v>1</v>
      </c>
      <c r="O276" s="3">
        <f t="shared" si="329"/>
        <v>13618.2</v>
      </c>
      <c r="P276" s="3">
        <f>ROUND((ROUND((AC276*I276),2)*BC276),2)</f>
        <v>13618.2</v>
      </c>
      <c r="Q276" s="3">
        <f t="shared" si="358"/>
        <v>0</v>
      </c>
      <c r="R276" s="3">
        <f t="shared" si="359"/>
        <v>0</v>
      </c>
      <c r="S276" s="3">
        <f t="shared" si="331"/>
        <v>0</v>
      </c>
      <c r="T276" s="3">
        <f t="shared" si="332"/>
        <v>0</v>
      </c>
      <c r="U276" s="3">
        <f t="shared" si="333"/>
        <v>0</v>
      </c>
      <c r="V276" s="3">
        <f t="shared" si="334"/>
        <v>0</v>
      </c>
      <c r="W276" s="3">
        <f t="shared" si="335"/>
        <v>0</v>
      </c>
      <c r="X276" s="3">
        <f t="shared" si="360"/>
        <v>0</v>
      </c>
      <c r="Y276" s="3">
        <f t="shared" si="361"/>
        <v>0</v>
      </c>
      <c r="AA276" s="3">
        <v>55747651</v>
      </c>
      <c r="AB276" s="3">
        <f t="shared" si="336"/>
        <v>1798.97</v>
      </c>
      <c r="AC276" s="3">
        <f t="shared" si="362"/>
        <v>1798.97</v>
      </c>
      <c r="AD276" s="3">
        <f t="shared" si="363"/>
        <v>0</v>
      </c>
      <c r="AE276" s="3">
        <f t="shared" si="364"/>
        <v>0</v>
      </c>
      <c r="AF276" s="3">
        <f t="shared" si="364"/>
        <v>0</v>
      </c>
      <c r="AG276" s="3">
        <f t="shared" si="337"/>
        <v>0</v>
      </c>
      <c r="AH276" s="3">
        <f t="shared" si="365"/>
        <v>0</v>
      </c>
      <c r="AI276" s="3">
        <f t="shared" si="365"/>
        <v>0</v>
      </c>
      <c r="AJ276" s="3">
        <f t="shared" si="338"/>
        <v>0</v>
      </c>
      <c r="AK276" s="3">
        <v>1798.9699999999998</v>
      </c>
      <c r="AL276" s="3">
        <v>1798.9699999999998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1</v>
      </c>
      <c r="AW276" s="3">
        <v>1</v>
      </c>
      <c r="AZ276" s="3">
        <v>1</v>
      </c>
      <c r="BA276" s="3">
        <v>1</v>
      </c>
      <c r="BB276" s="3">
        <v>1</v>
      </c>
      <c r="BC276" s="3">
        <v>7.57</v>
      </c>
      <c r="BD276" s="3" t="s">
        <v>3</v>
      </c>
      <c r="BE276" s="3" t="s">
        <v>3</v>
      </c>
      <c r="BF276" s="3" t="s">
        <v>3</v>
      </c>
      <c r="BG276" s="3" t="s">
        <v>3</v>
      </c>
      <c r="BH276" s="3">
        <v>3</v>
      </c>
      <c r="BI276" s="3">
        <v>3</v>
      </c>
      <c r="BJ276" s="3" t="s">
        <v>3</v>
      </c>
      <c r="BM276" s="3">
        <v>746</v>
      </c>
      <c r="BN276" s="3">
        <v>0</v>
      </c>
      <c r="BO276" s="3" t="s">
        <v>3</v>
      </c>
      <c r="BP276" s="3">
        <v>0</v>
      </c>
      <c r="BQ276" s="3">
        <v>130</v>
      </c>
      <c r="BR276" s="3">
        <v>0</v>
      </c>
      <c r="BS276" s="3">
        <v>1</v>
      </c>
      <c r="BT276" s="3">
        <v>1</v>
      </c>
      <c r="BU276" s="3">
        <v>1</v>
      </c>
      <c r="BV276" s="3">
        <v>1</v>
      </c>
      <c r="BW276" s="3">
        <v>1</v>
      </c>
      <c r="BX276" s="3">
        <v>1</v>
      </c>
      <c r="BY276" s="3" t="s">
        <v>3</v>
      </c>
      <c r="BZ276" s="3">
        <v>90</v>
      </c>
      <c r="CA276" s="3">
        <v>46</v>
      </c>
      <c r="CB276" s="3" t="s">
        <v>3</v>
      </c>
      <c r="CE276" s="3">
        <v>1566</v>
      </c>
      <c r="CF276" s="3">
        <v>0</v>
      </c>
      <c r="CG276" s="3">
        <v>0</v>
      </c>
      <c r="CM276" s="3">
        <v>0</v>
      </c>
      <c r="CN276" s="3" t="s">
        <v>718</v>
      </c>
      <c r="CO276" s="3">
        <v>0</v>
      </c>
      <c r="CP276" s="3">
        <f t="shared" si="339"/>
        <v>13618.2</v>
      </c>
      <c r="CQ276" s="3">
        <f>ROUND((ROUND((AC276*1),2)*BC276),2)</f>
        <v>13618.2</v>
      </c>
      <c r="CR276" s="3">
        <f t="shared" si="366"/>
        <v>0</v>
      </c>
      <c r="CS276" s="3">
        <f t="shared" si="367"/>
        <v>0</v>
      </c>
      <c r="CT276" s="3">
        <f t="shared" si="341"/>
        <v>0</v>
      </c>
      <c r="CU276" s="3">
        <f t="shared" si="342"/>
        <v>0</v>
      </c>
      <c r="CV276" s="3">
        <f t="shared" si="343"/>
        <v>0</v>
      </c>
      <c r="CW276" s="3">
        <f t="shared" si="344"/>
        <v>0</v>
      </c>
      <c r="CX276" s="3">
        <f t="shared" si="345"/>
        <v>0</v>
      </c>
      <c r="CY276" s="3">
        <f t="shared" si="368"/>
        <v>0</v>
      </c>
      <c r="CZ276" s="3">
        <f t="shared" si="369"/>
        <v>0</v>
      </c>
      <c r="DC276" s="3" t="s">
        <v>3</v>
      </c>
      <c r="DD276" s="3" t="s">
        <v>3</v>
      </c>
      <c r="DE276" s="3" t="s">
        <v>3</v>
      </c>
      <c r="DF276" s="3" t="s">
        <v>3</v>
      </c>
      <c r="DG276" s="3" t="s">
        <v>3</v>
      </c>
      <c r="DH276" s="3" t="s">
        <v>3</v>
      </c>
      <c r="DI276" s="3" t="s">
        <v>3</v>
      </c>
      <c r="DJ276" s="3" t="s">
        <v>3</v>
      </c>
      <c r="DK276" s="3" t="s">
        <v>3</v>
      </c>
      <c r="DL276" s="3" t="s">
        <v>3</v>
      </c>
      <c r="DM276" s="3" t="s">
        <v>3</v>
      </c>
      <c r="DN276" s="3">
        <v>0</v>
      </c>
      <c r="DO276" s="3">
        <v>0</v>
      </c>
      <c r="DP276" s="3">
        <v>1</v>
      </c>
      <c r="DQ276" s="3">
        <v>1</v>
      </c>
      <c r="DU276" s="3">
        <v>1010</v>
      </c>
      <c r="DV276" s="3" t="s">
        <v>118</v>
      </c>
      <c r="DW276" s="3" t="s">
        <v>118</v>
      </c>
      <c r="DX276" s="3">
        <v>1</v>
      </c>
      <c r="DZ276" s="3" t="s">
        <v>3</v>
      </c>
      <c r="EA276" s="3" t="s">
        <v>3</v>
      </c>
      <c r="EB276" s="3" t="s">
        <v>3</v>
      </c>
      <c r="EC276" s="3" t="s">
        <v>3</v>
      </c>
      <c r="EE276" s="3">
        <v>56938841</v>
      </c>
      <c r="EF276" s="3">
        <v>130</v>
      </c>
      <c r="EG276" s="3" t="s">
        <v>105</v>
      </c>
      <c r="EH276" s="3">
        <v>0</v>
      </c>
      <c r="EI276" s="3" t="s">
        <v>3</v>
      </c>
      <c r="EJ276" s="3">
        <v>3</v>
      </c>
      <c r="EK276" s="3">
        <v>746</v>
      </c>
      <c r="EL276" s="3" t="s">
        <v>106</v>
      </c>
      <c r="EM276" s="3" t="s">
        <v>107</v>
      </c>
      <c r="EO276" s="3" t="s">
        <v>50</v>
      </c>
      <c r="EQ276" s="3">
        <v>0</v>
      </c>
      <c r="ER276" s="3">
        <v>1798.9699999999998</v>
      </c>
      <c r="ES276" s="3">
        <v>1798.9699999999998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Z276" s="3">
        <v>5</v>
      </c>
      <c r="FC276" s="3">
        <v>1</v>
      </c>
      <c r="FD276" s="3">
        <v>18</v>
      </c>
      <c r="FF276" s="3">
        <v>15939</v>
      </c>
      <c r="FQ276" s="3">
        <v>0</v>
      </c>
      <c r="FR276" s="3">
        <f>P276</f>
        <v>13618.2</v>
      </c>
      <c r="FS276" s="3">
        <v>0</v>
      </c>
      <c r="FX276" s="3">
        <v>90</v>
      </c>
      <c r="FY276" s="3">
        <v>46</v>
      </c>
      <c r="GA276" s="3" t="s">
        <v>440</v>
      </c>
      <c r="GD276" s="3">
        <v>1</v>
      </c>
      <c r="GF276" s="3">
        <v>-1856623460</v>
      </c>
      <c r="GG276" s="3">
        <v>2</v>
      </c>
      <c r="GH276" s="3">
        <v>3</v>
      </c>
      <c r="GI276" s="3">
        <v>5</v>
      </c>
      <c r="GJ276" s="3">
        <v>0</v>
      </c>
      <c r="GK276" s="3">
        <v>0</v>
      </c>
      <c r="GL276" s="3">
        <f t="shared" si="346"/>
        <v>0</v>
      </c>
      <c r="GM276" s="3">
        <f t="shared" si="347"/>
        <v>13618.2</v>
      </c>
      <c r="GN276" s="3">
        <f t="shared" si="348"/>
        <v>0</v>
      </c>
      <c r="GO276" s="3">
        <f t="shared" si="349"/>
        <v>0</v>
      </c>
      <c r="GP276" s="3">
        <f t="shared" si="350"/>
        <v>0</v>
      </c>
      <c r="GR276" s="3">
        <v>1</v>
      </c>
      <c r="GS276" s="3">
        <v>1</v>
      </c>
      <c r="GT276" s="3">
        <v>0</v>
      </c>
      <c r="GU276" s="3" t="s">
        <v>3</v>
      </c>
      <c r="GV276" s="3">
        <f t="shared" si="351"/>
        <v>0</v>
      </c>
      <c r="GW276" s="3">
        <v>1</v>
      </c>
      <c r="GX276" s="3">
        <f t="shared" si="352"/>
        <v>0</v>
      </c>
      <c r="HA276" s="3">
        <v>0</v>
      </c>
      <c r="HB276" s="3">
        <v>0</v>
      </c>
      <c r="HC276" s="3">
        <f t="shared" si="353"/>
        <v>0</v>
      </c>
      <c r="HE276" s="3" t="s">
        <v>72</v>
      </c>
      <c r="HF276" s="3" t="s">
        <v>110</v>
      </c>
      <c r="HM276" s="3" t="s">
        <v>48</v>
      </c>
      <c r="HN276" s="3" t="s">
        <v>3</v>
      </c>
      <c r="HO276" s="3" t="s">
        <v>3</v>
      </c>
      <c r="HP276" s="3" t="s">
        <v>3</v>
      </c>
      <c r="HQ276" s="3" t="s">
        <v>3</v>
      </c>
      <c r="HS276" s="3">
        <v>0</v>
      </c>
      <c r="IK276" s="3">
        <v>0</v>
      </c>
    </row>
    <row r="277" spans="1:255" x14ac:dyDescent="0.2">
      <c r="A277" s="2">
        <v>17</v>
      </c>
      <c r="B277" s="2">
        <v>1</v>
      </c>
      <c r="C277" s="2"/>
      <c r="D277" s="2"/>
      <c r="E277" s="2" t="s">
        <v>441</v>
      </c>
      <c r="F277" s="2" t="s">
        <v>241</v>
      </c>
      <c r="G277" s="2" t="s">
        <v>242</v>
      </c>
      <c r="H277" s="2" t="s">
        <v>118</v>
      </c>
      <c r="I277" s="2">
        <v>90</v>
      </c>
      <c r="J277" s="2">
        <v>0</v>
      </c>
      <c r="K277" s="2">
        <v>90</v>
      </c>
      <c r="L277" s="2"/>
      <c r="M277" s="2"/>
      <c r="N277" s="2"/>
      <c r="O277" s="2">
        <f t="shared" si="329"/>
        <v>582.29999999999995</v>
      </c>
      <c r="P277" s="2">
        <f t="shared" ref="P277:P286" si="370">ROUND((ROUND((AC277*AW277*I277),2)*BC277),2)</f>
        <v>582.29999999999995</v>
      </c>
      <c r="Q277" s="2">
        <f t="shared" si="358"/>
        <v>0</v>
      </c>
      <c r="R277" s="2">
        <f t="shared" si="359"/>
        <v>0</v>
      </c>
      <c r="S277" s="2">
        <f t="shared" si="331"/>
        <v>0</v>
      </c>
      <c r="T277" s="2">
        <f t="shared" si="332"/>
        <v>0</v>
      </c>
      <c r="U277" s="2">
        <f t="shared" si="333"/>
        <v>0</v>
      </c>
      <c r="V277" s="2">
        <f t="shared" si="334"/>
        <v>0</v>
      </c>
      <c r="W277" s="2">
        <f t="shared" si="335"/>
        <v>0</v>
      </c>
      <c r="X277" s="2">
        <f t="shared" si="360"/>
        <v>0</v>
      </c>
      <c r="Y277" s="2">
        <f t="shared" si="361"/>
        <v>0</v>
      </c>
      <c r="Z277" s="2"/>
      <c r="AA277" s="2">
        <v>55747649</v>
      </c>
      <c r="AB277" s="2">
        <f t="shared" si="336"/>
        <v>6.47</v>
      </c>
      <c r="AC277" s="2">
        <f t="shared" si="362"/>
        <v>6.47</v>
      </c>
      <c r="AD277" s="2">
        <f t="shared" si="363"/>
        <v>0</v>
      </c>
      <c r="AE277" s="2">
        <f t="shared" si="364"/>
        <v>0</v>
      </c>
      <c r="AF277" s="2">
        <f t="shared" si="364"/>
        <v>0</v>
      </c>
      <c r="AG277" s="2">
        <f t="shared" si="337"/>
        <v>0</v>
      </c>
      <c r="AH277" s="2">
        <f t="shared" si="365"/>
        <v>0</v>
      </c>
      <c r="AI277" s="2">
        <f t="shared" si="365"/>
        <v>0</v>
      </c>
      <c r="AJ277" s="2">
        <f t="shared" si="338"/>
        <v>0</v>
      </c>
      <c r="AK277" s="2">
        <v>6.47</v>
      </c>
      <c r="AL277" s="2">
        <v>6.47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1</v>
      </c>
      <c r="AW277" s="2">
        <v>1</v>
      </c>
      <c r="AX277" s="2"/>
      <c r="AY277" s="2"/>
      <c r="AZ277" s="2">
        <v>1</v>
      </c>
      <c r="BA277" s="2">
        <v>1</v>
      </c>
      <c r="BB277" s="2">
        <v>1</v>
      </c>
      <c r="BC277" s="2">
        <v>1</v>
      </c>
      <c r="BD277" s="2" t="s">
        <v>3</v>
      </c>
      <c r="BE277" s="2" t="s">
        <v>3</v>
      </c>
      <c r="BF277" s="2" t="s">
        <v>3</v>
      </c>
      <c r="BG277" s="2" t="s">
        <v>3</v>
      </c>
      <c r="BH277" s="2">
        <v>3</v>
      </c>
      <c r="BI277" s="2">
        <v>1</v>
      </c>
      <c r="BJ277" s="2" t="s">
        <v>243</v>
      </c>
      <c r="BK277" s="2"/>
      <c r="BL277" s="2"/>
      <c r="BM277" s="2">
        <v>1617</v>
      </c>
      <c r="BN277" s="2">
        <v>0</v>
      </c>
      <c r="BO277" s="2" t="s">
        <v>3</v>
      </c>
      <c r="BP277" s="2">
        <v>0</v>
      </c>
      <c r="BQ277" s="2">
        <v>200</v>
      </c>
      <c r="BR277" s="2">
        <v>0</v>
      </c>
      <c r="BS277" s="2">
        <v>1</v>
      </c>
      <c r="BT277" s="2">
        <v>1</v>
      </c>
      <c r="BU277" s="2">
        <v>1</v>
      </c>
      <c r="BV277" s="2">
        <v>1</v>
      </c>
      <c r="BW277" s="2">
        <v>1</v>
      </c>
      <c r="BX277" s="2">
        <v>1</v>
      </c>
      <c r="BY277" s="2" t="s">
        <v>3</v>
      </c>
      <c r="BZ277" s="2">
        <v>0</v>
      </c>
      <c r="CA277" s="2">
        <v>0</v>
      </c>
      <c r="CB277" s="2" t="s">
        <v>3</v>
      </c>
      <c r="CC277" s="2"/>
      <c r="CD277" s="2"/>
      <c r="CE277" s="2">
        <v>1566</v>
      </c>
      <c r="CF277" s="2">
        <v>0</v>
      </c>
      <c r="CG277" s="2">
        <v>0</v>
      </c>
      <c r="CH277" s="2"/>
      <c r="CI277" s="2"/>
      <c r="CJ277" s="2"/>
      <c r="CK277" s="2"/>
      <c r="CL277" s="2"/>
      <c r="CM277" s="2">
        <v>0</v>
      </c>
      <c r="CN277" s="2" t="s">
        <v>3</v>
      </c>
      <c r="CO277" s="2">
        <v>0</v>
      </c>
      <c r="CP277" s="2">
        <f t="shared" si="339"/>
        <v>582.29999999999995</v>
      </c>
      <c r="CQ277" s="2">
        <f t="shared" ref="CQ277:CQ286" si="371">ROUND((ROUND((AC277*AW277*1),2)*BC277),2)</f>
        <v>6.47</v>
      </c>
      <c r="CR277" s="2">
        <f t="shared" si="366"/>
        <v>0</v>
      </c>
      <c r="CS277" s="2">
        <f t="shared" si="367"/>
        <v>0</v>
      </c>
      <c r="CT277" s="2">
        <f t="shared" si="341"/>
        <v>0</v>
      </c>
      <c r="CU277" s="2">
        <f t="shared" si="342"/>
        <v>0</v>
      </c>
      <c r="CV277" s="2">
        <f t="shared" si="343"/>
        <v>0</v>
      </c>
      <c r="CW277" s="2">
        <f t="shared" si="344"/>
        <v>0</v>
      </c>
      <c r="CX277" s="2">
        <f t="shared" si="345"/>
        <v>0</v>
      </c>
      <c r="CY277" s="2">
        <f t="shared" si="368"/>
        <v>0</v>
      </c>
      <c r="CZ277" s="2">
        <f t="shared" si="369"/>
        <v>0</v>
      </c>
      <c r="DA277" s="2"/>
      <c r="DB277" s="2"/>
      <c r="DC277" s="2" t="s">
        <v>3</v>
      </c>
      <c r="DD277" s="2" t="s">
        <v>3</v>
      </c>
      <c r="DE277" s="2" t="s">
        <v>3</v>
      </c>
      <c r="DF277" s="2" t="s">
        <v>3</v>
      </c>
      <c r="DG277" s="2" t="s">
        <v>3</v>
      </c>
      <c r="DH277" s="2" t="s">
        <v>3</v>
      </c>
      <c r="DI277" s="2" t="s">
        <v>3</v>
      </c>
      <c r="DJ277" s="2" t="s">
        <v>3</v>
      </c>
      <c r="DK277" s="2" t="s">
        <v>3</v>
      </c>
      <c r="DL277" s="2" t="s">
        <v>3</v>
      </c>
      <c r="DM277" s="2" t="s">
        <v>3</v>
      </c>
      <c r="DN277" s="2">
        <v>0</v>
      </c>
      <c r="DO277" s="2">
        <v>0</v>
      </c>
      <c r="DP277" s="2">
        <v>1</v>
      </c>
      <c r="DQ277" s="2">
        <v>1</v>
      </c>
      <c r="DR277" s="2"/>
      <c r="DS277" s="2"/>
      <c r="DT277" s="2"/>
      <c r="DU277" s="2">
        <v>1010</v>
      </c>
      <c r="DV277" s="2" t="s">
        <v>118</v>
      </c>
      <c r="DW277" s="2" t="s">
        <v>118</v>
      </c>
      <c r="DX277" s="2">
        <v>1</v>
      </c>
      <c r="DY277" s="2"/>
      <c r="DZ277" s="2" t="s">
        <v>3</v>
      </c>
      <c r="EA277" s="2" t="s">
        <v>3</v>
      </c>
      <c r="EB277" s="2" t="s">
        <v>3</v>
      </c>
      <c r="EC277" s="2" t="s">
        <v>3</v>
      </c>
      <c r="ED277" s="2"/>
      <c r="EE277" s="2">
        <v>56938763</v>
      </c>
      <c r="EF277" s="2">
        <v>200</v>
      </c>
      <c r="EG277" s="2" t="s">
        <v>132</v>
      </c>
      <c r="EH277" s="2">
        <v>0</v>
      </c>
      <c r="EI277" s="2" t="s">
        <v>3</v>
      </c>
      <c r="EJ277" s="2">
        <v>1</v>
      </c>
      <c r="EK277" s="2">
        <v>1617</v>
      </c>
      <c r="EL277" s="2" t="s">
        <v>133</v>
      </c>
      <c r="EM277" s="2" t="s">
        <v>134</v>
      </c>
      <c r="EN277" s="2"/>
      <c r="EO277" s="2" t="s">
        <v>3</v>
      </c>
      <c r="EP277" s="2"/>
      <c r="EQ277" s="2">
        <v>131072</v>
      </c>
      <c r="ER277" s="2">
        <v>6.47</v>
      </c>
      <c r="ES277" s="2">
        <v>6.47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>
        <v>0</v>
      </c>
      <c r="FR277" s="2">
        <v>0</v>
      </c>
      <c r="FS277" s="2">
        <v>0</v>
      </c>
      <c r="FT277" s="2"/>
      <c r="FU277" s="2"/>
      <c r="FV277" s="2"/>
      <c r="FW277" s="2"/>
      <c r="FX277" s="2">
        <v>0</v>
      </c>
      <c r="FY277" s="2">
        <v>0</v>
      </c>
      <c r="FZ277" s="2"/>
      <c r="GA277" s="2" t="s">
        <v>3</v>
      </c>
      <c r="GB277" s="2"/>
      <c r="GC277" s="2"/>
      <c r="GD277" s="2">
        <v>1</v>
      </c>
      <c r="GE277" s="2"/>
      <c r="GF277" s="2">
        <v>1651073840</v>
      </c>
      <c r="GG277" s="2">
        <v>2</v>
      </c>
      <c r="GH277" s="2">
        <v>1</v>
      </c>
      <c r="GI277" s="2">
        <v>-2</v>
      </c>
      <c r="GJ277" s="2">
        <v>0</v>
      </c>
      <c r="GK277" s="2">
        <v>0</v>
      </c>
      <c r="GL277" s="2">
        <f t="shared" si="346"/>
        <v>0</v>
      </c>
      <c r="GM277" s="2">
        <f t="shared" si="347"/>
        <v>582.29999999999995</v>
      </c>
      <c r="GN277" s="2">
        <f t="shared" si="348"/>
        <v>582.29999999999995</v>
      </c>
      <c r="GO277" s="2">
        <f t="shared" si="349"/>
        <v>0</v>
      </c>
      <c r="GP277" s="2">
        <f t="shared" si="350"/>
        <v>0</v>
      </c>
      <c r="GQ277" s="2"/>
      <c r="GR277" s="2">
        <v>0</v>
      </c>
      <c r="GS277" s="2">
        <v>3</v>
      </c>
      <c r="GT277" s="2">
        <v>0</v>
      </c>
      <c r="GU277" s="2" t="s">
        <v>3</v>
      </c>
      <c r="GV277" s="2">
        <f t="shared" si="351"/>
        <v>0</v>
      </c>
      <c r="GW277" s="2">
        <v>1</v>
      </c>
      <c r="GX277" s="2">
        <f t="shared" si="352"/>
        <v>0</v>
      </c>
      <c r="GY277" s="2"/>
      <c r="GZ277" s="2"/>
      <c r="HA277" s="2">
        <v>0</v>
      </c>
      <c r="HB277" s="2">
        <v>0</v>
      </c>
      <c r="HC277" s="2">
        <f t="shared" si="353"/>
        <v>0</v>
      </c>
      <c r="HD277" s="2"/>
      <c r="HE277" s="2" t="s">
        <v>3</v>
      </c>
      <c r="HF277" s="2" t="s">
        <v>3</v>
      </c>
      <c r="HG277" s="2"/>
      <c r="HH277" s="2"/>
      <c r="HI277" s="2"/>
      <c r="HJ277" s="2"/>
      <c r="HK277" s="2"/>
      <c r="HL277" s="2"/>
      <c r="HM277" s="2" t="s">
        <v>3</v>
      </c>
      <c r="HN277" s="2" t="s">
        <v>3</v>
      </c>
      <c r="HO277" s="2" t="s">
        <v>3</v>
      </c>
      <c r="HP277" s="2" t="s">
        <v>3</v>
      </c>
      <c r="HQ277" s="2" t="s">
        <v>3</v>
      </c>
      <c r="HR277" s="2"/>
      <c r="HS277" s="2">
        <v>0</v>
      </c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>
        <v>0</v>
      </c>
      <c r="IL277" s="2"/>
      <c r="IM277" s="2"/>
      <c r="IN277" s="2"/>
      <c r="IO277" s="2"/>
      <c r="IP277" s="2"/>
      <c r="IQ277" s="2"/>
      <c r="IR277" s="2"/>
      <c r="IS277" s="2"/>
      <c r="IT277" s="2"/>
      <c r="IU277" s="2"/>
    </row>
    <row r="278" spans="1:255" x14ac:dyDescent="0.2">
      <c r="A278" s="3">
        <v>17</v>
      </c>
      <c r="B278" s="3">
        <v>1</v>
      </c>
      <c r="E278" s="3" t="s">
        <v>441</v>
      </c>
      <c r="F278" s="3" t="s">
        <v>241</v>
      </c>
      <c r="G278" s="3" t="s">
        <v>242</v>
      </c>
      <c r="H278" s="3" t="s">
        <v>118</v>
      </c>
      <c r="I278" s="3">
        <v>90</v>
      </c>
      <c r="J278" s="3">
        <v>0</v>
      </c>
      <c r="K278" s="3">
        <v>90</v>
      </c>
      <c r="O278" s="3">
        <f t="shared" si="329"/>
        <v>6574.17</v>
      </c>
      <c r="P278" s="3">
        <f t="shared" si="370"/>
        <v>6574.17</v>
      </c>
      <c r="Q278" s="3">
        <f t="shared" si="358"/>
        <v>0</v>
      </c>
      <c r="R278" s="3">
        <f t="shared" si="359"/>
        <v>0</v>
      </c>
      <c r="S278" s="3">
        <f t="shared" si="331"/>
        <v>0</v>
      </c>
      <c r="T278" s="3">
        <f t="shared" si="332"/>
        <v>0</v>
      </c>
      <c r="U278" s="3">
        <f t="shared" si="333"/>
        <v>0</v>
      </c>
      <c r="V278" s="3">
        <f t="shared" si="334"/>
        <v>0</v>
      </c>
      <c r="W278" s="3">
        <f t="shared" si="335"/>
        <v>0</v>
      </c>
      <c r="X278" s="3">
        <f t="shared" si="360"/>
        <v>0</v>
      </c>
      <c r="Y278" s="3">
        <f t="shared" si="361"/>
        <v>0</v>
      </c>
      <c r="AA278" s="3">
        <v>55747651</v>
      </c>
      <c r="AB278" s="3">
        <f t="shared" si="336"/>
        <v>6.47</v>
      </c>
      <c r="AC278" s="3">
        <f t="shared" si="362"/>
        <v>6.47</v>
      </c>
      <c r="AD278" s="3">
        <f t="shared" si="363"/>
        <v>0</v>
      </c>
      <c r="AE278" s="3">
        <f t="shared" si="364"/>
        <v>0</v>
      </c>
      <c r="AF278" s="3">
        <f t="shared" si="364"/>
        <v>0</v>
      </c>
      <c r="AG278" s="3">
        <f t="shared" si="337"/>
        <v>0</v>
      </c>
      <c r="AH278" s="3">
        <f t="shared" si="365"/>
        <v>0</v>
      </c>
      <c r="AI278" s="3">
        <f t="shared" si="365"/>
        <v>0</v>
      </c>
      <c r="AJ278" s="3">
        <f t="shared" si="338"/>
        <v>0</v>
      </c>
      <c r="AK278" s="3">
        <v>6.47</v>
      </c>
      <c r="AL278" s="3">
        <v>6.47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1</v>
      </c>
      <c r="AW278" s="3">
        <v>1</v>
      </c>
      <c r="AZ278" s="3">
        <v>1</v>
      </c>
      <c r="BA278" s="3">
        <v>1</v>
      </c>
      <c r="BB278" s="3">
        <v>1</v>
      </c>
      <c r="BC278" s="3">
        <v>11.29</v>
      </c>
      <c r="BD278" s="3" t="s">
        <v>3</v>
      </c>
      <c r="BE278" s="3" t="s">
        <v>3</v>
      </c>
      <c r="BF278" s="3" t="s">
        <v>3</v>
      </c>
      <c r="BG278" s="3" t="s">
        <v>3</v>
      </c>
      <c r="BH278" s="3">
        <v>3</v>
      </c>
      <c r="BI278" s="3">
        <v>1</v>
      </c>
      <c r="BJ278" s="3" t="s">
        <v>243</v>
      </c>
      <c r="BM278" s="3">
        <v>1617</v>
      </c>
      <c r="BN278" s="3">
        <v>0</v>
      </c>
      <c r="BO278" s="3" t="s">
        <v>241</v>
      </c>
      <c r="BP278" s="3">
        <v>1</v>
      </c>
      <c r="BQ278" s="3">
        <v>200</v>
      </c>
      <c r="BR278" s="3">
        <v>0</v>
      </c>
      <c r="BS278" s="3">
        <v>1</v>
      </c>
      <c r="BT278" s="3">
        <v>1</v>
      </c>
      <c r="BU278" s="3">
        <v>1</v>
      </c>
      <c r="BV278" s="3">
        <v>1</v>
      </c>
      <c r="BW278" s="3">
        <v>1</v>
      </c>
      <c r="BX278" s="3">
        <v>1</v>
      </c>
      <c r="BY278" s="3" t="s">
        <v>3</v>
      </c>
      <c r="BZ278" s="3">
        <v>0</v>
      </c>
      <c r="CA278" s="3">
        <v>0</v>
      </c>
      <c r="CB278" s="3" t="s">
        <v>3</v>
      </c>
      <c r="CE278" s="3">
        <v>1566</v>
      </c>
      <c r="CF278" s="3">
        <v>0</v>
      </c>
      <c r="CG278" s="3">
        <v>0</v>
      </c>
      <c r="CM278" s="3">
        <v>0</v>
      </c>
      <c r="CN278" s="3" t="s">
        <v>3</v>
      </c>
      <c r="CO278" s="3">
        <v>0</v>
      </c>
      <c r="CP278" s="3">
        <f t="shared" si="339"/>
        <v>6574.17</v>
      </c>
      <c r="CQ278" s="3">
        <f t="shared" si="371"/>
        <v>73.05</v>
      </c>
      <c r="CR278" s="3">
        <f t="shared" si="366"/>
        <v>0</v>
      </c>
      <c r="CS278" s="3">
        <f t="shared" si="367"/>
        <v>0</v>
      </c>
      <c r="CT278" s="3">
        <f t="shared" si="341"/>
        <v>0</v>
      </c>
      <c r="CU278" s="3">
        <f t="shared" si="342"/>
        <v>0</v>
      </c>
      <c r="CV278" s="3">
        <f t="shared" si="343"/>
        <v>0</v>
      </c>
      <c r="CW278" s="3">
        <f t="shared" si="344"/>
        <v>0</v>
      </c>
      <c r="CX278" s="3">
        <f t="shared" si="345"/>
        <v>0</v>
      </c>
      <c r="CY278" s="3">
        <f t="shared" si="368"/>
        <v>0</v>
      </c>
      <c r="CZ278" s="3">
        <f t="shared" si="369"/>
        <v>0</v>
      </c>
      <c r="DC278" s="3" t="s">
        <v>3</v>
      </c>
      <c r="DD278" s="3" t="s">
        <v>3</v>
      </c>
      <c r="DE278" s="3" t="s">
        <v>3</v>
      </c>
      <c r="DF278" s="3" t="s">
        <v>3</v>
      </c>
      <c r="DG278" s="3" t="s">
        <v>3</v>
      </c>
      <c r="DH278" s="3" t="s">
        <v>3</v>
      </c>
      <c r="DI278" s="3" t="s">
        <v>3</v>
      </c>
      <c r="DJ278" s="3" t="s">
        <v>3</v>
      </c>
      <c r="DK278" s="3" t="s">
        <v>3</v>
      </c>
      <c r="DL278" s="3" t="s">
        <v>3</v>
      </c>
      <c r="DM278" s="3" t="s">
        <v>3</v>
      </c>
      <c r="DN278" s="3">
        <v>0</v>
      </c>
      <c r="DO278" s="3">
        <v>0</v>
      </c>
      <c r="DP278" s="3">
        <v>1</v>
      </c>
      <c r="DQ278" s="3">
        <v>1</v>
      </c>
      <c r="DU278" s="3">
        <v>1010</v>
      </c>
      <c r="DV278" s="3" t="s">
        <v>118</v>
      </c>
      <c r="DW278" s="3" t="s">
        <v>118</v>
      </c>
      <c r="DX278" s="3">
        <v>1</v>
      </c>
      <c r="DZ278" s="3" t="s">
        <v>3</v>
      </c>
      <c r="EA278" s="3" t="s">
        <v>3</v>
      </c>
      <c r="EB278" s="3" t="s">
        <v>3</v>
      </c>
      <c r="EC278" s="3" t="s">
        <v>3</v>
      </c>
      <c r="EE278" s="3">
        <v>56938763</v>
      </c>
      <c r="EF278" s="3">
        <v>200</v>
      </c>
      <c r="EG278" s="3" t="s">
        <v>132</v>
      </c>
      <c r="EH278" s="3">
        <v>0</v>
      </c>
      <c r="EI278" s="3" t="s">
        <v>3</v>
      </c>
      <c r="EJ278" s="3">
        <v>1</v>
      </c>
      <c r="EK278" s="3">
        <v>1617</v>
      </c>
      <c r="EL278" s="3" t="s">
        <v>133</v>
      </c>
      <c r="EM278" s="3" t="s">
        <v>134</v>
      </c>
      <c r="EO278" s="3" t="s">
        <v>3</v>
      </c>
      <c r="EQ278" s="3">
        <v>131072</v>
      </c>
      <c r="ER278" s="3">
        <v>6.47</v>
      </c>
      <c r="ES278" s="3">
        <v>6.47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FQ278" s="3">
        <v>0</v>
      </c>
      <c r="FR278" s="3">
        <v>0</v>
      </c>
      <c r="FS278" s="3">
        <v>0</v>
      </c>
      <c r="FX278" s="3">
        <v>0</v>
      </c>
      <c r="FY278" s="3">
        <v>0</v>
      </c>
      <c r="GA278" s="3" t="s">
        <v>3</v>
      </c>
      <c r="GD278" s="3">
        <v>1</v>
      </c>
      <c r="GF278" s="3">
        <v>1651073840</v>
      </c>
      <c r="GG278" s="3">
        <v>2</v>
      </c>
      <c r="GH278" s="3">
        <v>1</v>
      </c>
      <c r="GI278" s="3">
        <v>2</v>
      </c>
      <c r="GJ278" s="3">
        <v>0</v>
      </c>
      <c r="GK278" s="3">
        <v>0</v>
      </c>
      <c r="GL278" s="3">
        <f t="shared" si="346"/>
        <v>0</v>
      </c>
      <c r="GM278" s="3">
        <f t="shared" si="347"/>
        <v>6574.17</v>
      </c>
      <c r="GN278" s="3">
        <f t="shared" si="348"/>
        <v>6574.17</v>
      </c>
      <c r="GO278" s="3">
        <f t="shared" si="349"/>
        <v>0</v>
      </c>
      <c r="GP278" s="3">
        <f t="shared" si="350"/>
        <v>0</v>
      </c>
      <c r="GR278" s="3">
        <v>0</v>
      </c>
      <c r="GS278" s="3">
        <v>3</v>
      </c>
      <c r="GT278" s="3">
        <v>0</v>
      </c>
      <c r="GU278" s="3" t="s">
        <v>3</v>
      </c>
      <c r="GV278" s="3">
        <f t="shared" si="351"/>
        <v>0</v>
      </c>
      <c r="GW278" s="3">
        <v>1</v>
      </c>
      <c r="GX278" s="3">
        <f t="shared" si="352"/>
        <v>0</v>
      </c>
      <c r="HA278" s="3">
        <v>0</v>
      </c>
      <c r="HB278" s="3">
        <v>0</v>
      </c>
      <c r="HC278" s="3">
        <f t="shared" si="353"/>
        <v>0</v>
      </c>
      <c r="HE278" s="3" t="s">
        <v>3</v>
      </c>
      <c r="HF278" s="3" t="s">
        <v>3</v>
      </c>
      <c r="HM278" s="3" t="s">
        <v>3</v>
      </c>
      <c r="HN278" s="3" t="s">
        <v>3</v>
      </c>
      <c r="HO278" s="3" t="s">
        <v>3</v>
      </c>
      <c r="HP278" s="3" t="s">
        <v>3</v>
      </c>
      <c r="HQ278" s="3" t="s">
        <v>3</v>
      </c>
      <c r="HS278" s="3">
        <v>0</v>
      </c>
      <c r="IK278" s="3">
        <v>0</v>
      </c>
    </row>
    <row r="279" spans="1:255" x14ac:dyDescent="0.2">
      <c r="A279" s="2">
        <v>17</v>
      </c>
      <c r="B279" s="2">
        <v>1</v>
      </c>
      <c r="C279" s="2"/>
      <c r="D279" s="2"/>
      <c r="E279" s="2" t="s">
        <v>442</v>
      </c>
      <c r="F279" s="2" t="s">
        <v>443</v>
      </c>
      <c r="G279" s="2" t="s">
        <v>444</v>
      </c>
      <c r="H279" s="2" t="s">
        <v>118</v>
      </c>
      <c r="I279" s="2">
        <v>430</v>
      </c>
      <c r="J279" s="2">
        <v>0</v>
      </c>
      <c r="K279" s="2">
        <v>430</v>
      </c>
      <c r="L279" s="2"/>
      <c r="M279" s="2"/>
      <c r="N279" s="2"/>
      <c r="O279" s="2">
        <f t="shared" si="329"/>
        <v>709.5</v>
      </c>
      <c r="P279" s="2">
        <f t="shared" si="370"/>
        <v>709.5</v>
      </c>
      <c r="Q279" s="2">
        <f t="shared" si="358"/>
        <v>0</v>
      </c>
      <c r="R279" s="2">
        <f t="shared" si="359"/>
        <v>0</v>
      </c>
      <c r="S279" s="2">
        <f t="shared" si="331"/>
        <v>0</v>
      </c>
      <c r="T279" s="2">
        <f t="shared" si="332"/>
        <v>0</v>
      </c>
      <c r="U279" s="2">
        <f t="shared" si="333"/>
        <v>0</v>
      </c>
      <c r="V279" s="2">
        <f t="shared" si="334"/>
        <v>0</v>
      </c>
      <c r="W279" s="2">
        <f t="shared" si="335"/>
        <v>0</v>
      </c>
      <c r="X279" s="2">
        <f t="shared" si="360"/>
        <v>0</v>
      </c>
      <c r="Y279" s="2">
        <f t="shared" si="361"/>
        <v>0</v>
      </c>
      <c r="Z279" s="2"/>
      <c r="AA279" s="2">
        <v>55747649</v>
      </c>
      <c r="AB279" s="2">
        <f t="shared" si="336"/>
        <v>1.65</v>
      </c>
      <c r="AC279" s="2">
        <f t="shared" si="362"/>
        <v>1.65</v>
      </c>
      <c r="AD279" s="2">
        <f t="shared" si="363"/>
        <v>0</v>
      </c>
      <c r="AE279" s="2">
        <f t="shared" si="364"/>
        <v>0</v>
      </c>
      <c r="AF279" s="2">
        <f t="shared" si="364"/>
        <v>0</v>
      </c>
      <c r="AG279" s="2">
        <f t="shared" si="337"/>
        <v>0</v>
      </c>
      <c r="AH279" s="2">
        <f t="shared" si="365"/>
        <v>0</v>
      </c>
      <c r="AI279" s="2">
        <f t="shared" si="365"/>
        <v>0</v>
      </c>
      <c r="AJ279" s="2">
        <f t="shared" si="338"/>
        <v>0</v>
      </c>
      <c r="AK279" s="2">
        <v>1.65</v>
      </c>
      <c r="AL279" s="2">
        <v>1.65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1</v>
      </c>
      <c r="AW279" s="2">
        <v>1</v>
      </c>
      <c r="AX279" s="2"/>
      <c r="AY279" s="2"/>
      <c r="AZ279" s="2">
        <v>1</v>
      </c>
      <c r="BA279" s="2">
        <v>1</v>
      </c>
      <c r="BB279" s="2">
        <v>1</v>
      </c>
      <c r="BC279" s="2">
        <v>1</v>
      </c>
      <c r="BD279" s="2" t="s">
        <v>3</v>
      </c>
      <c r="BE279" s="2" t="s">
        <v>3</v>
      </c>
      <c r="BF279" s="2" t="s">
        <v>3</v>
      </c>
      <c r="BG279" s="2" t="s">
        <v>3</v>
      </c>
      <c r="BH279" s="2">
        <v>3</v>
      </c>
      <c r="BI279" s="2">
        <v>1</v>
      </c>
      <c r="BJ279" s="2" t="s">
        <v>445</v>
      </c>
      <c r="BK279" s="2"/>
      <c r="BL279" s="2"/>
      <c r="BM279" s="2">
        <v>1617</v>
      </c>
      <c r="BN279" s="2">
        <v>0</v>
      </c>
      <c r="BO279" s="2" t="s">
        <v>3</v>
      </c>
      <c r="BP279" s="2">
        <v>0</v>
      </c>
      <c r="BQ279" s="2">
        <v>200</v>
      </c>
      <c r="BR279" s="2">
        <v>0</v>
      </c>
      <c r="BS279" s="2">
        <v>1</v>
      </c>
      <c r="BT279" s="2">
        <v>1</v>
      </c>
      <c r="BU279" s="2">
        <v>1</v>
      </c>
      <c r="BV279" s="2">
        <v>1</v>
      </c>
      <c r="BW279" s="2">
        <v>1</v>
      </c>
      <c r="BX279" s="2">
        <v>1</v>
      </c>
      <c r="BY279" s="2" t="s">
        <v>3</v>
      </c>
      <c r="BZ279" s="2">
        <v>0</v>
      </c>
      <c r="CA279" s="2">
        <v>0</v>
      </c>
      <c r="CB279" s="2" t="s">
        <v>3</v>
      </c>
      <c r="CC279" s="2"/>
      <c r="CD279" s="2"/>
      <c r="CE279" s="2">
        <v>1566</v>
      </c>
      <c r="CF279" s="2">
        <v>0</v>
      </c>
      <c r="CG279" s="2">
        <v>0</v>
      </c>
      <c r="CH279" s="2"/>
      <c r="CI279" s="2"/>
      <c r="CJ279" s="2"/>
      <c r="CK279" s="2"/>
      <c r="CL279" s="2"/>
      <c r="CM279" s="2">
        <v>0</v>
      </c>
      <c r="CN279" s="2" t="s">
        <v>3</v>
      </c>
      <c r="CO279" s="2">
        <v>0</v>
      </c>
      <c r="CP279" s="2">
        <f t="shared" si="339"/>
        <v>709.5</v>
      </c>
      <c r="CQ279" s="2">
        <f t="shared" si="371"/>
        <v>1.65</v>
      </c>
      <c r="CR279" s="2">
        <f t="shared" si="366"/>
        <v>0</v>
      </c>
      <c r="CS279" s="2">
        <f t="shared" si="367"/>
        <v>0</v>
      </c>
      <c r="CT279" s="2">
        <f t="shared" si="341"/>
        <v>0</v>
      </c>
      <c r="CU279" s="2">
        <f t="shared" si="342"/>
        <v>0</v>
      </c>
      <c r="CV279" s="2">
        <f t="shared" si="343"/>
        <v>0</v>
      </c>
      <c r="CW279" s="2">
        <f t="shared" si="344"/>
        <v>0</v>
      </c>
      <c r="CX279" s="2">
        <f t="shared" si="345"/>
        <v>0</v>
      </c>
      <c r="CY279" s="2">
        <f t="shared" si="368"/>
        <v>0</v>
      </c>
      <c r="CZ279" s="2">
        <f t="shared" si="369"/>
        <v>0</v>
      </c>
      <c r="DA279" s="2"/>
      <c r="DB279" s="2"/>
      <c r="DC279" s="2" t="s">
        <v>3</v>
      </c>
      <c r="DD279" s="2" t="s">
        <v>3</v>
      </c>
      <c r="DE279" s="2" t="s">
        <v>3</v>
      </c>
      <c r="DF279" s="2" t="s">
        <v>3</v>
      </c>
      <c r="DG279" s="2" t="s">
        <v>3</v>
      </c>
      <c r="DH279" s="2" t="s">
        <v>3</v>
      </c>
      <c r="DI279" s="2" t="s">
        <v>3</v>
      </c>
      <c r="DJ279" s="2" t="s">
        <v>3</v>
      </c>
      <c r="DK279" s="2" t="s">
        <v>3</v>
      </c>
      <c r="DL279" s="2" t="s">
        <v>3</v>
      </c>
      <c r="DM279" s="2" t="s">
        <v>3</v>
      </c>
      <c r="DN279" s="2">
        <v>0</v>
      </c>
      <c r="DO279" s="2">
        <v>0</v>
      </c>
      <c r="DP279" s="2">
        <v>1</v>
      </c>
      <c r="DQ279" s="2">
        <v>1</v>
      </c>
      <c r="DR279" s="2"/>
      <c r="DS279" s="2"/>
      <c r="DT279" s="2"/>
      <c r="DU279" s="2">
        <v>1010</v>
      </c>
      <c r="DV279" s="2" t="s">
        <v>118</v>
      </c>
      <c r="DW279" s="2" t="s">
        <v>118</v>
      </c>
      <c r="DX279" s="2">
        <v>1</v>
      </c>
      <c r="DY279" s="2"/>
      <c r="DZ279" s="2" t="s">
        <v>3</v>
      </c>
      <c r="EA279" s="2" t="s">
        <v>3</v>
      </c>
      <c r="EB279" s="2" t="s">
        <v>3</v>
      </c>
      <c r="EC279" s="2" t="s">
        <v>3</v>
      </c>
      <c r="ED279" s="2"/>
      <c r="EE279" s="2">
        <v>56938763</v>
      </c>
      <c r="EF279" s="2">
        <v>200</v>
      </c>
      <c r="EG279" s="2" t="s">
        <v>132</v>
      </c>
      <c r="EH279" s="2">
        <v>0</v>
      </c>
      <c r="EI279" s="2" t="s">
        <v>3</v>
      </c>
      <c r="EJ279" s="2">
        <v>1</v>
      </c>
      <c r="EK279" s="2">
        <v>1617</v>
      </c>
      <c r="EL279" s="2" t="s">
        <v>133</v>
      </c>
      <c r="EM279" s="2" t="s">
        <v>134</v>
      </c>
      <c r="EN279" s="2"/>
      <c r="EO279" s="2" t="s">
        <v>3</v>
      </c>
      <c r="EP279" s="2"/>
      <c r="EQ279" s="2">
        <v>131072</v>
      </c>
      <c r="ER279" s="2">
        <v>1.65</v>
      </c>
      <c r="ES279" s="2">
        <v>1.65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>
        <v>0</v>
      </c>
      <c r="FR279" s="2">
        <v>0</v>
      </c>
      <c r="FS279" s="2">
        <v>0</v>
      </c>
      <c r="FT279" s="2"/>
      <c r="FU279" s="2"/>
      <c r="FV279" s="2"/>
      <c r="FW279" s="2"/>
      <c r="FX279" s="2">
        <v>0</v>
      </c>
      <c r="FY279" s="2">
        <v>0</v>
      </c>
      <c r="FZ279" s="2"/>
      <c r="GA279" s="2" t="s">
        <v>3</v>
      </c>
      <c r="GB279" s="2"/>
      <c r="GC279" s="2"/>
      <c r="GD279" s="2">
        <v>1</v>
      </c>
      <c r="GE279" s="2"/>
      <c r="GF279" s="2">
        <v>-986595589</v>
      </c>
      <c r="GG279" s="2">
        <v>2</v>
      </c>
      <c r="GH279" s="2">
        <v>1</v>
      </c>
      <c r="GI279" s="2">
        <v>-2</v>
      </c>
      <c r="GJ279" s="2">
        <v>0</v>
      </c>
      <c r="GK279" s="2">
        <v>0</v>
      </c>
      <c r="GL279" s="2">
        <f t="shared" si="346"/>
        <v>0</v>
      </c>
      <c r="GM279" s="2">
        <f t="shared" si="347"/>
        <v>709.5</v>
      </c>
      <c r="GN279" s="2">
        <f t="shared" si="348"/>
        <v>709.5</v>
      </c>
      <c r="GO279" s="2">
        <f t="shared" si="349"/>
        <v>0</v>
      </c>
      <c r="GP279" s="2">
        <f t="shared" si="350"/>
        <v>0</v>
      </c>
      <c r="GQ279" s="2"/>
      <c r="GR279" s="2">
        <v>0</v>
      </c>
      <c r="GS279" s="2">
        <v>3</v>
      </c>
      <c r="GT279" s="2">
        <v>0</v>
      </c>
      <c r="GU279" s="2" t="s">
        <v>3</v>
      </c>
      <c r="GV279" s="2">
        <f t="shared" si="351"/>
        <v>0</v>
      </c>
      <c r="GW279" s="2">
        <v>1</v>
      </c>
      <c r="GX279" s="2">
        <f t="shared" si="352"/>
        <v>0</v>
      </c>
      <c r="GY279" s="2"/>
      <c r="GZ279" s="2"/>
      <c r="HA279" s="2">
        <v>0</v>
      </c>
      <c r="HB279" s="2">
        <v>0</v>
      </c>
      <c r="HC279" s="2">
        <f t="shared" si="353"/>
        <v>0</v>
      </c>
      <c r="HD279" s="2"/>
      <c r="HE279" s="2" t="s">
        <v>3</v>
      </c>
      <c r="HF279" s="2" t="s">
        <v>3</v>
      </c>
      <c r="HG279" s="2"/>
      <c r="HH279" s="2"/>
      <c r="HI279" s="2"/>
      <c r="HJ279" s="2"/>
      <c r="HK279" s="2"/>
      <c r="HL279" s="2"/>
      <c r="HM279" s="2" t="s">
        <v>3</v>
      </c>
      <c r="HN279" s="2" t="s">
        <v>3</v>
      </c>
      <c r="HO279" s="2" t="s">
        <v>3</v>
      </c>
      <c r="HP279" s="2" t="s">
        <v>3</v>
      </c>
      <c r="HQ279" s="2" t="s">
        <v>3</v>
      </c>
      <c r="HR279" s="2"/>
      <c r="HS279" s="2">
        <v>0</v>
      </c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>
        <v>0</v>
      </c>
      <c r="IL279" s="2"/>
      <c r="IM279" s="2"/>
      <c r="IN279" s="2"/>
      <c r="IO279" s="2"/>
      <c r="IP279" s="2"/>
      <c r="IQ279" s="2"/>
      <c r="IR279" s="2"/>
      <c r="IS279" s="2"/>
      <c r="IT279" s="2"/>
      <c r="IU279" s="2"/>
    </row>
    <row r="280" spans="1:255" x14ac:dyDescent="0.2">
      <c r="A280" s="3">
        <v>17</v>
      </c>
      <c r="B280" s="3">
        <v>1</v>
      </c>
      <c r="E280" s="3" t="s">
        <v>442</v>
      </c>
      <c r="F280" s="3" t="s">
        <v>443</v>
      </c>
      <c r="G280" s="3" t="s">
        <v>444</v>
      </c>
      <c r="H280" s="3" t="s">
        <v>118</v>
      </c>
      <c r="I280" s="3">
        <v>430</v>
      </c>
      <c r="J280" s="3">
        <v>0</v>
      </c>
      <c r="K280" s="3">
        <v>430</v>
      </c>
      <c r="O280" s="3">
        <f t="shared" si="329"/>
        <v>7996.07</v>
      </c>
      <c r="P280" s="3">
        <f t="shared" si="370"/>
        <v>7996.07</v>
      </c>
      <c r="Q280" s="3">
        <f t="shared" si="358"/>
        <v>0</v>
      </c>
      <c r="R280" s="3">
        <f t="shared" si="359"/>
        <v>0</v>
      </c>
      <c r="S280" s="3">
        <f t="shared" si="331"/>
        <v>0</v>
      </c>
      <c r="T280" s="3">
        <f t="shared" si="332"/>
        <v>0</v>
      </c>
      <c r="U280" s="3">
        <f t="shared" si="333"/>
        <v>0</v>
      </c>
      <c r="V280" s="3">
        <f t="shared" si="334"/>
        <v>0</v>
      </c>
      <c r="W280" s="3">
        <f t="shared" si="335"/>
        <v>0</v>
      </c>
      <c r="X280" s="3">
        <f t="shared" si="360"/>
        <v>0</v>
      </c>
      <c r="Y280" s="3">
        <f t="shared" si="361"/>
        <v>0</v>
      </c>
      <c r="AA280" s="3">
        <v>55747651</v>
      </c>
      <c r="AB280" s="3">
        <f t="shared" si="336"/>
        <v>1.65</v>
      </c>
      <c r="AC280" s="3">
        <f t="shared" si="362"/>
        <v>1.65</v>
      </c>
      <c r="AD280" s="3">
        <f t="shared" si="363"/>
        <v>0</v>
      </c>
      <c r="AE280" s="3">
        <f t="shared" si="364"/>
        <v>0</v>
      </c>
      <c r="AF280" s="3">
        <f t="shared" si="364"/>
        <v>0</v>
      </c>
      <c r="AG280" s="3">
        <f t="shared" si="337"/>
        <v>0</v>
      </c>
      <c r="AH280" s="3">
        <f t="shared" si="365"/>
        <v>0</v>
      </c>
      <c r="AI280" s="3">
        <f t="shared" si="365"/>
        <v>0</v>
      </c>
      <c r="AJ280" s="3">
        <f t="shared" si="338"/>
        <v>0</v>
      </c>
      <c r="AK280" s="3">
        <v>1.65</v>
      </c>
      <c r="AL280" s="3">
        <v>1.65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1</v>
      </c>
      <c r="AW280" s="3">
        <v>1</v>
      </c>
      <c r="AZ280" s="3">
        <v>1</v>
      </c>
      <c r="BA280" s="3">
        <v>1</v>
      </c>
      <c r="BB280" s="3">
        <v>1</v>
      </c>
      <c r="BC280" s="3">
        <v>11.27</v>
      </c>
      <c r="BD280" s="3" t="s">
        <v>3</v>
      </c>
      <c r="BE280" s="3" t="s">
        <v>3</v>
      </c>
      <c r="BF280" s="3" t="s">
        <v>3</v>
      </c>
      <c r="BG280" s="3" t="s">
        <v>3</v>
      </c>
      <c r="BH280" s="3">
        <v>3</v>
      </c>
      <c r="BI280" s="3">
        <v>1</v>
      </c>
      <c r="BJ280" s="3" t="s">
        <v>445</v>
      </c>
      <c r="BM280" s="3">
        <v>1617</v>
      </c>
      <c r="BN280" s="3">
        <v>0</v>
      </c>
      <c r="BO280" s="3" t="s">
        <v>443</v>
      </c>
      <c r="BP280" s="3">
        <v>1</v>
      </c>
      <c r="BQ280" s="3">
        <v>200</v>
      </c>
      <c r="BR280" s="3">
        <v>0</v>
      </c>
      <c r="BS280" s="3">
        <v>1</v>
      </c>
      <c r="BT280" s="3">
        <v>1</v>
      </c>
      <c r="BU280" s="3">
        <v>1</v>
      </c>
      <c r="BV280" s="3">
        <v>1</v>
      </c>
      <c r="BW280" s="3">
        <v>1</v>
      </c>
      <c r="BX280" s="3">
        <v>1</v>
      </c>
      <c r="BY280" s="3" t="s">
        <v>3</v>
      </c>
      <c r="BZ280" s="3">
        <v>0</v>
      </c>
      <c r="CA280" s="3">
        <v>0</v>
      </c>
      <c r="CB280" s="3" t="s">
        <v>3</v>
      </c>
      <c r="CE280" s="3">
        <v>1566</v>
      </c>
      <c r="CF280" s="3">
        <v>0</v>
      </c>
      <c r="CG280" s="3">
        <v>0</v>
      </c>
      <c r="CM280" s="3">
        <v>0</v>
      </c>
      <c r="CN280" s="3" t="s">
        <v>3</v>
      </c>
      <c r="CO280" s="3">
        <v>0</v>
      </c>
      <c r="CP280" s="3">
        <f t="shared" si="339"/>
        <v>7996.07</v>
      </c>
      <c r="CQ280" s="3">
        <f t="shared" si="371"/>
        <v>18.600000000000001</v>
      </c>
      <c r="CR280" s="3">
        <f t="shared" si="366"/>
        <v>0</v>
      </c>
      <c r="CS280" s="3">
        <f t="shared" si="367"/>
        <v>0</v>
      </c>
      <c r="CT280" s="3">
        <f t="shared" si="341"/>
        <v>0</v>
      </c>
      <c r="CU280" s="3">
        <f t="shared" si="342"/>
        <v>0</v>
      </c>
      <c r="CV280" s="3">
        <f t="shared" si="343"/>
        <v>0</v>
      </c>
      <c r="CW280" s="3">
        <f t="shared" si="344"/>
        <v>0</v>
      </c>
      <c r="CX280" s="3">
        <f t="shared" si="345"/>
        <v>0</v>
      </c>
      <c r="CY280" s="3">
        <f t="shared" si="368"/>
        <v>0</v>
      </c>
      <c r="CZ280" s="3">
        <f t="shared" si="369"/>
        <v>0</v>
      </c>
      <c r="DC280" s="3" t="s">
        <v>3</v>
      </c>
      <c r="DD280" s="3" t="s">
        <v>3</v>
      </c>
      <c r="DE280" s="3" t="s">
        <v>3</v>
      </c>
      <c r="DF280" s="3" t="s">
        <v>3</v>
      </c>
      <c r="DG280" s="3" t="s">
        <v>3</v>
      </c>
      <c r="DH280" s="3" t="s">
        <v>3</v>
      </c>
      <c r="DI280" s="3" t="s">
        <v>3</v>
      </c>
      <c r="DJ280" s="3" t="s">
        <v>3</v>
      </c>
      <c r="DK280" s="3" t="s">
        <v>3</v>
      </c>
      <c r="DL280" s="3" t="s">
        <v>3</v>
      </c>
      <c r="DM280" s="3" t="s">
        <v>3</v>
      </c>
      <c r="DN280" s="3">
        <v>0</v>
      </c>
      <c r="DO280" s="3">
        <v>0</v>
      </c>
      <c r="DP280" s="3">
        <v>1</v>
      </c>
      <c r="DQ280" s="3">
        <v>1</v>
      </c>
      <c r="DU280" s="3">
        <v>1010</v>
      </c>
      <c r="DV280" s="3" t="s">
        <v>118</v>
      </c>
      <c r="DW280" s="3" t="s">
        <v>118</v>
      </c>
      <c r="DX280" s="3">
        <v>1</v>
      </c>
      <c r="DZ280" s="3" t="s">
        <v>3</v>
      </c>
      <c r="EA280" s="3" t="s">
        <v>3</v>
      </c>
      <c r="EB280" s="3" t="s">
        <v>3</v>
      </c>
      <c r="EC280" s="3" t="s">
        <v>3</v>
      </c>
      <c r="EE280" s="3">
        <v>56938763</v>
      </c>
      <c r="EF280" s="3">
        <v>200</v>
      </c>
      <c r="EG280" s="3" t="s">
        <v>132</v>
      </c>
      <c r="EH280" s="3">
        <v>0</v>
      </c>
      <c r="EI280" s="3" t="s">
        <v>3</v>
      </c>
      <c r="EJ280" s="3">
        <v>1</v>
      </c>
      <c r="EK280" s="3">
        <v>1617</v>
      </c>
      <c r="EL280" s="3" t="s">
        <v>133</v>
      </c>
      <c r="EM280" s="3" t="s">
        <v>134</v>
      </c>
      <c r="EO280" s="3" t="s">
        <v>3</v>
      </c>
      <c r="EQ280" s="3">
        <v>131072</v>
      </c>
      <c r="ER280" s="3">
        <v>1.65</v>
      </c>
      <c r="ES280" s="3">
        <v>1.65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FQ280" s="3">
        <v>0</v>
      </c>
      <c r="FR280" s="3">
        <v>0</v>
      </c>
      <c r="FS280" s="3">
        <v>0</v>
      </c>
      <c r="FX280" s="3">
        <v>0</v>
      </c>
      <c r="FY280" s="3">
        <v>0</v>
      </c>
      <c r="GA280" s="3" t="s">
        <v>3</v>
      </c>
      <c r="GD280" s="3">
        <v>1</v>
      </c>
      <c r="GF280" s="3">
        <v>-986595589</v>
      </c>
      <c r="GG280" s="3">
        <v>2</v>
      </c>
      <c r="GH280" s="3">
        <v>1</v>
      </c>
      <c r="GI280" s="3">
        <v>2</v>
      </c>
      <c r="GJ280" s="3">
        <v>0</v>
      </c>
      <c r="GK280" s="3">
        <v>0</v>
      </c>
      <c r="GL280" s="3">
        <f t="shared" si="346"/>
        <v>0</v>
      </c>
      <c r="GM280" s="3">
        <f t="shared" si="347"/>
        <v>7996.07</v>
      </c>
      <c r="GN280" s="3">
        <f t="shared" si="348"/>
        <v>7996.07</v>
      </c>
      <c r="GO280" s="3">
        <f t="shared" si="349"/>
        <v>0</v>
      </c>
      <c r="GP280" s="3">
        <f t="shared" si="350"/>
        <v>0</v>
      </c>
      <c r="GR280" s="3">
        <v>0</v>
      </c>
      <c r="GS280" s="3">
        <v>3</v>
      </c>
      <c r="GT280" s="3">
        <v>0</v>
      </c>
      <c r="GU280" s="3" t="s">
        <v>3</v>
      </c>
      <c r="GV280" s="3">
        <f t="shared" si="351"/>
        <v>0</v>
      </c>
      <c r="GW280" s="3">
        <v>1</v>
      </c>
      <c r="GX280" s="3">
        <f t="shared" si="352"/>
        <v>0</v>
      </c>
      <c r="HA280" s="3">
        <v>0</v>
      </c>
      <c r="HB280" s="3">
        <v>0</v>
      </c>
      <c r="HC280" s="3">
        <f t="shared" si="353"/>
        <v>0</v>
      </c>
      <c r="HE280" s="3" t="s">
        <v>3</v>
      </c>
      <c r="HF280" s="3" t="s">
        <v>3</v>
      </c>
      <c r="HM280" s="3" t="s">
        <v>3</v>
      </c>
      <c r="HN280" s="3" t="s">
        <v>3</v>
      </c>
      <c r="HO280" s="3" t="s">
        <v>3</v>
      </c>
      <c r="HP280" s="3" t="s">
        <v>3</v>
      </c>
      <c r="HQ280" s="3" t="s">
        <v>3</v>
      </c>
      <c r="HS280" s="3">
        <v>0</v>
      </c>
      <c r="IK280" s="3">
        <v>0</v>
      </c>
    </row>
    <row r="281" spans="1:255" x14ac:dyDescent="0.2">
      <c r="A281" s="2">
        <v>17</v>
      </c>
      <c r="B281" s="2">
        <v>1</v>
      </c>
      <c r="C281" s="2">
        <f>ROW(SmtRes!A711)</f>
        <v>711</v>
      </c>
      <c r="D281" s="2">
        <f>ROW(EtalonRes!A745)</f>
        <v>745</v>
      </c>
      <c r="E281" s="2" t="s">
        <v>446</v>
      </c>
      <c r="F281" s="2" t="s">
        <v>273</v>
      </c>
      <c r="G281" s="2" t="s">
        <v>274</v>
      </c>
      <c r="H281" s="2" t="s">
        <v>275</v>
      </c>
      <c r="I281" s="2">
        <f>ROUND((590*0.48+800*0.21+900*0.18+200*0.13)/100,9)</f>
        <v>6.3920000000000003</v>
      </c>
      <c r="J281" s="2">
        <v>0</v>
      </c>
      <c r="K281" s="2">
        <f>ROUND((590*0.48+800*0.21+900*0.18+200*0.13)/100,9)</f>
        <v>6.3920000000000003</v>
      </c>
      <c r="L281" s="2"/>
      <c r="M281" s="2"/>
      <c r="N281" s="2"/>
      <c r="O281" s="2">
        <f t="shared" si="329"/>
        <v>881.9</v>
      </c>
      <c r="P281" s="2">
        <f t="shared" si="370"/>
        <v>60.34</v>
      </c>
      <c r="Q281" s="2">
        <f>(ROUND((ROUND(((((ET281*1.2)*1.25))*AV281*I281),2)*BB281),2)+ROUND((ROUND(((AE281-(((EU281*1.2)*1.25)))*AV281*I281),2)*BS281),2))</f>
        <v>136.93</v>
      </c>
      <c r="R281" s="2">
        <f>(ROUND((ROUND(((((EU281*1.2)*1.25))*AV281*I281),2)*BS281),2)+ROUND((ROUND(((AE281-(((EU281*1.2)*1.25)))*AV281*I281),2)*BS281),2))</f>
        <v>2.5099999999999998</v>
      </c>
      <c r="S281" s="2">
        <f t="shared" si="331"/>
        <v>684.63</v>
      </c>
      <c r="T281" s="2">
        <f t="shared" si="332"/>
        <v>0</v>
      </c>
      <c r="U281" s="2">
        <f t="shared" si="333"/>
        <v>49.040744587199988</v>
      </c>
      <c r="V281" s="2">
        <f t="shared" si="334"/>
        <v>0</v>
      </c>
      <c r="W281" s="2">
        <f t="shared" si="335"/>
        <v>0</v>
      </c>
      <c r="X281" s="2">
        <f>(ROUND((((S281+ROUND((ROUND(((((EU281*1.2)*1.25))*AV281*I281),2)*BS281),2))*AT281)/100),2)+ROUND(((ROUND((ROUND(((AE281-(((EU281*1.2)*1.25)))*AV281*I281),2)*BS281),2)*AT281)/100),2))</f>
        <v>645.91</v>
      </c>
      <c r="Y281" s="2">
        <f>(ROUND((((S281+ROUND((ROUND(((((EU281*1.2)*1.25))*AV281*I281),2)*BS281),2))*AU281)/100),2)+ROUND(((ROUND((ROUND(((AE281-(((EU281*1.2)*1.25)))*AV281*I281),2)*BS281),2)*AU281)/100),2))</f>
        <v>350.44</v>
      </c>
      <c r="Z281" s="2"/>
      <c r="AA281" s="2">
        <v>55747649</v>
      </c>
      <c r="AB281" s="2">
        <f t="shared" si="336"/>
        <v>132.1994</v>
      </c>
      <c r="AC281" s="2">
        <f>ROUND((((ES281*1)*1)),6)</f>
        <v>9.44</v>
      </c>
      <c r="AD281" s="2">
        <f>ROUND((((((ET281*1.2)*1.25))-(((EU281*1.2)*1.25)))+AE281),6)</f>
        <v>20.46</v>
      </c>
      <c r="AE281" s="2">
        <f>ROUND((((EU281*1.2)*1.25)),6)</f>
        <v>0.375</v>
      </c>
      <c r="AF281" s="2">
        <f>ROUND((((EV281*1.2)*1.15)),6)</f>
        <v>102.29940000000001</v>
      </c>
      <c r="AG281" s="2">
        <f t="shared" si="337"/>
        <v>0</v>
      </c>
      <c r="AH281" s="2">
        <f>(((EW281*1.2)*1.15))</f>
        <v>7.3277999999999981</v>
      </c>
      <c r="AI281" s="2">
        <f>(((EX281*1.2)*1.25))</f>
        <v>0</v>
      </c>
      <c r="AJ281" s="2">
        <f t="shared" si="338"/>
        <v>0</v>
      </c>
      <c r="AK281" s="2">
        <v>97.21</v>
      </c>
      <c r="AL281" s="2">
        <v>9.44</v>
      </c>
      <c r="AM281" s="2">
        <v>13.64</v>
      </c>
      <c r="AN281" s="2">
        <v>0.25</v>
      </c>
      <c r="AO281" s="2">
        <v>74.13</v>
      </c>
      <c r="AP281" s="2">
        <v>0</v>
      </c>
      <c r="AQ281" s="2">
        <v>5.31</v>
      </c>
      <c r="AR281" s="2">
        <v>0</v>
      </c>
      <c r="AS281" s="2">
        <v>0</v>
      </c>
      <c r="AT281" s="2">
        <v>94</v>
      </c>
      <c r="AU281" s="2">
        <v>51</v>
      </c>
      <c r="AV281" s="2">
        <v>1.0469999999999999</v>
      </c>
      <c r="AW281" s="2">
        <v>1</v>
      </c>
      <c r="AX281" s="2"/>
      <c r="AY281" s="2"/>
      <c r="AZ281" s="2">
        <v>1</v>
      </c>
      <c r="BA281" s="2">
        <v>1</v>
      </c>
      <c r="BB281" s="2">
        <v>1</v>
      </c>
      <c r="BC281" s="2">
        <v>1</v>
      </c>
      <c r="BD281" s="2" t="s">
        <v>3</v>
      </c>
      <c r="BE281" s="2" t="s">
        <v>3</v>
      </c>
      <c r="BF281" s="2" t="s">
        <v>3</v>
      </c>
      <c r="BG281" s="2" t="s">
        <v>3</v>
      </c>
      <c r="BH281" s="2">
        <v>0</v>
      </c>
      <c r="BI281" s="2">
        <v>1</v>
      </c>
      <c r="BJ281" s="2" t="s">
        <v>276</v>
      </c>
      <c r="BK281" s="2"/>
      <c r="BL281" s="2"/>
      <c r="BM281" s="2">
        <v>17</v>
      </c>
      <c r="BN281" s="2">
        <v>0</v>
      </c>
      <c r="BO281" s="2" t="s">
        <v>273</v>
      </c>
      <c r="BP281" s="2">
        <v>1</v>
      </c>
      <c r="BQ281" s="2">
        <v>30</v>
      </c>
      <c r="BR281" s="2">
        <v>0</v>
      </c>
      <c r="BS281" s="2">
        <v>1</v>
      </c>
      <c r="BT281" s="2">
        <v>1</v>
      </c>
      <c r="BU281" s="2">
        <v>1</v>
      </c>
      <c r="BV281" s="2">
        <v>1</v>
      </c>
      <c r="BW281" s="2">
        <v>1</v>
      </c>
      <c r="BX281" s="2">
        <v>1</v>
      </c>
      <c r="BY281" s="2" t="s">
        <v>3</v>
      </c>
      <c r="BZ281" s="2">
        <v>94</v>
      </c>
      <c r="CA281" s="2">
        <v>51</v>
      </c>
      <c r="CB281" s="2" t="s">
        <v>3</v>
      </c>
      <c r="CC281" s="2"/>
      <c r="CD281" s="2"/>
      <c r="CE281" s="2">
        <v>1566</v>
      </c>
      <c r="CF281" s="2">
        <v>0</v>
      </c>
      <c r="CG281" s="2">
        <v>0</v>
      </c>
      <c r="CH281" s="2"/>
      <c r="CI281" s="2"/>
      <c r="CJ281" s="2"/>
      <c r="CK281" s="2"/>
      <c r="CL281" s="2"/>
      <c r="CM281" s="2">
        <v>0</v>
      </c>
      <c r="CN281" s="2" t="s">
        <v>715</v>
      </c>
      <c r="CO281" s="2">
        <v>0</v>
      </c>
      <c r="CP281" s="2">
        <f t="shared" si="339"/>
        <v>881.9</v>
      </c>
      <c r="CQ281" s="2">
        <f t="shared" si="371"/>
        <v>9.44</v>
      </c>
      <c r="CR281" s="2">
        <f>(ROUND((ROUND(((((ET281*1.2)*1.25))*AV281*1),2)*BB281),2)+ROUND((ROUND(((AE281-(((EU281*1.2)*1.25)))*AV281*1),2)*BS281),2))</f>
        <v>21.42</v>
      </c>
      <c r="CS281" s="2">
        <f>(ROUND((ROUND(((((EU281*1.2)*1.25))*AV281*1),2)*BS281),2)+ROUND((ROUND(((AE281-(((EU281*1.2)*1.25)))*AV281*1),2)*BS281),2))</f>
        <v>0.39</v>
      </c>
      <c r="CT281" s="2">
        <f t="shared" si="341"/>
        <v>107.11</v>
      </c>
      <c r="CU281" s="2">
        <f t="shared" si="342"/>
        <v>0</v>
      </c>
      <c r="CV281" s="2">
        <f t="shared" si="343"/>
        <v>7.6722065999999973</v>
      </c>
      <c r="CW281" s="2">
        <f t="shared" si="344"/>
        <v>0</v>
      </c>
      <c r="CX281" s="2">
        <f t="shared" si="345"/>
        <v>0</v>
      </c>
      <c r="CY281" s="2">
        <f>(ROUND((((S281+ROUND((ROUND(((((EU281*1.2)*1.25))*AV281*1),2)*BS281),2))*AT281)/100),2)+ROUND(((ROUND((ROUND(((AE281-(((EU281*1.2)*1.25)))*AV281*1),2)*BS281),2)*AT281)/100),2))</f>
        <v>643.91999999999996</v>
      </c>
      <c r="CZ281" s="2">
        <f>(ROUND((((S281+ROUND((ROUND(((((EU281*1.2)*1.25))*AV281*1),2)*BS281),2))*AU281)/100),2)+ROUND(((ROUND((ROUND(((AE281-(((EU281*1.2)*1.25)))*AV281*1),2)*BS281),2)*AU281)/100),2))</f>
        <v>349.36</v>
      </c>
      <c r="DA281" s="2"/>
      <c r="DB281" s="2">
        <v>109</v>
      </c>
      <c r="DC281" s="2" t="s">
        <v>3</v>
      </c>
      <c r="DD281" s="2" t="s">
        <v>38</v>
      </c>
      <c r="DE281" s="2" t="s">
        <v>39</v>
      </c>
      <c r="DF281" s="2" t="s">
        <v>39</v>
      </c>
      <c r="DG281" s="2" t="s">
        <v>40</v>
      </c>
      <c r="DH281" s="2" t="s">
        <v>3</v>
      </c>
      <c r="DI281" s="2" t="s">
        <v>40</v>
      </c>
      <c r="DJ281" s="2" t="s">
        <v>39</v>
      </c>
      <c r="DK281" s="2" t="s">
        <v>3</v>
      </c>
      <c r="DL281" s="2" t="s">
        <v>3</v>
      </c>
      <c r="DM281" s="2" t="s">
        <v>3</v>
      </c>
      <c r="DN281" s="2">
        <v>0</v>
      </c>
      <c r="DO281" s="2">
        <v>0</v>
      </c>
      <c r="DP281" s="2">
        <v>1</v>
      </c>
      <c r="DQ281" s="2">
        <v>1</v>
      </c>
      <c r="DR281" s="2"/>
      <c r="DS281" s="2"/>
      <c r="DT281" s="2"/>
      <c r="DU281" s="2">
        <v>1005</v>
      </c>
      <c r="DV281" s="2" t="s">
        <v>275</v>
      </c>
      <c r="DW281" s="2" t="s">
        <v>275</v>
      </c>
      <c r="DX281" s="2">
        <v>100</v>
      </c>
      <c r="DY281" s="2"/>
      <c r="DZ281" s="2" t="s">
        <v>3</v>
      </c>
      <c r="EA281" s="2" t="s">
        <v>3</v>
      </c>
      <c r="EB281" s="2" t="s">
        <v>3</v>
      </c>
      <c r="EC281" s="2" t="s">
        <v>3</v>
      </c>
      <c r="ED281" s="2"/>
      <c r="EE281" s="2">
        <v>56938683</v>
      </c>
      <c r="EF281" s="2">
        <v>30</v>
      </c>
      <c r="EG281" s="2" t="s">
        <v>41</v>
      </c>
      <c r="EH281" s="2">
        <v>0</v>
      </c>
      <c r="EI281" s="2" t="s">
        <v>3</v>
      </c>
      <c r="EJ281" s="2">
        <v>1</v>
      </c>
      <c r="EK281" s="2">
        <v>17</v>
      </c>
      <c r="EL281" s="2" t="s">
        <v>277</v>
      </c>
      <c r="EM281" s="2" t="s">
        <v>278</v>
      </c>
      <c r="EN281" s="2"/>
      <c r="EO281" s="2" t="s">
        <v>44</v>
      </c>
      <c r="EP281" s="2"/>
      <c r="EQ281" s="2">
        <v>131072</v>
      </c>
      <c r="ER281" s="2">
        <v>97.21</v>
      </c>
      <c r="ES281" s="2">
        <v>9.44</v>
      </c>
      <c r="ET281" s="2">
        <v>13.64</v>
      </c>
      <c r="EU281" s="2">
        <v>0.25</v>
      </c>
      <c r="EV281" s="2">
        <v>74.13</v>
      </c>
      <c r="EW281" s="2">
        <v>5.31</v>
      </c>
      <c r="EX281" s="2">
        <v>0</v>
      </c>
      <c r="EY281" s="2">
        <v>0</v>
      </c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>
        <v>0</v>
      </c>
      <c r="FR281" s="2">
        <v>0</v>
      </c>
      <c r="FS281" s="2">
        <v>0</v>
      </c>
      <c r="FT281" s="2"/>
      <c r="FU281" s="2"/>
      <c r="FV281" s="2"/>
      <c r="FW281" s="2"/>
      <c r="FX281" s="2">
        <v>94</v>
      </c>
      <c r="FY281" s="2">
        <v>51</v>
      </c>
      <c r="FZ281" s="2"/>
      <c r="GA281" s="2" t="s">
        <v>3</v>
      </c>
      <c r="GB281" s="2"/>
      <c r="GC281" s="2"/>
      <c r="GD281" s="2">
        <v>1</v>
      </c>
      <c r="GE281" s="2"/>
      <c r="GF281" s="2">
        <v>-979455668</v>
      </c>
      <c r="GG281" s="2">
        <v>2</v>
      </c>
      <c r="GH281" s="2">
        <v>1</v>
      </c>
      <c r="GI281" s="2">
        <v>2</v>
      </c>
      <c r="GJ281" s="2">
        <v>0</v>
      </c>
      <c r="GK281" s="2">
        <v>0</v>
      </c>
      <c r="GL281" s="2">
        <f t="shared" si="346"/>
        <v>0</v>
      </c>
      <c r="GM281" s="2">
        <f t="shared" si="347"/>
        <v>1878.25</v>
      </c>
      <c r="GN281" s="2">
        <f t="shared" si="348"/>
        <v>1878.25</v>
      </c>
      <c r="GO281" s="2">
        <f t="shared" si="349"/>
        <v>0</v>
      </c>
      <c r="GP281" s="2">
        <f t="shared" si="350"/>
        <v>0</v>
      </c>
      <c r="GQ281" s="2"/>
      <c r="GR281" s="2">
        <v>0</v>
      </c>
      <c r="GS281" s="2">
        <v>3</v>
      </c>
      <c r="GT281" s="2">
        <v>0</v>
      </c>
      <c r="GU281" s="2" t="s">
        <v>3</v>
      </c>
      <c r="GV281" s="2">
        <f t="shared" si="351"/>
        <v>0</v>
      </c>
      <c r="GW281" s="2">
        <v>1</v>
      </c>
      <c r="GX281" s="2">
        <f t="shared" si="352"/>
        <v>0</v>
      </c>
      <c r="GY281" s="2"/>
      <c r="GZ281" s="2"/>
      <c r="HA281" s="2">
        <v>0</v>
      </c>
      <c r="HB281" s="2">
        <v>0</v>
      </c>
      <c r="HC281" s="2">
        <f t="shared" si="353"/>
        <v>0</v>
      </c>
      <c r="HD281" s="2"/>
      <c r="HE281" s="2" t="s">
        <v>3</v>
      </c>
      <c r="HF281" s="2" t="s">
        <v>3</v>
      </c>
      <c r="HG281" s="2"/>
      <c r="HH281" s="2"/>
      <c r="HI281" s="2"/>
      <c r="HJ281" s="2"/>
      <c r="HK281" s="2"/>
      <c r="HL281" s="2"/>
      <c r="HM281" s="2" t="s">
        <v>3</v>
      </c>
      <c r="HN281" s="2" t="s">
        <v>3</v>
      </c>
      <c r="HO281" s="2" t="s">
        <v>3</v>
      </c>
      <c r="HP281" s="2" t="s">
        <v>3</v>
      </c>
      <c r="HQ281" s="2" t="s">
        <v>3</v>
      </c>
      <c r="HR281" s="2"/>
      <c r="HS281" s="2">
        <v>0</v>
      </c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>
        <v>0</v>
      </c>
      <c r="IL281" s="2"/>
      <c r="IM281" s="2"/>
      <c r="IN281" s="2"/>
      <c r="IO281" s="2"/>
      <c r="IP281" s="2"/>
      <c r="IQ281" s="2"/>
      <c r="IR281" s="2"/>
      <c r="IS281" s="2"/>
      <c r="IT281" s="2"/>
      <c r="IU281" s="2"/>
    </row>
    <row r="282" spans="1:255" x14ac:dyDescent="0.2">
      <c r="A282" s="3">
        <v>17</v>
      </c>
      <c r="B282" s="3">
        <v>1</v>
      </c>
      <c r="C282" s="3">
        <f>ROW(SmtRes!A718)</f>
        <v>718</v>
      </c>
      <c r="D282" s="3">
        <f>ROW(EtalonRes!A752)</f>
        <v>752</v>
      </c>
      <c r="E282" s="3" t="s">
        <v>446</v>
      </c>
      <c r="F282" s="3" t="s">
        <v>273</v>
      </c>
      <c r="G282" s="3" t="s">
        <v>274</v>
      </c>
      <c r="H282" s="3" t="s">
        <v>275</v>
      </c>
      <c r="I282" s="3">
        <f>ROUND((590*0.48+800*0.21+900*0.18+200*0.13)/100,9)</f>
        <v>6.3920000000000003</v>
      </c>
      <c r="J282" s="3">
        <v>0</v>
      </c>
      <c r="K282" s="3">
        <f>ROUND((590*0.48+800*0.21+900*0.18+200*0.13)/100,9)</f>
        <v>6.3920000000000003</v>
      </c>
      <c r="O282" s="3">
        <f t="shared" si="329"/>
        <v>42303.33</v>
      </c>
      <c r="P282" s="3">
        <f t="shared" si="370"/>
        <v>2100.44</v>
      </c>
      <c r="Q282" s="3">
        <f>(ROUND((ROUND(((((ET282*1.2)*1.25))*AV282*I282),2)*BB282),2)+ROUND((ROUND(((AE282-(((EU282*1.2)*1.25)))*AV282*I282),2)*BS282),2))</f>
        <v>1623.99</v>
      </c>
      <c r="R282" s="3">
        <f>(ROUND((ROUND(((((EU282*1.2)*1.25))*AV282*I282),2)*BS282),2)+ROUND((ROUND(((AE282-(((EU282*1.2)*1.25)))*AV282*I282),2)*BS282),2))</f>
        <v>141.44</v>
      </c>
      <c r="S282" s="3">
        <f t="shared" si="331"/>
        <v>38578.9</v>
      </c>
      <c r="T282" s="3">
        <f t="shared" si="332"/>
        <v>0</v>
      </c>
      <c r="U282" s="3">
        <f t="shared" si="333"/>
        <v>49.040744587199988</v>
      </c>
      <c r="V282" s="3">
        <f t="shared" si="334"/>
        <v>0</v>
      </c>
      <c r="W282" s="3">
        <f t="shared" si="335"/>
        <v>0</v>
      </c>
      <c r="X282" s="3">
        <f>(ROUND((((S282+ROUND((ROUND(((((EU282*1.2)*1.25))*AV282*I282),2)*BS282),2))*AT282)/100),2)+ROUND(((ROUND((ROUND(((AE282-(((EU282*1.2)*1.25)))*AV282*I282),2)*BS282),2)*AT282)/100),2))</f>
        <v>36397.120000000003</v>
      </c>
      <c r="Y282" s="3">
        <f>(ROUND((((S282+ROUND((ROUND(((((EU282*1.2)*1.25))*AV282*I282),2)*BS282),2))*AU282)/100),2)+ROUND(((ROUND((ROUND(((AE282-(((EU282*1.2)*1.25)))*AV282*I282),2)*BS282),2)*AU282)/100),2))</f>
        <v>19747.37</v>
      </c>
      <c r="AA282" s="3">
        <v>55747651</v>
      </c>
      <c r="AB282" s="3">
        <f t="shared" si="336"/>
        <v>132.1994</v>
      </c>
      <c r="AC282" s="3">
        <f>ROUND((((ES282*1)*1)),6)</f>
        <v>9.44</v>
      </c>
      <c r="AD282" s="3">
        <f>ROUND((((((ET282*1.2)*1.25))-(((EU282*1.2)*1.25)))+AE282),6)</f>
        <v>20.46</v>
      </c>
      <c r="AE282" s="3">
        <f>ROUND((((EU282*1.2)*1.25)),6)</f>
        <v>0.375</v>
      </c>
      <c r="AF282" s="3">
        <f>ROUND((((EV282*1.2)*1.15)),6)</f>
        <v>102.29940000000001</v>
      </c>
      <c r="AG282" s="3">
        <f t="shared" si="337"/>
        <v>0</v>
      </c>
      <c r="AH282" s="3">
        <f>(((EW282*1.2)*1.15))</f>
        <v>7.3277999999999981</v>
      </c>
      <c r="AI282" s="3">
        <f>(((EX282*1.2)*1.25))</f>
        <v>0</v>
      </c>
      <c r="AJ282" s="3">
        <f t="shared" si="338"/>
        <v>0</v>
      </c>
      <c r="AK282" s="3">
        <v>97.21</v>
      </c>
      <c r="AL282" s="3">
        <v>9.44</v>
      </c>
      <c r="AM282" s="3">
        <v>13.64</v>
      </c>
      <c r="AN282" s="3">
        <v>0.25</v>
      </c>
      <c r="AO282" s="3">
        <v>74.13</v>
      </c>
      <c r="AP282" s="3">
        <v>0</v>
      </c>
      <c r="AQ282" s="3">
        <v>5.31</v>
      </c>
      <c r="AR282" s="3">
        <v>0</v>
      </c>
      <c r="AS282" s="3">
        <v>0</v>
      </c>
      <c r="AT282" s="3">
        <v>94</v>
      </c>
      <c r="AU282" s="3">
        <v>51</v>
      </c>
      <c r="AV282" s="3">
        <v>1.0469999999999999</v>
      </c>
      <c r="AW282" s="3">
        <v>1</v>
      </c>
      <c r="AZ282" s="3">
        <v>1</v>
      </c>
      <c r="BA282" s="3">
        <v>56.35</v>
      </c>
      <c r="BB282" s="3">
        <v>11.86</v>
      </c>
      <c r="BC282" s="3">
        <v>34.81</v>
      </c>
      <c r="BD282" s="3" t="s">
        <v>3</v>
      </c>
      <c r="BE282" s="3" t="s">
        <v>3</v>
      </c>
      <c r="BF282" s="3" t="s">
        <v>3</v>
      </c>
      <c r="BG282" s="3" t="s">
        <v>3</v>
      </c>
      <c r="BH282" s="3">
        <v>0</v>
      </c>
      <c r="BI282" s="3">
        <v>1</v>
      </c>
      <c r="BJ282" s="3" t="s">
        <v>276</v>
      </c>
      <c r="BM282" s="3">
        <v>17</v>
      </c>
      <c r="BN282" s="3">
        <v>0</v>
      </c>
      <c r="BO282" s="3" t="s">
        <v>273</v>
      </c>
      <c r="BP282" s="3">
        <v>1</v>
      </c>
      <c r="BQ282" s="3">
        <v>30</v>
      </c>
      <c r="BR282" s="3">
        <v>0</v>
      </c>
      <c r="BS282" s="3">
        <v>56.35</v>
      </c>
      <c r="BT282" s="3">
        <v>1</v>
      </c>
      <c r="BU282" s="3">
        <v>1</v>
      </c>
      <c r="BV282" s="3">
        <v>1</v>
      </c>
      <c r="BW282" s="3">
        <v>1</v>
      </c>
      <c r="BX282" s="3">
        <v>1</v>
      </c>
      <c r="BY282" s="3" t="s">
        <v>3</v>
      </c>
      <c r="BZ282" s="3">
        <v>94</v>
      </c>
      <c r="CA282" s="3">
        <v>51</v>
      </c>
      <c r="CB282" s="3" t="s">
        <v>3</v>
      </c>
      <c r="CE282" s="3">
        <v>1566</v>
      </c>
      <c r="CF282" s="3">
        <v>0</v>
      </c>
      <c r="CG282" s="3">
        <v>0</v>
      </c>
      <c r="CM282" s="3">
        <v>0</v>
      </c>
      <c r="CN282" s="3" t="s">
        <v>715</v>
      </c>
      <c r="CO282" s="3">
        <v>0</v>
      </c>
      <c r="CP282" s="3">
        <f t="shared" si="339"/>
        <v>42303.33</v>
      </c>
      <c r="CQ282" s="3">
        <f t="shared" si="371"/>
        <v>328.61</v>
      </c>
      <c r="CR282" s="3">
        <f>(ROUND((ROUND(((((ET282*1.2)*1.25))*AV282*1),2)*BB282),2)+ROUND((ROUND(((AE282-(((EU282*1.2)*1.25)))*AV282*1),2)*BS282),2))</f>
        <v>254.04</v>
      </c>
      <c r="CS282" s="3">
        <f>(ROUND((ROUND(((((EU282*1.2)*1.25))*AV282*1),2)*BS282),2)+ROUND((ROUND(((AE282-(((EU282*1.2)*1.25)))*AV282*1),2)*BS282),2))</f>
        <v>21.98</v>
      </c>
      <c r="CT282" s="3">
        <f t="shared" si="341"/>
        <v>6035.65</v>
      </c>
      <c r="CU282" s="3">
        <f t="shared" si="342"/>
        <v>0</v>
      </c>
      <c r="CV282" s="3">
        <f t="shared" si="343"/>
        <v>7.6722065999999973</v>
      </c>
      <c r="CW282" s="3">
        <f t="shared" si="344"/>
        <v>0</v>
      </c>
      <c r="CX282" s="3">
        <f t="shared" si="345"/>
        <v>0</v>
      </c>
      <c r="CY282" s="3">
        <f>(ROUND((((S282+ROUND((ROUND(((((EU282*1.2)*1.25))*AV282*1),2)*BS282),2))*AT282)/100),2)+ROUND(((ROUND((ROUND(((AE282-(((EU282*1.2)*1.25)))*AV282*1),2)*BS282),2)*AT282)/100),2))</f>
        <v>36284.83</v>
      </c>
      <c r="CZ282" s="3">
        <f>(ROUND((((S282+ROUND((ROUND(((((EU282*1.2)*1.25))*AV282*1),2)*BS282),2))*AU282)/100),2)+ROUND(((ROUND((ROUND(((AE282-(((EU282*1.2)*1.25)))*AV282*1),2)*BS282),2)*AU282)/100),2))</f>
        <v>19686.45</v>
      </c>
      <c r="DB282" s="3">
        <v>111</v>
      </c>
      <c r="DC282" s="3" t="s">
        <v>3</v>
      </c>
      <c r="DD282" s="3" t="s">
        <v>38</v>
      </c>
      <c r="DE282" s="3" t="s">
        <v>39</v>
      </c>
      <c r="DF282" s="3" t="s">
        <v>39</v>
      </c>
      <c r="DG282" s="3" t="s">
        <v>40</v>
      </c>
      <c r="DH282" s="3" t="s">
        <v>3</v>
      </c>
      <c r="DI282" s="3" t="s">
        <v>40</v>
      </c>
      <c r="DJ282" s="3" t="s">
        <v>39</v>
      </c>
      <c r="DK282" s="3" t="s">
        <v>3</v>
      </c>
      <c r="DL282" s="3" t="s">
        <v>3</v>
      </c>
      <c r="DM282" s="3" t="s">
        <v>3</v>
      </c>
      <c r="DN282" s="3">
        <v>0</v>
      </c>
      <c r="DO282" s="3">
        <v>0</v>
      </c>
      <c r="DP282" s="3">
        <v>1</v>
      </c>
      <c r="DQ282" s="3">
        <v>1</v>
      </c>
      <c r="DU282" s="3">
        <v>1005</v>
      </c>
      <c r="DV282" s="3" t="s">
        <v>275</v>
      </c>
      <c r="DW282" s="3" t="s">
        <v>275</v>
      </c>
      <c r="DX282" s="3">
        <v>100</v>
      </c>
      <c r="DZ282" s="3" t="s">
        <v>3</v>
      </c>
      <c r="EA282" s="3" t="s">
        <v>3</v>
      </c>
      <c r="EB282" s="3" t="s">
        <v>3</v>
      </c>
      <c r="EC282" s="3" t="s">
        <v>3</v>
      </c>
      <c r="EE282" s="3">
        <v>56938683</v>
      </c>
      <c r="EF282" s="3">
        <v>30</v>
      </c>
      <c r="EG282" s="3" t="s">
        <v>41</v>
      </c>
      <c r="EH282" s="3">
        <v>0</v>
      </c>
      <c r="EI282" s="3" t="s">
        <v>3</v>
      </c>
      <c r="EJ282" s="3">
        <v>1</v>
      </c>
      <c r="EK282" s="3">
        <v>17</v>
      </c>
      <c r="EL282" s="3" t="s">
        <v>277</v>
      </c>
      <c r="EM282" s="3" t="s">
        <v>278</v>
      </c>
      <c r="EO282" s="3" t="s">
        <v>44</v>
      </c>
      <c r="EQ282" s="3">
        <v>131072</v>
      </c>
      <c r="ER282" s="3">
        <v>97.21</v>
      </c>
      <c r="ES282" s="3">
        <v>9.44</v>
      </c>
      <c r="ET282" s="3">
        <v>13.64</v>
      </c>
      <c r="EU282" s="3">
        <v>0.25</v>
      </c>
      <c r="EV282" s="3">
        <v>74.13</v>
      </c>
      <c r="EW282" s="3">
        <v>5.31</v>
      </c>
      <c r="EX282" s="3">
        <v>0</v>
      </c>
      <c r="EY282" s="3">
        <v>0</v>
      </c>
      <c r="FQ282" s="3">
        <v>0</v>
      </c>
      <c r="FR282" s="3">
        <v>0</v>
      </c>
      <c r="FS282" s="3">
        <v>0</v>
      </c>
      <c r="FX282" s="3">
        <v>94</v>
      </c>
      <c r="FY282" s="3">
        <v>51</v>
      </c>
      <c r="GA282" s="3" t="s">
        <v>3</v>
      </c>
      <c r="GD282" s="3">
        <v>1</v>
      </c>
      <c r="GF282" s="3">
        <v>-979455668</v>
      </c>
      <c r="GG282" s="3">
        <v>2</v>
      </c>
      <c r="GH282" s="3">
        <v>1</v>
      </c>
      <c r="GI282" s="3">
        <v>2</v>
      </c>
      <c r="GJ282" s="3">
        <v>0</v>
      </c>
      <c r="GK282" s="3">
        <v>0</v>
      </c>
      <c r="GL282" s="3">
        <f t="shared" si="346"/>
        <v>0</v>
      </c>
      <c r="GM282" s="3">
        <f t="shared" si="347"/>
        <v>98447.82</v>
      </c>
      <c r="GN282" s="3">
        <f t="shared" si="348"/>
        <v>98447.82</v>
      </c>
      <c r="GO282" s="3">
        <f t="shared" si="349"/>
        <v>0</v>
      </c>
      <c r="GP282" s="3">
        <f t="shared" si="350"/>
        <v>0</v>
      </c>
      <c r="GR282" s="3">
        <v>0</v>
      </c>
      <c r="GS282" s="3">
        <v>3</v>
      </c>
      <c r="GT282" s="3">
        <v>0</v>
      </c>
      <c r="GU282" s="3" t="s">
        <v>3</v>
      </c>
      <c r="GV282" s="3">
        <f t="shared" si="351"/>
        <v>0</v>
      </c>
      <c r="GW282" s="3">
        <v>1</v>
      </c>
      <c r="GX282" s="3">
        <f t="shared" si="352"/>
        <v>0</v>
      </c>
      <c r="HA282" s="3">
        <v>0</v>
      </c>
      <c r="HB282" s="3">
        <v>0</v>
      </c>
      <c r="HC282" s="3">
        <f t="shared" si="353"/>
        <v>0</v>
      </c>
      <c r="HE282" s="3" t="s">
        <v>3</v>
      </c>
      <c r="HF282" s="3" t="s">
        <v>3</v>
      </c>
      <c r="HM282" s="3" t="s">
        <v>3</v>
      </c>
      <c r="HN282" s="3" t="s">
        <v>3</v>
      </c>
      <c r="HO282" s="3" t="s">
        <v>3</v>
      </c>
      <c r="HP282" s="3" t="s">
        <v>3</v>
      </c>
      <c r="HQ282" s="3" t="s">
        <v>3</v>
      </c>
      <c r="HS282" s="3">
        <v>0</v>
      </c>
      <c r="IK282" s="3">
        <v>0</v>
      </c>
    </row>
    <row r="283" spans="1:255" x14ac:dyDescent="0.2">
      <c r="A283" s="2">
        <v>18</v>
      </c>
      <c r="B283" s="2">
        <v>1</v>
      </c>
      <c r="C283" s="2">
        <v>710</v>
      </c>
      <c r="D283" s="2"/>
      <c r="E283" s="2" t="s">
        <v>447</v>
      </c>
      <c r="F283" s="2" t="s">
        <v>280</v>
      </c>
      <c r="G283" s="2" t="s">
        <v>281</v>
      </c>
      <c r="H283" s="2" t="s">
        <v>282</v>
      </c>
      <c r="I283" s="2">
        <f>I281*J283</f>
        <v>5.7527999999999996E-2</v>
      </c>
      <c r="J283" s="2">
        <v>8.9999999999999993E-3</v>
      </c>
      <c r="K283" s="2">
        <v>8.9999999999999993E-3</v>
      </c>
      <c r="L283" s="2"/>
      <c r="M283" s="2"/>
      <c r="N283" s="2"/>
      <c r="O283" s="2">
        <f t="shared" si="329"/>
        <v>1073.07</v>
      </c>
      <c r="P283" s="2">
        <f t="shared" si="370"/>
        <v>1073.07</v>
      </c>
      <c r="Q283" s="2">
        <f>(ROUND((ROUND(((ET283)*AV283*I283),2)*BB283),2)+ROUND((ROUND(((AE283-(EU283))*AV283*I283),2)*BS283),2))</f>
        <v>0</v>
      </c>
      <c r="R283" s="2">
        <f>(ROUND((ROUND(((EU283)*AV283*I283),2)*BS283),2)+ROUND((ROUND(((AE283-(EU283))*AV283*I283),2)*BS283),2))</f>
        <v>0</v>
      </c>
      <c r="S283" s="2">
        <f t="shared" si="331"/>
        <v>0</v>
      </c>
      <c r="T283" s="2">
        <f t="shared" si="332"/>
        <v>0</v>
      </c>
      <c r="U283" s="2">
        <f t="shared" si="333"/>
        <v>0</v>
      </c>
      <c r="V283" s="2">
        <f t="shared" si="334"/>
        <v>0</v>
      </c>
      <c r="W283" s="2">
        <f t="shared" si="335"/>
        <v>0</v>
      </c>
      <c r="X283" s="2">
        <f>(ROUND((((S283+ROUND((ROUND(((EU283)*AV283*I283),2)*BS283),2))*AT283)/100),2)+ROUND(((ROUND((ROUND(((AE283-(EU283))*AV283*I283),2)*BS283),2)*AT283)/100),2))</f>
        <v>0</v>
      </c>
      <c r="Y283" s="2">
        <f>(ROUND((((S283+ROUND((ROUND(((EU283)*AV283*I283),2)*BS283),2))*AU283)/100),2)+ROUND(((ROUND((ROUND(((AE283-(EU283))*AV283*I283),2)*BS283),2)*AU283)/100),2))</f>
        <v>0</v>
      </c>
      <c r="Z283" s="2"/>
      <c r="AA283" s="2">
        <v>55747649</v>
      </c>
      <c r="AB283" s="2">
        <f t="shared" si="336"/>
        <v>18653.07</v>
      </c>
      <c r="AC283" s="2">
        <f>ROUND((ES283),6)</f>
        <v>18653.07</v>
      </c>
      <c r="AD283" s="2">
        <f>ROUND((((ET283)-(EU283))+AE283),6)</f>
        <v>0</v>
      </c>
      <c r="AE283" s="2">
        <f>ROUND((EU283),6)</f>
        <v>0</v>
      </c>
      <c r="AF283" s="2">
        <f>ROUND((EV283),6)</f>
        <v>0</v>
      </c>
      <c r="AG283" s="2">
        <f t="shared" si="337"/>
        <v>0</v>
      </c>
      <c r="AH283" s="2">
        <f>(EW283)</f>
        <v>0</v>
      </c>
      <c r="AI283" s="2">
        <f>(EX283)</f>
        <v>0</v>
      </c>
      <c r="AJ283" s="2">
        <f t="shared" si="338"/>
        <v>0</v>
      </c>
      <c r="AK283" s="2">
        <v>18653.07</v>
      </c>
      <c r="AL283" s="2">
        <v>18653.07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94</v>
      </c>
      <c r="AU283" s="2">
        <v>51</v>
      </c>
      <c r="AV283" s="2">
        <v>1</v>
      </c>
      <c r="AW283" s="2">
        <v>1</v>
      </c>
      <c r="AX283" s="2"/>
      <c r="AY283" s="2"/>
      <c r="AZ283" s="2">
        <v>1</v>
      </c>
      <c r="BA283" s="2">
        <v>1</v>
      </c>
      <c r="BB283" s="2">
        <v>1</v>
      </c>
      <c r="BC283" s="2">
        <v>1</v>
      </c>
      <c r="BD283" s="2" t="s">
        <v>3</v>
      </c>
      <c r="BE283" s="2" t="s">
        <v>3</v>
      </c>
      <c r="BF283" s="2" t="s">
        <v>3</v>
      </c>
      <c r="BG283" s="2" t="s">
        <v>3</v>
      </c>
      <c r="BH283" s="2">
        <v>3</v>
      </c>
      <c r="BI283" s="2">
        <v>1</v>
      </c>
      <c r="BJ283" s="2" t="s">
        <v>283</v>
      </c>
      <c r="BK283" s="2"/>
      <c r="BL283" s="2"/>
      <c r="BM283" s="2">
        <v>17</v>
      </c>
      <c r="BN283" s="2">
        <v>0</v>
      </c>
      <c r="BO283" s="2" t="s">
        <v>3</v>
      </c>
      <c r="BP283" s="2">
        <v>0</v>
      </c>
      <c r="BQ283" s="2">
        <v>30</v>
      </c>
      <c r="BR283" s="2">
        <v>0</v>
      </c>
      <c r="BS283" s="2">
        <v>1</v>
      </c>
      <c r="BT283" s="2">
        <v>1</v>
      </c>
      <c r="BU283" s="2">
        <v>1</v>
      </c>
      <c r="BV283" s="2">
        <v>1</v>
      </c>
      <c r="BW283" s="2">
        <v>1</v>
      </c>
      <c r="BX283" s="2">
        <v>1</v>
      </c>
      <c r="BY283" s="2" t="s">
        <v>3</v>
      </c>
      <c r="BZ283" s="2">
        <v>94</v>
      </c>
      <c r="CA283" s="2">
        <v>51</v>
      </c>
      <c r="CB283" s="2" t="s">
        <v>3</v>
      </c>
      <c r="CC283" s="2"/>
      <c r="CD283" s="2"/>
      <c r="CE283" s="2">
        <v>1566</v>
      </c>
      <c r="CF283" s="2">
        <v>0</v>
      </c>
      <c r="CG283" s="2">
        <v>0</v>
      </c>
      <c r="CH283" s="2"/>
      <c r="CI283" s="2"/>
      <c r="CJ283" s="2"/>
      <c r="CK283" s="2"/>
      <c r="CL283" s="2"/>
      <c r="CM283" s="2">
        <v>0</v>
      </c>
      <c r="CN283" s="2" t="s">
        <v>719</v>
      </c>
      <c r="CO283" s="2">
        <v>0</v>
      </c>
      <c r="CP283" s="2">
        <f t="shared" si="339"/>
        <v>1073.07</v>
      </c>
      <c r="CQ283" s="2">
        <f t="shared" si="371"/>
        <v>18653.07</v>
      </c>
      <c r="CR283" s="2">
        <f>(ROUND((ROUND(((ET283)*AV283*1),2)*BB283),2)+ROUND((ROUND(((AE283-(EU283))*AV283*1),2)*BS283),2))</f>
        <v>0</v>
      </c>
      <c r="CS283" s="2">
        <f>(ROUND((ROUND(((EU283)*AV283*1),2)*BS283),2)+ROUND((ROUND(((AE283-(EU283))*AV283*1),2)*BS283),2))</f>
        <v>0</v>
      </c>
      <c r="CT283" s="2">
        <f t="shared" si="341"/>
        <v>0</v>
      </c>
      <c r="CU283" s="2">
        <f t="shared" si="342"/>
        <v>0</v>
      </c>
      <c r="CV283" s="2">
        <f t="shared" si="343"/>
        <v>0</v>
      </c>
      <c r="CW283" s="2">
        <f t="shared" si="344"/>
        <v>0</v>
      </c>
      <c r="CX283" s="2">
        <f t="shared" si="345"/>
        <v>0</v>
      </c>
      <c r="CY283" s="2">
        <f>(ROUND((((S283+ROUND((ROUND(((EU283)*AV283*1),2)*BS283),2))*AT283)/100),2)+ROUND(((ROUND((ROUND(((AE283-(EU283))*AV283*1),2)*BS283),2)*AT283)/100),2))</f>
        <v>0</v>
      </c>
      <c r="CZ283" s="2">
        <f>(ROUND((((S283+ROUND((ROUND(((EU283)*AV283*1),2)*BS283),2))*AU283)/100),2)+ROUND(((ROUND((ROUND(((AE283-(EU283))*AV283*1),2)*BS283),2)*AU283)/100),2))</f>
        <v>0</v>
      </c>
      <c r="DA283" s="2"/>
      <c r="DB283" s="2"/>
      <c r="DC283" s="2" t="s">
        <v>3</v>
      </c>
      <c r="DD283" s="2" t="s">
        <v>3</v>
      </c>
      <c r="DE283" s="2" t="s">
        <v>3</v>
      </c>
      <c r="DF283" s="2" t="s">
        <v>3</v>
      </c>
      <c r="DG283" s="2" t="s">
        <v>3</v>
      </c>
      <c r="DH283" s="2" t="s">
        <v>3</v>
      </c>
      <c r="DI283" s="2" t="s">
        <v>3</v>
      </c>
      <c r="DJ283" s="2" t="s">
        <v>3</v>
      </c>
      <c r="DK283" s="2" t="s">
        <v>3</v>
      </c>
      <c r="DL283" s="2" t="s">
        <v>3</v>
      </c>
      <c r="DM283" s="2" t="s">
        <v>3</v>
      </c>
      <c r="DN283" s="2">
        <v>0</v>
      </c>
      <c r="DO283" s="2">
        <v>0</v>
      </c>
      <c r="DP283" s="2">
        <v>1</v>
      </c>
      <c r="DQ283" s="2">
        <v>1</v>
      </c>
      <c r="DR283" s="2"/>
      <c r="DS283" s="2"/>
      <c r="DT283" s="2"/>
      <c r="DU283" s="2">
        <v>1009</v>
      </c>
      <c r="DV283" s="2" t="s">
        <v>282</v>
      </c>
      <c r="DW283" s="2" t="s">
        <v>282</v>
      </c>
      <c r="DX283" s="2">
        <v>1000</v>
      </c>
      <c r="DY283" s="2"/>
      <c r="DZ283" s="2" t="s">
        <v>3</v>
      </c>
      <c r="EA283" s="2" t="s">
        <v>3</v>
      </c>
      <c r="EB283" s="2" t="s">
        <v>3</v>
      </c>
      <c r="EC283" s="2" t="s">
        <v>3</v>
      </c>
      <c r="ED283" s="2"/>
      <c r="EE283" s="2">
        <v>56938683</v>
      </c>
      <c r="EF283" s="2">
        <v>30</v>
      </c>
      <c r="EG283" s="2" t="s">
        <v>41</v>
      </c>
      <c r="EH283" s="2">
        <v>0</v>
      </c>
      <c r="EI283" s="2" t="s">
        <v>3</v>
      </c>
      <c r="EJ283" s="2">
        <v>1</v>
      </c>
      <c r="EK283" s="2">
        <v>17</v>
      </c>
      <c r="EL283" s="2" t="s">
        <v>277</v>
      </c>
      <c r="EM283" s="2" t="s">
        <v>278</v>
      </c>
      <c r="EN283" s="2"/>
      <c r="EO283" s="2" t="s">
        <v>270</v>
      </c>
      <c r="EP283" s="2"/>
      <c r="EQ283" s="2">
        <v>0</v>
      </c>
      <c r="ER283" s="2">
        <v>18653.07</v>
      </c>
      <c r="ES283" s="2">
        <v>18653.07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>
        <v>0</v>
      </c>
      <c r="FR283" s="2">
        <v>0</v>
      </c>
      <c r="FS283" s="2">
        <v>0</v>
      </c>
      <c r="FT283" s="2"/>
      <c r="FU283" s="2"/>
      <c r="FV283" s="2"/>
      <c r="FW283" s="2"/>
      <c r="FX283" s="2">
        <v>94</v>
      </c>
      <c r="FY283" s="2">
        <v>51</v>
      </c>
      <c r="FZ283" s="2"/>
      <c r="GA283" s="2" t="s">
        <v>3</v>
      </c>
      <c r="GB283" s="2"/>
      <c r="GC283" s="2"/>
      <c r="GD283" s="2">
        <v>1</v>
      </c>
      <c r="GE283" s="2"/>
      <c r="GF283" s="2">
        <v>650902129</v>
      </c>
      <c r="GG283" s="2">
        <v>2</v>
      </c>
      <c r="GH283" s="2">
        <v>1</v>
      </c>
      <c r="GI283" s="2">
        <v>-2</v>
      </c>
      <c r="GJ283" s="2">
        <v>0</v>
      </c>
      <c r="GK283" s="2">
        <v>0</v>
      </c>
      <c r="GL283" s="2">
        <f t="shared" si="346"/>
        <v>0</v>
      </c>
      <c r="GM283" s="2">
        <f t="shared" si="347"/>
        <v>1073.07</v>
      </c>
      <c r="GN283" s="2">
        <f t="shared" si="348"/>
        <v>1073.07</v>
      </c>
      <c r="GO283" s="2">
        <f t="shared" si="349"/>
        <v>0</v>
      </c>
      <c r="GP283" s="2">
        <f t="shared" si="350"/>
        <v>0</v>
      </c>
      <c r="GQ283" s="2"/>
      <c r="GR283" s="2">
        <v>0</v>
      </c>
      <c r="GS283" s="2">
        <v>3</v>
      </c>
      <c r="GT283" s="2">
        <v>0</v>
      </c>
      <c r="GU283" s="2" t="s">
        <v>3</v>
      </c>
      <c r="GV283" s="2">
        <f t="shared" si="351"/>
        <v>0</v>
      </c>
      <c r="GW283" s="2">
        <v>1</v>
      </c>
      <c r="GX283" s="2">
        <f t="shared" si="352"/>
        <v>0</v>
      </c>
      <c r="GY283" s="2"/>
      <c r="GZ283" s="2"/>
      <c r="HA283" s="2">
        <v>0</v>
      </c>
      <c r="HB283" s="2">
        <v>0</v>
      </c>
      <c r="HC283" s="2">
        <f t="shared" si="353"/>
        <v>0</v>
      </c>
      <c r="HD283" s="2"/>
      <c r="HE283" s="2" t="s">
        <v>3</v>
      </c>
      <c r="HF283" s="2" t="s">
        <v>3</v>
      </c>
      <c r="HG283" s="2"/>
      <c r="HH283" s="2"/>
      <c r="HI283" s="2"/>
      <c r="HJ283" s="2"/>
      <c r="HK283" s="2"/>
      <c r="HL283" s="2"/>
      <c r="HM283" s="2" t="s">
        <v>38</v>
      </c>
      <c r="HN283" s="2" t="s">
        <v>3</v>
      </c>
      <c r="HO283" s="2" t="s">
        <v>3</v>
      </c>
      <c r="HP283" s="2" t="s">
        <v>3</v>
      </c>
      <c r="HQ283" s="2" t="s">
        <v>3</v>
      </c>
      <c r="HR283" s="2"/>
      <c r="HS283" s="2">
        <v>0</v>
      </c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>
        <v>0</v>
      </c>
      <c r="IL283" s="2"/>
      <c r="IM283" s="2"/>
      <c r="IN283" s="2"/>
      <c r="IO283" s="2"/>
      <c r="IP283" s="2"/>
      <c r="IQ283" s="2"/>
      <c r="IR283" s="2"/>
      <c r="IS283" s="2"/>
      <c r="IT283" s="2"/>
      <c r="IU283" s="2"/>
    </row>
    <row r="284" spans="1:255" x14ac:dyDescent="0.2">
      <c r="A284" s="3">
        <v>18</v>
      </c>
      <c r="B284" s="3">
        <v>1</v>
      </c>
      <c r="C284" s="3">
        <v>717</v>
      </c>
      <c r="E284" s="3" t="s">
        <v>447</v>
      </c>
      <c r="F284" s="3" t="s">
        <v>280</v>
      </c>
      <c r="G284" s="3" t="s">
        <v>281</v>
      </c>
      <c r="H284" s="3" t="s">
        <v>282</v>
      </c>
      <c r="I284" s="3">
        <f>I282*J284</f>
        <v>5.7527999999999996E-2</v>
      </c>
      <c r="J284" s="3">
        <v>8.9999999999999993E-3</v>
      </c>
      <c r="K284" s="3">
        <v>8.9999999999999993E-3</v>
      </c>
      <c r="O284" s="3">
        <f t="shared" si="329"/>
        <v>3852.32</v>
      </c>
      <c r="P284" s="3">
        <f t="shared" si="370"/>
        <v>3852.32</v>
      </c>
      <c r="Q284" s="3">
        <f>(ROUND((ROUND(((ET284)*AV284*I284),2)*BB284),2)+ROUND((ROUND(((AE284-(EU284))*AV284*I284),2)*BS284),2))</f>
        <v>0</v>
      </c>
      <c r="R284" s="3">
        <f>(ROUND((ROUND(((EU284)*AV284*I284),2)*BS284),2)+ROUND((ROUND(((AE284-(EU284))*AV284*I284),2)*BS284),2))</f>
        <v>0</v>
      </c>
      <c r="S284" s="3">
        <f t="shared" si="331"/>
        <v>0</v>
      </c>
      <c r="T284" s="3">
        <f t="shared" si="332"/>
        <v>0</v>
      </c>
      <c r="U284" s="3">
        <f t="shared" si="333"/>
        <v>0</v>
      </c>
      <c r="V284" s="3">
        <f t="shared" si="334"/>
        <v>0</v>
      </c>
      <c r="W284" s="3">
        <f t="shared" si="335"/>
        <v>0</v>
      </c>
      <c r="X284" s="3">
        <f>(ROUND((((S284+ROUND((ROUND(((EU284)*AV284*I284),2)*BS284),2))*AT284)/100),2)+ROUND(((ROUND((ROUND(((AE284-(EU284))*AV284*I284),2)*BS284),2)*AT284)/100),2))</f>
        <v>0</v>
      </c>
      <c r="Y284" s="3">
        <f>(ROUND((((S284+ROUND((ROUND(((EU284)*AV284*I284),2)*BS284),2))*AU284)/100),2)+ROUND(((ROUND((ROUND(((AE284-(EU284))*AV284*I284),2)*BS284),2)*AU284)/100),2))</f>
        <v>0</v>
      </c>
      <c r="AA284" s="3">
        <v>55747651</v>
      </c>
      <c r="AB284" s="3">
        <f t="shared" si="336"/>
        <v>18653.07</v>
      </c>
      <c r="AC284" s="3">
        <f>ROUND((ES284),6)</f>
        <v>18653.07</v>
      </c>
      <c r="AD284" s="3">
        <f>ROUND((((ET284)-(EU284))+AE284),6)</f>
        <v>0</v>
      </c>
      <c r="AE284" s="3">
        <f>ROUND((EU284),6)</f>
        <v>0</v>
      </c>
      <c r="AF284" s="3">
        <f>ROUND((EV284),6)</f>
        <v>0</v>
      </c>
      <c r="AG284" s="3">
        <f t="shared" si="337"/>
        <v>0</v>
      </c>
      <c r="AH284" s="3">
        <f>(EW284)</f>
        <v>0</v>
      </c>
      <c r="AI284" s="3">
        <f>(EX284)</f>
        <v>0</v>
      </c>
      <c r="AJ284" s="3">
        <f t="shared" si="338"/>
        <v>0</v>
      </c>
      <c r="AK284" s="3">
        <v>18653.07</v>
      </c>
      <c r="AL284" s="3">
        <v>18653.07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94</v>
      </c>
      <c r="AU284" s="3">
        <v>51</v>
      </c>
      <c r="AV284" s="3">
        <v>1</v>
      </c>
      <c r="AW284" s="3">
        <v>1</v>
      </c>
      <c r="AZ284" s="3">
        <v>1</v>
      </c>
      <c r="BA284" s="3">
        <v>1</v>
      </c>
      <c r="BB284" s="3">
        <v>1</v>
      </c>
      <c r="BC284" s="3">
        <v>3.59</v>
      </c>
      <c r="BD284" s="3" t="s">
        <v>3</v>
      </c>
      <c r="BE284" s="3" t="s">
        <v>3</v>
      </c>
      <c r="BF284" s="3" t="s">
        <v>3</v>
      </c>
      <c r="BG284" s="3" t="s">
        <v>3</v>
      </c>
      <c r="BH284" s="3">
        <v>3</v>
      </c>
      <c r="BI284" s="3">
        <v>1</v>
      </c>
      <c r="BJ284" s="3" t="s">
        <v>283</v>
      </c>
      <c r="BM284" s="3">
        <v>17</v>
      </c>
      <c r="BN284" s="3">
        <v>0</v>
      </c>
      <c r="BO284" s="3" t="s">
        <v>280</v>
      </c>
      <c r="BP284" s="3">
        <v>1</v>
      </c>
      <c r="BQ284" s="3">
        <v>30</v>
      </c>
      <c r="BR284" s="3">
        <v>0</v>
      </c>
      <c r="BS284" s="3">
        <v>1</v>
      </c>
      <c r="BT284" s="3">
        <v>1</v>
      </c>
      <c r="BU284" s="3">
        <v>1</v>
      </c>
      <c r="BV284" s="3">
        <v>1</v>
      </c>
      <c r="BW284" s="3">
        <v>1</v>
      </c>
      <c r="BX284" s="3">
        <v>1</v>
      </c>
      <c r="BY284" s="3" t="s">
        <v>3</v>
      </c>
      <c r="BZ284" s="3">
        <v>94</v>
      </c>
      <c r="CA284" s="3">
        <v>51</v>
      </c>
      <c r="CB284" s="3" t="s">
        <v>3</v>
      </c>
      <c r="CE284" s="3">
        <v>1566</v>
      </c>
      <c r="CF284" s="3">
        <v>0</v>
      </c>
      <c r="CG284" s="3">
        <v>0</v>
      </c>
      <c r="CM284" s="3">
        <v>0</v>
      </c>
      <c r="CN284" s="3" t="s">
        <v>719</v>
      </c>
      <c r="CO284" s="3">
        <v>0</v>
      </c>
      <c r="CP284" s="3">
        <f t="shared" si="339"/>
        <v>3852.32</v>
      </c>
      <c r="CQ284" s="3">
        <f t="shared" si="371"/>
        <v>66964.52</v>
      </c>
      <c r="CR284" s="3">
        <f>(ROUND((ROUND(((ET284)*AV284*1),2)*BB284),2)+ROUND((ROUND(((AE284-(EU284))*AV284*1),2)*BS284),2))</f>
        <v>0</v>
      </c>
      <c r="CS284" s="3">
        <f>(ROUND((ROUND(((EU284)*AV284*1),2)*BS284),2)+ROUND((ROUND(((AE284-(EU284))*AV284*1),2)*BS284),2))</f>
        <v>0</v>
      </c>
      <c r="CT284" s="3">
        <f t="shared" si="341"/>
        <v>0</v>
      </c>
      <c r="CU284" s="3">
        <f t="shared" si="342"/>
        <v>0</v>
      </c>
      <c r="CV284" s="3">
        <f t="shared" si="343"/>
        <v>0</v>
      </c>
      <c r="CW284" s="3">
        <f t="shared" si="344"/>
        <v>0</v>
      </c>
      <c r="CX284" s="3">
        <f t="shared" si="345"/>
        <v>0</v>
      </c>
      <c r="CY284" s="3">
        <f>(ROUND((((S284+ROUND((ROUND(((EU284)*AV284*1),2)*BS284),2))*AT284)/100),2)+ROUND(((ROUND((ROUND(((AE284-(EU284))*AV284*1),2)*BS284),2)*AT284)/100),2))</f>
        <v>0</v>
      </c>
      <c r="CZ284" s="3">
        <f>(ROUND((((S284+ROUND((ROUND(((EU284)*AV284*1),2)*BS284),2))*AU284)/100),2)+ROUND(((ROUND((ROUND(((AE284-(EU284))*AV284*1),2)*BS284),2)*AU284)/100),2))</f>
        <v>0</v>
      </c>
      <c r="DC284" s="3" t="s">
        <v>3</v>
      </c>
      <c r="DD284" s="3" t="s">
        <v>3</v>
      </c>
      <c r="DE284" s="3" t="s">
        <v>3</v>
      </c>
      <c r="DF284" s="3" t="s">
        <v>3</v>
      </c>
      <c r="DG284" s="3" t="s">
        <v>3</v>
      </c>
      <c r="DH284" s="3" t="s">
        <v>3</v>
      </c>
      <c r="DI284" s="3" t="s">
        <v>3</v>
      </c>
      <c r="DJ284" s="3" t="s">
        <v>3</v>
      </c>
      <c r="DK284" s="3" t="s">
        <v>3</v>
      </c>
      <c r="DL284" s="3" t="s">
        <v>3</v>
      </c>
      <c r="DM284" s="3" t="s">
        <v>3</v>
      </c>
      <c r="DN284" s="3">
        <v>0</v>
      </c>
      <c r="DO284" s="3">
        <v>0</v>
      </c>
      <c r="DP284" s="3">
        <v>1</v>
      </c>
      <c r="DQ284" s="3">
        <v>1</v>
      </c>
      <c r="DU284" s="3">
        <v>1009</v>
      </c>
      <c r="DV284" s="3" t="s">
        <v>282</v>
      </c>
      <c r="DW284" s="3" t="s">
        <v>282</v>
      </c>
      <c r="DX284" s="3">
        <v>1000</v>
      </c>
      <c r="DZ284" s="3" t="s">
        <v>3</v>
      </c>
      <c r="EA284" s="3" t="s">
        <v>3</v>
      </c>
      <c r="EB284" s="3" t="s">
        <v>3</v>
      </c>
      <c r="EC284" s="3" t="s">
        <v>3</v>
      </c>
      <c r="EE284" s="3">
        <v>56938683</v>
      </c>
      <c r="EF284" s="3">
        <v>30</v>
      </c>
      <c r="EG284" s="3" t="s">
        <v>41</v>
      </c>
      <c r="EH284" s="3">
        <v>0</v>
      </c>
      <c r="EI284" s="3" t="s">
        <v>3</v>
      </c>
      <c r="EJ284" s="3">
        <v>1</v>
      </c>
      <c r="EK284" s="3">
        <v>17</v>
      </c>
      <c r="EL284" s="3" t="s">
        <v>277</v>
      </c>
      <c r="EM284" s="3" t="s">
        <v>278</v>
      </c>
      <c r="EO284" s="3" t="s">
        <v>270</v>
      </c>
      <c r="EQ284" s="3">
        <v>0</v>
      </c>
      <c r="ER284" s="3">
        <v>18653.07</v>
      </c>
      <c r="ES284" s="3">
        <v>18653.07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FQ284" s="3">
        <v>0</v>
      </c>
      <c r="FR284" s="3">
        <v>0</v>
      </c>
      <c r="FS284" s="3">
        <v>0</v>
      </c>
      <c r="FX284" s="3">
        <v>94</v>
      </c>
      <c r="FY284" s="3">
        <v>51</v>
      </c>
      <c r="GA284" s="3" t="s">
        <v>3</v>
      </c>
      <c r="GD284" s="3">
        <v>1</v>
      </c>
      <c r="GF284" s="3">
        <v>650902129</v>
      </c>
      <c r="GG284" s="3">
        <v>2</v>
      </c>
      <c r="GH284" s="3">
        <v>1</v>
      </c>
      <c r="GI284" s="3">
        <v>2</v>
      </c>
      <c r="GJ284" s="3">
        <v>0</v>
      </c>
      <c r="GK284" s="3">
        <v>0</v>
      </c>
      <c r="GL284" s="3">
        <f t="shared" si="346"/>
        <v>0</v>
      </c>
      <c r="GM284" s="3">
        <f t="shared" si="347"/>
        <v>3852.32</v>
      </c>
      <c r="GN284" s="3">
        <f t="shared" si="348"/>
        <v>3852.32</v>
      </c>
      <c r="GO284" s="3">
        <f t="shared" si="349"/>
        <v>0</v>
      </c>
      <c r="GP284" s="3">
        <f t="shared" si="350"/>
        <v>0</v>
      </c>
      <c r="GR284" s="3">
        <v>0</v>
      </c>
      <c r="GS284" s="3">
        <v>3</v>
      </c>
      <c r="GT284" s="3">
        <v>0</v>
      </c>
      <c r="GU284" s="3" t="s">
        <v>3</v>
      </c>
      <c r="GV284" s="3">
        <f t="shared" si="351"/>
        <v>0</v>
      </c>
      <c r="GW284" s="3">
        <v>1</v>
      </c>
      <c r="GX284" s="3">
        <f t="shared" si="352"/>
        <v>0</v>
      </c>
      <c r="HA284" s="3">
        <v>0</v>
      </c>
      <c r="HB284" s="3">
        <v>0</v>
      </c>
      <c r="HC284" s="3">
        <f t="shared" si="353"/>
        <v>0</v>
      </c>
      <c r="HE284" s="3" t="s">
        <v>3</v>
      </c>
      <c r="HF284" s="3" t="s">
        <v>3</v>
      </c>
      <c r="HM284" s="3" t="s">
        <v>38</v>
      </c>
      <c r="HN284" s="3" t="s">
        <v>3</v>
      </c>
      <c r="HO284" s="3" t="s">
        <v>3</v>
      </c>
      <c r="HP284" s="3" t="s">
        <v>3</v>
      </c>
      <c r="HQ284" s="3" t="s">
        <v>3</v>
      </c>
      <c r="HS284" s="3">
        <v>0</v>
      </c>
      <c r="IK284" s="3">
        <v>0</v>
      </c>
    </row>
    <row r="285" spans="1:255" x14ac:dyDescent="0.2">
      <c r="A285" s="2">
        <v>17</v>
      </c>
      <c r="B285" s="2">
        <v>1</v>
      </c>
      <c r="C285" s="2">
        <f>ROW(SmtRes!A723)</f>
        <v>723</v>
      </c>
      <c r="D285" s="2">
        <f>ROW(EtalonRes!A757)</f>
        <v>757</v>
      </c>
      <c r="E285" s="2" t="s">
        <v>448</v>
      </c>
      <c r="F285" s="2" t="s">
        <v>285</v>
      </c>
      <c r="G285" s="2" t="s">
        <v>286</v>
      </c>
      <c r="H285" s="2" t="s">
        <v>275</v>
      </c>
      <c r="I285" s="2">
        <f>ROUND((639.2)/100,9)</f>
        <v>6.3920000000000003</v>
      </c>
      <c r="J285" s="2">
        <v>0</v>
      </c>
      <c r="K285" s="2">
        <f>ROUND((639.2)/100,9)</f>
        <v>6.3920000000000003</v>
      </c>
      <c r="L285" s="2"/>
      <c r="M285" s="2"/>
      <c r="N285" s="2"/>
      <c r="O285" s="2">
        <f t="shared" si="329"/>
        <v>2091.96</v>
      </c>
      <c r="P285" s="2">
        <f t="shared" si="370"/>
        <v>1837.96</v>
      </c>
      <c r="Q285" s="2">
        <f>(ROUND((ROUND(((((ET285*1.2)*1.25))*AV285*I285),2)*BB285),2)+ROUND((ROUND(((AE285-(((EU285*1.2)*1.25)))*AV285*I285),2)*BS285),2))</f>
        <v>19.88</v>
      </c>
      <c r="R285" s="2">
        <f>(ROUND((ROUND(((((EU285*1.2)*1.25))*AV285*I285),2)*BS285),2)+ROUND((ROUND(((AE285-(((EU285*1.2)*1.25)))*AV285*I285),2)*BS285),2))</f>
        <v>2.5099999999999998</v>
      </c>
      <c r="S285" s="2">
        <f t="shared" si="331"/>
        <v>234.12</v>
      </c>
      <c r="T285" s="2">
        <f t="shared" si="332"/>
        <v>0</v>
      </c>
      <c r="U285" s="2">
        <f t="shared" si="333"/>
        <v>19.671711105599993</v>
      </c>
      <c r="V285" s="2">
        <f t="shared" si="334"/>
        <v>0</v>
      </c>
      <c r="W285" s="2">
        <f t="shared" si="335"/>
        <v>0</v>
      </c>
      <c r="X285" s="2">
        <f>(ROUND((((S285+ROUND((ROUND(((((EU285*1.2)*1.25))*AV285*I285),2)*BS285),2))*AT285)/100),2)+ROUND(((ROUND((ROUND(((AE285-(((EU285*1.2)*1.25)))*AV285*I285),2)*BS285),2)*AT285)/100),2))</f>
        <v>222.43</v>
      </c>
      <c r="Y285" s="2">
        <f>(ROUND((((S285+ROUND((ROUND(((((EU285*1.2)*1.25))*AV285*I285),2)*BS285),2))*AU285)/100),2)+ROUND(((ROUND((ROUND(((AE285-(((EU285*1.2)*1.25)))*AV285*I285),2)*BS285),2)*AU285)/100),2))</f>
        <v>120.68</v>
      </c>
      <c r="Z285" s="2"/>
      <c r="AA285" s="2">
        <v>55747649</v>
      </c>
      <c r="AB285" s="2">
        <f t="shared" si="336"/>
        <v>325.49299999999999</v>
      </c>
      <c r="AC285" s="2">
        <f>ROUND((((ES285*1)*1)),6)</f>
        <v>287.54000000000002</v>
      </c>
      <c r="AD285" s="2">
        <f>ROUND((((((ET285*1.2)*1.25))-(((EU285*1.2)*1.25)))+AE285),6)</f>
        <v>2.97</v>
      </c>
      <c r="AE285" s="2">
        <f>ROUND((((EU285*1.2)*1.25)),6)</f>
        <v>0.375</v>
      </c>
      <c r="AF285" s="2">
        <f>ROUND((((EV285*1.2)*1.15)),6)</f>
        <v>34.982999999999997</v>
      </c>
      <c r="AG285" s="2">
        <f t="shared" si="337"/>
        <v>0</v>
      </c>
      <c r="AH285" s="2">
        <f>(((EW285*1.2)*1.15))</f>
        <v>2.9393999999999991</v>
      </c>
      <c r="AI285" s="2">
        <f>(((EX285*1.2)*1.25))</f>
        <v>0</v>
      </c>
      <c r="AJ285" s="2">
        <f t="shared" si="338"/>
        <v>0</v>
      </c>
      <c r="AK285" s="2">
        <v>314.87</v>
      </c>
      <c r="AL285" s="2">
        <v>287.54000000000002</v>
      </c>
      <c r="AM285" s="2">
        <v>1.98</v>
      </c>
      <c r="AN285" s="2">
        <v>0.25</v>
      </c>
      <c r="AO285" s="2">
        <v>25.35</v>
      </c>
      <c r="AP285" s="2">
        <v>0</v>
      </c>
      <c r="AQ285" s="2">
        <v>2.13</v>
      </c>
      <c r="AR285" s="2">
        <v>0</v>
      </c>
      <c r="AS285" s="2">
        <v>0</v>
      </c>
      <c r="AT285" s="2">
        <v>94</v>
      </c>
      <c r="AU285" s="2">
        <v>51</v>
      </c>
      <c r="AV285" s="2">
        <v>1.0469999999999999</v>
      </c>
      <c r="AW285" s="2">
        <v>1</v>
      </c>
      <c r="AX285" s="2"/>
      <c r="AY285" s="2"/>
      <c r="AZ285" s="2">
        <v>1</v>
      </c>
      <c r="BA285" s="2">
        <v>1</v>
      </c>
      <c r="BB285" s="2">
        <v>1</v>
      </c>
      <c r="BC285" s="2">
        <v>1</v>
      </c>
      <c r="BD285" s="2" t="s">
        <v>3</v>
      </c>
      <c r="BE285" s="2" t="s">
        <v>3</v>
      </c>
      <c r="BF285" s="2" t="s">
        <v>3</v>
      </c>
      <c r="BG285" s="2" t="s">
        <v>3</v>
      </c>
      <c r="BH285" s="2">
        <v>0</v>
      </c>
      <c r="BI285" s="2">
        <v>1</v>
      </c>
      <c r="BJ285" s="2" t="s">
        <v>287</v>
      </c>
      <c r="BK285" s="2"/>
      <c r="BL285" s="2"/>
      <c r="BM285" s="2">
        <v>17</v>
      </c>
      <c r="BN285" s="2">
        <v>0</v>
      </c>
      <c r="BO285" s="2" t="s">
        <v>285</v>
      </c>
      <c r="BP285" s="2">
        <v>1</v>
      </c>
      <c r="BQ285" s="2">
        <v>30</v>
      </c>
      <c r="BR285" s="2">
        <v>0</v>
      </c>
      <c r="BS285" s="2">
        <v>1</v>
      </c>
      <c r="BT285" s="2">
        <v>1</v>
      </c>
      <c r="BU285" s="2">
        <v>1</v>
      </c>
      <c r="BV285" s="2">
        <v>1</v>
      </c>
      <c r="BW285" s="2">
        <v>1</v>
      </c>
      <c r="BX285" s="2">
        <v>1</v>
      </c>
      <c r="BY285" s="2" t="s">
        <v>3</v>
      </c>
      <c r="BZ285" s="2">
        <v>94</v>
      </c>
      <c r="CA285" s="2">
        <v>51</v>
      </c>
      <c r="CB285" s="2" t="s">
        <v>3</v>
      </c>
      <c r="CC285" s="2"/>
      <c r="CD285" s="2"/>
      <c r="CE285" s="2">
        <v>1566</v>
      </c>
      <c r="CF285" s="2">
        <v>0</v>
      </c>
      <c r="CG285" s="2">
        <v>0</v>
      </c>
      <c r="CH285" s="2"/>
      <c r="CI285" s="2"/>
      <c r="CJ285" s="2"/>
      <c r="CK285" s="2"/>
      <c r="CL285" s="2"/>
      <c r="CM285" s="2">
        <v>0</v>
      </c>
      <c r="CN285" s="2" t="s">
        <v>715</v>
      </c>
      <c r="CO285" s="2">
        <v>0</v>
      </c>
      <c r="CP285" s="2">
        <f t="shared" si="339"/>
        <v>2091.96</v>
      </c>
      <c r="CQ285" s="2">
        <f t="shared" si="371"/>
        <v>287.54000000000002</v>
      </c>
      <c r="CR285" s="2">
        <f>(ROUND((ROUND(((((ET285*1.2)*1.25))*AV285*1),2)*BB285),2)+ROUND((ROUND(((AE285-(((EU285*1.2)*1.25)))*AV285*1),2)*BS285),2))</f>
        <v>3.11</v>
      </c>
      <c r="CS285" s="2">
        <f>(ROUND((ROUND(((((EU285*1.2)*1.25))*AV285*1),2)*BS285),2)+ROUND((ROUND(((AE285-(((EU285*1.2)*1.25)))*AV285*1),2)*BS285),2))</f>
        <v>0.39</v>
      </c>
      <c r="CT285" s="2">
        <f t="shared" si="341"/>
        <v>36.630000000000003</v>
      </c>
      <c r="CU285" s="2">
        <f t="shared" si="342"/>
        <v>0</v>
      </c>
      <c r="CV285" s="2">
        <f t="shared" si="343"/>
        <v>3.0775517999999988</v>
      </c>
      <c r="CW285" s="2">
        <f t="shared" si="344"/>
        <v>0</v>
      </c>
      <c r="CX285" s="2">
        <f t="shared" si="345"/>
        <v>0</v>
      </c>
      <c r="CY285" s="2">
        <f>(ROUND((((S285+ROUND((ROUND(((((EU285*1.2)*1.25))*AV285*1),2)*BS285),2))*AT285)/100),2)+ROUND(((ROUND((ROUND(((AE285-(((EU285*1.2)*1.25)))*AV285*1),2)*BS285),2)*AT285)/100),2))</f>
        <v>220.44</v>
      </c>
      <c r="CZ285" s="2">
        <f>(ROUND((((S285+ROUND((ROUND(((((EU285*1.2)*1.25))*AV285*1),2)*BS285),2))*AU285)/100),2)+ROUND(((ROUND((ROUND(((AE285-(((EU285*1.2)*1.25)))*AV285*1),2)*BS285),2)*AU285)/100),2))</f>
        <v>119.6</v>
      </c>
      <c r="DA285" s="2"/>
      <c r="DB285" s="2">
        <v>113</v>
      </c>
      <c r="DC285" s="2" t="s">
        <v>3</v>
      </c>
      <c r="DD285" s="2" t="s">
        <v>38</v>
      </c>
      <c r="DE285" s="2" t="s">
        <v>39</v>
      </c>
      <c r="DF285" s="2" t="s">
        <v>39</v>
      </c>
      <c r="DG285" s="2" t="s">
        <v>40</v>
      </c>
      <c r="DH285" s="2" t="s">
        <v>3</v>
      </c>
      <c r="DI285" s="2" t="s">
        <v>40</v>
      </c>
      <c r="DJ285" s="2" t="s">
        <v>39</v>
      </c>
      <c r="DK285" s="2" t="s">
        <v>3</v>
      </c>
      <c r="DL285" s="2" t="s">
        <v>3</v>
      </c>
      <c r="DM285" s="2" t="s">
        <v>3</v>
      </c>
      <c r="DN285" s="2">
        <v>0</v>
      </c>
      <c r="DO285" s="2">
        <v>0</v>
      </c>
      <c r="DP285" s="2">
        <v>1</v>
      </c>
      <c r="DQ285" s="2">
        <v>1</v>
      </c>
      <c r="DR285" s="2"/>
      <c r="DS285" s="2"/>
      <c r="DT285" s="2"/>
      <c r="DU285" s="2">
        <v>1005</v>
      </c>
      <c r="DV285" s="2" t="s">
        <v>275</v>
      </c>
      <c r="DW285" s="2" t="s">
        <v>275</v>
      </c>
      <c r="DX285" s="2">
        <v>100</v>
      </c>
      <c r="DY285" s="2"/>
      <c r="DZ285" s="2" t="s">
        <v>3</v>
      </c>
      <c r="EA285" s="2" t="s">
        <v>3</v>
      </c>
      <c r="EB285" s="2" t="s">
        <v>3</v>
      </c>
      <c r="EC285" s="2" t="s">
        <v>3</v>
      </c>
      <c r="ED285" s="2"/>
      <c r="EE285" s="2">
        <v>56938683</v>
      </c>
      <c r="EF285" s="2">
        <v>30</v>
      </c>
      <c r="EG285" s="2" t="s">
        <v>41</v>
      </c>
      <c r="EH285" s="2">
        <v>0</v>
      </c>
      <c r="EI285" s="2" t="s">
        <v>3</v>
      </c>
      <c r="EJ285" s="2">
        <v>1</v>
      </c>
      <c r="EK285" s="2">
        <v>17</v>
      </c>
      <c r="EL285" s="2" t="s">
        <v>277</v>
      </c>
      <c r="EM285" s="2" t="s">
        <v>278</v>
      </c>
      <c r="EN285" s="2"/>
      <c r="EO285" s="2" t="s">
        <v>44</v>
      </c>
      <c r="EP285" s="2"/>
      <c r="EQ285" s="2">
        <v>131072</v>
      </c>
      <c r="ER285" s="2">
        <v>314.87</v>
      </c>
      <c r="ES285" s="2">
        <v>287.54000000000002</v>
      </c>
      <c r="ET285" s="2">
        <v>1.98</v>
      </c>
      <c r="EU285" s="2">
        <v>0.25</v>
      </c>
      <c r="EV285" s="2">
        <v>25.35</v>
      </c>
      <c r="EW285" s="2">
        <v>2.13</v>
      </c>
      <c r="EX285" s="2">
        <v>0</v>
      </c>
      <c r="EY285" s="2">
        <v>0</v>
      </c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>
        <v>0</v>
      </c>
      <c r="FR285" s="2">
        <v>0</v>
      </c>
      <c r="FS285" s="2">
        <v>0</v>
      </c>
      <c r="FT285" s="2"/>
      <c r="FU285" s="2"/>
      <c r="FV285" s="2"/>
      <c r="FW285" s="2"/>
      <c r="FX285" s="2">
        <v>94</v>
      </c>
      <c r="FY285" s="2">
        <v>51</v>
      </c>
      <c r="FZ285" s="2"/>
      <c r="GA285" s="2" t="s">
        <v>3</v>
      </c>
      <c r="GB285" s="2"/>
      <c r="GC285" s="2"/>
      <c r="GD285" s="2">
        <v>1</v>
      </c>
      <c r="GE285" s="2"/>
      <c r="GF285" s="2">
        <v>1419895163</v>
      </c>
      <c r="GG285" s="2">
        <v>2</v>
      </c>
      <c r="GH285" s="2">
        <v>1</v>
      </c>
      <c r="GI285" s="2">
        <v>2</v>
      </c>
      <c r="GJ285" s="2">
        <v>0</v>
      </c>
      <c r="GK285" s="2">
        <v>0</v>
      </c>
      <c r="GL285" s="2">
        <f t="shared" si="346"/>
        <v>0</v>
      </c>
      <c r="GM285" s="2">
        <f t="shared" si="347"/>
        <v>2435.0700000000002</v>
      </c>
      <c r="GN285" s="2">
        <f t="shared" si="348"/>
        <v>2435.0700000000002</v>
      </c>
      <c r="GO285" s="2">
        <f t="shared" si="349"/>
        <v>0</v>
      </c>
      <c r="GP285" s="2">
        <f t="shared" si="350"/>
        <v>0</v>
      </c>
      <c r="GQ285" s="2"/>
      <c r="GR285" s="2">
        <v>0</v>
      </c>
      <c r="GS285" s="2">
        <v>3</v>
      </c>
      <c r="GT285" s="2">
        <v>0</v>
      </c>
      <c r="GU285" s="2" t="s">
        <v>3</v>
      </c>
      <c r="GV285" s="2">
        <f t="shared" si="351"/>
        <v>0</v>
      </c>
      <c r="GW285" s="2">
        <v>1</v>
      </c>
      <c r="GX285" s="2">
        <f t="shared" si="352"/>
        <v>0</v>
      </c>
      <c r="GY285" s="2"/>
      <c r="GZ285" s="2"/>
      <c r="HA285" s="2">
        <v>0</v>
      </c>
      <c r="HB285" s="2">
        <v>0</v>
      </c>
      <c r="HC285" s="2">
        <f t="shared" si="353"/>
        <v>0</v>
      </c>
      <c r="HD285" s="2"/>
      <c r="HE285" s="2" t="s">
        <v>3</v>
      </c>
      <c r="HF285" s="2" t="s">
        <v>3</v>
      </c>
      <c r="HG285" s="2"/>
      <c r="HH285" s="2"/>
      <c r="HI285" s="2"/>
      <c r="HJ285" s="2"/>
      <c r="HK285" s="2"/>
      <c r="HL285" s="2"/>
      <c r="HM285" s="2" t="s">
        <v>3</v>
      </c>
      <c r="HN285" s="2" t="s">
        <v>3</v>
      </c>
      <c r="HO285" s="2" t="s">
        <v>3</v>
      </c>
      <c r="HP285" s="2" t="s">
        <v>3</v>
      </c>
      <c r="HQ285" s="2" t="s">
        <v>3</v>
      </c>
      <c r="HR285" s="2"/>
      <c r="HS285" s="2">
        <v>0</v>
      </c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>
        <v>0</v>
      </c>
      <c r="IL285" s="2"/>
      <c r="IM285" s="2"/>
      <c r="IN285" s="2"/>
      <c r="IO285" s="2"/>
      <c r="IP285" s="2"/>
      <c r="IQ285" s="2"/>
      <c r="IR285" s="2"/>
      <c r="IS285" s="2"/>
      <c r="IT285" s="2"/>
      <c r="IU285" s="2"/>
    </row>
    <row r="286" spans="1:255" x14ac:dyDescent="0.2">
      <c r="A286" s="3">
        <v>17</v>
      </c>
      <c r="B286" s="3">
        <v>1</v>
      </c>
      <c r="C286" s="3">
        <f>ROW(SmtRes!A728)</f>
        <v>728</v>
      </c>
      <c r="D286" s="3">
        <f>ROW(EtalonRes!A762)</f>
        <v>762</v>
      </c>
      <c r="E286" s="3" t="s">
        <v>448</v>
      </c>
      <c r="F286" s="3" t="s">
        <v>285</v>
      </c>
      <c r="G286" s="3" t="s">
        <v>286</v>
      </c>
      <c r="H286" s="3" t="s">
        <v>275</v>
      </c>
      <c r="I286" s="3">
        <f>ROUND((639.2)/100,9)</f>
        <v>6.3920000000000003</v>
      </c>
      <c r="J286" s="3">
        <v>0</v>
      </c>
      <c r="K286" s="3">
        <f>ROUND((639.2)/100,9)</f>
        <v>6.3920000000000003</v>
      </c>
      <c r="O286" s="3">
        <f t="shared" si="329"/>
        <v>19862.439999999999</v>
      </c>
      <c r="P286" s="3">
        <f t="shared" si="370"/>
        <v>6340.96</v>
      </c>
      <c r="Q286" s="3">
        <f>(ROUND((ROUND(((((ET286*1.2)*1.25))*AV286*I286),2)*BB286),2)+ROUND((ROUND(((AE286-(((EU286*1.2)*1.25)))*AV286*I286),2)*BS286),2))</f>
        <v>328.82</v>
      </c>
      <c r="R286" s="3">
        <f>(ROUND((ROUND(((((EU286*1.2)*1.25))*AV286*I286),2)*BS286),2)+ROUND((ROUND(((AE286-(((EU286*1.2)*1.25)))*AV286*I286),2)*BS286),2))</f>
        <v>141.44</v>
      </c>
      <c r="S286" s="3">
        <f t="shared" si="331"/>
        <v>13192.66</v>
      </c>
      <c r="T286" s="3">
        <f t="shared" si="332"/>
        <v>0</v>
      </c>
      <c r="U286" s="3">
        <f t="shared" si="333"/>
        <v>19.671711105599993</v>
      </c>
      <c r="V286" s="3">
        <f t="shared" si="334"/>
        <v>0</v>
      </c>
      <c r="W286" s="3">
        <f t="shared" si="335"/>
        <v>0</v>
      </c>
      <c r="X286" s="3">
        <f>(ROUND((((S286+ROUND((ROUND(((((EU286*1.2)*1.25))*AV286*I286),2)*BS286),2))*AT286)/100),2)+ROUND(((ROUND((ROUND(((AE286-(((EU286*1.2)*1.25)))*AV286*I286),2)*BS286),2)*AT286)/100),2))</f>
        <v>12534.05</v>
      </c>
      <c r="Y286" s="3">
        <f>(ROUND((((S286+ROUND((ROUND(((((EU286*1.2)*1.25))*AV286*I286),2)*BS286),2))*AU286)/100),2)+ROUND(((ROUND((ROUND(((AE286-(((EU286*1.2)*1.25)))*AV286*I286),2)*BS286),2)*AU286)/100),2))</f>
        <v>6800.39</v>
      </c>
      <c r="AA286" s="3">
        <v>55747651</v>
      </c>
      <c r="AB286" s="3">
        <f t="shared" si="336"/>
        <v>325.49299999999999</v>
      </c>
      <c r="AC286" s="3">
        <f>ROUND((((ES286*1)*1)),6)</f>
        <v>287.54000000000002</v>
      </c>
      <c r="AD286" s="3">
        <f>ROUND((((((ET286*1.2)*1.25))-(((EU286*1.2)*1.25)))+AE286),6)</f>
        <v>2.97</v>
      </c>
      <c r="AE286" s="3">
        <f>ROUND((((EU286*1.2)*1.25)),6)</f>
        <v>0.375</v>
      </c>
      <c r="AF286" s="3">
        <f>ROUND((((EV286*1.2)*1.15)),6)</f>
        <v>34.982999999999997</v>
      </c>
      <c r="AG286" s="3">
        <f t="shared" si="337"/>
        <v>0</v>
      </c>
      <c r="AH286" s="3">
        <f>(((EW286*1.2)*1.15))</f>
        <v>2.9393999999999991</v>
      </c>
      <c r="AI286" s="3">
        <f>(((EX286*1.2)*1.25))</f>
        <v>0</v>
      </c>
      <c r="AJ286" s="3">
        <f t="shared" si="338"/>
        <v>0</v>
      </c>
      <c r="AK286" s="3">
        <v>314.87</v>
      </c>
      <c r="AL286" s="3">
        <v>287.54000000000002</v>
      </c>
      <c r="AM286" s="3">
        <v>1.98</v>
      </c>
      <c r="AN286" s="3">
        <v>0.25</v>
      </c>
      <c r="AO286" s="3">
        <v>25.35</v>
      </c>
      <c r="AP286" s="3">
        <v>0</v>
      </c>
      <c r="AQ286" s="3">
        <v>2.13</v>
      </c>
      <c r="AR286" s="3">
        <v>0</v>
      </c>
      <c r="AS286" s="3">
        <v>0</v>
      </c>
      <c r="AT286" s="3">
        <v>94</v>
      </c>
      <c r="AU286" s="3">
        <v>51</v>
      </c>
      <c r="AV286" s="3">
        <v>1.0469999999999999</v>
      </c>
      <c r="AW286" s="3">
        <v>1</v>
      </c>
      <c r="AZ286" s="3">
        <v>1</v>
      </c>
      <c r="BA286" s="3">
        <v>56.35</v>
      </c>
      <c r="BB286" s="3">
        <v>16.54</v>
      </c>
      <c r="BC286" s="3">
        <v>3.45</v>
      </c>
      <c r="BD286" s="3" t="s">
        <v>3</v>
      </c>
      <c r="BE286" s="3" t="s">
        <v>3</v>
      </c>
      <c r="BF286" s="3" t="s">
        <v>3</v>
      </c>
      <c r="BG286" s="3" t="s">
        <v>3</v>
      </c>
      <c r="BH286" s="3">
        <v>0</v>
      </c>
      <c r="BI286" s="3">
        <v>1</v>
      </c>
      <c r="BJ286" s="3" t="s">
        <v>287</v>
      </c>
      <c r="BM286" s="3">
        <v>17</v>
      </c>
      <c r="BN286" s="3">
        <v>0</v>
      </c>
      <c r="BO286" s="3" t="s">
        <v>285</v>
      </c>
      <c r="BP286" s="3">
        <v>1</v>
      </c>
      <c r="BQ286" s="3">
        <v>30</v>
      </c>
      <c r="BR286" s="3">
        <v>0</v>
      </c>
      <c r="BS286" s="3">
        <v>56.35</v>
      </c>
      <c r="BT286" s="3">
        <v>1</v>
      </c>
      <c r="BU286" s="3">
        <v>1</v>
      </c>
      <c r="BV286" s="3">
        <v>1</v>
      </c>
      <c r="BW286" s="3">
        <v>1</v>
      </c>
      <c r="BX286" s="3">
        <v>1</v>
      </c>
      <c r="BY286" s="3" t="s">
        <v>3</v>
      </c>
      <c r="BZ286" s="3">
        <v>94</v>
      </c>
      <c r="CA286" s="3">
        <v>51</v>
      </c>
      <c r="CB286" s="3" t="s">
        <v>3</v>
      </c>
      <c r="CE286" s="3">
        <v>1566</v>
      </c>
      <c r="CF286" s="3">
        <v>0</v>
      </c>
      <c r="CG286" s="3">
        <v>0</v>
      </c>
      <c r="CM286" s="3">
        <v>0</v>
      </c>
      <c r="CN286" s="3" t="s">
        <v>715</v>
      </c>
      <c r="CO286" s="3">
        <v>0</v>
      </c>
      <c r="CP286" s="3">
        <f t="shared" si="339"/>
        <v>19862.439999999999</v>
      </c>
      <c r="CQ286" s="3">
        <f t="shared" si="371"/>
        <v>992.01</v>
      </c>
      <c r="CR286" s="3">
        <f>(ROUND((ROUND(((((ET286*1.2)*1.25))*AV286*1),2)*BB286),2)+ROUND((ROUND(((AE286-(((EU286*1.2)*1.25)))*AV286*1),2)*BS286),2))</f>
        <v>51.44</v>
      </c>
      <c r="CS286" s="3">
        <f>(ROUND((ROUND(((((EU286*1.2)*1.25))*AV286*1),2)*BS286),2)+ROUND((ROUND(((AE286-(((EU286*1.2)*1.25)))*AV286*1),2)*BS286),2))</f>
        <v>21.98</v>
      </c>
      <c r="CT286" s="3">
        <f t="shared" si="341"/>
        <v>2064.1</v>
      </c>
      <c r="CU286" s="3">
        <f t="shared" si="342"/>
        <v>0</v>
      </c>
      <c r="CV286" s="3">
        <f t="shared" si="343"/>
        <v>3.0775517999999988</v>
      </c>
      <c r="CW286" s="3">
        <f t="shared" si="344"/>
        <v>0</v>
      </c>
      <c r="CX286" s="3">
        <f t="shared" si="345"/>
        <v>0</v>
      </c>
      <c r="CY286" s="3">
        <f>(ROUND((((S286+ROUND((ROUND(((((EU286*1.2)*1.25))*AV286*1),2)*BS286),2))*AT286)/100),2)+ROUND(((ROUND((ROUND(((AE286-(((EU286*1.2)*1.25)))*AV286*1),2)*BS286),2)*AT286)/100),2))</f>
        <v>12421.76</v>
      </c>
      <c r="CZ286" s="3">
        <f>(ROUND((((S286+ROUND((ROUND(((((EU286*1.2)*1.25))*AV286*1),2)*BS286),2))*AU286)/100),2)+ROUND(((ROUND((ROUND(((AE286-(((EU286*1.2)*1.25)))*AV286*1),2)*BS286),2)*AU286)/100),2))</f>
        <v>6739.47</v>
      </c>
      <c r="DB286" s="3">
        <v>115</v>
      </c>
      <c r="DC286" s="3" t="s">
        <v>3</v>
      </c>
      <c r="DD286" s="3" t="s">
        <v>38</v>
      </c>
      <c r="DE286" s="3" t="s">
        <v>39</v>
      </c>
      <c r="DF286" s="3" t="s">
        <v>39</v>
      </c>
      <c r="DG286" s="3" t="s">
        <v>40</v>
      </c>
      <c r="DH286" s="3" t="s">
        <v>3</v>
      </c>
      <c r="DI286" s="3" t="s">
        <v>40</v>
      </c>
      <c r="DJ286" s="3" t="s">
        <v>39</v>
      </c>
      <c r="DK286" s="3" t="s">
        <v>3</v>
      </c>
      <c r="DL286" s="3" t="s">
        <v>3</v>
      </c>
      <c r="DM286" s="3" t="s">
        <v>3</v>
      </c>
      <c r="DN286" s="3">
        <v>0</v>
      </c>
      <c r="DO286" s="3">
        <v>0</v>
      </c>
      <c r="DP286" s="3">
        <v>1</v>
      </c>
      <c r="DQ286" s="3">
        <v>1</v>
      </c>
      <c r="DU286" s="3">
        <v>1005</v>
      </c>
      <c r="DV286" s="3" t="s">
        <v>275</v>
      </c>
      <c r="DW286" s="3" t="s">
        <v>275</v>
      </c>
      <c r="DX286" s="3">
        <v>100</v>
      </c>
      <c r="DZ286" s="3" t="s">
        <v>3</v>
      </c>
      <c r="EA286" s="3" t="s">
        <v>3</v>
      </c>
      <c r="EB286" s="3" t="s">
        <v>3</v>
      </c>
      <c r="EC286" s="3" t="s">
        <v>3</v>
      </c>
      <c r="EE286" s="3">
        <v>56938683</v>
      </c>
      <c r="EF286" s="3">
        <v>30</v>
      </c>
      <c r="EG286" s="3" t="s">
        <v>41</v>
      </c>
      <c r="EH286" s="3">
        <v>0</v>
      </c>
      <c r="EI286" s="3" t="s">
        <v>3</v>
      </c>
      <c r="EJ286" s="3">
        <v>1</v>
      </c>
      <c r="EK286" s="3">
        <v>17</v>
      </c>
      <c r="EL286" s="3" t="s">
        <v>277</v>
      </c>
      <c r="EM286" s="3" t="s">
        <v>278</v>
      </c>
      <c r="EO286" s="3" t="s">
        <v>44</v>
      </c>
      <c r="EQ286" s="3">
        <v>131072</v>
      </c>
      <c r="ER286" s="3">
        <v>314.87</v>
      </c>
      <c r="ES286" s="3">
        <v>287.54000000000002</v>
      </c>
      <c r="ET286" s="3">
        <v>1.98</v>
      </c>
      <c r="EU286" s="3">
        <v>0.25</v>
      </c>
      <c r="EV286" s="3">
        <v>25.35</v>
      </c>
      <c r="EW286" s="3">
        <v>2.13</v>
      </c>
      <c r="EX286" s="3">
        <v>0</v>
      </c>
      <c r="EY286" s="3">
        <v>0</v>
      </c>
      <c r="FQ286" s="3">
        <v>0</v>
      </c>
      <c r="FR286" s="3">
        <v>0</v>
      </c>
      <c r="FS286" s="3">
        <v>0</v>
      </c>
      <c r="FX286" s="3">
        <v>94</v>
      </c>
      <c r="FY286" s="3">
        <v>51</v>
      </c>
      <c r="GA286" s="3" t="s">
        <v>3</v>
      </c>
      <c r="GD286" s="3">
        <v>1</v>
      </c>
      <c r="GF286" s="3">
        <v>1419895163</v>
      </c>
      <c r="GG286" s="3">
        <v>2</v>
      </c>
      <c r="GH286" s="3">
        <v>1</v>
      </c>
      <c r="GI286" s="3">
        <v>2</v>
      </c>
      <c r="GJ286" s="3">
        <v>0</v>
      </c>
      <c r="GK286" s="3">
        <v>0</v>
      </c>
      <c r="GL286" s="3">
        <f t="shared" si="346"/>
        <v>0</v>
      </c>
      <c r="GM286" s="3">
        <f t="shared" si="347"/>
        <v>39196.879999999997</v>
      </c>
      <c r="GN286" s="3">
        <f t="shared" si="348"/>
        <v>39196.879999999997</v>
      </c>
      <c r="GO286" s="3">
        <f t="shared" si="349"/>
        <v>0</v>
      </c>
      <c r="GP286" s="3">
        <f t="shared" si="350"/>
        <v>0</v>
      </c>
      <c r="GR286" s="3">
        <v>0</v>
      </c>
      <c r="GS286" s="3">
        <v>3</v>
      </c>
      <c r="GT286" s="3">
        <v>0</v>
      </c>
      <c r="GU286" s="3" t="s">
        <v>3</v>
      </c>
      <c r="GV286" s="3">
        <f t="shared" si="351"/>
        <v>0</v>
      </c>
      <c r="GW286" s="3">
        <v>1</v>
      </c>
      <c r="GX286" s="3">
        <f t="shared" si="352"/>
        <v>0</v>
      </c>
      <c r="HA286" s="3">
        <v>0</v>
      </c>
      <c r="HB286" s="3">
        <v>0</v>
      </c>
      <c r="HC286" s="3">
        <f t="shared" si="353"/>
        <v>0</v>
      </c>
      <c r="HE286" s="3" t="s">
        <v>3</v>
      </c>
      <c r="HF286" s="3" t="s">
        <v>3</v>
      </c>
      <c r="HM286" s="3" t="s">
        <v>3</v>
      </c>
      <c r="HN286" s="3" t="s">
        <v>3</v>
      </c>
      <c r="HO286" s="3" t="s">
        <v>3</v>
      </c>
      <c r="HP286" s="3" t="s">
        <v>3</v>
      </c>
      <c r="HQ286" s="3" t="s">
        <v>3</v>
      </c>
      <c r="HS286" s="3">
        <v>0</v>
      </c>
      <c r="IK286" s="3">
        <v>0</v>
      </c>
    </row>
    <row r="288" spans="1:255" x14ac:dyDescent="0.2">
      <c r="A288" s="11">
        <v>51</v>
      </c>
      <c r="B288" s="11">
        <f>B197</f>
        <v>1</v>
      </c>
      <c r="C288" s="11">
        <f>A197</f>
        <v>4</v>
      </c>
      <c r="D288" s="11">
        <f>ROW(A197)</f>
        <v>197</v>
      </c>
      <c r="E288" s="11"/>
      <c r="F288" s="11" t="str">
        <f>IF(F197&lt;&gt;"",F197,"")</f>
        <v>Новый раздел</v>
      </c>
      <c r="G288" s="11" t="str">
        <f>IF(G197&lt;&gt;"",G197,"")</f>
        <v>Автоматическая установка водяного пожаротушения.</v>
      </c>
      <c r="H288" s="11">
        <v>0</v>
      </c>
      <c r="I288" s="11"/>
      <c r="J288" s="11"/>
      <c r="K288" s="11"/>
      <c r="L288" s="11"/>
      <c r="M288" s="11"/>
      <c r="N288" s="11"/>
      <c r="O288" s="11">
        <f t="shared" ref="O288:T288" si="372">ROUND(AB288,2)</f>
        <v>367373.14</v>
      </c>
      <c r="P288" s="11">
        <f t="shared" si="372"/>
        <v>279146.55</v>
      </c>
      <c r="Q288" s="11">
        <f t="shared" si="372"/>
        <v>19339.37</v>
      </c>
      <c r="R288" s="11">
        <f t="shared" si="372"/>
        <v>3570.36</v>
      </c>
      <c r="S288" s="11">
        <f t="shared" si="372"/>
        <v>68887.22</v>
      </c>
      <c r="T288" s="11">
        <f t="shared" si="372"/>
        <v>0</v>
      </c>
      <c r="U288" s="11">
        <f>AH288</f>
        <v>5505.9210388127985</v>
      </c>
      <c r="V288" s="11">
        <f>AI288</f>
        <v>0</v>
      </c>
      <c r="W288" s="11">
        <f>ROUND(AJ288,2)</f>
        <v>0</v>
      </c>
      <c r="X288" s="11">
        <f>ROUND(AK288,2)</f>
        <v>65362.67</v>
      </c>
      <c r="Y288" s="11">
        <f>ROUND(AL288,2)</f>
        <v>33472.199999999997</v>
      </c>
      <c r="Z288" s="11"/>
      <c r="AA288" s="11"/>
      <c r="AB288" s="11">
        <f>ROUND(SUMIF(AA201:AA286,"=55747649",O201:O286),2)</f>
        <v>367373.14</v>
      </c>
      <c r="AC288" s="11">
        <f>ROUND(SUMIF(AA201:AA286,"=55747649",P201:P286),2)</f>
        <v>279146.55</v>
      </c>
      <c r="AD288" s="11">
        <f>ROUND(SUMIF(AA201:AA286,"=55747649",Q201:Q286),2)</f>
        <v>19339.37</v>
      </c>
      <c r="AE288" s="11">
        <f>ROUND(SUMIF(AA201:AA286,"=55747649",R201:R286),2)</f>
        <v>3570.36</v>
      </c>
      <c r="AF288" s="11">
        <f>ROUND(SUMIF(AA201:AA286,"=55747649",S201:S286),2)</f>
        <v>68887.22</v>
      </c>
      <c r="AG288" s="11">
        <f>ROUND(SUMIF(AA201:AA286,"=55747649",T201:T286),2)</f>
        <v>0</v>
      </c>
      <c r="AH288" s="11">
        <f>SUMIF(AA201:AA286,"=55747649",U201:U286)</f>
        <v>5505.9210388127985</v>
      </c>
      <c r="AI288" s="11">
        <f>SUMIF(AA201:AA286,"=55747649",V201:V286)</f>
        <v>0</v>
      </c>
      <c r="AJ288" s="11">
        <f>ROUND(SUMIF(AA201:AA286,"=55747649",W201:W286),2)</f>
        <v>0</v>
      </c>
      <c r="AK288" s="11">
        <f>ROUND(SUMIF(AA201:AA286,"=55747649",X201:X286),2)</f>
        <v>65362.67</v>
      </c>
      <c r="AL288" s="11">
        <f>ROUND(SUMIF(AA201:AA286,"=55747649",Y201:Y286),2)</f>
        <v>33472.199999999997</v>
      </c>
      <c r="AM288" s="11"/>
      <c r="AN288" s="11"/>
      <c r="AO288" s="11">
        <f t="shared" ref="AO288:BD288" si="373">ROUND(BX288,2)</f>
        <v>0</v>
      </c>
      <c r="AP288" s="11">
        <f t="shared" si="373"/>
        <v>1798.97</v>
      </c>
      <c r="AQ288" s="11">
        <f t="shared" si="373"/>
        <v>0</v>
      </c>
      <c r="AR288" s="11">
        <f t="shared" si="373"/>
        <v>466208.01</v>
      </c>
      <c r="AS288" s="11">
        <f t="shared" si="373"/>
        <v>10181.040000000001</v>
      </c>
      <c r="AT288" s="11">
        <f t="shared" si="373"/>
        <v>454228</v>
      </c>
      <c r="AU288" s="11">
        <f t="shared" si="373"/>
        <v>0</v>
      </c>
      <c r="AV288" s="11">
        <f t="shared" si="373"/>
        <v>279146.55</v>
      </c>
      <c r="AW288" s="11">
        <f t="shared" si="373"/>
        <v>277347.58</v>
      </c>
      <c r="AX288" s="11">
        <f t="shared" si="373"/>
        <v>0</v>
      </c>
      <c r="AY288" s="11">
        <f t="shared" si="373"/>
        <v>277347.58</v>
      </c>
      <c r="AZ288" s="11">
        <f t="shared" si="373"/>
        <v>1798.97</v>
      </c>
      <c r="BA288" s="11">
        <f t="shared" si="373"/>
        <v>0</v>
      </c>
      <c r="BB288" s="11">
        <f t="shared" si="373"/>
        <v>0</v>
      </c>
      <c r="BC288" s="11">
        <f t="shared" si="373"/>
        <v>0</v>
      </c>
      <c r="BD288" s="11">
        <f t="shared" si="373"/>
        <v>0</v>
      </c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>
        <f>ROUND(SUMIF(AA201:AA286,"=55747649",FQ201:FQ286),2)</f>
        <v>0</v>
      </c>
      <c r="BY288" s="11">
        <f>ROUND(SUMIF(AA201:AA286,"=55747649",FR201:FR286),2)</f>
        <v>1798.97</v>
      </c>
      <c r="BZ288" s="11">
        <f>ROUND(SUMIF(AA201:AA286,"=55747649",GL201:GL286),2)</f>
        <v>0</v>
      </c>
      <c r="CA288" s="11">
        <f>ROUND(SUMIF(AA201:AA286,"=55747649",GM201:GM286),2)</f>
        <v>466208.01</v>
      </c>
      <c r="CB288" s="11">
        <f>ROUND(SUMIF(AA201:AA286,"=55747649",GN201:GN286),2)</f>
        <v>10181.040000000001</v>
      </c>
      <c r="CC288" s="11">
        <f>ROUND(SUMIF(AA201:AA286,"=55747649",GO201:GO286),2)</f>
        <v>454228</v>
      </c>
      <c r="CD288" s="11">
        <f>ROUND(SUMIF(AA201:AA286,"=55747649",GP201:GP286),2)</f>
        <v>0</v>
      </c>
      <c r="CE288" s="11">
        <f>AC288-BX288</f>
        <v>279146.55</v>
      </c>
      <c r="CF288" s="11">
        <f>AC288-BY288</f>
        <v>277347.58</v>
      </c>
      <c r="CG288" s="11">
        <f>BX288-BZ288</f>
        <v>0</v>
      </c>
      <c r="CH288" s="11">
        <f>AC288-BX288-BY288+BZ288</f>
        <v>277347.58</v>
      </c>
      <c r="CI288" s="11">
        <f>BY288-BZ288</f>
        <v>1798.97</v>
      </c>
      <c r="CJ288" s="11">
        <f>ROUND(SUMIF(AA201:AA286,"=55747649",GX201:GX286),2)</f>
        <v>0</v>
      </c>
      <c r="CK288" s="11">
        <f>ROUND(SUMIF(AA201:AA286,"=55747649",GY201:GY286),2)</f>
        <v>0</v>
      </c>
      <c r="CL288" s="11">
        <f>ROUND(SUMIF(AA201:AA286,"=55747649",GZ201:GZ286),2)</f>
        <v>0</v>
      </c>
      <c r="CM288" s="11">
        <f>ROUND(SUMIF(AA201:AA286,"=55747649",HD201:HD286),2)</f>
        <v>0</v>
      </c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2">
        <f t="shared" ref="DG288:DL288" si="374">ROUND(DT288,2)</f>
        <v>7506489.9100000001</v>
      </c>
      <c r="DH288" s="12">
        <f t="shared" si="374"/>
        <v>3236491.27</v>
      </c>
      <c r="DI288" s="12">
        <f t="shared" si="374"/>
        <v>388203.8</v>
      </c>
      <c r="DJ288" s="12">
        <f t="shared" si="374"/>
        <v>201189.79</v>
      </c>
      <c r="DK288" s="12">
        <f t="shared" si="374"/>
        <v>3881794.84</v>
      </c>
      <c r="DL288" s="12">
        <f t="shared" si="374"/>
        <v>0</v>
      </c>
      <c r="DM288" s="12">
        <f>DZ288</f>
        <v>5505.9210388127985</v>
      </c>
      <c r="DN288" s="12">
        <f>EA288</f>
        <v>0</v>
      </c>
      <c r="DO288" s="12">
        <f>ROUND(EB288,2)</f>
        <v>0</v>
      </c>
      <c r="DP288" s="12">
        <f>ROUND(EC288,2)</f>
        <v>3683187.14</v>
      </c>
      <c r="DQ288" s="12">
        <f>ROUND(ED288,2)</f>
        <v>1886159.15</v>
      </c>
      <c r="DR288" s="12"/>
      <c r="DS288" s="12"/>
      <c r="DT288" s="12">
        <f>ROUND(SUMIF(AA201:AA286,"=55747651",O201:O286),2)</f>
        <v>7506489.9100000001</v>
      </c>
      <c r="DU288" s="12">
        <f>ROUND(SUMIF(AA201:AA286,"=55747651",P201:P286),2)</f>
        <v>3236491.27</v>
      </c>
      <c r="DV288" s="12">
        <f>ROUND(SUMIF(AA201:AA286,"=55747651",Q201:Q286),2)</f>
        <v>388203.8</v>
      </c>
      <c r="DW288" s="12">
        <f>ROUND(SUMIF(AA201:AA286,"=55747651",R201:R286),2)</f>
        <v>201189.79</v>
      </c>
      <c r="DX288" s="12">
        <f>ROUND(SUMIF(AA201:AA286,"=55747651",S201:S286),2)</f>
        <v>3881794.84</v>
      </c>
      <c r="DY288" s="12">
        <f>ROUND(SUMIF(AA201:AA286,"=55747651",T201:T286),2)</f>
        <v>0</v>
      </c>
      <c r="DZ288" s="12">
        <f>SUMIF(AA201:AA286,"=55747651",U201:U286)</f>
        <v>5505.9210388127985</v>
      </c>
      <c r="EA288" s="12">
        <f>SUMIF(AA201:AA286,"=55747651",V201:V286)</f>
        <v>0</v>
      </c>
      <c r="EB288" s="12">
        <f>ROUND(SUMIF(AA201:AA286,"=55747651",W201:W286),2)</f>
        <v>0</v>
      </c>
      <c r="EC288" s="12">
        <f>ROUND(SUMIF(AA201:AA286,"=55747651",X201:X286),2)</f>
        <v>3683187.14</v>
      </c>
      <c r="ED288" s="12">
        <f>ROUND(SUMIF(AA201:AA286,"=55747651",Y201:Y286),2)</f>
        <v>1886159.15</v>
      </c>
      <c r="EE288" s="12"/>
      <c r="EF288" s="12"/>
      <c r="EG288" s="12">
        <f t="shared" ref="EG288:EV288" si="375">ROUND(FP288,2)</f>
        <v>0</v>
      </c>
      <c r="EH288" s="12">
        <f t="shared" si="375"/>
        <v>13618.2</v>
      </c>
      <c r="EI288" s="12">
        <f t="shared" si="375"/>
        <v>0</v>
      </c>
      <c r="EJ288" s="12">
        <f t="shared" si="375"/>
        <v>13075836.199999999</v>
      </c>
      <c r="EK288" s="12">
        <f t="shared" si="375"/>
        <v>230538.83</v>
      </c>
      <c r="EL288" s="12">
        <f t="shared" si="375"/>
        <v>12831679.17</v>
      </c>
      <c r="EM288" s="12">
        <f t="shared" si="375"/>
        <v>0</v>
      </c>
      <c r="EN288" s="12">
        <f t="shared" si="375"/>
        <v>3236491.27</v>
      </c>
      <c r="EO288" s="12">
        <f t="shared" si="375"/>
        <v>3222873.07</v>
      </c>
      <c r="EP288" s="12">
        <f t="shared" si="375"/>
        <v>0</v>
      </c>
      <c r="EQ288" s="12">
        <f t="shared" si="375"/>
        <v>3222873.07</v>
      </c>
      <c r="ER288" s="12">
        <f t="shared" si="375"/>
        <v>13618.2</v>
      </c>
      <c r="ES288" s="12">
        <f t="shared" si="375"/>
        <v>0</v>
      </c>
      <c r="ET288" s="12">
        <f t="shared" si="375"/>
        <v>0</v>
      </c>
      <c r="EU288" s="12">
        <f t="shared" si="375"/>
        <v>0</v>
      </c>
      <c r="EV288" s="12">
        <f t="shared" si="375"/>
        <v>0</v>
      </c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>
        <f>ROUND(SUMIF(AA201:AA286,"=55747651",FQ201:FQ286),2)</f>
        <v>0</v>
      </c>
      <c r="FQ288" s="12">
        <f>ROUND(SUMIF(AA201:AA286,"=55747651",FR201:FR286),2)</f>
        <v>13618.2</v>
      </c>
      <c r="FR288" s="12">
        <f>ROUND(SUMIF(AA201:AA286,"=55747651",GL201:GL286),2)</f>
        <v>0</v>
      </c>
      <c r="FS288" s="12">
        <f>ROUND(SUMIF(AA201:AA286,"=55747651",GM201:GM286),2)</f>
        <v>13075836.199999999</v>
      </c>
      <c r="FT288" s="12">
        <f>ROUND(SUMIF(AA201:AA286,"=55747651",GN201:GN286),2)</f>
        <v>230538.83</v>
      </c>
      <c r="FU288" s="12">
        <f>ROUND(SUMIF(AA201:AA286,"=55747651",GO201:GO286),2)</f>
        <v>12831679.17</v>
      </c>
      <c r="FV288" s="12">
        <f>ROUND(SUMIF(AA201:AA286,"=55747651",GP201:GP286),2)</f>
        <v>0</v>
      </c>
      <c r="FW288" s="12">
        <f>DU288-FP288</f>
        <v>3236491.27</v>
      </c>
      <c r="FX288" s="12">
        <f>DU288-FQ288</f>
        <v>3222873.07</v>
      </c>
      <c r="FY288" s="12">
        <f>FP288-FR288</f>
        <v>0</v>
      </c>
      <c r="FZ288" s="12">
        <f>DU288-FP288-FQ288+FR288</f>
        <v>3222873.07</v>
      </c>
      <c r="GA288" s="12">
        <f>FQ288-FR288</f>
        <v>13618.2</v>
      </c>
      <c r="GB288" s="12">
        <f>ROUND(SUMIF(AA201:AA286,"=55747651",GX201:GX286),2)</f>
        <v>0</v>
      </c>
      <c r="GC288" s="12">
        <f>ROUND(SUMIF(AA201:AA286,"=55747651",GY201:GY286),2)</f>
        <v>0</v>
      </c>
      <c r="GD288" s="12">
        <f>ROUND(SUMIF(AA201:AA286,"=55747651",GZ201:GZ286),2)</f>
        <v>0</v>
      </c>
      <c r="GE288" s="12">
        <f>ROUND(SUMIF(AA201:AA286,"=55747651",HD201:HD286),2)</f>
        <v>0</v>
      </c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>
        <v>0</v>
      </c>
    </row>
    <row r="290" spans="1:28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201</v>
      </c>
      <c r="F290" s="13">
        <f>ROUND(Source!O288,O290)</f>
        <v>367373.14</v>
      </c>
      <c r="G290" s="13" t="s">
        <v>297</v>
      </c>
      <c r="H290" s="13" t="s">
        <v>298</v>
      </c>
      <c r="I290" s="13"/>
      <c r="J290" s="13"/>
      <c r="K290" s="13">
        <v>201</v>
      </c>
      <c r="L290" s="13">
        <v>1</v>
      </c>
      <c r="M290" s="13">
        <v>3</v>
      </c>
      <c r="N290" s="13" t="s">
        <v>3</v>
      </c>
      <c r="O290" s="13">
        <v>2</v>
      </c>
      <c r="P290" s="13">
        <f>ROUND(Source!DG288,O290)</f>
        <v>7506489.9100000001</v>
      </c>
      <c r="Q290" s="13"/>
      <c r="R290" s="13"/>
      <c r="S290" s="13"/>
      <c r="T290" s="13"/>
      <c r="U290" s="13"/>
      <c r="V290" s="13"/>
      <c r="W290" s="13">
        <v>367373.14</v>
      </c>
      <c r="X290" s="13">
        <v>1</v>
      </c>
      <c r="Y290" s="13">
        <v>367373.14</v>
      </c>
      <c r="Z290" s="13">
        <v>7506489.9100000001</v>
      </c>
      <c r="AA290" s="13">
        <v>1</v>
      </c>
      <c r="AB290" s="13">
        <v>7506489.9100000001</v>
      </c>
    </row>
    <row r="291" spans="1:28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202</v>
      </c>
      <c r="F291" s="13">
        <f>ROUND(Source!P288,O291)</f>
        <v>279146.55</v>
      </c>
      <c r="G291" s="13" t="s">
        <v>299</v>
      </c>
      <c r="H291" s="13" t="s">
        <v>300</v>
      </c>
      <c r="I291" s="13"/>
      <c r="J291" s="13"/>
      <c r="K291" s="13">
        <v>202</v>
      </c>
      <c r="L291" s="13">
        <v>2</v>
      </c>
      <c r="M291" s="13">
        <v>3</v>
      </c>
      <c r="N291" s="13" t="s">
        <v>3</v>
      </c>
      <c r="O291" s="13">
        <v>2</v>
      </c>
      <c r="P291" s="13">
        <f>ROUND(Source!DH288,O291)</f>
        <v>3236491.27</v>
      </c>
      <c r="Q291" s="13"/>
      <c r="R291" s="13"/>
      <c r="S291" s="13"/>
      <c r="T291" s="13"/>
      <c r="U291" s="13"/>
      <c r="V291" s="13"/>
      <c r="W291" s="13">
        <v>279146.55</v>
      </c>
      <c r="X291" s="13">
        <v>1</v>
      </c>
      <c r="Y291" s="13">
        <v>279146.55</v>
      </c>
      <c r="Z291" s="13">
        <v>3236491.27</v>
      </c>
      <c r="AA291" s="13">
        <v>1</v>
      </c>
      <c r="AB291" s="13">
        <v>3236491.27</v>
      </c>
    </row>
    <row r="292" spans="1:28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222</v>
      </c>
      <c r="F292" s="13">
        <f>ROUND(Source!AO288,O292)</f>
        <v>0</v>
      </c>
      <c r="G292" s="13" t="s">
        <v>301</v>
      </c>
      <c r="H292" s="13" t="s">
        <v>302</v>
      </c>
      <c r="I292" s="13"/>
      <c r="J292" s="13"/>
      <c r="K292" s="13">
        <v>222</v>
      </c>
      <c r="L292" s="13">
        <v>3</v>
      </c>
      <c r="M292" s="13">
        <v>3</v>
      </c>
      <c r="N292" s="13" t="s">
        <v>3</v>
      </c>
      <c r="O292" s="13">
        <v>2</v>
      </c>
      <c r="P292" s="13">
        <f>ROUND(Source!EG288,O292)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225</v>
      </c>
      <c r="F293" s="13">
        <f>ROUND(Source!AV288,O293)</f>
        <v>279146.55</v>
      </c>
      <c r="G293" s="13" t="s">
        <v>303</v>
      </c>
      <c r="H293" s="13" t="s">
        <v>304</v>
      </c>
      <c r="I293" s="13"/>
      <c r="J293" s="13"/>
      <c r="K293" s="13">
        <v>225</v>
      </c>
      <c r="L293" s="13">
        <v>4</v>
      </c>
      <c r="M293" s="13">
        <v>3</v>
      </c>
      <c r="N293" s="13" t="s">
        <v>3</v>
      </c>
      <c r="O293" s="13">
        <v>2</v>
      </c>
      <c r="P293" s="13">
        <f>ROUND(Source!EN288,O293)</f>
        <v>3236491.27</v>
      </c>
      <c r="Q293" s="13"/>
      <c r="R293" s="13"/>
      <c r="S293" s="13"/>
      <c r="T293" s="13"/>
      <c r="U293" s="13"/>
      <c r="V293" s="13"/>
      <c r="W293" s="13">
        <v>279146.55</v>
      </c>
      <c r="X293" s="13">
        <v>1</v>
      </c>
      <c r="Y293" s="13">
        <v>279146.55</v>
      </c>
      <c r="Z293" s="13">
        <v>3236491.27</v>
      </c>
      <c r="AA293" s="13">
        <v>1</v>
      </c>
      <c r="AB293" s="13">
        <v>3236491.27</v>
      </c>
    </row>
    <row r="294" spans="1:28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226</v>
      </c>
      <c r="F294" s="13">
        <f>ROUND(Source!AW288,O294)</f>
        <v>277347.58</v>
      </c>
      <c r="G294" s="13" t="s">
        <v>305</v>
      </c>
      <c r="H294" s="13" t="s">
        <v>306</v>
      </c>
      <c r="I294" s="13"/>
      <c r="J294" s="13"/>
      <c r="K294" s="13">
        <v>226</v>
      </c>
      <c r="L294" s="13">
        <v>5</v>
      </c>
      <c r="M294" s="13">
        <v>3</v>
      </c>
      <c r="N294" s="13" t="s">
        <v>3</v>
      </c>
      <c r="O294" s="13">
        <v>2</v>
      </c>
      <c r="P294" s="13">
        <f>ROUND(Source!EO288,O294)</f>
        <v>3222873.07</v>
      </c>
      <c r="Q294" s="13"/>
      <c r="R294" s="13"/>
      <c r="S294" s="13"/>
      <c r="T294" s="13"/>
      <c r="U294" s="13"/>
      <c r="V294" s="13"/>
      <c r="W294" s="13">
        <v>277347.58</v>
      </c>
      <c r="X294" s="13">
        <v>1</v>
      </c>
      <c r="Y294" s="13">
        <v>277347.58</v>
      </c>
      <c r="Z294" s="13">
        <v>3222873.07</v>
      </c>
      <c r="AA294" s="13">
        <v>1</v>
      </c>
      <c r="AB294" s="13">
        <v>3222873.07</v>
      </c>
    </row>
    <row r="295" spans="1:28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227</v>
      </c>
      <c r="F295" s="13">
        <f>ROUND(Source!AX288,O295)</f>
        <v>0</v>
      </c>
      <c r="G295" s="13" t="s">
        <v>307</v>
      </c>
      <c r="H295" s="13" t="s">
        <v>308</v>
      </c>
      <c r="I295" s="13"/>
      <c r="J295" s="13"/>
      <c r="K295" s="13">
        <v>227</v>
      </c>
      <c r="L295" s="13">
        <v>6</v>
      </c>
      <c r="M295" s="13">
        <v>3</v>
      </c>
      <c r="N295" s="13" t="s">
        <v>3</v>
      </c>
      <c r="O295" s="13">
        <v>2</v>
      </c>
      <c r="P295" s="13">
        <f>ROUND(Source!EP288,O295)</f>
        <v>0</v>
      </c>
      <c r="Q295" s="13"/>
      <c r="R295" s="13"/>
      <c r="S295" s="13"/>
      <c r="T295" s="13"/>
      <c r="U295" s="13"/>
      <c r="V295" s="13"/>
      <c r="W295" s="13">
        <v>0</v>
      </c>
      <c r="X295" s="13">
        <v>1</v>
      </c>
      <c r="Y295" s="13">
        <v>0</v>
      </c>
      <c r="Z295" s="13">
        <v>0</v>
      </c>
      <c r="AA295" s="13">
        <v>1</v>
      </c>
      <c r="AB295" s="13">
        <v>0</v>
      </c>
    </row>
    <row r="296" spans="1:28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228</v>
      </c>
      <c r="F296" s="13">
        <f>ROUND(Source!AY288,O296)</f>
        <v>277347.58</v>
      </c>
      <c r="G296" s="13" t="s">
        <v>309</v>
      </c>
      <c r="H296" s="13" t="s">
        <v>310</v>
      </c>
      <c r="I296" s="13"/>
      <c r="J296" s="13"/>
      <c r="K296" s="13">
        <v>228</v>
      </c>
      <c r="L296" s="13">
        <v>7</v>
      </c>
      <c r="M296" s="13">
        <v>3</v>
      </c>
      <c r="N296" s="13" t="s">
        <v>3</v>
      </c>
      <c r="O296" s="13">
        <v>2</v>
      </c>
      <c r="P296" s="13">
        <f>ROUND(Source!EQ288,O296)</f>
        <v>3222873.07</v>
      </c>
      <c r="Q296" s="13"/>
      <c r="R296" s="13"/>
      <c r="S296" s="13"/>
      <c r="T296" s="13"/>
      <c r="U296" s="13"/>
      <c r="V296" s="13"/>
      <c r="W296" s="13">
        <v>277347.58</v>
      </c>
      <c r="X296" s="13">
        <v>1</v>
      </c>
      <c r="Y296" s="13">
        <v>277347.58</v>
      </c>
      <c r="Z296" s="13">
        <v>3222873.07</v>
      </c>
      <c r="AA296" s="13">
        <v>1</v>
      </c>
      <c r="AB296" s="13">
        <v>3222873.07</v>
      </c>
    </row>
    <row r="297" spans="1:28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216</v>
      </c>
      <c r="F297" s="13">
        <f>ROUND(Source!AP288,O297)</f>
        <v>1798.97</v>
      </c>
      <c r="G297" s="13" t="s">
        <v>311</v>
      </c>
      <c r="H297" s="13" t="s">
        <v>312</v>
      </c>
      <c r="I297" s="13"/>
      <c r="J297" s="13"/>
      <c r="K297" s="13">
        <v>216</v>
      </c>
      <c r="L297" s="13">
        <v>8</v>
      </c>
      <c r="M297" s="13">
        <v>3</v>
      </c>
      <c r="N297" s="13" t="s">
        <v>3</v>
      </c>
      <c r="O297" s="13">
        <v>2</v>
      </c>
      <c r="P297" s="13">
        <f>ROUND(Source!EH288,O297)</f>
        <v>13618.2</v>
      </c>
      <c r="Q297" s="13"/>
      <c r="R297" s="13"/>
      <c r="S297" s="13"/>
      <c r="T297" s="13"/>
      <c r="U297" s="13"/>
      <c r="V297" s="13"/>
      <c r="W297" s="13">
        <v>1798.97</v>
      </c>
      <c r="X297" s="13">
        <v>1</v>
      </c>
      <c r="Y297" s="13">
        <v>1798.97</v>
      </c>
      <c r="Z297" s="13">
        <v>13618.2</v>
      </c>
      <c r="AA297" s="13">
        <v>1</v>
      </c>
      <c r="AB297" s="13">
        <v>13618.2</v>
      </c>
    </row>
    <row r="298" spans="1:28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223</v>
      </c>
      <c r="F298" s="13">
        <f>ROUND(Source!AQ288,O298)</f>
        <v>0</v>
      </c>
      <c r="G298" s="13" t="s">
        <v>313</v>
      </c>
      <c r="H298" s="13" t="s">
        <v>314</v>
      </c>
      <c r="I298" s="13"/>
      <c r="J298" s="13"/>
      <c r="K298" s="13">
        <v>223</v>
      </c>
      <c r="L298" s="13">
        <v>9</v>
      </c>
      <c r="M298" s="13">
        <v>3</v>
      </c>
      <c r="N298" s="13" t="s">
        <v>3</v>
      </c>
      <c r="O298" s="13">
        <v>2</v>
      </c>
      <c r="P298" s="13">
        <f>ROUND(Source!EI288,O298)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8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229</v>
      </c>
      <c r="F299" s="13">
        <f>ROUND(Source!AZ288,O299)</f>
        <v>1798.97</v>
      </c>
      <c r="G299" s="13" t="s">
        <v>315</v>
      </c>
      <c r="H299" s="13" t="s">
        <v>316</v>
      </c>
      <c r="I299" s="13"/>
      <c r="J299" s="13"/>
      <c r="K299" s="13">
        <v>229</v>
      </c>
      <c r="L299" s="13">
        <v>10</v>
      </c>
      <c r="M299" s="13">
        <v>3</v>
      </c>
      <c r="N299" s="13" t="s">
        <v>3</v>
      </c>
      <c r="O299" s="13">
        <v>2</v>
      </c>
      <c r="P299" s="13">
        <f>ROUND(Source!ER288,O299)</f>
        <v>13618.2</v>
      </c>
      <c r="Q299" s="13"/>
      <c r="R299" s="13"/>
      <c r="S299" s="13"/>
      <c r="T299" s="13"/>
      <c r="U299" s="13"/>
      <c r="V299" s="13"/>
      <c r="W299" s="13">
        <v>1798.97</v>
      </c>
      <c r="X299" s="13">
        <v>1</v>
      </c>
      <c r="Y299" s="13">
        <v>1798.97</v>
      </c>
      <c r="Z299" s="13">
        <v>13618.2</v>
      </c>
      <c r="AA299" s="13">
        <v>1</v>
      </c>
      <c r="AB299" s="13">
        <v>13618.2</v>
      </c>
    </row>
    <row r="300" spans="1:28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203</v>
      </c>
      <c r="F300" s="13">
        <f>ROUND(Source!Q288,O300)</f>
        <v>19339.37</v>
      </c>
      <c r="G300" s="13" t="s">
        <v>317</v>
      </c>
      <c r="H300" s="13" t="s">
        <v>318</v>
      </c>
      <c r="I300" s="13"/>
      <c r="J300" s="13"/>
      <c r="K300" s="13">
        <v>203</v>
      </c>
      <c r="L300" s="13">
        <v>11</v>
      </c>
      <c r="M300" s="13">
        <v>3</v>
      </c>
      <c r="N300" s="13" t="s">
        <v>3</v>
      </c>
      <c r="O300" s="13">
        <v>2</v>
      </c>
      <c r="P300" s="13">
        <f>ROUND(Source!DI288,O300)</f>
        <v>388203.8</v>
      </c>
      <c r="Q300" s="13"/>
      <c r="R300" s="13"/>
      <c r="S300" s="13"/>
      <c r="T300" s="13"/>
      <c r="U300" s="13"/>
      <c r="V300" s="13"/>
      <c r="W300" s="13">
        <v>19339.37</v>
      </c>
      <c r="X300" s="13">
        <v>1</v>
      </c>
      <c r="Y300" s="13">
        <v>19339.37</v>
      </c>
      <c r="Z300" s="13">
        <v>388203.8</v>
      </c>
      <c r="AA300" s="13">
        <v>1</v>
      </c>
      <c r="AB300" s="13">
        <v>388203.8</v>
      </c>
    </row>
    <row r="301" spans="1:28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231</v>
      </c>
      <c r="F301" s="13">
        <f>ROUND(Source!BB288,O301)</f>
        <v>0</v>
      </c>
      <c r="G301" s="13" t="s">
        <v>319</v>
      </c>
      <c r="H301" s="13" t="s">
        <v>320</v>
      </c>
      <c r="I301" s="13"/>
      <c r="J301" s="13"/>
      <c r="K301" s="13">
        <v>231</v>
      </c>
      <c r="L301" s="13">
        <v>12</v>
      </c>
      <c r="M301" s="13">
        <v>3</v>
      </c>
      <c r="N301" s="13" t="s">
        <v>3</v>
      </c>
      <c r="O301" s="13">
        <v>2</v>
      </c>
      <c r="P301" s="13">
        <f>ROUND(Source!ET288,O301)</f>
        <v>0</v>
      </c>
      <c r="Q301" s="13"/>
      <c r="R301" s="13"/>
      <c r="S301" s="13"/>
      <c r="T301" s="13"/>
      <c r="U301" s="13"/>
      <c r="V301" s="13"/>
      <c r="W301" s="13">
        <v>0</v>
      </c>
      <c r="X301" s="13">
        <v>1</v>
      </c>
      <c r="Y301" s="13">
        <v>0</v>
      </c>
      <c r="Z301" s="13">
        <v>0</v>
      </c>
      <c r="AA301" s="13">
        <v>1</v>
      </c>
      <c r="AB301" s="13">
        <v>0</v>
      </c>
    </row>
    <row r="302" spans="1:28" x14ac:dyDescent="0.2">
      <c r="A302" s="13">
        <v>50</v>
      </c>
      <c r="B302" s="13">
        <v>0</v>
      </c>
      <c r="C302" s="13">
        <v>0</v>
      </c>
      <c r="D302" s="13">
        <v>1</v>
      </c>
      <c r="E302" s="13">
        <v>204</v>
      </c>
      <c r="F302" s="13">
        <f>ROUND(Source!R288,O302)</f>
        <v>3570.36</v>
      </c>
      <c r="G302" s="13" t="s">
        <v>321</v>
      </c>
      <c r="H302" s="13" t="s">
        <v>322</v>
      </c>
      <c r="I302" s="13"/>
      <c r="J302" s="13"/>
      <c r="K302" s="13">
        <v>204</v>
      </c>
      <c r="L302" s="13">
        <v>13</v>
      </c>
      <c r="M302" s="13">
        <v>3</v>
      </c>
      <c r="N302" s="13" t="s">
        <v>3</v>
      </c>
      <c r="O302" s="13">
        <v>2</v>
      </c>
      <c r="P302" s="13">
        <f>ROUND(Source!DJ288,O302)</f>
        <v>201189.79</v>
      </c>
      <c r="Q302" s="13"/>
      <c r="R302" s="13"/>
      <c r="S302" s="13"/>
      <c r="T302" s="13"/>
      <c r="U302" s="13"/>
      <c r="V302" s="13"/>
      <c r="W302" s="13">
        <v>3570.36</v>
      </c>
      <c r="X302" s="13">
        <v>1</v>
      </c>
      <c r="Y302" s="13">
        <v>3570.36</v>
      </c>
      <c r="Z302" s="13">
        <v>201189.79</v>
      </c>
      <c r="AA302" s="13">
        <v>1</v>
      </c>
      <c r="AB302" s="13">
        <v>201189.79</v>
      </c>
    </row>
    <row r="303" spans="1:28" x14ac:dyDescent="0.2">
      <c r="A303" s="13">
        <v>50</v>
      </c>
      <c r="B303" s="13">
        <v>0</v>
      </c>
      <c r="C303" s="13">
        <v>0</v>
      </c>
      <c r="D303" s="13">
        <v>1</v>
      </c>
      <c r="E303" s="13">
        <v>205</v>
      </c>
      <c r="F303" s="13">
        <f>ROUND(Source!S288,O303)</f>
        <v>68887.22</v>
      </c>
      <c r="G303" s="13" t="s">
        <v>323</v>
      </c>
      <c r="H303" s="13" t="s">
        <v>324</v>
      </c>
      <c r="I303" s="13"/>
      <c r="J303" s="13"/>
      <c r="K303" s="13">
        <v>205</v>
      </c>
      <c r="L303" s="13">
        <v>14</v>
      </c>
      <c r="M303" s="13">
        <v>3</v>
      </c>
      <c r="N303" s="13" t="s">
        <v>3</v>
      </c>
      <c r="O303" s="13">
        <v>2</v>
      </c>
      <c r="P303" s="13">
        <f>ROUND(Source!DK288,O303)</f>
        <v>3881794.84</v>
      </c>
      <c r="Q303" s="13"/>
      <c r="R303" s="13"/>
      <c r="S303" s="13"/>
      <c r="T303" s="13"/>
      <c r="U303" s="13"/>
      <c r="V303" s="13"/>
      <c r="W303" s="13">
        <v>68887.22</v>
      </c>
      <c r="X303" s="13">
        <v>1</v>
      </c>
      <c r="Y303" s="13">
        <v>68887.22</v>
      </c>
      <c r="Z303" s="13">
        <v>3881794.84</v>
      </c>
      <c r="AA303" s="13">
        <v>1</v>
      </c>
      <c r="AB303" s="13">
        <v>3881794.84</v>
      </c>
    </row>
    <row r="304" spans="1:28" x14ac:dyDescent="0.2">
      <c r="A304" s="13">
        <v>50</v>
      </c>
      <c r="B304" s="13">
        <v>0</v>
      </c>
      <c r="C304" s="13">
        <v>0</v>
      </c>
      <c r="D304" s="13">
        <v>1</v>
      </c>
      <c r="E304" s="13">
        <v>232</v>
      </c>
      <c r="F304" s="13">
        <f>ROUND(Source!BC288,O304)</f>
        <v>0</v>
      </c>
      <c r="G304" s="13" t="s">
        <v>325</v>
      </c>
      <c r="H304" s="13" t="s">
        <v>326</v>
      </c>
      <c r="I304" s="13"/>
      <c r="J304" s="13"/>
      <c r="K304" s="13">
        <v>232</v>
      </c>
      <c r="L304" s="13">
        <v>15</v>
      </c>
      <c r="M304" s="13">
        <v>3</v>
      </c>
      <c r="N304" s="13" t="s">
        <v>3</v>
      </c>
      <c r="O304" s="13">
        <v>2</v>
      </c>
      <c r="P304" s="13">
        <f>ROUND(Source!EU288,O304)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06" x14ac:dyDescent="0.2">
      <c r="A305" s="13">
        <v>50</v>
      </c>
      <c r="B305" s="13">
        <v>0</v>
      </c>
      <c r="C305" s="13">
        <v>0</v>
      </c>
      <c r="D305" s="13">
        <v>1</v>
      </c>
      <c r="E305" s="13">
        <v>214</v>
      </c>
      <c r="F305" s="13">
        <f>ROUND(Source!AS288,O305)</f>
        <v>10181.040000000001</v>
      </c>
      <c r="G305" s="13" t="s">
        <v>327</v>
      </c>
      <c r="H305" s="13" t="s">
        <v>328</v>
      </c>
      <c r="I305" s="13"/>
      <c r="J305" s="13"/>
      <c r="K305" s="13">
        <v>214</v>
      </c>
      <c r="L305" s="13">
        <v>16</v>
      </c>
      <c r="M305" s="13">
        <v>3</v>
      </c>
      <c r="N305" s="13" t="s">
        <v>3</v>
      </c>
      <c r="O305" s="13">
        <v>2</v>
      </c>
      <c r="P305" s="13">
        <f>ROUND(Source!EK288,O305)</f>
        <v>230538.83</v>
      </c>
      <c r="Q305" s="13"/>
      <c r="R305" s="13"/>
      <c r="S305" s="13"/>
      <c r="T305" s="13"/>
      <c r="U305" s="13"/>
      <c r="V305" s="13"/>
      <c r="W305" s="13">
        <v>10181.040000000001</v>
      </c>
      <c r="X305" s="13">
        <v>1</v>
      </c>
      <c r="Y305" s="13">
        <v>10181.040000000001</v>
      </c>
      <c r="Z305" s="13">
        <v>230538.83</v>
      </c>
      <c r="AA305" s="13">
        <v>1</v>
      </c>
      <c r="AB305" s="13">
        <v>230538.83</v>
      </c>
    </row>
    <row r="306" spans="1:206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215</v>
      </c>
      <c r="F306" s="13">
        <f>ROUND(Source!AT288,O306)</f>
        <v>454228</v>
      </c>
      <c r="G306" s="13" t="s">
        <v>329</v>
      </c>
      <c r="H306" s="13" t="s">
        <v>330</v>
      </c>
      <c r="I306" s="13"/>
      <c r="J306" s="13"/>
      <c r="K306" s="13">
        <v>215</v>
      </c>
      <c r="L306" s="13">
        <v>17</v>
      </c>
      <c r="M306" s="13">
        <v>3</v>
      </c>
      <c r="N306" s="13" t="s">
        <v>3</v>
      </c>
      <c r="O306" s="13">
        <v>2</v>
      </c>
      <c r="P306" s="13">
        <f>ROUND(Source!EL288,O306)</f>
        <v>12831679.17</v>
      </c>
      <c r="Q306" s="13"/>
      <c r="R306" s="13"/>
      <c r="S306" s="13"/>
      <c r="T306" s="13"/>
      <c r="U306" s="13"/>
      <c r="V306" s="13"/>
      <c r="W306" s="13">
        <v>454228</v>
      </c>
      <c r="X306" s="13">
        <v>1</v>
      </c>
      <c r="Y306" s="13">
        <v>454228</v>
      </c>
      <c r="Z306" s="13">
        <v>12831679.17</v>
      </c>
      <c r="AA306" s="13">
        <v>1</v>
      </c>
      <c r="AB306" s="13">
        <v>12831679.17</v>
      </c>
    </row>
    <row r="307" spans="1:206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217</v>
      </c>
      <c r="F307" s="13">
        <f>ROUND(Source!AU288,O307)</f>
        <v>0</v>
      </c>
      <c r="G307" s="13" t="s">
        <v>331</v>
      </c>
      <c r="H307" s="13" t="s">
        <v>332</v>
      </c>
      <c r="I307" s="13"/>
      <c r="J307" s="13"/>
      <c r="K307" s="13">
        <v>217</v>
      </c>
      <c r="L307" s="13">
        <v>18</v>
      </c>
      <c r="M307" s="13">
        <v>3</v>
      </c>
      <c r="N307" s="13" t="s">
        <v>3</v>
      </c>
      <c r="O307" s="13">
        <v>2</v>
      </c>
      <c r="P307" s="13">
        <f>ROUND(Source!EM288,O307)</f>
        <v>0</v>
      </c>
      <c r="Q307" s="13"/>
      <c r="R307" s="13"/>
      <c r="S307" s="13"/>
      <c r="T307" s="13"/>
      <c r="U307" s="13"/>
      <c r="V307" s="13"/>
      <c r="W307" s="13">
        <v>0</v>
      </c>
      <c r="X307" s="13">
        <v>1</v>
      </c>
      <c r="Y307" s="13">
        <v>0</v>
      </c>
      <c r="Z307" s="13">
        <v>0</v>
      </c>
      <c r="AA307" s="13">
        <v>1</v>
      </c>
      <c r="AB307" s="13">
        <v>0</v>
      </c>
    </row>
    <row r="308" spans="1:206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230</v>
      </c>
      <c r="F308" s="13">
        <f>ROUND(Source!BA288,O308)</f>
        <v>0</v>
      </c>
      <c r="G308" s="13" t="s">
        <v>333</v>
      </c>
      <c r="H308" s="13" t="s">
        <v>334</v>
      </c>
      <c r="I308" s="13"/>
      <c r="J308" s="13"/>
      <c r="K308" s="13">
        <v>230</v>
      </c>
      <c r="L308" s="13">
        <v>19</v>
      </c>
      <c r="M308" s="13">
        <v>3</v>
      </c>
      <c r="N308" s="13" t="s">
        <v>3</v>
      </c>
      <c r="O308" s="13">
        <v>2</v>
      </c>
      <c r="P308" s="13">
        <f>ROUND(Source!ES288,O308)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06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206</v>
      </c>
      <c r="F309" s="13">
        <f>ROUND(Source!T288,O309)</f>
        <v>0</v>
      </c>
      <c r="G309" s="13" t="s">
        <v>335</v>
      </c>
      <c r="H309" s="13" t="s">
        <v>336</v>
      </c>
      <c r="I309" s="13"/>
      <c r="J309" s="13"/>
      <c r="K309" s="13">
        <v>206</v>
      </c>
      <c r="L309" s="13">
        <v>20</v>
      </c>
      <c r="M309" s="13">
        <v>3</v>
      </c>
      <c r="N309" s="13" t="s">
        <v>3</v>
      </c>
      <c r="O309" s="13">
        <v>2</v>
      </c>
      <c r="P309" s="13">
        <f>ROUND(Source!DL288,O309)</f>
        <v>0</v>
      </c>
      <c r="Q309" s="13"/>
      <c r="R309" s="13"/>
      <c r="S309" s="13"/>
      <c r="T309" s="13"/>
      <c r="U309" s="13"/>
      <c r="V309" s="13"/>
      <c r="W309" s="13">
        <v>0</v>
      </c>
      <c r="X309" s="13">
        <v>1</v>
      </c>
      <c r="Y309" s="13">
        <v>0</v>
      </c>
      <c r="Z309" s="13">
        <v>0</v>
      </c>
      <c r="AA309" s="13">
        <v>1</v>
      </c>
      <c r="AB309" s="13">
        <v>0</v>
      </c>
    </row>
    <row r="310" spans="1:206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207</v>
      </c>
      <c r="F310" s="13">
        <f>Source!U288</f>
        <v>5505.9210388127985</v>
      </c>
      <c r="G310" s="13" t="s">
        <v>337</v>
      </c>
      <c r="H310" s="13" t="s">
        <v>338</v>
      </c>
      <c r="I310" s="13"/>
      <c r="J310" s="13"/>
      <c r="K310" s="13">
        <v>207</v>
      </c>
      <c r="L310" s="13">
        <v>21</v>
      </c>
      <c r="M310" s="13">
        <v>3</v>
      </c>
      <c r="N310" s="13" t="s">
        <v>3</v>
      </c>
      <c r="O310" s="13">
        <v>-1</v>
      </c>
      <c r="P310" s="13">
        <f>Source!DM288</f>
        <v>5505.9210388127985</v>
      </c>
      <c r="Q310" s="13"/>
      <c r="R310" s="13"/>
      <c r="S310" s="13"/>
      <c r="T310" s="13"/>
      <c r="U310" s="13"/>
      <c r="V310" s="13"/>
      <c r="W310" s="13">
        <v>5505.9210388127995</v>
      </c>
      <c r="X310" s="13">
        <v>1</v>
      </c>
      <c r="Y310" s="13">
        <v>5505.9210388127995</v>
      </c>
      <c r="Z310" s="13">
        <v>5505.9210388127995</v>
      </c>
      <c r="AA310" s="13">
        <v>1</v>
      </c>
      <c r="AB310" s="13">
        <v>5505.9210388127995</v>
      </c>
    </row>
    <row r="311" spans="1:206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208</v>
      </c>
      <c r="F311" s="13">
        <f>Source!V288</f>
        <v>0</v>
      </c>
      <c r="G311" s="13" t="s">
        <v>339</v>
      </c>
      <c r="H311" s="13" t="s">
        <v>340</v>
      </c>
      <c r="I311" s="13"/>
      <c r="J311" s="13"/>
      <c r="K311" s="13">
        <v>208</v>
      </c>
      <c r="L311" s="13">
        <v>22</v>
      </c>
      <c r="M311" s="13">
        <v>3</v>
      </c>
      <c r="N311" s="13" t="s">
        <v>3</v>
      </c>
      <c r="O311" s="13">
        <v>-1</v>
      </c>
      <c r="P311" s="13">
        <f>Source!DN288</f>
        <v>0</v>
      </c>
      <c r="Q311" s="13"/>
      <c r="R311" s="13"/>
      <c r="S311" s="13"/>
      <c r="T311" s="13"/>
      <c r="U311" s="13"/>
      <c r="V311" s="13"/>
      <c r="W311" s="13">
        <v>0</v>
      </c>
      <c r="X311" s="13">
        <v>1</v>
      </c>
      <c r="Y311" s="13">
        <v>0</v>
      </c>
      <c r="Z311" s="13">
        <v>0</v>
      </c>
      <c r="AA311" s="13">
        <v>1</v>
      </c>
      <c r="AB311" s="13">
        <v>0</v>
      </c>
    </row>
    <row r="312" spans="1:206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209</v>
      </c>
      <c r="F312" s="13">
        <f>ROUND(Source!W288,O312)</f>
        <v>0</v>
      </c>
      <c r="G312" s="13" t="s">
        <v>341</v>
      </c>
      <c r="H312" s="13" t="s">
        <v>342</v>
      </c>
      <c r="I312" s="13"/>
      <c r="J312" s="13"/>
      <c r="K312" s="13">
        <v>209</v>
      </c>
      <c r="L312" s="13">
        <v>23</v>
      </c>
      <c r="M312" s="13">
        <v>3</v>
      </c>
      <c r="N312" s="13" t="s">
        <v>3</v>
      </c>
      <c r="O312" s="13">
        <v>2</v>
      </c>
      <c r="P312" s="13">
        <f>ROUND(Source!DO288,O312)</f>
        <v>0</v>
      </c>
      <c r="Q312" s="13"/>
      <c r="R312" s="13"/>
      <c r="S312" s="13"/>
      <c r="T312" s="13"/>
      <c r="U312" s="13"/>
      <c r="V312" s="13"/>
      <c r="W312" s="13">
        <v>0</v>
      </c>
      <c r="X312" s="13">
        <v>1</v>
      </c>
      <c r="Y312" s="13">
        <v>0</v>
      </c>
      <c r="Z312" s="13">
        <v>0</v>
      </c>
      <c r="AA312" s="13">
        <v>1</v>
      </c>
      <c r="AB312" s="13">
        <v>0</v>
      </c>
    </row>
    <row r="313" spans="1:206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233</v>
      </c>
      <c r="F313" s="13">
        <f>ROUND(Source!BD288,O313)</f>
        <v>0</v>
      </c>
      <c r="G313" s="13" t="s">
        <v>343</v>
      </c>
      <c r="H313" s="13" t="s">
        <v>344</v>
      </c>
      <c r="I313" s="13"/>
      <c r="J313" s="13"/>
      <c r="K313" s="13">
        <v>233</v>
      </c>
      <c r="L313" s="13">
        <v>24</v>
      </c>
      <c r="M313" s="13">
        <v>3</v>
      </c>
      <c r="N313" s="13" t="s">
        <v>3</v>
      </c>
      <c r="O313" s="13">
        <v>2</v>
      </c>
      <c r="P313" s="13">
        <f>ROUND(Source!EV288,O313)</f>
        <v>0</v>
      </c>
      <c r="Q313" s="13"/>
      <c r="R313" s="13"/>
      <c r="S313" s="13"/>
      <c r="T313" s="13"/>
      <c r="U313" s="13"/>
      <c r="V313" s="13"/>
      <c r="W313" s="13">
        <v>0</v>
      </c>
      <c r="X313" s="13">
        <v>1</v>
      </c>
      <c r="Y313" s="13">
        <v>0</v>
      </c>
      <c r="Z313" s="13">
        <v>0</v>
      </c>
      <c r="AA313" s="13">
        <v>1</v>
      </c>
      <c r="AB313" s="13">
        <v>0</v>
      </c>
    </row>
    <row r="314" spans="1:206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210</v>
      </c>
      <c r="F314" s="13">
        <f>ROUND(Source!X288,O314)</f>
        <v>65362.67</v>
      </c>
      <c r="G314" s="13" t="s">
        <v>345</v>
      </c>
      <c r="H314" s="13" t="s">
        <v>346</v>
      </c>
      <c r="I314" s="13"/>
      <c r="J314" s="13"/>
      <c r="K314" s="13">
        <v>210</v>
      </c>
      <c r="L314" s="13">
        <v>25</v>
      </c>
      <c r="M314" s="13">
        <v>3</v>
      </c>
      <c r="N314" s="13" t="s">
        <v>3</v>
      </c>
      <c r="O314" s="13">
        <v>2</v>
      </c>
      <c r="P314" s="13">
        <f>ROUND(Source!DP288,O314)</f>
        <v>3683187.14</v>
      </c>
      <c r="Q314" s="13"/>
      <c r="R314" s="13"/>
      <c r="S314" s="13"/>
      <c r="T314" s="13"/>
      <c r="U314" s="13"/>
      <c r="V314" s="13"/>
      <c r="W314" s="13">
        <v>65362.67</v>
      </c>
      <c r="X314" s="13">
        <v>1</v>
      </c>
      <c r="Y314" s="13">
        <v>65362.67</v>
      </c>
      <c r="Z314" s="13">
        <v>3683187.14</v>
      </c>
      <c r="AA314" s="13">
        <v>1</v>
      </c>
      <c r="AB314" s="13">
        <v>3683187.14</v>
      </c>
    </row>
    <row r="315" spans="1:206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211</v>
      </c>
      <c r="F315" s="13">
        <f>ROUND(Source!Y288,O315)</f>
        <v>33472.199999999997</v>
      </c>
      <c r="G315" s="13" t="s">
        <v>347</v>
      </c>
      <c r="H315" s="13" t="s">
        <v>348</v>
      </c>
      <c r="I315" s="13"/>
      <c r="J315" s="13"/>
      <c r="K315" s="13">
        <v>211</v>
      </c>
      <c r="L315" s="13">
        <v>26</v>
      </c>
      <c r="M315" s="13">
        <v>3</v>
      </c>
      <c r="N315" s="13" t="s">
        <v>3</v>
      </c>
      <c r="O315" s="13">
        <v>2</v>
      </c>
      <c r="P315" s="13">
        <f>ROUND(Source!DQ288,O315)</f>
        <v>1886159.15</v>
      </c>
      <c r="Q315" s="13"/>
      <c r="R315" s="13"/>
      <c r="S315" s="13"/>
      <c r="T315" s="13"/>
      <c r="U315" s="13"/>
      <c r="V315" s="13"/>
      <c r="W315" s="13">
        <v>33472.199999999997</v>
      </c>
      <c r="X315" s="13">
        <v>1</v>
      </c>
      <c r="Y315" s="13">
        <v>33472.199999999997</v>
      </c>
      <c r="Z315" s="13">
        <v>1886159.15</v>
      </c>
      <c r="AA315" s="13">
        <v>1</v>
      </c>
      <c r="AB315" s="13">
        <v>1886159.15</v>
      </c>
    </row>
    <row r="316" spans="1:206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224</v>
      </c>
      <c r="F316" s="13">
        <f>ROUND(Source!AR288,O316)</f>
        <v>466208.01</v>
      </c>
      <c r="G316" s="13" t="s">
        <v>349</v>
      </c>
      <c r="H316" s="13" t="s">
        <v>350</v>
      </c>
      <c r="I316" s="13"/>
      <c r="J316" s="13"/>
      <c r="K316" s="13">
        <v>224</v>
      </c>
      <c r="L316" s="13">
        <v>27</v>
      </c>
      <c r="M316" s="13">
        <v>3</v>
      </c>
      <c r="N316" s="13" t="s">
        <v>3</v>
      </c>
      <c r="O316" s="13">
        <v>2</v>
      </c>
      <c r="P316" s="13">
        <f>ROUND(Source!EJ288,O316)</f>
        <v>13075836.199999999</v>
      </c>
      <c r="Q316" s="13"/>
      <c r="R316" s="13"/>
      <c r="S316" s="13"/>
      <c r="T316" s="13"/>
      <c r="U316" s="13"/>
      <c r="V316" s="13"/>
      <c r="W316" s="13">
        <v>466208.01</v>
      </c>
      <c r="X316" s="13">
        <v>1</v>
      </c>
      <c r="Y316" s="13">
        <v>466208.01</v>
      </c>
      <c r="Z316" s="13">
        <v>13075836.199999999</v>
      </c>
      <c r="AA316" s="13">
        <v>1</v>
      </c>
      <c r="AB316" s="13">
        <v>13075836.199999999</v>
      </c>
    </row>
    <row r="318" spans="1:206" x14ac:dyDescent="0.2">
      <c r="A318" s="11">
        <v>51</v>
      </c>
      <c r="B318" s="11">
        <f>B20</f>
        <v>1</v>
      </c>
      <c r="C318" s="11">
        <f>A20</f>
        <v>3</v>
      </c>
      <c r="D318" s="11">
        <f>ROW(A20)</f>
        <v>20</v>
      </c>
      <c r="E318" s="11"/>
      <c r="F318" s="11" t="str">
        <f>IF(F20&lt;&gt;"",F20,"")</f>
        <v>02-01-21</v>
      </c>
      <c r="G318" s="11" t="str">
        <f>IF(G20&lt;&gt;"",G20,"")</f>
        <v>Спринклерное пожаротушение.</v>
      </c>
      <c r="H318" s="11">
        <v>0</v>
      </c>
      <c r="I318" s="11"/>
      <c r="J318" s="11"/>
      <c r="K318" s="11"/>
      <c r="L318" s="11"/>
      <c r="M318" s="11"/>
      <c r="N318" s="11"/>
      <c r="O318" s="11">
        <f t="shared" ref="O318:T318" si="376">ROUND(O167+O288+AB318,2)</f>
        <v>645901.78</v>
      </c>
      <c r="P318" s="11">
        <f t="shared" si="376"/>
        <v>549189.04</v>
      </c>
      <c r="Q318" s="11">
        <f t="shared" si="376"/>
        <v>21097.16</v>
      </c>
      <c r="R318" s="11">
        <f t="shared" si="376"/>
        <v>3867.38</v>
      </c>
      <c r="S318" s="11">
        <f t="shared" si="376"/>
        <v>75615.58</v>
      </c>
      <c r="T318" s="11">
        <f t="shared" si="376"/>
        <v>0</v>
      </c>
      <c r="U318" s="11">
        <f>U167+U288+AH318</f>
        <v>6037.8927298559984</v>
      </c>
      <c r="V318" s="11">
        <f>V167+V288+AI318</f>
        <v>0</v>
      </c>
      <c r="W318" s="11">
        <f>ROUND(W167+W288+AJ318,2)</f>
        <v>0</v>
      </c>
      <c r="X318" s="11">
        <f>ROUND(X167+X288+AK318,2)</f>
        <v>71862.73</v>
      </c>
      <c r="Y318" s="11">
        <f>ROUND(Y167+Y288+AL318,2)</f>
        <v>36889.589999999997</v>
      </c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>
        <f t="shared" ref="AO318:BD318" si="377">ROUND(AO167+AO288+BX318,2)</f>
        <v>0</v>
      </c>
      <c r="AP318" s="11">
        <f t="shared" si="377"/>
        <v>208792.43</v>
      </c>
      <c r="AQ318" s="11">
        <f t="shared" si="377"/>
        <v>0</v>
      </c>
      <c r="AR318" s="11">
        <f t="shared" si="377"/>
        <v>754654.1</v>
      </c>
      <c r="AS318" s="11">
        <f t="shared" si="377"/>
        <v>17004.48</v>
      </c>
      <c r="AT318" s="11">
        <f t="shared" si="377"/>
        <v>528857.18999999994</v>
      </c>
      <c r="AU318" s="11">
        <f t="shared" si="377"/>
        <v>0</v>
      </c>
      <c r="AV318" s="11">
        <f t="shared" si="377"/>
        <v>549189.04</v>
      </c>
      <c r="AW318" s="11">
        <f t="shared" si="377"/>
        <v>340396.61</v>
      </c>
      <c r="AX318" s="11">
        <f t="shared" si="377"/>
        <v>0</v>
      </c>
      <c r="AY318" s="11">
        <f t="shared" si="377"/>
        <v>340396.61</v>
      </c>
      <c r="AZ318" s="11">
        <f t="shared" si="377"/>
        <v>208792.43</v>
      </c>
      <c r="BA318" s="11">
        <f t="shared" si="377"/>
        <v>0</v>
      </c>
      <c r="BB318" s="11">
        <f t="shared" si="377"/>
        <v>0</v>
      </c>
      <c r="BC318" s="11">
        <f t="shared" si="377"/>
        <v>0</v>
      </c>
      <c r="BD318" s="11">
        <f t="shared" si="377"/>
        <v>0</v>
      </c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2">
        <f t="shared" ref="DG318:DL318" si="378">ROUND(DG167+DG288+DT318,2)</f>
        <v>9808836.4000000004</v>
      </c>
      <c r="DH318" s="12">
        <f t="shared" si="378"/>
        <v>5125710.22</v>
      </c>
      <c r="DI318" s="12">
        <f t="shared" si="378"/>
        <v>422188.25</v>
      </c>
      <c r="DJ318" s="12">
        <f t="shared" si="378"/>
        <v>217926.87</v>
      </c>
      <c r="DK318" s="12">
        <f t="shared" si="378"/>
        <v>4260937.93</v>
      </c>
      <c r="DL318" s="12">
        <f t="shared" si="378"/>
        <v>0</v>
      </c>
      <c r="DM318" s="12">
        <f>DM167+DM288+DZ318</f>
        <v>6037.8927298559984</v>
      </c>
      <c r="DN318" s="12">
        <f>DN167+DN288+EA318</f>
        <v>0</v>
      </c>
      <c r="DO318" s="12">
        <f>ROUND(DO167+DO288+EB318,2)</f>
        <v>0</v>
      </c>
      <c r="DP318" s="12">
        <f>ROUND(DP167+DP288+EC318,2)</f>
        <v>4049465.46</v>
      </c>
      <c r="DQ318" s="12">
        <f>ROUND(DQ167+DQ288+ED318,2)</f>
        <v>2078728.73</v>
      </c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>
        <f t="shared" ref="EG318:EV318" si="379">ROUND(EG167+EG288+FP318,2)</f>
        <v>0</v>
      </c>
      <c r="EH318" s="12">
        <f t="shared" si="379"/>
        <v>1580558.69</v>
      </c>
      <c r="EI318" s="12">
        <f t="shared" si="379"/>
        <v>0</v>
      </c>
      <c r="EJ318" s="12">
        <f t="shared" si="379"/>
        <v>15937030.59</v>
      </c>
      <c r="EK318" s="12">
        <f t="shared" si="379"/>
        <v>410915.08</v>
      </c>
      <c r="EL318" s="12">
        <f t="shared" si="379"/>
        <v>13945556.82</v>
      </c>
      <c r="EM318" s="12">
        <f t="shared" si="379"/>
        <v>0</v>
      </c>
      <c r="EN318" s="12">
        <f t="shared" si="379"/>
        <v>5125710.22</v>
      </c>
      <c r="EO318" s="12">
        <f t="shared" si="379"/>
        <v>3545151.53</v>
      </c>
      <c r="EP318" s="12">
        <f t="shared" si="379"/>
        <v>0</v>
      </c>
      <c r="EQ318" s="12">
        <f t="shared" si="379"/>
        <v>3545151.53</v>
      </c>
      <c r="ER318" s="12">
        <f t="shared" si="379"/>
        <v>1580558.69</v>
      </c>
      <c r="ES318" s="12">
        <f t="shared" si="379"/>
        <v>0</v>
      </c>
      <c r="ET318" s="12">
        <f t="shared" si="379"/>
        <v>0</v>
      </c>
      <c r="EU318" s="12">
        <f t="shared" si="379"/>
        <v>0</v>
      </c>
      <c r="EV318" s="12">
        <f t="shared" si="379"/>
        <v>0</v>
      </c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>
        <v>0</v>
      </c>
    </row>
    <row r="320" spans="1:206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201</v>
      </c>
      <c r="F320" s="13">
        <f>ROUND(Source!O318,O320)</f>
        <v>645901.78</v>
      </c>
      <c r="G320" s="13" t="s">
        <v>297</v>
      </c>
      <c r="H320" s="13" t="s">
        <v>298</v>
      </c>
      <c r="I320" s="13"/>
      <c r="J320" s="13"/>
      <c r="K320" s="13">
        <v>201</v>
      </c>
      <c r="L320" s="13">
        <v>1</v>
      </c>
      <c r="M320" s="13">
        <v>3</v>
      </c>
      <c r="N320" s="13" t="s">
        <v>3</v>
      </c>
      <c r="O320" s="13">
        <v>2</v>
      </c>
      <c r="P320" s="13">
        <f>ROUND(Source!DG318,O320)</f>
        <v>9808836.4000000004</v>
      </c>
      <c r="Q320" s="13"/>
      <c r="R320" s="13"/>
      <c r="S320" s="13"/>
      <c r="T320" s="13"/>
      <c r="U320" s="13"/>
      <c r="V320" s="13"/>
      <c r="W320" s="13">
        <v>645901.78</v>
      </c>
      <c r="X320" s="13">
        <v>1</v>
      </c>
      <c r="Y320" s="13">
        <v>645901.78</v>
      </c>
      <c r="Z320" s="13">
        <v>9808836.4000000004</v>
      </c>
      <c r="AA320" s="13">
        <v>1</v>
      </c>
      <c r="AB320" s="13">
        <v>9808836.4000000004</v>
      </c>
    </row>
    <row r="321" spans="1:28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202</v>
      </c>
      <c r="F321" s="13">
        <f>ROUND(Source!P318,O321)</f>
        <v>549189.04</v>
      </c>
      <c r="G321" s="13" t="s">
        <v>299</v>
      </c>
      <c r="H321" s="13" t="s">
        <v>300</v>
      </c>
      <c r="I321" s="13"/>
      <c r="J321" s="13"/>
      <c r="K321" s="13">
        <v>202</v>
      </c>
      <c r="L321" s="13">
        <v>2</v>
      </c>
      <c r="M321" s="13">
        <v>3</v>
      </c>
      <c r="N321" s="13" t="s">
        <v>3</v>
      </c>
      <c r="O321" s="13">
        <v>2</v>
      </c>
      <c r="P321" s="13">
        <f>ROUND(Source!DH318,O321)</f>
        <v>5125710.22</v>
      </c>
      <c r="Q321" s="13"/>
      <c r="R321" s="13"/>
      <c r="S321" s="13"/>
      <c r="T321" s="13"/>
      <c r="U321" s="13"/>
      <c r="V321" s="13"/>
      <c r="W321" s="13">
        <v>549189.04</v>
      </c>
      <c r="X321" s="13">
        <v>1</v>
      </c>
      <c r="Y321" s="13">
        <v>549189.04</v>
      </c>
      <c r="Z321" s="13">
        <v>5125710.22</v>
      </c>
      <c r="AA321" s="13">
        <v>1</v>
      </c>
      <c r="AB321" s="13">
        <v>5125710.22</v>
      </c>
    </row>
    <row r="322" spans="1:28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222</v>
      </c>
      <c r="F322" s="13">
        <f>ROUND(Source!AO318,O322)</f>
        <v>0</v>
      </c>
      <c r="G322" s="13" t="s">
        <v>301</v>
      </c>
      <c r="H322" s="13" t="s">
        <v>302</v>
      </c>
      <c r="I322" s="13"/>
      <c r="J322" s="13"/>
      <c r="K322" s="13">
        <v>222</v>
      </c>
      <c r="L322" s="13">
        <v>3</v>
      </c>
      <c r="M322" s="13">
        <v>3</v>
      </c>
      <c r="N322" s="13" t="s">
        <v>3</v>
      </c>
      <c r="O322" s="13">
        <v>2</v>
      </c>
      <c r="P322" s="13">
        <f>ROUND(Source!EG318,O322)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8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225</v>
      </c>
      <c r="F323" s="13">
        <f>ROUND(Source!AV318,O323)</f>
        <v>549189.04</v>
      </c>
      <c r="G323" s="13" t="s">
        <v>303</v>
      </c>
      <c r="H323" s="13" t="s">
        <v>304</v>
      </c>
      <c r="I323" s="13"/>
      <c r="J323" s="13"/>
      <c r="K323" s="13">
        <v>225</v>
      </c>
      <c r="L323" s="13">
        <v>4</v>
      </c>
      <c r="M323" s="13">
        <v>3</v>
      </c>
      <c r="N323" s="13" t="s">
        <v>3</v>
      </c>
      <c r="O323" s="13">
        <v>2</v>
      </c>
      <c r="P323" s="13">
        <f>ROUND(Source!EN318,O323)</f>
        <v>5125710.22</v>
      </c>
      <c r="Q323" s="13"/>
      <c r="R323" s="13"/>
      <c r="S323" s="13"/>
      <c r="T323" s="13"/>
      <c r="U323" s="13"/>
      <c r="V323" s="13"/>
      <c r="W323" s="13">
        <v>549189.04</v>
      </c>
      <c r="X323" s="13">
        <v>1</v>
      </c>
      <c r="Y323" s="13">
        <v>549189.04</v>
      </c>
      <c r="Z323" s="13">
        <v>5125710.22</v>
      </c>
      <c r="AA323" s="13">
        <v>1</v>
      </c>
      <c r="AB323" s="13">
        <v>5125710.22</v>
      </c>
    </row>
    <row r="324" spans="1:28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226</v>
      </c>
      <c r="F324" s="13">
        <f>ROUND(Source!AW318,O324)</f>
        <v>340396.61</v>
      </c>
      <c r="G324" s="13" t="s">
        <v>305</v>
      </c>
      <c r="H324" s="13" t="s">
        <v>306</v>
      </c>
      <c r="I324" s="13"/>
      <c r="J324" s="13"/>
      <c r="K324" s="13">
        <v>226</v>
      </c>
      <c r="L324" s="13">
        <v>5</v>
      </c>
      <c r="M324" s="13">
        <v>3</v>
      </c>
      <c r="N324" s="13" t="s">
        <v>3</v>
      </c>
      <c r="O324" s="13">
        <v>2</v>
      </c>
      <c r="P324" s="13">
        <f>ROUND(Source!EO318,O324)</f>
        <v>3545151.53</v>
      </c>
      <c r="Q324" s="13"/>
      <c r="R324" s="13"/>
      <c r="S324" s="13"/>
      <c r="T324" s="13"/>
      <c r="U324" s="13"/>
      <c r="V324" s="13"/>
      <c r="W324" s="13">
        <v>340396.61</v>
      </c>
      <c r="X324" s="13">
        <v>1</v>
      </c>
      <c r="Y324" s="13">
        <v>340396.61</v>
      </c>
      <c r="Z324" s="13">
        <v>3545151.53</v>
      </c>
      <c r="AA324" s="13">
        <v>1</v>
      </c>
      <c r="AB324" s="13">
        <v>3545151.53</v>
      </c>
    </row>
    <row r="325" spans="1:28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227</v>
      </c>
      <c r="F325" s="13">
        <f>ROUND(Source!AX318,O325)</f>
        <v>0</v>
      </c>
      <c r="G325" s="13" t="s">
        <v>307</v>
      </c>
      <c r="H325" s="13" t="s">
        <v>308</v>
      </c>
      <c r="I325" s="13"/>
      <c r="J325" s="13"/>
      <c r="K325" s="13">
        <v>227</v>
      </c>
      <c r="L325" s="13">
        <v>6</v>
      </c>
      <c r="M325" s="13">
        <v>3</v>
      </c>
      <c r="N325" s="13" t="s">
        <v>3</v>
      </c>
      <c r="O325" s="13">
        <v>2</v>
      </c>
      <c r="P325" s="13">
        <f>ROUND(Source!EP318,O325)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8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228</v>
      </c>
      <c r="F326" s="13">
        <f>ROUND(Source!AY318,O326)</f>
        <v>340396.61</v>
      </c>
      <c r="G326" s="13" t="s">
        <v>309</v>
      </c>
      <c r="H326" s="13" t="s">
        <v>310</v>
      </c>
      <c r="I326" s="13"/>
      <c r="J326" s="13"/>
      <c r="K326" s="13">
        <v>228</v>
      </c>
      <c r="L326" s="13">
        <v>7</v>
      </c>
      <c r="M326" s="13">
        <v>3</v>
      </c>
      <c r="N326" s="13" t="s">
        <v>3</v>
      </c>
      <c r="O326" s="13">
        <v>2</v>
      </c>
      <c r="P326" s="13">
        <f>ROUND(Source!EQ318,O326)</f>
        <v>3545151.53</v>
      </c>
      <c r="Q326" s="13"/>
      <c r="R326" s="13"/>
      <c r="S326" s="13"/>
      <c r="T326" s="13"/>
      <c r="U326" s="13"/>
      <c r="V326" s="13"/>
      <c r="W326" s="13">
        <v>340396.61</v>
      </c>
      <c r="X326" s="13">
        <v>1</v>
      </c>
      <c r="Y326" s="13">
        <v>340396.61</v>
      </c>
      <c r="Z326" s="13">
        <v>3545151.53</v>
      </c>
      <c r="AA326" s="13">
        <v>1</v>
      </c>
      <c r="AB326" s="13">
        <v>3545151.53</v>
      </c>
    </row>
    <row r="327" spans="1:28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216</v>
      </c>
      <c r="F327" s="13">
        <f>ROUND(Source!AP318,O327)</f>
        <v>208792.43</v>
      </c>
      <c r="G327" s="13" t="s">
        <v>311</v>
      </c>
      <c r="H327" s="13" t="s">
        <v>312</v>
      </c>
      <c r="I327" s="13"/>
      <c r="J327" s="13"/>
      <c r="K327" s="13">
        <v>216</v>
      </c>
      <c r="L327" s="13">
        <v>8</v>
      </c>
      <c r="M327" s="13">
        <v>3</v>
      </c>
      <c r="N327" s="13" t="s">
        <v>3</v>
      </c>
      <c r="O327" s="13">
        <v>2</v>
      </c>
      <c r="P327" s="13">
        <f>ROUND(Source!EH318,O327)</f>
        <v>1580558.69</v>
      </c>
      <c r="Q327" s="13"/>
      <c r="R327" s="13"/>
      <c r="S327" s="13"/>
      <c r="T327" s="13"/>
      <c r="U327" s="13"/>
      <c r="V327" s="13"/>
      <c r="W327" s="13">
        <v>208792.43</v>
      </c>
      <c r="X327" s="13">
        <v>1</v>
      </c>
      <c r="Y327" s="13">
        <v>208792.43</v>
      </c>
      <c r="Z327" s="13">
        <v>1580558.69</v>
      </c>
      <c r="AA327" s="13">
        <v>1</v>
      </c>
      <c r="AB327" s="13">
        <v>1580558.69</v>
      </c>
    </row>
    <row r="328" spans="1:28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223</v>
      </c>
      <c r="F328" s="13">
        <f>ROUND(Source!AQ318,O328)</f>
        <v>0</v>
      </c>
      <c r="G328" s="13" t="s">
        <v>313</v>
      </c>
      <c r="H328" s="13" t="s">
        <v>314</v>
      </c>
      <c r="I328" s="13"/>
      <c r="J328" s="13"/>
      <c r="K328" s="13">
        <v>223</v>
      </c>
      <c r="L328" s="13">
        <v>9</v>
      </c>
      <c r="M328" s="13">
        <v>3</v>
      </c>
      <c r="N328" s="13" t="s">
        <v>3</v>
      </c>
      <c r="O328" s="13">
        <v>2</v>
      </c>
      <c r="P328" s="13">
        <f>ROUND(Source!EI318,O328)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8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229</v>
      </c>
      <c r="F329" s="13">
        <f>ROUND(Source!AZ318,O329)</f>
        <v>208792.43</v>
      </c>
      <c r="G329" s="13" t="s">
        <v>315</v>
      </c>
      <c r="H329" s="13" t="s">
        <v>316</v>
      </c>
      <c r="I329" s="13"/>
      <c r="J329" s="13"/>
      <c r="K329" s="13">
        <v>229</v>
      </c>
      <c r="L329" s="13">
        <v>10</v>
      </c>
      <c r="M329" s="13">
        <v>3</v>
      </c>
      <c r="N329" s="13" t="s">
        <v>3</v>
      </c>
      <c r="O329" s="13">
        <v>2</v>
      </c>
      <c r="P329" s="13">
        <f>ROUND(Source!ER318,O329)</f>
        <v>1580558.69</v>
      </c>
      <c r="Q329" s="13"/>
      <c r="R329" s="13"/>
      <c r="S329" s="13"/>
      <c r="T329" s="13"/>
      <c r="U329" s="13"/>
      <c r="V329" s="13"/>
      <c r="W329" s="13">
        <v>208792.43</v>
      </c>
      <c r="X329" s="13">
        <v>1</v>
      </c>
      <c r="Y329" s="13">
        <v>208792.43</v>
      </c>
      <c r="Z329" s="13">
        <v>1580558.69</v>
      </c>
      <c r="AA329" s="13">
        <v>1</v>
      </c>
      <c r="AB329" s="13">
        <v>1580558.69</v>
      </c>
    </row>
    <row r="330" spans="1:28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203</v>
      </c>
      <c r="F330" s="13">
        <f>ROUND(Source!Q318,O330)</f>
        <v>21097.16</v>
      </c>
      <c r="G330" s="13" t="s">
        <v>317</v>
      </c>
      <c r="H330" s="13" t="s">
        <v>318</v>
      </c>
      <c r="I330" s="13"/>
      <c r="J330" s="13"/>
      <c r="K330" s="13">
        <v>203</v>
      </c>
      <c r="L330" s="13">
        <v>11</v>
      </c>
      <c r="M330" s="13">
        <v>3</v>
      </c>
      <c r="N330" s="13" t="s">
        <v>3</v>
      </c>
      <c r="O330" s="13">
        <v>2</v>
      </c>
      <c r="P330" s="13">
        <f>ROUND(Source!DI318,O330)</f>
        <v>422188.25</v>
      </c>
      <c r="Q330" s="13"/>
      <c r="R330" s="13"/>
      <c r="S330" s="13"/>
      <c r="T330" s="13"/>
      <c r="U330" s="13"/>
      <c r="V330" s="13"/>
      <c r="W330" s="13">
        <v>21097.16</v>
      </c>
      <c r="X330" s="13">
        <v>1</v>
      </c>
      <c r="Y330" s="13">
        <v>21097.16</v>
      </c>
      <c r="Z330" s="13">
        <v>422188.25</v>
      </c>
      <c r="AA330" s="13">
        <v>1</v>
      </c>
      <c r="AB330" s="13">
        <v>422188.25</v>
      </c>
    </row>
    <row r="331" spans="1:28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231</v>
      </c>
      <c r="F331" s="13">
        <f>ROUND(Source!BB318,O331)</f>
        <v>0</v>
      </c>
      <c r="G331" s="13" t="s">
        <v>319</v>
      </c>
      <c r="H331" s="13" t="s">
        <v>320</v>
      </c>
      <c r="I331" s="13"/>
      <c r="J331" s="13"/>
      <c r="K331" s="13">
        <v>231</v>
      </c>
      <c r="L331" s="13">
        <v>12</v>
      </c>
      <c r="M331" s="13">
        <v>3</v>
      </c>
      <c r="N331" s="13" t="s">
        <v>3</v>
      </c>
      <c r="O331" s="13">
        <v>2</v>
      </c>
      <c r="P331" s="13">
        <f>ROUND(Source!ET318,O331)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8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204</v>
      </c>
      <c r="F332" s="13">
        <f>ROUND(Source!R318,O332)</f>
        <v>3867.38</v>
      </c>
      <c r="G332" s="13" t="s">
        <v>321</v>
      </c>
      <c r="H332" s="13" t="s">
        <v>322</v>
      </c>
      <c r="I332" s="13"/>
      <c r="J332" s="13"/>
      <c r="K332" s="13">
        <v>204</v>
      </c>
      <c r="L332" s="13">
        <v>13</v>
      </c>
      <c r="M332" s="13">
        <v>3</v>
      </c>
      <c r="N332" s="13" t="s">
        <v>3</v>
      </c>
      <c r="O332" s="13">
        <v>2</v>
      </c>
      <c r="P332" s="13">
        <f>ROUND(Source!DJ318,O332)</f>
        <v>217926.87</v>
      </c>
      <c r="Q332" s="13"/>
      <c r="R332" s="13"/>
      <c r="S332" s="13"/>
      <c r="T332" s="13"/>
      <c r="U332" s="13"/>
      <c r="V332" s="13"/>
      <c r="W332" s="13">
        <v>3867.38</v>
      </c>
      <c r="X332" s="13">
        <v>1</v>
      </c>
      <c r="Y332" s="13">
        <v>3867.38</v>
      </c>
      <c r="Z332" s="13">
        <v>217926.87</v>
      </c>
      <c r="AA332" s="13">
        <v>1</v>
      </c>
      <c r="AB332" s="13">
        <v>217926.87</v>
      </c>
    </row>
    <row r="333" spans="1:28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205</v>
      </c>
      <c r="F333" s="13">
        <f>ROUND(Source!S318,O333)</f>
        <v>75615.58</v>
      </c>
      <c r="G333" s="13" t="s">
        <v>323</v>
      </c>
      <c r="H333" s="13" t="s">
        <v>324</v>
      </c>
      <c r="I333" s="13"/>
      <c r="J333" s="13"/>
      <c r="K333" s="13">
        <v>205</v>
      </c>
      <c r="L333" s="13">
        <v>14</v>
      </c>
      <c r="M333" s="13">
        <v>3</v>
      </c>
      <c r="N333" s="13" t="s">
        <v>3</v>
      </c>
      <c r="O333" s="13">
        <v>2</v>
      </c>
      <c r="P333" s="13">
        <f>ROUND(Source!DK318,O333)</f>
        <v>4260937.93</v>
      </c>
      <c r="Q333" s="13"/>
      <c r="R333" s="13"/>
      <c r="S333" s="13"/>
      <c r="T333" s="13"/>
      <c r="U333" s="13"/>
      <c r="V333" s="13"/>
      <c r="W333" s="13">
        <v>75615.58</v>
      </c>
      <c r="X333" s="13">
        <v>1</v>
      </c>
      <c r="Y333" s="13">
        <v>75615.58</v>
      </c>
      <c r="Z333" s="13">
        <v>4260937.93</v>
      </c>
      <c r="AA333" s="13">
        <v>1</v>
      </c>
      <c r="AB333" s="13">
        <v>4260937.93</v>
      </c>
    </row>
    <row r="334" spans="1:28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232</v>
      </c>
      <c r="F334" s="13">
        <f>ROUND(Source!BC318,O334)</f>
        <v>0</v>
      </c>
      <c r="G334" s="13" t="s">
        <v>325</v>
      </c>
      <c r="H334" s="13" t="s">
        <v>326</v>
      </c>
      <c r="I334" s="13"/>
      <c r="J334" s="13"/>
      <c r="K334" s="13">
        <v>232</v>
      </c>
      <c r="L334" s="13">
        <v>15</v>
      </c>
      <c r="M334" s="13">
        <v>3</v>
      </c>
      <c r="N334" s="13" t="s">
        <v>3</v>
      </c>
      <c r="O334" s="13">
        <v>2</v>
      </c>
      <c r="P334" s="13">
        <f>ROUND(Source!EU318,O334)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214</v>
      </c>
      <c r="F335" s="13">
        <f>ROUND(Source!AS318,O335)</f>
        <v>17004.48</v>
      </c>
      <c r="G335" s="13" t="s">
        <v>327</v>
      </c>
      <c r="H335" s="13" t="s">
        <v>328</v>
      </c>
      <c r="I335" s="13"/>
      <c r="J335" s="13"/>
      <c r="K335" s="13">
        <v>214</v>
      </c>
      <c r="L335" s="13">
        <v>16</v>
      </c>
      <c r="M335" s="13">
        <v>3</v>
      </c>
      <c r="N335" s="13" t="s">
        <v>3</v>
      </c>
      <c r="O335" s="13">
        <v>2</v>
      </c>
      <c r="P335" s="13">
        <f>ROUND(Source!EK318,O335)</f>
        <v>410915.08</v>
      </c>
      <c r="Q335" s="13"/>
      <c r="R335" s="13"/>
      <c r="S335" s="13"/>
      <c r="T335" s="13"/>
      <c r="U335" s="13"/>
      <c r="V335" s="13"/>
      <c r="W335" s="13">
        <v>17004.48</v>
      </c>
      <c r="X335" s="13">
        <v>1</v>
      </c>
      <c r="Y335" s="13">
        <v>17004.48</v>
      </c>
      <c r="Z335" s="13">
        <v>410915.08</v>
      </c>
      <c r="AA335" s="13">
        <v>1</v>
      </c>
      <c r="AB335" s="13">
        <v>410915.08</v>
      </c>
    </row>
    <row r="336" spans="1:28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215</v>
      </c>
      <c r="F336" s="13">
        <f>ROUND(Source!AT318,O336)</f>
        <v>528857.18999999994</v>
      </c>
      <c r="G336" s="13" t="s">
        <v>329</v>
      </c>
      <c r="H336" s="13" t="s">
        <v>330</v>
      </c>
      <c r="I336" s="13"/>
      <c r="J336" s="13"/>
      <c r="K336" s="13">
        <v>215</v>
      </c>
      <c r="L336" s="13">
        <v>17</v>
      </c>
      <c r="M336" s="13">
        <v>3</v>
      </c>
      <c r="N336" s="13" t="s">
        <v>3</v>
      </c>
      <c r="O336" s="13">
        <v>2</v>
      </c>
      <c r="P336" s="13">
        <f>ROUND(Source!EL318,O336)</f>
        <v>13945556.82</v>
      </c>
      <c r="Q336" s="13"/>
      <c r="R336" s="13"/>
      <c r="S336" s="13"/>
      <c r="T336" s="13"/>
      <c r="U336" s="13"/>
      <c r="V336" s="13"/>
      <c r="W336" s="13">
        <v>528857.18999999994</v>
      </c>
      <c r="X336" s="13">
        <v>1</v>
      </c>
      <c r="Y336" s="13">
        <v>528857.18999999994</v>
      </c>
      <c r="Z336" s="13">
        <v>13945556.82</v>
      </c>
      <c r="AA336" s="13">
        <v>1</v>
      </c>
      <c r="AB336" s="13">
        <v>13945556.82</v>
      </c>
    </row>
    <row r="337" spans="1:206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217</v>
      </c>
      <c r="F337" s="13">
        <f>ROUND(Source!AU318,O337)</f>
        <v>0</v>
      </c>
      <c r="G337" s="13" t="s">
        <v>331</v>
      </c>
      <c r="H337" s="13" t="s">
        <v>332</v>
      </c>
      <c r="I337" s="13"/>
      <c r="J337" s="13"/>
      <c r="K337" s="13">
        <v>217</v>
      </c>
      <c r="L337" s="13">
        <v>18</v>
      </c>
      <c r="M337" s="13">
        <v>3</v>
      </c>
      <c r="N337" s="13" t="s">
        <v>3</v>
      </c>
      <c r="O337" s="13">
        <v>2</v>
      </c>
      <c r="P337" s="13">
        <f>ROUND(Source!EM318,O337)</f>
        <v>0</v>
      </c>
      <c r="Q337" s="13"/>
      <c r="R337" s="13"/>
      <c r="S337" s="13"/>
      <c r="T337" s="13"/>
      <c r="U337" s="13"/>
      <c r="V337" s="13"/>
      <c r="W337" s="13">
        <v>0</v>
      </c>
      <c r="X337" s="13">
        <v>1</v>
      </c>
      <c r="Y337" s="13">
        <v>0</v>
      </c>
      <c r="Z337" s="13">
        <v>0</v>
      </c>
      <c r="AA337" s="13">
        <v>1</v>
      </c>
      <c r="AB337" s="13">
        <v>0</v>
      </c>
    </row>
    <row r="338" spans="1:206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230</v>
      </c>
      <c r="F338" s="13">
        <f>ROUND(Source!BA318,O338)</f>
        <v>0</v>
      </c>
      <c r="G338" s="13" t="s">
        <v>333</v>
      </c>
      <c r="H338" s="13" t="s">
        <v>334</v>
      </c>
      <c r="I338" s="13"/>
      <c r="J338" s="13"/>
      <c r="K338" s="13">
        <v>230</v>
      </c>
      <c r="L338" s="13">
        <v>19</v>
      </c>
      <c r="M338" s="13">
        <v>3</v>
      </c>
      <c r="N338" s="13" t="s">
        <v>3</v>
      </c>
      <c r="O338" s="13">
        <v>2</v>
      </c>
      <c r="P338" s="13">
        <f>ROUND(Source!ES318,O338)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06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206</v>
      </c>
      <c r="F339" s="13">
        <f>ROUND(Source!T318,O339)</f>
        <v>0</v>
      </c>
      <c r="G339" s="13" t="s">
        <v>335</v>
      </c>
      <c r="H339" s="13" t="s">
        <v>336</v>
      </c>
      <c r="I339" s="13"/>
      <c r="J339" s="13"/>
      <c r="K339" s="13">
        <v>206</v>
      </c>
      <c r="L339" s="13">
        <v>20</v>
      </c>
      <c r="M339" s="13">
        <v>3</v>
      </c>
      <c r="N339" s="13" t="s">
        <v>3</v>
      </c>
      <c r="O339" s="13">
        <v>2</v>
      </c>
      <c r="P339" s="13">
        <f>ROUND(Source!DL318,O339)</f>
        <v>0</v>
      </c>
      <c r="Q339" s="13"/>
      <c r="R339" s="13"/>
      <c r="S339" s="13"/>
      <c r="T339" s="13"/>
      <c r="U339" s="13"/>
      <c r="V339" s="13"/>
      <c r="W339" s="13">
        <v>0</v>
      </c>
      <c r="X339" s="13">
        <v>1</v>
      </c>
      <c r="Y339" s="13">
        <v>0</v>
      </c>
      <c r="Z339" s="13">
        <v>0</v>
      </c>
      <c r="AA339" s="13">
        <v>1</v>
      </c>
      <c r="AB339" s="13">
        <v>0</v>
      </c>
    </row>
    <row r="340" spans="1:206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207</v>
      </c>
      <c r="F340" s="13">
        <f>Source!U318</f>
        <v>6037.8927298559984</v>
      </c>
      <c r="G340" s="13" t="s">
        <v>337</v>
      </c>
      <c r="H340" s="13" t="s">
        <v>338</v>
      </c>
      <c r="I340" s="13"/>
      <c r="J340" s="13"/>
      <c r="K340" s="13">
        <v>207</v>
      </c>
      <c r="L340" s="13">
        <v>21</v>
      </c>
      <c r="M340" s="13">
        <v>3</v>
      </c>
      <c r="N340" s="13" t="s">
        <v>3</v>
      </c>
      <c r="O340" s="13">
        <v>-1</v>
      </c>
      <c r="P340" s="13">
        <f>Source!DM318</f>
        <v>6037.8927298559984</v>
      </c>
      <c r="Q340" s="13"/>
      <c r="R340" s="13"/>
      <c r="S340" s="13"/>
      <c r="T340" s="13"/>
      <c r="U340" s="13"/>
      <c r="V340" s="13"/>
      <c r="W340" s="13">
        <v>6037.8927298559993</v>
      </c>
      <c r="X340" s="13">
        <v>1</v>
      </c>
      <c r="Y340" s="13">
        <v>6037.8927298559993</v>
      </c>
      <c r="Z340" s="13">
        <v>6037.8927298559993</v>
      </c>
      <c r="AA340" s="13">
        <v>1</v>
      </c>
      <c r="AB340" s="13">
        <v>6037.8927298559993</v>
      </c>
    </row>
    <row r="341" spans="1:206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208</v>
      </c>
      <c r="F341" s="13">
        <f>Source!V318</f>
        <v>0</v>
      </c>
      <c r="G341" s="13" t="s">
        <v>339</v>
      </c>
      <c r="H341" s="13" t="s">
        <v>340</v>
      </c>
      <c r="I341" s="13"/>
      <c r="J341" s="13"/>
      <c r="K341" s="13">
        <v>208</v>
      </c>
      <c r="L341" s="13">
        <v>22</v>
      </c>
      <c r="M341" s="13">
        <v>3</v>
      </c>
      <c r="N341" s="13" t="s">
        <v>3</v>
      </c>
      <c r="O341" s="13">
        <v>-1</v>
      </c>
      <c r="P341" s="13">
        <f>Source!DN318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06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209</v>
      </c>
      <c r="F342" s="13">
        <f>ROUND(Source!W318,O342)</f>
        <v>0</v>
      </c>
      <c r="G342" s="13" t="s">
        <v>341</v>
      </c>
      <c r="H342" s="13" t="s">
        <v>342</v>
      </c>
      <c r="I342" s="13"/>
      <c r="J342" s="13"/>
      <c r="K342" s="13">
        <v>209</v>
      </c>
      <c r="L342" s="13">
        <v>23</v>
      </c>
      <c r="M342" s="13">
        <v>3</v>
      </c>
      <c r="N342" s="13" t="s">
        <v>3</v>
      </c>
      <c r="O342" s="13">
        <v>2</v>
      </c>
      <c r="P342" s="13">
        <f>ROUND(Source!DO318,O342)</f>
        <v>0</v>
      </c>
      <c r="Q342" s="13"/>
      <c r="R342" s="13"/>
      <c r="S342" s="13"/>
      <c r="T342" s="13"/>
      <c r="U342" s="13"/>
      <c r="V342" s="13"/>
      <c r="W342" s="13">
        <v>0</v>
      </c>
      <c r="X342" s="13">
        <v>1</v>
      </c>
      <c r="Y342" s="13">
        <v>0</v>
      </c>
      <c r="Z342" s="13">
        <v>0</v>
      </c>
      <c r="AA342" s="13">
        <v>1</v>
      </c>
      <c r="AB342" s="13">
        <v>0</v>
      </c>
    </row>
    <row r="343" spans="1:206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233</v>
      </c>
      <c r="F343" s="13">
        <f>ROUND(Source!BD318,O343)</f>
        <v>0</v>
      </c>
      <c r="G343" s="13" t="s">
        <v>343</v>
      </c>
      <c r="H343" s="13" t="s">
        <v>344</v>
      </c>
      <c r="I343" s="13"/>
      <c r="J343" s="13"/>
      <c r="K343" s="13">
        <v>233</v>
      </c>
      <c r="L343" s="13">
        <v>24</v>
      </c>
      <c r="M343" s="13">
        <v>3</v>
      </c>
      <c r="N343" s="13" t="s">
        <v>3</v>
      </c>
      <c r="O343" s="13">
        <v>2</v>
      </c>
      <c r="P343" s="13">
        <f>ROUND(Source!EV318,O343)</f>
        <v>0</v>
      </c>
      <c r="Q343" s="13"/>
      <c r="R343" s="13"/>
      <c r="S343" s="13"/>
      <c r="T343" s="13"/>
      <c r="U343" s="13"/>
      <c r="V343" s="13"/>
      <c r="W343" s="13">
        <v>0</v>
      </c>
      <c r="X343" s="13">
        <v>1</v>
      </c>
      <c r="Y343" s="13">
        <v>0</v>
      </c>
      <c r="Z343" s="13">
        <v>0</v>
      </c>
      <c r="AA343" s="13">
        <v>1</v>
      </c>
      <c r="AB343" s="13">
        <v>0</v>
      </c>
    </row>
    <row r="344" spans="1:206" x14ac:dyDescent="0.2">
      <c r="A344" s="13">
        <v>50</v>
      </c>
      <c r="B344" s="13">
        <v>0</v>
      </c>
      <c r="C344" s="13">
        <v>0</v>
      </c>
      <c r="D344" s="13">
        <v>1</v>
      </c>
      <c r="E344" s="13">
        <v>210</v>
      </c>
      <c r="F344" s="13">
        <f>ROUND(Source!X318,O344)</f>
        <v>71862.73</v>
      </c>
      <c r="G344" s="13" t="s">
        <v>345</v>
      </c>
      <c r="H344" s="13" t="s">
        <v>346</v>
      </c>
      <c r="I344" s="13"/>
      <c r="J344" s="13"/>
      <c r="K344" s="13">
        <v>210</v>
      </c>
      <c r="L344" s="13">
        <v>25</v>
      </c>
      <c r="M344" s="13">
        <v>3</v>
      </c>
      <c r="N344" s="13" t="s">
        <v>3</v>
      </c>
      <c r="O344" s="13">
        <v>2</v>
      </c>
      <c r="P344" s="13">
        <f>ROUND(Source!DP318,O344)</f>
        <v>4049465.46</v>
      </c>
      <c r="Q344" s="13"/>
      <c r="R344" s="13"/>
      <c r="S344" s="13"/>
      <c r="T344" s="13"/>
      <c r="U344" s="13"/>
      <c r="V344" s="13"/>
      <c r="W344" s="13">
        <v>71862.73</v>
      </c>
      <c r="X344" s="13">
        <v>1</v>
      </c>
      <c r="Y344" s="13">
        <v>71862.73</v>
      </c>
      <c r="Z344" s="13">
        <v>4049465.46</v>
      </c>
      <c r="AA344" s="13">
        <v>1</v>
      </c>
      <c r="AB344" s="13">
        <v>4049465.46</v>
      </c>
    </row>
    <row r="345" spans="1:206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211</v>
      </c>
      <c r="F345" s="13">
        <f>ROUND(Source!Y318,O345)</f>
        <v>36889.589999999997</v>
      </c>
      <c r="G345" s="13" t="s">
        <v>347</v>
      </c>
      <c r="H345" s="13" t="s">
        <v>348</v>
      </c>
      <c r="I345" s="13"/>
      <c r="J345" s="13"/>
      <c r="K345" s="13">
        <v>211</v>
      </c>
      <c r="L345" s="13">
        <v>26</v>
      </c>
      <c r="M345" s="13">
        <v>3</v>
      </c>
      <c r="N345" s="13" t="s">
        <v>3</v>
      </c>
      <c r="O345" s="13">
        <v>2</v>
      </c>
      <c r="P345" s="13">
        <f>ROUND(Source!DQ318,O345)</f>
        <v>2078728.73</v>
      </c>
      <c r="Q345" s="13"/>
      <c r="R345" s="13"/>
      <c r="S345" s="13"/>
      <c r="T345" s="13"/>
      <c r="U345" s="13"/>
      <c r="V345" s="13"/>
      <c r="W345" s="13">
        <v>36889.589999999997</v>
      </c>
      <c r="X345" s="13">
        <v>1</v>
      </c>
      <c r="Y345" s="13">
        <v>36889.589999999997</v>
      </c>
      <c r="Z345" s="13">
        <v>2078728.73</v>
      </c>
      <c r="AA345" s="13">
        <v>1</v>
      </c>
      <c r="AB345" s="13">
        <v>2078728.73</v>
      </c>
    </row>
    <row r="346" spans="1:206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224</v>
      </c>
      <c r="F346" s="13">
        <f>ROUND(Source!AR318,O346)</f>
        <v>754654.1</v>
      </c>
      <c r="G346" s="13" t="s">
        <v>349</v>
      </c>
      <c r="H346" s="13" t="s">
        <v>350</v>
      </c>
      <c r="I346" s="13"/>
      <c r="J346" s="13"/>
      <c r="K346" s="13">
        <v>224</v>
      </c>
      <c r="L346" s="13">
        <v>27</v>
      </c>
      <c r="M346" s="13">
        <v>3</v>
      </c>
      <c r="N346" s="13" t="s">
        <v>3</v>
      </c>
      <c r="O346" s="13">
        <v>2</v>
      </c>
      <c r="P346" s="13">
        <f>ROUND(Source!EJ318,O346)</f>
        <v>15937030.59</v>
      </c>
      <c r="Q346" s="13"/>
      <c r="R346" s="13"/>
      <c r="S346" s="13"/>
      <c r="T346" s="13"/>
      <c r="U346" s="13"/>
      <c r="V346" s="13"/>
      <c r="W346" s="13">
        <v>754654.1</v>
      </c>
      <c r="X346" s="13">
        <v>1</v>
      </c>
      <c r="Y346" s="13">
        <v>754654.1</v>
      </c>
      <c r="Z346" s="13">
        <v>15937030.59</v>
      </c>
      <c r="AA346" s="13">
        <v>1</v>
      </c>
      <c r="AB346" s="13">
        <v>15937030.59</v>
      </c>
    </row>
    <row r="347" spans="1:206" x14ac:dyDescent="0.2">
      <c r="A347" s="13">
        <v>50</v>
      </c>
      <c r="B347" s="13">
        <v>1</v>
      </c>
      <c r="C347" s="13">
        <v>0</v>
      </c>
      <c r="D347" s="13">
        <v>2</v>
      </c>
      <c r="E347" s="13">
        <v>0</v>
      </c>
      <c r="F347" s="13">
        <f>ROUND(F346,O347)</f>
        <v>754654.1</v>
      </c>
      <c r="G347" s="13" t="s">
        <v>449</v>
      </c>
      <c r="H347" s="13" t="s">
        <v>450</v>
      </c>
      <c r="I347" s="13"/>
      <c r="J347" s="13"/>
      <c r="K347" s="13">
        <v>212</v>
      </c>
      <c r="L347" s="13">
        <v>28</v>
      </c>
      <c r="M347" s="13">
        <v>0</v>
      </c>
      <c r="N347" s="13" t="s">
        <v>3</v>
      </c>
      <c r="O347" s="13">
        <v>2</v>
      </c>
      <c r="P347" s="13">
        <f>ROUND(P346,O347)</f>
        <v>15937030.59</v>
      </c>
      <c r="Q347" s="13"/>
      <c r="R347" s="13"/>
      <c r="S347" s="13"/>
      <c r="T347" s="13"/>
      <c r="U347" s="13"/>
      <c r="V347" s="13"/>
      <c r="W347" s="13">
        <v>754654.1</v>
      </c>
      <c r="X347" s="13">
        <v>1</v>
      </c>
      <c r="Y347" s="13">
        <v>754654.1</v>
      </c>
      <c r="Z347" s="13">
        <v>15937030.59</v>
      </c>
      <c r="AA347" s="13">
        <v>1</v>
      </c>
      <c r="AB347" s="13">
        <v>15937030.59</v>
      </c>
    </row>
    <row r="348" spans="1:206" x14ac:dyDescent="0.2">
      <c r="A348" s="13">
        <v>50</v>
      </c>
      <c r="B348" s="13">
        <v>1</v>
      </c>
      <c r="C348" s="13">
        <v>0</v>
      </c>
      <c r="D348" s="13">
        <v>2</v>
      </c>
      <c r="E348" s="13">
        <v>0</v>
      </c>
      <c r="F348" s="13">
        <f>ROUND(F347*0.2,O348)</f>
        <v>150930.82</v>
      </c>
      <c r="G348" s="13" t="s">
        <v>451</v>
      </c>
      <c r="H348" s="13" t="s">
        <v>452</v>
      </c>
      <c r="I348" s="13"/>
      <c r="J348" s="13"/>
      <c r="K348" s="13">
        <v>212</v>
      </c>
      <c r="L348" s="13">
        <v>29</v>
      </c>
      <c r="M348" s="13">
        <v>0</v>
      </c>
      <c r="N348" s="13" t="s">
        <v>3</v>
      </c>
      <c r="O348" s="13">
        <v>2</v>
      </c>
      <c r="P348" s="13">
        <f>ROUND(P347*0.2,O348)</f>
        <v>3187406.12</v>
      </c>
      <c r="Q348" s="13"/>
      <c r="R348" s="13"/>
      <c r="S348" s="13"/>
      <c r="T348" s="13"/>
      <c r="U348" s="13"/>
      <c r="V348" s="13"/>
      <c r="W348" s="13">
        <v>150930.82</v>
      </c>
      <c r="X348" s="13">
        <v>1</v>
      </c>
      <c r="Y348" s="13">
        <v>150930.82</v>
      </c>
      <c r="Z348" s="13">
        <v>3187406.12</v>
      </c>
      <c r="AA348" s="13">
        <v>1</v>
      </c>
      <c r="AB348" s="13">
        <v>3187406.12</v>
      </c>
    </row>
    <row r="349" spans="1:206" x14ac:dyDescent="0.2">
      <c r="A349" s="13">
        <v>50</v>
      </c>
      <c r="B349" s="13">
        <v>1</v>
      </c>
      <c r="C349" s="13">
        <v>0</v>
      </c>
      <c r="D349" s="13">
        <v>2</v>
      </c>
      <c r="E349" s="13">
        <v>213</v>
      </c>
      <c r="F349" s="13">
        <f>ROUND(F347+F348,O349)</f>
        <v>905584.92</v>
      </c>
      <c r="G349" s="13" t="s">
        <v>453</v>
      </c>
      <c r="H349" s="13" t="s">
        <v>349</v>
      </c>
      <c r="I349" s="13"/>
      <c r="J349" s="13"/>
      <c r="K349" s="13">
        <v>212</v>
      </c>
      <c r="L349" s="13">
        <v>30</v>
      </c>
      <c r="M349" s="13">
        <v>0</v>
      </c>
      <c r="N349" s="13" t="s">
        <v>3</v>
      </c>
      <c r="O349" s="13">
        <v>2</v>
      </c>
      <c r="P349" s="13">
        <f>ROUND(P347+P348,O349)</f>
        <v>19124436.710000001</v>
      </c>
      <c r="Q349" s="13"/>
      <c r="R349" s="13"/>
      <c r="S349" s="13"/>
      <c r="T349" s="13"/>
      <c r="U349" s="13"/>
      <c r="V349" s="13"/>
      <c r="W349" s="13">
        <v>905584.92</v>
      </c>
      <c r="X349" s="13">
        <v>1</v>
      </c>
      <c r="Y349" s="13">
        <v>905584.92</v>
      </c>
      <c r="Z349" s="13">
        <v>19124436.710000001</v>
      </c>
      <c r="AA349" s="13">
        <v>1</v>
      </c>
      <c r="AB349" s="13">
        <v>19124436.710000001</v>
      </c>
    </row>
    <row r="351" spans="1:206" x14ac:dyDescent="0.2">
      <c r="A351" s="11">
        <v>51</v>
      </c>
      <c r="B351" s="11">
        <f>B12</f>
        <v>393</v>
      </c>
      <c r="C351" s="11">
        <f>A12</f>
        <v>1</v>
      </c>
      <c r="D351" s="11">
        <f>ROW(A12)</f>
        <v>12</v>
      </c>
      <c r="E351" s="11"/>
      <c r="F351" s="11" t="str">
        <f>IF(F12&lt;&gt;"",F12,"")</f>
        <v>02-01-21</v>
      </c>
      <c r="G351" s="11" t="str">
        <f>IF(G12&lt;&gt;"",G12,"")</f>
        <v>02-01-21 Спринклерное пожаротушение</v>
      </c>
      <c r="H351" s="11">
        <v>0</v>
      </c>
      <c r="I351" s="11"/>
      <c r="J351" s="11"/>
      <c r="K351" s="11"/>
      <c r="L351" s="11"/>
      <c r="M351" s="11"/>
      <c r="N351" s="11"/>
      <c r="O351" s="11">
        <f t="shared" ref="O351:T351" si="380">ROUND(O318,2)</f>
        <v>645901.78</v>
      </c>
      <c r="P351" s="11">
        <f t="shared" si="380"/>
        <v>549189.04</v>
      </c>
      <c r="Q351" s="11">
        <f t="shared" si="380"/>
        <v>21097.16</v>
      </c>
      <c r="R351" s="11">
        <f t="shared" si="380"/>
        <v>3867.38</v>
      </c>
      <c r="S351" s="11">
        <f t="shared" si="380"/>
        <v>75615.58</v>
      </c>
      <c r="T351" s="11">
        <f t="shared" si="380"/>
        <v>0</v>
      </c>
      <c r="U351" s="11">
        <f>U318</f>
        <v>6037.8927298559984</v>
      </c>
      <c r="V351" s="11">
        <f>V318</f>
        <v>0</v>
      </c>
      <c r="W351" s="11">
        <f>ROUND(W318,2)</f>
        <v>0</v>
      </c>
      <c r="X351" s="11">
        <f>ROUND(X318,2)</f>
        <v>71862.73</v>
      </c>
      <c r="Y351" s="11">
        <f>ROUND(Y318,2)</f>
        <v>36889.589999999997</v>
      </c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>
        <f t="shared" ref="AO351:BD351" si="381">ROUND(AO318,2)</f>
        <v>0</v>
      </c>
      <c r="AP351" s="11">
        <f t="shared" si="381"/>
        <v>208792.43</v>
      </c>
      <c r="AQ351" s="11">
        <f t="shared" si="381"/>
        <v>0</v>
      </c>
      <c r="AR351" s="11">
        <f t="shared" si="381"/>
        <v>754654.1</v>
      </c>
      <c r="AS351" s="11">
        <f t="shared" si="381"/>
        <v>17004.48</v>
      </c>
      <c r="AT351" s="11">
        <f t="shared" si="381"/>
        <v>528857.18999999994</v>
      </c>
      <c r="AU351" s="11">
        <f t="shared" si="381"/>
        <v>0</v>
      </c>
      <c r="AV351" s="11">
        <f t="shared" si="381"/>
        <v>549189.04</v>
      </c>
      <c r="AW351" s="11">
        <f t="shared" si="381"/>
        <v>340396.61</v>
      </c>
      <c r="AX351" s="11">
        <f t="shared" si="381"/>
        <v>0</v>
      </c>
      <c r="AY351" s="11">
        <f t="shared" si="381"/>
        <v>340396.61</v>
      </c>
      <c r="AZ351" s="11">
        <f t="shared" si="381"/>
        <v>208792.43</v>
      </c>
      <c r="BA351" s="11">
        <f t="shared" si="381"/>
        <v>0</v>
      </c>
      <c r="BB351" s="11">
        <f t="shared" si="381"/>
        <v>0</v>
      </c>
      <c r="BC351" s="11">
        <f t="shared" si="381"/>
        <v>0</v>
      </c>
      <c r="BD351" s="11">
        <f t="shared" si="381"/>
        <v>0</v>
      </c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2">
        <f t="shared" ref="DG351:DL351" si="382">ROUND(DG318,2)</f>
        <v>9808836.4000000004</v>
      </c>
      <c r="DH351" s="12">
        <f t="shared" si="382"/>
        <v>5125710.22</v>
      </c>
      <c r="DI351" s="12">
        <f t="shared" si="382"/>
        <v>422188.25</v>
      </c>
      <c r="DJ351" s="12">
        <f t="shared" si="382"/>
        <v>217926.87</v>
      </c>
      <c r="DK351" s="12">
        <f t="shared" si="382"/>
        <v>4260937.93</v>
      </c>
      <c r="DL351" s="12">
        <f t="shared" si="382"/>
        <v>0</v>
      </c>
      <c r="DM351" s="12">
        <f>DM318</f>
        <v>6037.8927298559984</v>
      </c>
      <c r="DN351" s="12">
        <f>DN318</f>
        <v>0</v>
      </c>
      <c r="DO351" s="12">
        <f>ROUND(DO318,2)</f>
        <v>0</v>
      </c>
      <c r="DP351" s="12">
        <f>ROUND(DP318,2)</f>
        <v>4049465.46</v>
      </c>
      <c r="DQ351" s="12">
        <f>ROUND(DQ318,2)</f>
        <v>2078728.73</v>
      </c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>
        <f t="shared" ref="EG351:EV351" si="383">ROUND(EG318,2)</f>
        <v>0</v>
      </c>
      <c r="EH351" s="12">
        <f t="shared" si="383"/>
        <v>1580558.69</v>
      </c>
      <c r="EI351" s="12">
        <f t="shared" si="383"/>
        <v>0</v>
      </c>
      <c r="EJ351" s="12">
        <f t="shared" si="383"/>
        <v>15937030.59</v>
      </c>
      <c r="EK351" s="12">
        <f t="shared" si="383"/>
        <v>410915.08</v>
      </c>
      <c r="EL351" s="12">
        <f t="shared" si="383"/>
        <v>13945556.82</v>
      </c>
      <c r="EM351" s="12">
        <f t="shared" si="383"/>
        <v>0</v>
      </c>
      <c r="EN351" s="12">
        <f t="shared" si="383"/>
        <v>5125710.22</v>
      </c>
      <c r="EO351" s="12">
        <f t="shared" si="383"/>
        <v>3545151.53</v>
      </c>
      <c r="EP351" s="12">
        <f t="shared" si="383"/>
        <v>0</v>
      </c>
      <c r="EQ351" s="12">
        <f t="shared" si="383"/>
        <v>3545151.53</v>
      </c>
      <c r="ER351" s="12">
        <f t="shared" si="383"/>
        <v>1580558.69</v>
      </c>
      <c r="ES351" s="12">
        <f t="shared" si="383"/>
        <v>0</v>
      </c>
      <c r="ET351" s="12">
        <f t="shared" si="383"/>
        <v>0</v>
      </c>
      <c r="EU351" s="12">
        <f t="shared" si="383"/>
        <v>0</v>
      </c>
      <c r="EV351" s="12">
        <f t="shared" si="383"/>
        <v>0</v>
      </c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>
        <v>0</v>
      </c>
    </row>
    <row r="353" spans="1:28" x14ac:dyDescent="0.2">
      <c r="A353" s="13">
        <v>50</v>
      </c>
      <c r="B353" s="13">
        <v>0</v>
      </c>
      <c r="C353" s="13">
        <v>0</v>
      </c>
      <c r="D353" s="13">
        <v>1</v>
      </c>
      <c r="E353" s="13">
        <v>201</v>
      </c>
      <c r="F353" s="13">
        <f>ROUND(Source!O351,O353)</f>
        <v>645901.78</v>
      </c>
      <c r="G353" s="13" t="s">
        <v>297</v>
      </c>
      <c r="H353" s="13" t="s">
        <v>298</v>
      </c>
      <c r="I353" s="13"/>
      <c r="J353" s="13"/>
      <c r="K353" s="13">
        <v>201</v>
      </c>
      <c r="L353" s="13">
        <v>1</v>
      </c>
      <c r="M353" s="13">
        <v>3</v>
      </c>
      <c r="N353" s="13" t="s">
        <v>3</v>
      </c>
      <c r="O353" s="13">
        <v>2</v>
      </c>
      <c r="P353" s="13">
        <f>ROUND(Source!DG351,O353)</f>
        <v>9808836.4000000004</v>
      </c>
      <c r="Q353" s="13"/>
      <c r="R353" s="13"/>
      <c r="S353" s="13"/>
      <c r="T353" s="13"/>
      <c r="U353" s="13"/>
      <c r="V353" s="13"/>
      <c r="W353" s="13">
        <v>645901.78</v>
      </c>
      <c r="X353" s="13">
        <v>1</v>
      </c>
      <c r="Y353" s="13">
        <v>645901.78</v>
      </c>
      <c r="Z353" s="13">
        <v>9808836.4000000004</v>
      </c>
      <c r="AA353" s="13">
        <v>1</v>
      </c>
      <c r="AB353" s="13">
        <v>9808836.4000000004</v>
      </c>
    </row>
    <row r="354" spans="1:28" x14ac:dyDescent="0.2">
      <c r="A354" s="13">
        <v>50</v>
      </c>
      <c r="B354" s="13">
        <v>0</v>
      </c>
      <c r="C354" s="13">
        <v>0</v>
      </c>
      <c r="D354" s="13">
        <v>1</v>
      </c>
      <c r="E354" s="13">
        <v>202</v>
      </c>
      <c r="F354" s="13">
        <f>ROUND(Source!P351,O354)</f>
        <v>549189.04</v>
      </c>
      <c r="G354" s="13" t="s">
        <v>299</v>
      </c>
      <c r="H354" s="13" t="s">
        <v>300</v>
      </c>
      <c r="I354" s="13"/>
      <c r="J354" s="13"/>
      <c r="K354" s="13">
        <v>202</v>
      </c>
      <c r="L354" s="13">
        <v>2</v>
      </c>
      <c r="M354" s="13">
        <v>3</v>
      </c>
      <c r="N354" s="13" t="s">
        <v>3</v>
      </c>
      <c r="O354" s="13">
        <v>2</v>
      </c>
      <c r="P354" s="13">
        <f>ROUND(Source!DH351,O354)</f>
        <v>5125710.22</v>
      </c>
      <c r="Q354" s="13"/>
      <c r="R354" s="13"/>
      <c r="S354" s="13"/>
      <c r="T354" s="13"/>
      <c r="U354" s="13"/>
      <c r="V354" s="13"/>
      <c r="W354" s="13">
        <v>549189.04</v>
      </c>
      <c r="X354" s="13">
        <v>1</v>
      </c>
      <c r="Y354" s="13">
        <v>549189.04</v>
      </c>
      <c r="Z354" s="13">
        <v>5125710.22</v>
      </c>
      <c r="AA354" s="13">
        <v>1</v>
      </c>
      <c r="AB354" s="13">
        <v>5125710.22</v>
      </c>
    </row>
    <row r="355" spans="1:28" x14ac:dyDescent="0.2">
      <c r="A355" s="13">
        <v>50</v>
      </c>
      <c r="B355" s="13">
        <v>0</v>
      </c>
      <c r="C355" s="13">
        <v>0</v>
      </c>
      <c r="D355" s="13">
        <v>1</v>
      </c>
      <c r="E355" s="13">
        <v>222</v>
      </c>
      <c r="F355" s="13">
        <f>ROUND(Source!AO351,O355)</f>
        <v>0</v>
      </c>
      <c r="G355" s="13" t="s">
        <v>301</v>
      </c>
      <c r="H355" s="13" t="s">
        <v>302</v>
      </c>
      <c r="I355" s="13"/>
      <c r="J355" s="13"/>
      <c r="K355" s="13">
        <v>222</v>
      </c>
      <c r="L355" s="13">
        <v>3</v>
      </c>
      <c r="M355" s="13">
        <v>3</v>
      </c>
      <c r="N355" s="13" t="s">
        <v>3</v>
      </c>
      <c r="O355" s="13">
        <v>2</v>
      </c>
      <c r="P355" s="13">
        <f>ROUND(Source!EG351,O355)</f>
        <v>0</v>
      </c>
      <c r="Q355" s="13"/>
      <c r="R355" s="13"/>
      <c r="S355" s="13"/>
      <c r="T355" s="13"/>
      <c r="U355" s="13"/>
      <c r="V355" s="13"/>
      <c r="W355" s="13">
        <v>0</v>
      </c>
      <c r="X355" s="13">
        <v>1</v>
      </c>
      <c r="Y355" s="13">
        <v>0</v>
      </c>
      <c r="Z355" s="13">
        <v>0</v>
      </c>
      <c r="AA355" s="13">
        <v>1</v>
      </c>
      <c r="AB355" s="13">
        <v>0</v>
      </c>
    </row>
    <row r="356" spans="1:28" x14ac:dyDescent="0.2">
      <c r="A356" s="13">
        <v>50</v>
      </c>
      <c r="B356" s="13">
        <v>0</v>
      </c>
      <c r="C356" s="13">
        <v>0</v>
      </c>
      <c r="D356" s="13">
        <v>1</v>
      </c>
      <c r="E356" s="13">
        <v>225</v>
      </c>
      <c r="F356" s="13">
        <f>ROUND(Source!AV351,O356)</f>
        <v>549189.04</v>
      </c>
      <c r="G356" s="13" t="s">
        <v>303</v>
      </c>
      <c r="H356" s="13" t="s">
        <v>304</v>
      </c>
      <c r="I356" s="13"/>
      <c r="J356" s="13"/>
      <c r="K356" s="13">
        <v>225</v>
      </c>
      <c r="L356" s="13">
        <v>4</v>
      </c>
      <c r="M356" s="13">
        <v>3</v>
      </c>
      <c r="N356" s="13" t="s">
        <v>3</v>
      </c>
      <c r="O356" s="13">
        <v>2</v>
      </c>
      <c r="P356" s="13">
        <f>ROUND(Source!EN351,O356)</f>
        <v>5125710.22</v>
      </c>
      <c r="Q356" s="13"/>
      <c r="R356" s="13"/>
      <c r="S356" s="13"/>
      <c r="T356" s="13"/>
      <c r="U356" s="13"/>
      <c r="V356" s="13"/>
      <c r="W356" s="13">
        <v>549189.04</v>
      </c>
      <c r="X356" s="13">
        <v>1</v>
      </c>
      <c r="Y356" s="13">
        <v>549189.04</v>
      </c>
      <c r="Z356" s="13">
        <v>5125710.22</v>
      </c>
      <c r="AA356" s="13">
        <v>1</v>
      </c>
      <c r="AB356" s="13">
        <v>5125710.22</v>
      </c>
    </row>
    <row r="357" spans="1:28" x14ac:dyDescent="0.2">
      <c r="A357" s="13">
        <v>50</v>
      </c>
      <c r="B357" s="13">
        <v>0</v>
      </c>
      <c r="C357" s="13">
        <v>0</v>
      </c>
      <c r="D357" s="13">
        <v>1</v>
      </c>
      <c r="E357" s="13">
        <v>226</v>
      </c>
      <c r="F357" s="13">
        <f>ROUND(Source!AW351,O357)</f>
        <v>340396.61</v>
      </c>
      <c r="G357" s="13" t="s">
        <v>305</v>
      </c>
      <c r="H357" s="13" t="s">
        <v>306</v>
      </c>
      <c r="I357" s="13"/>
      <c r="J357" s="13"/>
      <c r="K357" s="13">
        <v>226</v>
      </c>
      <c r="L357" s="13">
        <v>5</v>
      </c>
      <c r="M357" s="13">
        <v>3</v>
      </c>
      <c r="N357" s="13" t="s">
        <v>3</v>
      </c>
      <c r="O357" s="13">
        <v>2</v>
      </c>
      <c r="P357" s="13">
        <f>ROUND(Source!EO351,O357)</f>
        <v>3545151.53</v>
      </c>
      <c r="Q357" s="13"/>
      <c r="R357" s="13"/>
      <c r="S357" s="13"/>
      <c r="T357" s="13"/>
      <c r="U357" s="13"/>
      <c r="V357" s="13"/>
      <c r="W357" s="13">
        <v>340396.61</v>
      </c>
      <c r="X357" s="13">
        <v>1</v>
      </c>
      <c r="Y357" s="13">
        <v>340396.61</v>
      </c>
      <c r="Z357" s="13">
        <v>3545151.53</v>
      </c>
      <c r="AA357" s="13">
        <v>1</v>
      </c>
      <c r="AB357" s="13">
        <v>3545151.53</v>
      </c>
    </row>
    <row r="358" spans="1:28" x14ac:dyDescent="0.2">
      <c r="A358" s="13">
        <v>50</v>
      </c>
      <c r="B358" s="13">
        <v>0</v>
      </c>
      <c r="C358" s="13">
        <v>0</v>
      </c>
      <c r="D358" s="13">
        <v>1</v>
      </c>
      <c r="E358" s="13">
        <v>227</v>
      </c>
      <c r="F358" s="13">
        <f>ROUND(Source!AX351,O358)</f>
        <v>0</v>
      </c>
      <c r="G358" s="13" t="s">
        <v>307</v>
      </c>
      <c r="H358" s="13" t="s">
        <v>308</v>
      </c>
      <c r="I358" s="13"/>
      <c r="J358" s="13"/>
      <c r="K358" s="13">
        <v>227</v>
      </c>
      <c r="L358" s="13">
        <v>6</v>
      </c>
      <c r="M358" s="13">
        <v>3</v>
      </c>
      <c r="N358" s="13" t="s">
        <v>3</v>
      </c>
      <c r="O358" s="13">
        <v>2</v>
      </c>
      <c r="P358" s="13">
        <f>ROUND(Source!EP351,O358)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8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228</v>
      </c>
      <c r="F359" s="13">
        <f>ROUND(Source!AY351,O359)</f>
        <v>340396.61</v>
      </c>
      <c r="G359" s="13" t="s">
        <v>309</v>
      </c>
      <c r="H359" s="13" t="s">
        <v>310</v>
      </c>
      <c r="I359" s="13"/>
      <c r="J359" s="13"/>
      <c r="K359" s="13">
        <v>228</v>
      </c>
      <c r="L359" s="13">
        <v>7</v>
      </c>
      <c r="M359" s="13">
        <v>3</v>
      </c>
      <c r="N359" s="13" t="s">
        <v>3</v>
      </c>
      <c r="O359" s="13">
        <v>2</v>
      </c>
      <c r="P359" s="13">
        <f>ROUND(Source!EQ351,O359)</f>
        <v>3545151.53</v>
      </c>
      <c r="Q359" s="13"/>
      <c r="R359" s="13"/>
      <c r="S359" s="13"/>
      <c r="T359" s="13"/>
      <c r="U359" s="13"/>
      <c r="V359" s="13"/>
      <c r="W359" s="13">
        <v>340396.61</v>
      </c>
      <c r="X359" s="13">
        <v>1</v>
      </c>
      <c r="Y359" s="13">
        <v>340396.61</v>
      </c>
      <c r="Z359" s="13">
        <v>3545151.53</v>
      </c>
      <c r="AA359" s="13">
        <v>1</v>
      </c>
      <c r="AB359" s="13">
        <v>3545151.53</v>
      </c>
    </row>
    <row r="360" spans="1:28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216</v>
      </c>
      <c r="F360" s="13">
        <f>ROUND(Source!AP351,O360)</f>
        <v>208792.43</v>
      </c>
      <c r="G360" s="13" t="s">
        <v>311</v>
      </c>
      <c r="H360" s="13" t="s">
        <v>312</v>
      </c>
      <c r="I360" s="13"/>
      <c r="J360" s="13"/>
      <c r="K360" s="13">
        <v>216</v>
      </c>
      <c r="L360" s="13">
        <v>8</v>
      </c>
      <c r="M360" s="13">
        <v>3</v>
      </c>
      <c r="N360" s="13" t="s">
        <v>3</v>
      </c>
      <c r="O360" s="13">
        <v>2</v>
      </c>
      <c r="P360" s="13">
        <f>ROUND(Source!EH351,O360)</f>
        <v>1580558.69</v>
      </c>
      <c r="Q360" s="13"/>
      <c r="R360" s="13"/>
      <c r="S360" s="13"/>
      <c r="T360" s="13"/>
      <c r="U360" s="13"/>
      <c r="V360" s="13"/>
      <c r="W360" s="13">
        <v>208792.43</v>
      </c>
      <c r="X360" s="13">
        <v>1</v>
      </c>
      <c r="Y360" s="13">
        <v>208792.43</v>
      </c>
      <c r="Z360" s="13">
        <v>1580558.69</v>
      </c>
      <c r="AA360" s="13">
        <v>1</v>
      </c>
      <c r="AB360" s="13">
        <v>1580558.69</v>
      </c>
    </row>
    <row r="361" spans="1:28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223</v>
      </c>
      <c r="F361" s="13">
        <f>ROUND(Source!AQ351,O361)</f>
        <v>0</v>
      </c>
      <c r="G361" s="13" t="s">
        <v>313</v>
      </c>
      <c r="H361" s="13" t="s">
        <v>314</v>
      </c>
      <c r="I361" s="13"/>
      <c r="J361" s="13"/>
      <c r="K361" s="13">
        <v>223</v>
      </c>
      <c r="L361" s="13">
        <v>9</v>
      </c>
      <c r="M361" s="13">
        <v>3</v>
      </c>
      <c r="N361" s="13" t="s">
        <v>3</v>
      </c>
      <c r="O361" s="13">
        <v>2</v>
      </c>
      <c r="P361" s="13">
        <f>ROUND(Source!EI351,O361)</f>
        <v>0</v>
      </c>
      <c r="Q361" s="13"/>
      <c r="R361" s="13"/>
      <c r="S361" s="13"/>
      <c r="T361" s="13"/>
      <c r="U361" s="13"/>
      <c r="V361" s="13"/>
      <c r="W361" s="13">
        <v>0</v>
      </c>
      <c r="X361" s="13">
        <v>1</v>
      </c>
      <c r="Y361" s="13">
        <v>0</v>
      </c>
      <c r="Z361" s="13">
        <v>0</v>
      </c>
      <c r="AA361" s="13">
        <v>1</v>
      </c>
      <c r="AB361" s="13">
        <v>0</v>
      </c>
    </row>
    <row r="362" spans="1:28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229</v>
      </c>
      <c r="F362" s="13">
        <f>ROUND(Source!AZ351,O362)</f>
        <v>208792.43</v>
      </c>
      <c r="G362" s="13" t="s">
        <v>315</v>
      </c>
      <c r="H362" s="13" t="s">
        <v>316</v>
      </c>
      <c r="I362" s="13"/>
      <c r="J362" s="13"/>
      <c r="K362" s="13">
        <v>229</v>
      </c>
      <c r="L362" s="13">
        <v>10</v>
      </c>
      <c r="M362" s="13">
        <v>3</v>
      </c>
      <c r="N362" s="13" t="s">
        <v>3</v>
      </c>
      <c r="O362" s="13">
        <v>2</v>
      </c>
      <c r="P362" s="13">
        <f>ROUND(Source!ER351,O362)</f>
        <v>1580558.69</v>
      </c>
      <c r="Q362" s="13"/>
      <c r="R362" s="13"/>
      <c r="S362" s="13"/>
      <c r="T362" s="13"/>
      <c r="U362" s="13"/>
      <c r="V362" s="13"/>
      <c r="W362" s="13">
        <v>208792.43</v>
      </c>
      <c r="X362" s="13">
        <v>1</v>
      </c>
      <c r="Y362" s="13">
        <v>208792.43</v>
      </c>
      <c r="Z362" s="13">
        <v>1580558.69</v>
      </c>
      <c r="AA362" s="13">
        <v>1</v>
      </c>
      <c r="AB362" s="13">
        <v>1580558.69</v>
      </c>
    </row>
    <row r="363" spans="1:28" x14ac:dyDescent="0.2">
      <c r="A363" s="13">
        <v>50</v>
      </c>
      <c r="B363" s="13">
        <v>0</v>
      </c>
      <c r="C363" s="13">
        <v>0</v>
      </c>
      <c r="D363" s="13">
        <v>1</v>
      </c>
      <c r="E363" s="13">
        <v>203</v>
      </c>
      <c r="F363" s="13">
        <f>ROUND(Source!Q351,O363)</f>
        <v>21097.16</v>
      </c>
      <c r="G363" s="13" t="s">
        <v>317</v>
      </c>
      <c r="H363" s="13" t="s">
        <v>318</v>
      </c>
      <c r="I363" s="13"/>
      <c r="J363" s="13"/>
      <c r="K363" s="13">
        <v>203</v>
      </c>
      <c r="L363" s="13">
        <v>11</v>
      </c>
      <c r="M363" s="13">
        <v>3</v>
      </c>
      <c r="N363" s="13" t="s">
        <v>3</v>
      </c>
      <c r="O363" s="13">
        <v>2</v>
      </c>
      <c r="P363" s="13">
        <f>ROUND(Source!DI351,O363)</f>
        <v>422188.25</v>
      </c>
      <c r="Q363" s="13"/>
      <c r="R363" s="13"/>
      <c r="S363" s="13"/>
      <c r="T363" s="13"/>
      <c r="U363" s="13"/>
      <c r="V363" s="13"/>
      <c r="W363" s="13">
        <v>21097.16</v>
      </c>
      <c r="X363" s="13">
        <v>1</v>
      </c>
      <c r="Y363" s="13">
        <v>21097.16</v>
      </c>
      <c r="Z363" s="13">
        <v>422188.25</v>
      </c>
      <c r="AA363" s="13">
        <v>1</v>
      </c>
      <c r="AB363" s="13">
        <v>422188.25</v>
      </c>
    </row>
    <row r="364" spans="1:28" x14ac:dyDescent="0.2">
      <c r="A364" s="13">
        <v>50</v>
      </c>
      <c r="B364" s="13">
        <v>0</v>
      </c>
      <c r="C364" s="13">
        <v>0</v>
      </c>
      <c r="D364" s="13">
        <v>1</v>
      </c>
      <c r="E364" s="13">
        <v>231</v>
      </c>
      <c r="F364" s="13">
        <f>ROUND(Source!BB351,O364)</f>
        <v>0</v>
      </c>
      <c r="G364" s="13" t="s">
        <v>319</v>
      </c>
      <c r="H364" s="13" t="s">
        <v>320</v>
      </c>
      <c r="I364" s="13"/>
      <c r="J364" s="13"/>
      <c r="K364" s="13">
        <v>231</v>
      </c>
      <c r="L364" s="13">
        <v>12</v>
      </c>
      <c r="M364" s="13">
        <v>3</v>
      </c>
      <c r="N364" s="13" t="s">
        <v>3</v>
      </c>
      <c r="O364" s="13">
        <v>2</v>
      </c>
      <c r="P364" s="13">
        <f>ROUND(Source!ET351,O364)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8" x14ac:dyDescent="0.2">
      <c r="A365" s="13">
        <v>50</v>
      </c>
      <c r="B365" s="13">
        <v>0</v>
      </c>
      <c r="C365" s="13">
        <v>0</v>
      </c>
      <c r="D365" s="13">
        <v>1</v>
      </c>
      <c r="E365" s="13">
        <v>204</v>
      </c>
      <c r="F365" s="13">
        <f>ROUND(Source!R351,O365)</f>
        <v>3867.38</v>
      </c>
      <c r="G365" s="13" t="s">
        <v>321</v>
      </c>
      <c r="H365" s="13" t="s">
        <v>322</v>
      </c>
      <c r="I365" s="13"/>
      <c r="J365" s="13"/>
      <c r="K365" s="13">
        <v>204</v>
      </c>
      <c r="L365" s="13">
        <v>13</v>
      </c>
      <c r="M365" s="13">
        <v>3</v>
      </c>
      <c r="N365" s="13" t="s">
        <v>3</v>
      </c>
      <c r="O365" s="13">
        <v>2</v>
      </c>
      <c r="P365" s="13">
        <f>ROUND(Source!DJ351,O365)</f>
        <v>217926.87</v>
      </c>
      <c r="Q365" s="13"/>
      <c r="R365" s="13"/>
      <c r="S365" s="13"/>
      <c r="T365" s="13"/>
      <c r="U365" s="13"/>
      <c r="V365" s="13"/>
      <c r="W365" s="13">
        <v>3867.38</v>
      </c>
      <c r="X365" s="13">
        <v>1</v>
      </c>
      <c r="Y365" s="13">
        <v>3867.38</v>
      </c>
      <c r="Z365" s="13">
        <v>217926.87</v>
      </c>
      <c r="AA365" s="13">
        <v>1</v>
      </c>
      <c r="AB365" s="13">
        <v>217926.87</v>
      </c>
    </row>
    <row r="366" spans="1:28" x14ac:dyDescent="0.2">
      <c r="A366" s="13">
        <v>50</v>
      </c>
      <c r="B366" s="13">
        <v>0</v>
      </c>
      <c r="C366" s="13">
        <v>0</v>
      </c>
      <c r="D366" s="13">
        <v>1</v>
      </c>
      <c r="E366" s="13">
        <v>205</v>
      </c>
      <c r="F366" s="13">
        <f>ROUND(Source!S351,O366)</f>
        <v>75615.58</v>
      </c>
      <c r="G366" s="13" t="s">
        <v>323</v>
      </c>
      <c r="H366" s="13" t="s">
        <v>324</v>
      </c>
      <c r="I366" s="13"/>
      <c r="J366" s="13"/>
      <c r="K366" s="13">
        <v>205</v>
      </c>
      <c r="L366" s="13">
        <v>14</v>
      </c>
      <c r="M366" s="13">
        <v>3</v>
      </c>
      <c r="N366" s="13" t="s">
        <v>3</v>
      </c>
      <c r="O366" s="13">
        <v>2</v>
      </c>
      <c r="P366" s="13">
        <f>ROUND(Source!DK351,O366)</f>
        <v>4260937.93</v>
      </c>
      <c r="Q366" s="13"/>
      <c r="R366" s="13"/>
      <c r="S366" s="13"/>
      <c r="T366" s="13"/>
      <c r="U366" s="13"/>
      <c r="V366" s="13"/>
      <c r="W366" s="13">
        <v>75615.58</v>
      </c>
      <c r="X366" s="13">
        <v>1</v>
      </c>
      <c r="Y366" s="13">
        <v>75615.58</v>
      </c>
      <c r="Z366" s="13">
        <v>4260937.93</v>
      </c>
      <c r="AA366" s="13">
        <v>1</v>
      </c>
      <c r="AB366" s="13">
        <v>4260937.93</v>
      </c>
    </row>
    <row r="367" spans="1:28" x14ac:dyDescent="0.2">
      <c r="A367" s="13">
        <v>50</v>
      </c>
      <c r="B367" s="13">
        <v>0</v>
      </c>
      <c r="C367" s="13">
        <v>0</v>
      </c>
      <c r="D367" s="13">
        <v>1</v>
      </c>
      <c r="E367" s="13">
        <v>232</v>
      </c>
      <c r="F367" s="13">
        <f>ROUND(Source!BC351,O367)</f>
        <v>0</v>
      </c>
      <c r="G367" s="13" t="s">
        <v>325</v>
      </c>
      <c r="H367" s="13" t="s">
        <v>326</v>
      </c>
      <c r="I367" s="13"/>
      <c r="J367" s="13"/>
      <c r="K367" s="13">
        <v>232</v>
      </c>
      <c r="L367" s="13">
        <v>15</v>
      </c>
      <c r="M367" s="13">
        <v>3</v>
      </c>
      <c r="N367" s="13" t="s">
        <v>3</v>
      </c>
      <c r="O367" s="13">
        <v>2</v>
      </c>
      <c r="P367" s="13">
        <f>ROUND(Source!EU351,O367)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8" x14ac:dyDescent="0.2">
      <c r="A368" s="13">
        <v>50</v>
      </c>
      <c r="B368" s="13">
        <v>0</v>
      </c>
      <c r="C368" s="13">
        <v>0</v>
      </c>
      <c r="D368" s="13">
        <v>1</v>
      </c>
      <c r="E368" s="13">
        <v>214</v>
      </c>
      <c r="F368" s="13">
        <f>ROUND(Source!AS351,O368)</f>
        <v>17004.48</v>
      </c>
      <c r="G368" s="13" t="s">
        <v>327</v>
      </c>
      <c r="H368" s="13" t="s">
        <v>328</v>
      </c>
      <c r="I368" s="13"/>
      <c r="J368" s="13"/>
      <c r="K368" s="13">
        <v>214</v>
      </c>
      <c r="L368" s="13">
        <v>16</v>
      </c>
      <c r="M368" s="13">
        <v>3</v>
      </c>
      <c r="N368" s="13" t="s">
        <v>3</v>
      </c>
      <c r="O368" s="13">
        <v>2</v>
      </c>
      <c r="P368" s="13">
        <f>ROUND(Source!EK351,O368)</f>
        <v>410915.08</v>
      </c>
      <c r="Q368" s="13"/>
      <c r="R368" s="13"/>
      <c r="S368" s="13"/>
      <c r="T368" s="13"/>
      <c r="U368" s="13"/>
      <c r="V368" s="13"/>
      <c r="W368" s="13">
        <v>17004.48</v>
      </c>
      <c r="X368" s="13">
        <v>1</v>
      </c>
      <c r="Y368" s="13">
        <v>17004.48</v>
      </c>
      <c r="Z368" s="13">
        <v>410915.08</v>
      </c>
      <c r="AA368" s="13">
        <v>1</v>
      </c>
      <c r="AB368" s="13">
        <v>410915.08</v>
      </c>
    </row>
    <row r="369" spans="1:28" x14ac:dyDescent="0.2">
      <c r="A369" s="13">
        <v>50</v>
      </c>
      <c r="B369" s="13">
        <v>0</v>
      </c>
      <c r="C369" s="13">
        <v>0</v>
      </c>
      <c r="D369" s="13">
        <v>1</v>
      </c>
      <c r="E369" s="13">
        <v>215</v>
      </c>
      <c r="F369" s="13">
        <f>ROUND(Source!AT351,O369)</f>
        <v>528857.18999999994</v>
      </c>
      <c r="G369" s="13" t="s">
        <v>329</v>
      </c>
      <c r="H369" s="13" t="s">
        <v>330</v>
      </c>
      <c r="I369" s="13"/>
      <c r="J369" s="13"/>
      <c r="K369" s="13">
        <v>215</v>
      </c>
      <c r="L369" s="13">
        <v>17</v>
      </c>
      <c r="M369" s="13">
        <v>3</v>
      </c>
      <c r="N369" s="13" t="s">
        <v>3</v>
      </c>
      <c r="O369" s="13">
        <v>2</v>
      </c>
      <c r="P369" s="13">
        <f>ROUND(Source!EL351,O369)</f>
        <v>13945556.82</v>
      </c>
      <c r="Q369" s="13"/>
      <c r="R369" s="13"/>
      <c r="S369" s="13"/>
      <c r="T369" s="13"/>
      <c r="U369" s="13"/>
      <c r="V369" s="13"/>
      <c r="W369" s="13">
        <v>528857.18999999994</v>
      </c>
      <c r="X369" s="13">
        <v>1</v>
      </c>
      <c r="Y369" s="13">
        <v>528857.18999999994</v>
      </c>
      <c r="Z369" s="13">
        <v>13945556.82</v>
      </c>
      <c r="AA369" s="13">
        <v>1</v>
      </c>
      <c r="AB369" s="13">
        <v>13945556.82</v>
      </c>
    </row>
    <row r="370" spans="1:28" x14ac:dyDescent="0.2">
      <c r="A370" s="13">
        <v>50</v>
      </c>
      <c r="B370" s="13">
        <v>0</v>
      </c>
      <c r="C370" s="13">
        <v>0</v>
      </c>
      <c r="D370" s="13">
        <v>1</v>
      </c>
      <c r="E370" s="13">
        <v>217</v>
      </c>
      <c r="F370" s="13">
        <f>ROUND(Source!AU351,O370)</f>
        <v>0</v>
      </c>
      <c r="G370" s="13" t="s">
        <v>331</v>
      </c>
      <c r="H370" s="13" t="s">
        <v>332</v>
      </c>
      <c r="I370" s="13"/>
      <c r="J370" s="13"/>
      <c r="K370" s="13">
        <v>217</v>
      </c>
      <c r="L370" s="13">
        <v>18</v>
      </c>
      <c r="M370" s="13">
        <v>3</v>
      </c>
      <c r="N370" s="13" t="s">
        <v>3</v>
      </c>
      <c r="O370" s="13">
        <v>2</v>
      </c>
      <c r="P370" s="13">
        <f>ROUND(Source!EM351,O370)</f>
        <v>0</v>
      </c>
      <c r="Q370" s="13"/>
      <c r="R370" s="13"/>
      <c r="S370" s="13"/>
      <c r="T370" s="13"/>
      <c r="U370" s="13"/>
      <c r="V370" s="13"/>
      <c r="W370" s="13">
        <v>0</v>
      </c>
      <c r="X370" s="13">
        <v>1</v>
      </c>
      <c r="Y370" s="13">
        <v>0</v>
      </c>
      <c r="Z370" s="13">
        <v>0</v>
      </c>
      <c r="AA370" s="13">
        <v>1</v>
      </c>
      <c r="AB370" s="13">
        <v>0</v>
      </c>
    </row>
    <row r="371" spans="1:28" x14ac:dyDescent="0.2">
      <c r="A371" s="13">
        <v>50</v>
      </c>
      <c r="B371" s="13">
        <v>0</v>
      </c>
      <c r="C371" s="13">
        <v>0</v>
      </c>
      <c r="D371" s="13">
        <v>1</v>
      </c>
      <c r="E371" s="13">
        <v>230</v>
      </c>
      <c r="F371" s="13">
        <f>ROUND(Source!BA351,O371)</f>
        <v>0</v>
      </c>
      <c r="G371" s="13" t="s">
        <v>333</v>
      </c>
      <c r="H371" s="13" t="s">
        <v>334</v>
      </c>
      <c r="I371" s="13"/>
      <c r="J371" s="13"/>
      <c r="K371" s="13">
        <v>230</v>
      </c>
      <c r="L371" s="13">
        <v>19</v>
      </c>
      <c r="M371" s="13">
        <v>3</v>
      </c>
      <c r="N371" s="13" t="s">
        <v>3</v>
      </c>
      <c r="O371" s="13">
        <v>2</v>
      </c>
      <c r="P371" s="13">
        <f>ROUND(Source!ES351,O371)</f>
        <v>0</v>
      </c>
      <c r="Q371" s="13"/>
      <c r="R371" s="13"/>
      <c r="S371" s="13"/>
      <c r="T371" s="13"/>
      <c r="U371" s="13"/>
      <c r="V371" s="13"/>
      <c r="W371" s="13">
        <v>0</v>
      </c>
      <c r="X371" s="13">
        <v>1</v>
      </c>
      <c r="Y371" s="13">
        <v>0</v>
      </c>
      <c r="Z371" s="13">
        <v>0</v>
      </c>
      <c r="AA371" s="13">
        <v>1</v>
      </c>
      <c r="AB371" s="13">
        <v>0</v>
      </c>
    </row>
    <row r="372" spans="1:28" x14ac:dyDescent="0.2">
      <c r="A372" s="13">
        <v>50</v>
      </c>
      <c r="B372" s="13">
        <v>0</v>
      </c>
      <c r="C372" s="13">
        <v>0</v>
      </c>
      <c r="D372" s="13">
        <v>1</v>
      </c>
      <c r="E372" s="13">
        <v>206</v>
      </c>
      <c r="F372" s="13">
        <f>ROUND(Source!T351,O372)</f>
        <v>0</v>
      </c>
      <c r="G372" s="13" t="s">
        <v>335</v>
      </c>
      <c r="H372" s="13" t="s">
        <v>336</v>
      </c>
      <c r="I372" s="13"/>
      <c r="J372" s="13"/>
      <c r="K372" s="13">
        <v>206</v>
      </c>
      <c r="L372" s="13">
        <v>20</v>
      </c>
      <c r="M372" s="13">
        <v>3</v>
      </c>
      <c r="N372" s="13" t="s">
        <v>3</v>
      </c>
      <c r="O372" s="13">
        <v>2</v>
      </c>
      <c r="P372" s="13">
        <f>ROUND(Source!DL351,O372)</f>
        <v>0</v>
      </c>
      <c r="Q372" s="13"/>
      <c r="R372" s="13"/>
      <c r="S372" s="13"/>
      <c r="T372" s="13"/>
      <c r="U372" s="13"/>
      <c r="V372" s="13"/>
      <c r="W372" s="13">
        <v>0</v>
      </c>
      <c r="X372" s="13">
        <v>1</v>
      </c>
      <c r="Y372" s="13">
        <v>0</v>
      </c>
      <c r="Z372" s="13">
        <v>0</v>
      </c>
      <c r="AA372" s="13">
        <v>1</v>
      </c>
      <c r="AB372" s="13">
        <v>0</v>
      </c>
    </row>
    <row r="373" spans="1:28" x14ac:dyDescent="0.2">
      <c r="A373" s="13">
        <v>50</v>
      </c>
      <c r="B373" s="13">
        <v>0</v>
      </c>
      <c r="C373" s="13">
        <v>0</v>
      </c>
      <c r="D373" s="13">
        <v>1</v>
      </c>
      <c r="E373" s="13">
        <v>207</v>
      </c>
      <c r="F373" s="13">
        <f>Source!U351</f>
        <v>6037.8927298559984</v>
      </c>
      <c r="G373" s="13" t="s">
        <v>337</v>
      </c>
      <c r="H373" s="13" t="s">
        <v>338</v>
      </c>
      <c r="I373" s="13"/>
      <c r="J373" s="13"/>
      <c r="K373" s="13">
        <v>207</v>
      </c>
      <c r="L373" s="13">
        <v>21</v>
      </c>
      <c r="M373" s="13">
        <v>3</v>
      </c>
      <c r="N373" s="13" t="s">
        <v>3</v>
      </c>
      <c r="O373" s="13">
        <v>-1</v>
      </c>
      <c r="P373" s="13">
        <f>Source!DM351</f>
        <v>6037.8927298559984</v>
      </c>
      <c r="Q373" s="13"/>
      <c r="R373" s="13"/>
      <c r="S373" s="13"/>
      <c r="T373" s="13"/>
      <c r="U373" s="13"/>
      <c r="V373" s="13"/>
      <c r="W373" s="13">
        <v>6037.8927298559993</v>
      </c>
      <c r="X373" s="13">
        <v>1</v>
      </c>
      <c r="Y373" s="13">
        <v>6037.8927298559993</v>
      </c>
      <c r="Z373" s="13">
        <v>6037.8927298559993</v>
      </c>
      <c r="AA373" s="13">
        <v>1</v>
      </c>
      <c r="AB373" s="13">
        <v>6037.8927298559993</v>
      </c>
    </row>
    <row r="374" spans="1:28" x14ac:dyDescent="0.2">
      <c r="A374" s="13">
        <v>50</v>
      </c>
      <c r="B374" s="13">
        <v>0</v>
      </c>
      <c r="C374" s="13">
        <v>0</v>
      </c>
      <c r="D374" s="13">
        <v>1</v>
      </c>
      <c r="E374" s="13">
        <v>208</v>
      </c>
      <c r="F374" s="13">
        <f>Source!V351</f>
        <v>0</v>
      </c>
      <c r="G374" s="13" t="s">
        <v>339</v>
      </c>
      <c r="H374" s="13" t="s">
        <v>340</v>
      </c>
      <c r="I374" s="13"/>
      <c r="J374" s="13"/>
      <c r="K374" s="13">
        <v>208</v>
      </c>
      <c r="L374" s="13">
        <v>22</v>
      </c>
      <c r="M374" s="13">
        <v>3</v>
      </c>
      <c r="N374" s="13" t="s">
        <v>3</v>
      </c>
      <c r="O374" s="13">
        <v>-1</v>
      </c>
      <c r="P374" s="13">
        <f>Source!DN351</f>
        <v>0</v>
      </c>
      <c r="Q374" s="13"/>
      <c r="R374" s="13"/>
      <c r="S374" s="13"/>
      <c r="T374" s="13"/>
      <c r="U374" s="13"/>
      <c r="V374" s="13"/>
      <c r="W374" s="13">
        <v>0</v>
      </c>
      <c r="X374" s="13">
        <v>1</v>
      </c>
      <c r="Y374" s="13">
        <v>0</v>
      </c>
      <c r="Z374" s="13">
        <v>0</v>
      </c>
      <c r="AA374" s="13">
        <v>1</v>
      </c>
      <c r="AB374" s="13">
        <v>0</v>
      </c>
    </row>
    <row r="375" spans="1:28" x14ac:dyDescent="0.2">
      <c r="A375" s="13">
        <v>50</v>
      </c>
      <c r="B375" s="13">
        <v>0</v>
      </c>
      <c r="C375" s="13">
        <v>0</v>
      </c>
      <c r="D375" s="13">
        <v>1</v>
      </c>
      <c r="E375" s="13">
        <v>209</v>
      </c>
      <c r="F375" s="13">
        <f>ROUND(Source!W351,O375)</f>
        <v>0</v>
      </c>
      <c r="G375" s="13" t="s">
        <v>341</v>
      </c>
      <c r="H375" s="13" t="s">
        <v>342</v>
      </c>
      <c r="I375" s="13"/>
      <c r="J375" s="13"/>
      <c r="K375" s="13">
        <v>209</v>
      </c>
      <c r="L375" s="13">
        <v>23</v>
      </c>
      <c r="M375" s="13">
        <v>3</v>
      </c>
      <c r="N375" s="13" t="s">
        <v>3</v>
      </c>
      <c r="O375" s="13">
        <v>2</v>
      </c>
      <c r="P375" s="13">
        <f>ROUND(Source!DO351,O375)</f>
        <v>0</v>
      </c>
      <c r="Q375" s="13"/>
      <c r="R375" s="13"/>
      <c r="S375" s="13"/>
      <c r="T375" s="13"/>
      <c r="U375" s="13"/>
      <c r="V375" s="13"/>
      <c r="W375" s="13">
        <v>0</v>
      </c>
      <c r="X375" s="13">
        <v>1</v>
      </c>
      <c r="Y375" s="13">
        <v>0</v>
      </c>
      <c r="Z375" s="13">
        <v>0</v>
      </c>
      <c r="AA375" s="13">
        <v>1</v>
      </c>
      <c r="AB375" s="13">
        <v>0</v>
      </c>
    </row>
    <row r="376" spans="1:28" x14ac:dyDescent="0.2">
      <c r="A376" s="13">
        <v>50</v>
      </c>
      <c r="B376" s="13">
        <v>0</v>
      </c>
      <c r="C376" s="13">
        <v>0</v>
      </c>
      <c r="D376" s="13">
        <v>1</v>
      </c>
      <c r="E376" s="13">
        <v>233</v>
      </c>
      <c r="F376" s="13">
        <f>ROUND(Source!BD351,O376)</f>
        <v>0</v>
      </c>
      <c r="G376" s="13" t="s">
        <v>343</v>
      </c>
      <c r="H376" s="13" t="s">
        <v>344</v>
      </c>
      <c r="I376" s="13"/>
      <c r="J376" s="13"/>
      <c r="K376" s="13">
        <v>233</v>
      </c>
      <c r="L376" s="13">
        <v>24</v>
      </c>
      <c r="M376" s="13">
        <v>3</v>
      </c>
      <c r="N376" s="13" t="s">
        <v>3</v>
      </c>
      <c r="O376" s="13">
        <v>2</v>
      </c>
      <c r="P376" s="13">
        <f>ROUND(Source!EV351,O376)</f>
        <v>0</v>
      </c>
      <c r="Q376" s="13"/>
      <c r="R376" s="13"/>
      <c r="S376" s="13"/>
      <c r="T376" s="13"/>
      <c r="U376" s="13"/>
      <c r="V376" s="13"/>
      <c r="W376" s="13">
        <v>0</v>
      </c>
      <c r="X376" s="13">
        <v>1</v>
      </c>
      <c r="Y376" s="13">
        <v>0</v>
      </c>
      <c r="Z376" s="13">
        <v>0</v>
      </c>
      <c r="AA376" s="13">
        <v>1</v>
      </c>
      <c r="AB376" s="13">
        <v>0</v>
      </c>
    </row>
    <row r="377" spans="1:28" x14ac:dyDescent="0.2">
      <c r="A377" s="13">
        <v>50</v>
      </c>
      <c r="B377" s="13">
        <v>0</v>
      </c>
      <c r="C377" s="13">
        <v>0</v>
      </c>
      <c r="D377" s="13">
        <v>1</v>
      </c>
      <c r="E377" s="13">
        <v>210</v>
      </c>
      <c r="F377" s="13">
        <f>ROUND(Source!X351,O377)</f>
        <v>71862.73</v>
      </c>
      <c r="G377" s="13" t="s">
        <v>345</v>
      </c>
      <c r="H377" s="13" t="s">
        <v>346</v>
      </c>
      <c r="I377" s="13"/>
      <c r="J377" s="13"/>
      <c r="K377" s="13">
        <v>210</v>
      </c>
      <c r="L377" s="13">
        <v>25</v>
      </c>
      <c r="M377" s="13">
        <v>3</v>
      </c>
      <c r="N377" s="13" t="s">
        <v>3</v>
      </c>
      <c r="O377" s="13">
        <v>2</v>
      </c>
      <c r="P377" s="13">
        <f>ROUND(Source!DP351,O377)</f>
        <v>4049465.46</v>
      </c>
      <c r="Q377" s="13"/>
      <c r="R377" s="13"/>
      <c r="S377" s="13"/>
      <c r="T377" s="13"/>
      <c r="U377" s="13"/>
      <c r="V377" s="13"/>
      <c r="W377" s="13">
        <v>71862.73</v>
      </c>
      <c r="X377" s="13">
        <v>1</v>
      </c>
      <c r="Y377" s="13">
        <v>71862.73</v>
      </c>
      <c r="Z377" s="13">
        <v>4049465.46</v>
      </c>
      <c r="AA377" s="13">
        <v>1</v>
      </c>
      <c r="AB377" s="13">
        <v>4049465.46</v>
      </c>
    </row>
    <row r="378" spans="1:28" x14ac:dyDescent="0.2">
      <c r="A378" s="13">
        <v>50</v>
      </c>
      <c r="B378" s="13">
        <v>0</v>
      </c>
      <c r="C378" s="13">
        <v>0</v>
      </c>
      <c r="D378" s="13">
        <v>1</v>
      </c>
      <c r="E378" s="13">
        <v>211</v>
      </c>
      <c r="F378" s="13">
        <f>ROUND(Source!Y351,O378)</f>
        <v>36889.589999999997</v>
      </c>
      <c r="G378" s="13" t="s">
        <v>347</v>
      </c>
      <c r="H378" s="13" t="s">
        <v>348</v>
      </c>
      <c r="I378" s="13"/>
      <c r="J378" s="13"/>
      <c r="K378" s="13">
        <v>211</v>
      </c>
      <c r="L378" s="13">
        <v>26</v>
      </c>
      <c r="M378" s="13">
        <v>3</v>
      </c>
      <c r="N378" s="13" t="s">
        <v>3</v>
      </c>
      <c r="O378" s="13">
        <v>2</v>
      </c>
      <c r="P378" s="13">
        <f>ROUND(Source!DQ351,O378)</f>
        <v>2078728.73</v>
      </c>
      <c r="Q378" s="13"/>
      <c r="R378" s="13"/>
      <c r="S378" s="13"/>
      <c r="T378" s="13"/>
      <c r="U378" s="13"/>
      <c r="V378" s="13"/>
      <c r="W378" s="13">
        <v>36889.589999999997</v>
      </c>
      <c r="X378" s="13">
        <v>1</v>
      </c>
      <c r="Y378" s="13">
        <v>36889.589999999997</v>
      </c>
      <c r="Z378" s="13">
        <v>2078728.73</v>
      </c>
      <c r="AA378" s="13">
        <v>1</v>
      </c>
      <c r="AB378" s="13">
        <v>2078728.73</v>
      </c>
    </row>
    <row r="379" spans="1:28" x14ac:dyDescent="0.2">
      <c r="A379" s="13">
        <v>50</v>
      </c>
      <c r="B379" s="13">
        <v>0</v>
      </c>
      <c r="C379" s="13">
        <v>0</v>
      </c>
      <c r="D379" s="13">
        <v>1</v>
      </c>
      <c r="E379" s="13">
        <v>224</v>
      </c>
      <c r="F379" s="13">
        <f>ROUND(Source!AR351,O379)</f>
        <v>754654.1</v>
      </c>
      <c r="G379" s="13" t="s">
        <v>349</v>
      </c>
      <c r="H379" s="13" t="s">
        <v>350</v>
      </c>
      <c r="I379" s="13"/>
      <c r="J379" s="13"/>
      <c r="K379" s="13">
        <v>224</v>
      </c>
      <c r="L379" s="13">
        <v>27</v>
      </c>
      <c r="M379" s="13">
        <v>3</v>
      </c>
      <c r="N379" s="13" t="s">
        <v>3</v>
      </c>
      <c r="O379" s="13">
        <v>2</v>
      </c>
      <c r="P379" s="13">
        <f>ROUND(Source!EJ351,O379)</f>
        <v>15937030.59</v>
      </c>
      <c r="Q379" s="13"/>
      <c r="R379" s="13"/>
      <c r="S379" s="13"/>
      <c r="T379" s="13"/>
      <c r="U379" s="13"/>
      <c r="V379" s="13"/>
      <c r="W379" s="13">
        <v>754654.1</v>
      </c>
      <c r="X379" s="13">
        <v>1</v>
      </c>
      <c r="Y379" s="13">
        <v>754654.1</v>
      </c>
      <c r="Z379" s="13">
        <v>15937030.59</v>
      </c>
      <c r="AA379" s="13">
        <v>1</v>
      </c>
      <c r="AB379" s="13">
        <v>15937030.59</v>
      </c>
    </row>
    <row r="380" spans="1:28" x14ac:dyDescent="0.2">
      <c r="A380" s="13">
        <v>50</v>
      </c>
      <c r="B380" s="13">
        <v>1</v>
      </c>
      <c r="C380" s="13">
        <v>0</v>
      </c>
      <c r="D380" s="13">
        <v>2</v>
      </c>
      <c r="E380" s="13">
        <v>0</v>
      </c>
      <c r="F380" s="13">
        <f>ROUND(F379,O380)</f>
        <v>754654.1</v>
      </c>
      <c r="G380" s="13" t="s">
        <v>449</v>
      </c>
      <c r="H380" s="13" t="s">
        <v>450</v>
      </c>
      <c r="I380" s="13"/>
      <c r="J380" s="13"/>
      <c r="K380" s="13">
        <v>212</v>
      </c>
      <c r="L380" s="13">
        <v>28</v>
      </c>
      <c r="M380" s="13">
        <v>0</v>
      </c>
      <c r="N380" s="13" t="s">
        <v>3</v>
      </c>
      <c r="O380" s="13">
        <v>2</v>
      </c>
      <c r="P380" s="13">
        <f>ROUND(P379,O380)</f>
        <v>15937030.59</v>
      </c>
      <c r="Q380" s="13"/>
      <c r="R380" s="13"/>
      <c r="S380" s="13"/>
      <c r="T380" s="13"/>
      <c r="U380" s="13"/>
      <c r="V380" s="13"/>
      <c r="W380" s="13">
        <v>754654.1</v>
      </c>
      <c r="X380" s="13">
        <v>1</v>
      </c>
      <c r="Y380" s="13">
        <v>754654.1</v>
      </c>
      <c r="Z380" s="13">
        <v>15937030.59</v>
      </c>
      <c r="AA380" s="13">
        <v>1</v>
      </c>
      <c r="AB380" s="13">
        <v>15937030.59</v>
      </c>
    </row>
    <row r="381" spans="1:28" x14ac:dyDescent="0.2">
      <c r="A381" s="13">
        <v>50</v>
      </c>
      <c r="B381" s="13">
        <v>0</v>
      </c>
      <c r="C381" s="13">
        <v>0</v>
      </c>
      <c r="D381" s="13">
        <v>2</v>
      </c>
      <c r="E381" s="13">
        <v>0</v>
      </c>
      <c r="F381" s="13">
        <f>ROUND(F380*0.2,O381)</f>
        <v>150930.82</v>
      </c>
      <c r="G381" s="13" t="s">
        <v>451</v>
      </c>
      <c r="H381" s="13" t="s">
        <v>452</v>
      </c>
      <c r="I381" s="13"/>
      <c r="J381" s="13"/>
      <c r="K381" s="13">
        <v>212</v>
      </c>
      <c r="L381" s="13">
        <v>29</v>
      </c>
      <c r="M381" s="13">
        <v>3</v>
      </c>
      <c r="N381" s="13" t="s">
        <v>3</v>
      </c>
      <c r="O381" s="13">
        <v>2</v>
      </c>
      <c r="P381" s="13">
        <f>ROUND(P380*0.2,O381)</f>
        <v>3187406.12</v>
      </c>
      <c r="Q381" s="13"/>
      <c r="R381" s="13"/>
      <c r="S381" s="13"/>
      <c r="T381" s="13"/>
      <c r="U381" s="13"/>
      <c r="V381" s="13"/>
      <c r="W381" s="13">
        <v>150930.82</v>
      </c>
      <c r="X381" s="13">
        <v>1</v>
      </c>
      <c r="Y381" s="13">
        <v>150930.82</v>
      </c>
      <c r="Z381" s="13">
        <v>3187406.12</v>
      </c>
      <c r="AA381" s="13">
        <v>1</v>
      </c>
      <c r="AB381" s="13">
        <v>3187406.12</v>
      </c>
    </row>
    <row r="382" spans="1:28" x14ac:dyDescent="0.2">
      <c r="A382" s="13">
        <v>50</v>
      </c>
      <c r="B382" s="13">
        <v>0</v>
      </c>
      <c r="C382" s="13">
        <v>0</v>
      </c>
      <c r="D382" s="13">
        <v>2</v>
      </c>
      <c r="E382" s="13">
        <v>213</v>
      </c>
      <c r="F382" s="13">
        <f>ROUND(F380+F381,O382)</f>
        <v>905584.92</v>
      </c>
      <c r="G382" s="13" t="s">
        <v>453</v>
      </c>
      <c r="H382" s="13" t="s">
        <v>349</v>
      </c>
      <c r="I382" s="13"/>
      <c r="J382" s="13"/>
      <c r="K382" s="13">
        <v>212</v>
      </c>
      <c r="L382" s="13">
        <v>30</v>
      </c>
      <c r="M382" s="13">
        <v>3</v>
      </c>
      <c r="N382" s="13" t="s">
        <v>3</v>
      </c>
      <c r="O382" s="13">
        <v>2</v>
      </c>
      <c r="P382" s="13">
        <f>ROUND(P380+P381,O382)</f>
        <v>19124436.710000001</v>
      </c>
      <c r="Q382" s="13"/>
      <c r="R382" s="13"/>
      <c r="S382" s="13"/>
      <c r="T382" s="13"/>
      <c r="U382" s="13"/>
      <c r="V382" s="13"/>
      <c r="W382" s="13">
        <v>905584.92</v>
      </c>
      <c r="X382" s="13">
        <v>1</v>
      </c>
      <c r="Y382" s="13">
        <v>905584.92</v>
      </c>
      <c r="Z382" s="13">
        <v>19124436.710000001</v>
      </c>
      <c r="AA382" s="13">
        <v>1</v>
      </c>
      <c r="AB382" s="13">
        <v>19124436.710000001</v>
      </c>
    </row>
    <row r="385" spans="1:50" x14ac:dyDescent="0.2">
      <c r="A385" s="3">
        <v>70</v>
      </c>
      <c r="B385" s="3">
        <v>1</v>
      </c>
      <c r="D385" s="3">
        <v>1</v>
      </c>
      <c r="E385" s="3" t="s">
        <v>454</v>
      </c>
      <c r="F385" s="3" t="s">
        <v>455</v>
      </c>
      <c r="G385" s="3">
        <v>0</v>
      </c>
      <c r="H385" s="3">
        <v>0</v>
      </c>
      <c r="I385" s="3" t="s">
        <v>3</v>
      </c>
      <c r="J385" s="3">
        <v>1</v>
      </c>
      <c r="K385" s="3">
        <v>0</v>
      </c>
      <c r="L385" s="3" t="s">
        <v>3</v>
      </c>
      <c r="M385" s="3" t="s">
        <v>3</v>
      </c>
      <c r="N385" s="3">
        <v>0</v>
      </c>
      <c r="O385" s="3">
        <v>0</v>
      </c>
      <c r="P385" s="3" t="s">
        <v>3</v>
      </c>
    </row>
    <row r="386" spans="1:50" x14ac:dyDescent="0.2">
      <c r="A386" s="3">
        <v>70</v>
      </c>
      <c r="B386" s="3">
        <v>1</v>
      </c>
      <c r="D386" s="3">
        <v>2</v>
      </c>
      <c r="E386" s="3" t="s">
        <v>456</v>
      </c>
      <c r="F386" s="3" t="s">
        <v>457</v>
      </c>
      <c r="G386" s="3">
        <v>1</v>
      </c>
      <c r="H386" s="3">
        <v>0</v>
      </c>
      <c r="I386" s="3" t="s">
        <v>3</v>
      </c>
      <c r="J386" s="3">
        <v>1</v>
      </c>
      <c r="K386" s="3">
        <v>0</v>
      </c>
      <c r="L386" s="3" t="s">
        <v>3</v>
      </c>
      <c r="M386" s="3" t="s">
        <v>3</v>
      </c>
      <c r="N386" s="3">
        <v>0</v>
      </c>
      <c r="O386" s="3">
        <v>1</v>
      </c>
      <c r="P386" s="3" t="s">
        <v>3</v>
      </c>
    </row>
    <row r="387" spans="1:50" x14ac:dyDescent="0.2">
      <c r="A387" s="3">
        <v>70</v>
      </c>
      <c r="B387" s="3">
        <v>1</v>
      </c>
      <c r="D387" s="3">
        <v>3</v>
      </c>
      <c r="E387" s="3" t="s">
        <v>458</v>
      </c>
      <c r="F387" s="3" t="s">
        <v>459</v>
      </c>
      <c r="G387" s="3">
        <v>1</v>
      </c>
      <c r="H387" s="3">
        <v>0</v>
      </c>
      <c r="I387" s="3" t="s">
        <v>3</v>
      </c>
      <c r="J387" s="3">
        <v>0</v>
      </c>
      <c r="K387" s="3">
        <v>0</v>
      </c>
      <c r="L387" s="3" t="s">
        <v>3</v>
      </c>
      <c r="M387" s="3" t="s">
        <v>3</v>
      </c>
      <c r="N387" s="3">
        <v>0</v>
      </c>
      <c r="O387" s="3">
        <v>1</v>
      </c>
      <c r="P387" s="3" t="s">
        <v>3</v>
      </c>
    </row>
    <row r="388" spans="1:50" x14ac:dyDescent="0.2">
      <c r="A388" s="3">
        <v>70</v>
      </c>
      <c r="B388" s="3">
        <v>1</v>
      </c>
      <c r="D388" s="3">
        <v>4</v>
      </c>
      <c r="E388" s="3" t="s">
        <v>460</v>
      </c>
      <c r="F388" s="3" t="s">
        <v>461</v>
      </c>
      <c r="G388" s="3">
        <v>1</v>
      </c>
      <c r="H388" s="3">
        <v>0</v>
      </c>
      <c r="I388" s="3" t="s">
        <v>3</v>
      </c>
      <c r="J388" s="3">
        <v>0</v>
      </c>
      <c r="K388" s="3">
        <v>0</v>
      </c>
      <c r="L388" s="3" t="s">
        <v>3</v>
      </c>
      <c r="M388" s="3" t="s">
        <v>3</v>
      </c>
      <c r="N388" s="3">
        <v>0</v>
      </c>
      <c r="O388" s="3">
        <v>1</v>
      </c>
      <c r="P388" s="3" t="s">
        <v>3</v>
      </c>
    </row>
    <row r="389" spans="1:50" x14ac:dyDescent="0.2">
      <c r="A389" s="3">
        <v>70</v>
      </c>
      <c r="B389" s="3">
        <v>1</v>
      </c>
      <c r="D389" s="3">
        <v>5</v>
      </c>
      <c r="E389" s="3" t="s">
        <v>462</v>
      </c>
      <c r="F389" s="3" t="s">
        <v>463</v>
      </c>
      <c r="G389" s="3">
        <v>0</v>
      </c>
      <c r="H389" s="3">
        <v>0</v>
      </c>
      <c r="I389" s="3" t="s">
        <v>3</v>
      </c>
      <c r="J389" s="3">
        <v>0</v>
      </c>
      <c r="K389" s="3">
        <v>0</v>
      </c>
      <c r="L389" s="3" t="s">
        <v>3</v>
      </c>
      <c r="M389" s="3" t="s">
        <v>3</v>
      </c>
      <c r="N389" s="3">
        <v>0</v>
      </c>
      <c r="O389" s="3">
        <v>0</v>
      </c>
      <c r="P389" s="3" t="s">
        <v>3</v>
      </c>
    </row>
    <row r="391" spans="1:50" x14ac:dyDescent="0.2">
      <c r="A391" s="3">
        <v>-1</v>
      </c>
    </row>
    <row r="393" spans="1:50" x14ac:dyDescent="0.2">
      <c r="A393" s="12">
        <v>75</v>
      </c>
      <c r="B393" s="12" t="s">
        <v>464</v>
      </c>
      <c r="C393" s="12">
        <v>2026</v>
      </c>
      <c r="D393" s="12">
        <v>1</v>
      </c>
      <c r="E393" s="12">
        <v>0</v>
      </c>
      <c r="F393" s="12"/>
      <c r="G393" s="12">
        <v>0</v>
      </c>
      <c r="H393" s="12">
        <v>1</v>
      </c>
      <c r="I393" s="12">
        <v>1</v>
      </c>
      <c r="J393" s="12">
        <v>1</v>
      </c>
      <c r="K393" s="12">
        <v>0</v>
      </c>
      <c r="L393" s="12">
        <v>0</v>
      </c>
      <c r="M393" s="12">
        <v>1</v>
      </c>
      <c r="N393" s="12">
        <v>55747651</v>
      </c>
      <c r="O393" s="12">
        <v>1</v>
      </c>
    </row>
    <row r="394" spans="1:50" x14ac:dyDescent="0.2">
      <c r="A394" s="14">
        <v>1</v>
      </c>
      <c r="B394" s="14" t="s">
        <v>465</v>
      </c>
      <c r="C394" s="14" t="s">
        <v>466</v>
      </c>
      <c r="D394" s="14">
        <v>2026</v>
      </c>
      <c r="E394" s="14">
        <v>1</v>
      </c>
      <c r="F394" s="14">
        <v>1</v>
      </c>
      <c r="G394" s="14">
        <v>1</v>
      </c>
      <c r="H394" s="14">
        <v>0</v>
      </c>
      <c r="I394" s="14">
        <v>2</v>
      </c>
      <c r="J394" s="14">
        <v>1</v>
      </c>
      <c r="K394" s="14">
        <v>9.84</v>
      </c>
      <c r="L394" s="14">
        <v>7.57</v>
      </c>
      <c r="M394" s="14">
        <v>1</v>
      </c>
      <c r="N394" s="14">
        <v>1</v>
      </c>
      <c r="O394" s="14">
        <v>9.84</v>
      </c>
      <c r="P394" s="14">
        <v>7.57</v>
      </c>
      <c r="Q394" s="14">
        <v>1</v>
      </c>
      <c r="R394" s="14" t="s">
        <v>3</v>
      </c>
      <c r="S394" s="14" t="s">
        <v>3</v>
      </c>
      <c r="T394" s="14" t="s">
        <v>3</v>
      </c>
      <c r="U394" s="14" t="s">
        <v>3</v>
      </c>
      <c r="V394" s="14" t="s">
        <v>3</v>
      </c>
      <c r="W394" s="14" t="s">
        <v>3</v>
      </c>
      <c r="X394" s="14" t="s">
        <v>3</v>
      </c>
      <c r="Y394" s="14" t="s">
        <v>3</v>
      </c>
      <c r="Z394" s="14" t="s">
        <v>3</v>
      </c>
      <c r="AA394" s="14" t="s">
        <v>467</v>
      </c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>
        <v>55747652</v>
      </c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</row>
    <row r="395" spans="1:50" x14ac:dyDescent="0.2">
      <c r="A395" s="14">
        <v>1</v>
      </c>
      <c r="B395" s="14" t="s">
        <v>465</v>
      </c>
      <c r="C395" s="14" t="s">
        <v>468</v>
      </c>
      <c r="D395" s="14">
        <v>2026</v>
      </c>
      <c r="E395" s="14">
        <v>1</v>
      </c>
      <c r="F395" s="14">
        <v>1</v>
      </c>
      <c r="G395" s="14">
        <v>1</v>
      </c>
      <c r="H395" s="14">
        <v>0</v>
      </c>
      <c r="I395" s="14">
        <v>2</v>
      </c>
      <c r="J395" s="14">
        <v>1</v>
      </c>
      <c r="K395" s="14">
        <v>1</v>
      </c>
      <c r="L395" s="14">
        <v>1</v>
      </c>
      <c r="M395" s="14">
        <v>1</v>
      </c>
      <c r="N395" s="14">
        <v>1</v>
      </c>
      <c r="O395" s="14">
        <v>1</v>
      </c>
      <c r="P395" s="14">
        <v>1</v>
      </c>
      <c r="Q395" s="14">
        <v>1</v>
      </c>
      <c r="R395" s="14" t="s">
        <v>3</v>
      </c>
      <c r="S395" s="14" t="s">
        <v>3</v>
      </c>
      <c r="T395" s="14" t="s">
        <v>3</v>
      </c>
      <c r="U395" s="14" t="s">
        <v>3</v>
      </c>
      <c r="V395" s="14" t="s">
        <v>3</v>
      </c>
      <c r="W395" s="14" t="s">
        <v>3</v>
      </c>
      <c r="X395" s="14" t="s">
        <v>3</v>
      </c>
      <c r="Y395" s="14" t="s">
        <v>3</v>
      </c>
      <c r="Z395" s="14" t="s">
        <v>3</v>
      </c>
      <c r="AA395" s="14" t="s">
        <v>469</v>
      </c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>
        <v>55747653</v>
      </c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</row>
    <row r="396" spans="1:50" x14ac:dyDescent="0.2">
      <c r="A396" s="12">
        <v>75</v>
      </c>
      <c r="B396" s="12" t="s">
        <v>470</v>
      </c>
      <c r="C396" s="12">
        <v>2000</v>
      </c>
      <c r="D396" s="12">
        <v>0</v>
      </c>
      <c r="E396" s="12">
        <v>1</v>
      </c>
      <c r="F396" s="12">
        <v>0</v>
      </c>
      <c r="G396" s="12">
        <v>0</v>
      </c>
      <c r="H396" s="12">
        <v>1</v>
      </c>
      <c r="I396" s="12">
        <v>1</v>
      </c>
      <c r="J396" s="12">
        <v>3</v>
      </c>
      <c r="K396" s="12">
        <v>0</v>
      </c>
      <c r="L396" s="12">
        <v>0</v>
      </c>
      <c r="M396" s="12">
        <v>0</v>
      </c>
      <c r="N396" s="12">
        <v>55747649</v>
      </c>
      <c r="O396" s="12">
        <v>2</v>
      </c>
    </row>
    <row r="397" spans="1:50" x14ac:dyDescent="0.2">
      <c r="A397" s="14">
        <v>1</v>
      </c>
      <c r="B397" s="14" t="s">
        <v>465</v>
      </c>
      <c r="C397" s="14" t="s">
        <v>471</v>
      </c>
      <c r="D397" s="14">
        <v>2000</v>
      </c>
      <c r="E397" s="14">
        <v>1</v>
      </c>
      <c r="F397" s="14">
        <v>1</v>
      </c>
      <c r="G397" s="14">
        <v>1</v>
      </c>
      <c r="H397" s="14">
        <v>0</v>
      </c>
      <c r="I397" s="14">
        <v>2</v>
      </c>
      <c r="J397" s="14">
        <v>1</v>
      </c>
      <c r="K397" s="14">
        <v>1</v>
      </c>
      <c r="L397" s="14">
        <v>1</v>
      </c>
      <c r="M397" s="14">
        <v>1</v>
      </c>
      <c r="N397" s="14">
        <v>1</v>
      </c>
      <c r="O397" s="14">
        <v>1</v>
      </c>
      <c r="P397" s="14">
        <v>1</v>
      </c>
      <c r="Q397" s="14">
        <v>1</v>
      </c>
      <c r="R397" s="14" t="s">
        <v>3</v>
      </c>
      <c r="S397" s="14" t="s">
        <v>3</v>
      </c>
      <c r="T397" s="14" t="s">
        <v>3</v>
      </c>
      <c r="U397" s="14" t="s">
        <v>3</v>
      </c>
      <c r="V397" s="14" t="s">
        <v>3</v>
      </c>
      <c r="W397" s="14" t="s">
        <v>3</v>
      </c>
      <c r="X397" s="14" t="s">
        <v>3</v>
      </c>
      <c r="Y397" s="14" t="s">
        <v>3</v>
      </c>
      <c r="Z397" s="14" t="s">
        <v>3</v>
      </c>
      <c r="AA397" s="14" t="s">
        <v>294</v>
      </c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>
        <v>55747650</v>
      </c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</row>
    <row r="401" spans="1:5" x14ac:dyDescent="0.2">
      <c r="A401" s="3">
        <v>65</v>
      </c>
      <c r="C401" s="3">
        <v>1</v>
      </c>
      <c r="D401" s="3">
        <v>0</v>
      </c>
      <c r="E401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472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54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55747651</v>
      </c>
      <c r="E14" s="1">
        <v>55747649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20</v>
      </c>
      <c r="E16" s="8">
        <f>ROUND((Source!P335)/1000,2)</f>
        <v>410.92</v>
      </c>
      <c r="F16" s="8">
        <f>ROUND((Source!P336)/1000,2)</f>
        <v>13945.56</v>
      </c>
      <c r="G16" s="8">
        <f>ROUND((Source!P327)/1000,2)</f>
        <v>1580.56</v>
      </c>
      <c r="H16" s="8">
        <f>ROUND((Source!P337)/1000+(Source!P338)/1000,2)</f>
        <v>0</v>
      </c>
      <c r="I16" s="8">
        <f>E16+F16+G16+H16</f>
        <v>15937.039999999999</v>
      </c>
      <c r="J16" s="8">
        <f>ROUND((Source!P333+Source!P332)/1000,2)</f>
        <v>4478.8599999999997</v>
      </c>
      <c r="K16" s="8">
        <v>14934.55</v>
      </c>
      <c r="L16" s="8">
        <v>0</v>
      </c>
      <c r="M16" s="8">
        <v>0</v>
      </c>
      <c r="N16" s="8">
        <f>I16+L16+M16</f>
        <v>15937.039999999999</v>
      </c>
      <c r="T16" s="9">
        <f>ROUND((Source!F335)/1000,2)</f>
        <v>17</v>
      </c>
      <c r="U16" s="9">
        <f>ROUND((Source!F336)/1000,2)</f>
        <v>528.86</v>
      </c>
      <c r="V16" s="9">
        <f>ROUND((Source!F327)/1000,2)</f>
        <v>208.79</v>
      </c>
      <c r="W16" s="9">
        <f>ROUND((Source!F337)/1000+(Source!F338)/1000,2)</f>
        <v>0</v>
      </c>
      <c r="X16" s="9">
        <f>T16+U16+V16+W16</f>
        <v>754.65</v>
      </c>
      <c r="Y16" s="9">
        <f>ROUND((Source!F333+Source!F332)/1000,2)</f>
        <v>79.48</v>
      </c>
      <c r="Z16" s="9">
        <v>1195.0899999999999</v>
      </c>
      <c r="AA16" s="9">
        <v>0</v>
      </c>
      <c r="AB16" s="9">
        <v>0</v>
      </c>
      <c r="AC16" s="9">
        <f>X16+AA16+AB16</f>
        <v>754.65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9808836.4000000004</v>
      </c>
      <c r="AU16" s="8">
        <v>5125710.22</v>
      </c>
      <c r="AV16" s="8">
        <v>0</v>
      </c>
      <c r="AW16" s="8">
        <v>1580558.69</v>
      </c>
      <c r="AX16" s="8">
        <v>0</v>
      </c>
      <c r="AY16" s="8">
        <v>422188.25</v>
      </c>
      <c r="AZ16" s="8">
        <v>217926.87</v>
      </c>
      <c r="BA16" s="8">
        <v>4260937.93</v>
      </c>
      <c r="BB16" s="8">
        <v>410915.08</v>
      </c>
      <c r="BC16" s="8">
        <v>13945556.82</v>
      </c>
      <c r="BD16" s="8">
        <v>0</v>
      </c>
      <c r="BE16" s="8">
        <v>0</v>
      </c>
      <c r="BF16" s="8">
        <v>6037.8927298559993</v>
      </c>
      <c r="BG16" s="8">
        <v>0</v>
      </c>
      <c r="BH16" s="8">
        <v>0</v>
      </c>
      <c r="BI16" s="8">
        <v>4049465.46</v>
      </c>
      <c r="BJ16" s="8">
        <v>2078728.73</v>
      </c>
      <c r="BK16" s="8">
        <v>15937030.59</v>
      </c>
      <c r="BR16" s="9">
        <v>645901.78</v>
      </c>
      <c r="BS16" s="9">
        <v>549189.04</v>
      </c>
      <c r="BT16" s="9">
        <v>0</v>
      </c>
      <c r="BU16" s="9">
        <v>208792.43</v>
      </c>
      <c r="BV16" s="9">
        <v>0</v>
      </c>
      <c r="BW16" s="9">
        <v>21097.16</v>
      </c>
      <c r="BX16" s="9">
        <v>3867.38</v>
      </c>
      <c r="BY16" s="9">
        <v>75615.58</v>
      </c>
      <c r="BZ16" s="9">
        <v>17004.48</v>
      </c>
      <c r="CA16" s="9">
        <v>528857.18999999994</v>
      </c>
      <c r="CB16" s="9">
        <v>0</v>
      </c>
      <c r="CC16" s="9">
        <v>0</v>
      </c>
      <c r="CD16" s="9">
        <v>6037.8927298559993</v>
      </c>
      <c r="CE16" s="9">
        <v>0</v>
      </c>
      <c r="CF16" s="9">
        <v>0</v>
      </c>
      <c r="CG16" s="9">
        <v>71862.73</v>
      </c>
      <c r="CH16" s="9">
        <v>36889.589999999997</v>
      </c>
      <c r="CI16" s="9">
        <v>754654.1</v>
      </c>
    </row>
    <row r="18" spans="1:29" x14ac:dyDescent="0.2">
      <c r="A18">
        <v>51</v>
      </c>
      <c r="E18">
        <v>410.92</v>
      </c>
      <c r="F18">
        <v>13945.56</v>
      </c>
      <c r="G18">
        <v>1580.56</v>
      </c>
      <c r="H18">
        <v>0</v>
      </c>
      <c r="I18">
        <v>15937.04</v>
      </c>
      <c r="J18">
        <v>4478.8599999999997</v>
      </c>
      <c r="K18">
        <v>14934.55</v>
      </c>
      <c r="L18">
        <v>0</v>
      </c>
      <c r="M18">
        <v>0</v>
      </c>
      <c r="N18">
        <v>15937.04</v>
      </c>
      <c r="T18">
        <v>17</v>
      </c>
      <c r="U18">
        <v>528.86</v>
      </c>
      <c r="V18">
        <v>208.79</v>
      </c>
      <c r="W18">
        <v>0</v>
      </c>
      <c r="X18">
        <v>754.65</v>
      </c>
      <c r="Y18">
        <v>79.48</v>
      </c>
      <c r="Z18">
        <v>1195.0899999999999</v>
      </c>
      <c r="AA18">
        <v>0</v>
      </c>
      <c r="AB18">
        <v>0</v>
      </c>
      <c r="AC18">
        <v>754.65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9808836.4000000004</v>
      </c>
      <c r="G20" s="5" t="s">
        <v>297</v>
      </c>
      <c r="H20" s="5" t="s">
        <v>298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645901.78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5125710.22</v>
      </c>
      <c r="G21" s="5" t="s">
        <v>299</v>
      </c>
      <c r="H21" s="5" t="s">
        <v>300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549189.04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301</v>
      </c>
      <c r="H22" s="5" t="s">
        <v>302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5125710.22</v>
      </c>
      <c r="G23" s="5" t="s">
        <v>303</v>
      </c>
      <c r="H23" s="5" t="s">
        <v>304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549189.04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3545151.53</v>
      </c>
      <c r="G24" s="5" t="s">
        <v>305</v>
      </c>
      <c r="H24" s="5" t="s">
        <v>306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340396.61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307</v>
      </c>
      <c r="H25" s="5" t="s">
        <v>308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3545151.53</v>
      </c>
      <c r="G26" s="5" t="s">
        <v>309</v>
      </c>
      <c r="H26" s="5" t="s">
        <v>310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340396.61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1580558.69</v>
      </c>
      <c r="G27" s="5" t="s">
        <v>311</v>
      </c>
      <c r="H27" s="5" t="s">
        <v>312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208792.43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313</v>
      </c>
      <c r="H28" s="5" t="s">
        <v>314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1580558.69</v>
      </c>
      <c r="G29" s="5" t="s">
        <v>315</v>
      </c>
      <c r="H29" s="5" t="s">
        <v>316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208792.43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422188.25</v>
      </c>
      <c r="G30" s="5" t="s">
        <v>317</v>
      </c>
      <c r="H30" s="5" t="s">
        <v>318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21097.16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319</v>
      </c>
      <c r="H31" s="5" t="s">
        <v>320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217926.87</v>
      </c>
      <c r="G32" s="5" t="s">
        <v>321</v>
      </c>
      <c r="H32" s="5" t="s">
        <v>322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3867.38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4260937.93</v>
      </c>
      <c r="G33" s="5" t="s">
        <v>323</v>
      </c>
      <c r="H33" s="5" t="s">
        <v>324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75615.58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325</v>
      </c>
      <c r="H34" s="5" t="s">
        <v>326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410915.08</v>
      </c>
      <c r="G35" s="5" t="s">
        <v>327</v>
      </c>
      <c r="H35" s="5" t="s">
        <v>328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17004.48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13945556.82</v>
      </c>
      <c r="G36" s="5" t="s">
        <v>329</v>
      </c>
      <c r="H36" s="5" t="s">
        <v>330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528857.18999999994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331</v>
      </c>
      <c r="H37" s="5" t="s">
        <v>332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333</v>
      </c>
      <c r="H38" s="5" t="s">
        <v>334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335</v>
      </c>
      <c r="H39" s="5" t="s">
        <v>336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6037.8927298559993</v>
      </c>
      <c r="G40" s="5" t="s">
        <v>337</v>
      </c>
      <c r="H40" s="5" t="s">
        <v>338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6037.8927298559993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339</v>
      </c>
      <c r="H41" s="5" t="s">
        <v>340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341</v>
      </c>
      <c r="H42" s="5" t="s">
        <v>342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343</v>
      </c>
      <c r="H43" s="5" t="s">
        <v>344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4049465.46</v>
      </c>
      <c r="G44" s="5" t="s">
        <v>345</v>
      </c>
      <c r="H44" s="5" t="s">
        <v>346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71862.73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2078728.73</v>
      </c>
      <c r="G45" s="5" t="s">
        <v>347</v>
      </c>
      <c r="H45" s="5" t="s">
        <v>348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36889.589999999997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15937030.59</v>
      </c>
      <c r="G46" s="5" t="s">
        <v>349</v>
      </c>
      <c r="H46" s="5" t="s">
        <v>350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754654.1</v>
      </c>
    </row>
    <row r="47" spans="1:16" x14ac:dyDescent="0.2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15937030.59</v>
      </c>
      <c r="G47" s="5" t="s">
        <v>449</v>
      </c>
      <c r="H47" s="5" t="s">
        <v>450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754654.1</v>
      </c>
    </row>
    <row r="48" spans="1:16" x14ac:dyDescent="0.2">
      <c r="A48" s="5">
        <v>50</v>
      </c>
      <c r="B48" s="5">
        <v>0</v>
      </c>
      <c r="C48" s="5">
        <v>0</v>
      </c>
      <c r="D48" s="5">
        <v>2</v>
      </c>
      <c r="E48" s="5">
        <v>0</v>
      </c>
      <c r="F48" s="5">
        <v>3187406.12</v>
      </c>
      <c r="G48" s="5" t="s">
        <v>451</v>
      </c>
      <c r="H48" s="5" t="s">
        <v>452</v>
      </c>
      <c r="I48" s="5"/>
      <c r="J48" s="5"/>
      <c r="K48" s="5">
        <v>212</v>
      </c>
      <c r="L48" s="5">
        <v>29</v>
      </c>
      <c r="M48" s="5">
        <v>3</v>
      </c>
      <c r="N48" s="5" t="s">
        <v>3</v>
      </c>
      <c r="O48" s="5">
        <v>2</v>
      </c>
      <c r="P48" s="5">
        <v>150930.82</v>
      </c>
    </row>
    <row r="49" spans="1:50" x14ac:dyDescent="0.2">
      <c r="A49" s="5">
        <v>50</v>
      </c>
      <c r="B49" s="5">
        <v>0</v>
      </c>
      <c r="C49" s="5">
        <v>0</v>
      </c>
      <c r="D49" s="5">
        <v>2</v>
      </c>
      <c r="E49" s="5">
        <v>213</v>
      </c>
      <c r="F49" s="5">
        <v>19124436.710000001</v>
      </c>
      <c r="G49" s="5" t="s">
        <v>453</v>
      </c>
      <c r="H49" s="5" t="s">
        <v>349</v>
      </c>
      <c r="I49" s="5"/>
      <c r="J49" s="5"/>
      <c r="K49" s="5">
        <v>212</v>
      </c>
      <c r="L49" s="5">
        <v>30</v>
      </c>
      <c r="M49" s="5">
        <v>3</v>
      </c>
      <c r="N49" s="5" t="s">
        <v>3</v>
      </c>
      <c r="O49" s="5">
        <v>2</v>
      </c>
      <c r="P49" s="5">
        <v>905584.92</v>
      </c>
    </row>
    <row r="51" spans="1:50" x14ac:dyDescent="0.2">
      <c r="A51">
        <v>-1</v>
      </c>
    </row>
    <row r="54" spans="1:50" x14ac:dyDescent="0.2">
      <c r="A54" s="4">
        <v>75</v>
      </c>
      <c r="B54" s="4" t="s">
        <v>464</v>
      </c>
      <c r="C54" s="4">
        <v>2026</v>
      </c>
      <c r="D54" s="4">
        <v>1</v>
      </c>
      <c r="E54" s="4">
        <v>0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55747651</v>
      </c>
      <c r="O54" s="4">
        <v>1</v>
      </c>
    </row>
    <row r="55" spans="1:50" x14ac:dyDescent="0.2">
      <c r="A55" s="6">
        <v>1</v>
      </c>
      <c r="B55" s="6" t="s">
        <v>465</v>
      </c>
      <c r="C55" s="6" t="s">
        <v>466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467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55747652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">
      <c r="A56" s="6">
        <v>1</v>
      </c>
      <c r="B56" s="6" t="s">
        <v>465</v>
      </c>
      <c r="C56" s="6" t="s">
        <v>468</v>
      </c>
      <c r="D56" s="6">
        <v>2026</v>
      </c>
      <c r="E56" s="6">
        <v>1</v>
      </c>
      <c r="F56" s="6">
        <v>1</v>
      </c>
      <c r="G56" s="6">
        <v>1</v>
      </c>
      <c r="H56" s="6">
        <v>0</v>
      </c>
      <c r="I56" s="6">
        <v>2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 t="s">
        <v>3</v>
      </c>
      <c r="S56" s="6" t="s">
        <v>3</v>
      </c>
      <c r="T56" s="6" t="s">
        <v>3</v>
      </c>
      <c r="U56" s="6" t="s">
        <v>3</v>
      </c>
      <c r="V56" s="6" t="s">
        <v>3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469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55747653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x14ac:dyDescent="0.2">
      <c r="A57" s="4">
        <v>75</v>
      </c>
      <c r="B57" s="4" t="s">
        <v>470</v>
      </c>
      <c r="C57" s="4">
        <v>2000</v>
      </c>
      <c r="D57" s="4">
        <v>0</v>
      </c>
      <c r="E57" s="4">
        <v>1</v>
      </c>
      <c r="F57" s="4">
        <v>0</v>
      </c>
      <c r="G57" s="4">
        <v>0</v>
      </c>
      <c r="H57" s="4">
        <v>1</v>
      </c>
      <c r="I57" s="4">
        <v>1</v>
      </c>
      <c r="J57" s="4">
        <v>3</v>
      </c>
      <c r="K57" s="4">
        <v>0</v>
      </c>
      <c r="L57" s="4">
        <v>0</v>
      </c>
      <c r="M57" s="4">
        <v>0</v>
      </c>
      <c r="N57" s="4">
        <v>55747649</v>
      </c>
      <c r="O57" s="4">
        <v>2</v>
      </c>
    </row>
    <row r="58" spans="1:50" x14ac:dyDescent="0.2">
      <c r="A58" s="6">
        <v>1</v>
      </c>
      <c r="B58" s="6" t="s">
        <v>465</v>
      </c>
      <c r="C58" s="6" t="s">
        <v>471</v>
      </c>
      <c r="D58" s="6">
        <v>2000</v>
      </c>
      <c r="E58" s="6">
        <v>1</v>
      </c>
      <c r="F58" s="6">
        <v>1</v>
      </c>
      <c r="G58" s="6">
        <v>1</v>
      </c>
      <c r="H58" s="6">
        <v>0</v>
      </c>
      <c r="I58" s="6">
        <v>2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 t="s">
        <v>3</v>
      </c>
      <c r="S58" s="6" t="s">
        <v>3</v>
      </c>
      <c r="T58" s="6" t="s">
        <v>3</v>
      </c>
      <c r="U58" s="6" t="s">
        <v>3</v>
      </c>
      <c r="V58" s="6" t="s">
        <v>3</v>
      </c>
      <c r="W58" s="6" t="s">
        <v>3</v>
      </c>
      <c r="X58" s="6" t="s">
        <v>3</v>
      </c>
      <c r="Y58" s="6" t="s">
        <v>3</v>
      </c>
      <c r="Z58" s="6" t="s">
        <v>3</v>
      </c>
      <c r="AA58" s="6" t="s">
        <v>294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>
        <v>55747650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2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55747649</v>
      </c>
      <c r="C1">
        <v>55747832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473</v>
      </c>
      <c r="J1" t="s">
        <v>3</v>
      </c>
      <c r="K1" t="s">
        <v>474</v>
      </c>
      <c r="L1">
        <v>1191</v>
      </c>
      <c r="N1">
        <v>1013</v>
      </c>
      <c r="O1" t="s">
        <v>475</v>
      </c>
      <c r="P1" t="s">
        <v>475</v>
      </c>
      <c r="Q1">
        <v>1</v>
      </c>
      <c r="W1">
        <v>0</v>
      </c>
      <c r="X1">
        <v>476480486</v>
      </c>
      <c r="Y1">
        <f t="shared" ref="Y1:Y6" si="0">((AT1*0.75)*1.2)</f>
        <v>28.799999999999997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32</v>
      </c>
      <c r="AU1" t="s">
        <v>28</v>
      </c>
      <c r="AV1">
        <v>1</v>
      </c>
      <c r="AW1">
        <v>2</v>
      </c>
      <c r="AX1">
        <v>55747843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57.6</v>
      </c>
      <c r="CW1">
        <v>0</v>
      </c>
      <c r="CX1">
        <f>ROUND(Y1*Source!I28,9)</f>
        <v>57.6</v>
      </c>
      <c r="CY1">
        <f>AD1</f>
        <v>0</v>
      </c>
      <c r="CZ1">
        <f>AH1</f>
        <v>0</v>
      </c>
      <c r="DA1">
        <f>AL1</f>
        <v>1</v>
      </c>
      <c r="DB1">
        <f t="shared" ref="DB1:DB6" si="1">ROUND(((ROUND(AT1*CZ1,2)*0.75)*1.2),6)</f>
        <v>0</v>
      </c>
      <c r="DC1">
        <f t="shared" ref="DC1:DC6" si="2">ROUND(((ROUND(AT1*AG1,2)*0.75)*1.2),6)</f>
        <v>0</v>
      </c>
      <c r="DD1" t="s">
        <v>3</v>
      </c>
      <c r="DE1" t="s">
        <v>3</v>
      </c>
      <c r="DF1">
        <f t="shared" ref="DF1:DF16" si="3">ROUND(ROUND(AE1,2)*CX1,2)</f>
        <v>0</v>
      </c>
      <c r="DG1">
        <f t="shared" ref="DG1:DG11" si="4">ROUND(ROUND(AF1,2)*CX1,2)</f>
        <v>0</v>
      </c>
      <c r="DH1">
        <f t="shared" ref="DH1:DH13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55747649</v>
      </c>
      <c r="C2">
        <v>55747832</v>
      </c>
      <c r="D2">
        <v>54768040</v>
      </c>
      <c r="E2">
        <v>1</v>
      </c>
      <c r="F2">
        <v>1</v>
      </c>
      <c r="G2">
        <v>1081</v>
      </c>
      <c r="H2">
        <v>2</v>
      </c>
      <c r="I2" t="s">
        <v>476</v>
      </c>
      <c r="J2" t="s">
        <v>477</v>
      </c>
      <c r="K2" t="s">
        <v>478</v>
      </c>
      <c r="L2">
        <v>1368</v>
      </c>
      <c r="N2">
        <v>1011</v>
      </c>
      <c r="O2" t="s">
        <v>479</v>
      </c>
      <c r="P2" t="s">
        <v>479</v>
      </c>
      <c r="Q2">
        <v>1</v>
      </c>
      <c r="W2">
        <v>0</v>
      </c>
      <c r="X2">
        <v>1498588441</v>
      </c>
      <c r="Y2">
        <f t="shared" si="0"/>
        <v>2.3400000000000003</v>
      </c>
      <c r="AA2">
        <v>0</v>
      </c>
      <c r="AB2">
        <v>7.59</v>
      </c>
      <c r="AC2">
        <v>0</v>
      </c>
      <c r="AD2">
        <v>0</v>
      </c>
      <c r="AE2">
        <v>0</v>
      </c>
      <c r="AF2">
        <v>7.11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2.6</v>
      </c>
      <c r="AU2" t="s">
        <v>28</v>
      </c>
      <c r="AV2">
        <v>0</v>
      </c>
      <c r="AW2">
        <v>2</v>
      </c>
      <c r="AX2">
        <v>55747844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4.68</v>
      </c>
      <c r="CY2">
        <f>AB2</f>
        <v>7.59</v>
      </c>
      <c r="CZ2">
        <f>AF2</f>
        <v>7.11</v>
      </c>
      <c r="DA2">
        <f>AJ2</f>
        <v>1</v>
      </c>
      <c r="DB2">
        <f t="shared" si="1"/>
        <v>16.640999999999998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33.270000000000003</v>
      </c>
      <c r="DH2">
        <f t="shared" si="5"/>
        <v>0</v>
      </c>
      <c r="DI2">
        <f t="shared" si="6"/>
        <v>0</v>
      </c>
      <c r="DJ2">
        <f>DG2</f>
        <v>33.270000000000003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55747649</v>
      </c>
      <c r="C3">
        <v>55747832</v>
      </c>
      <c r="D3">
        <v>54768042</v>
      </c>
      <c r="E3">
        <v>1</v>
      </c>
      <c r="F3">
        <v>1</v>
      </c>
      <c r="G3">
        <v>1081</v>
      </c>
      <c r="H3">
        <v>2</v>
      </c>
      <c r="I3" t="s">
        <v>480</v>
      </c>
      <c r="J3" t="s">
        <v>481</v>
      </c>
      <c r="K3" t="s">
        <v>482</v>
      </c>
      <c r="L3">
        <v>1368</v>
      </c>
      <c r="N3">
        <v>1011</v>
      </c>
      <c r="O3" t="s">
        <v>479</v>
      </c>
      <c r="P3" t="s">
        <v>479</v>
      </c>
      <c r="Q3">
        <v>1</v>
      </c>
      <c r="W3">
        <v>0</v>
      </c>
      <c r="X3">
        <v>-49672420</v>
      </c>
      <c r="Y3">
        <f t="shared" si="0"/>
        <v>0.44999999999999996</v>
      </c>
      <c r="AA3">
        <v>0</v>
      </c>
      <c r="AB3">
        <v>0.3</v>
      </c>
      <c r="AC3">
        <v>0</v>
      </c>
      <c r="AD3">
        <v>0</v>
      </c>
      <c r="AE3">
        <v>0</v>
      </c>
      <c r="AF3">
        <v>0.28000000000000003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</v>
      </c>
      <c r="AU3" t="s">
        <v>28</v>
      </c>
      <c r="AV3">
        <v>0</v>
      </c>
      <c r="AW3">
        <v>2</v>
      </c>
      <c r="AX3">
        <v>55747845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0.9</v>
      </c>
      <c r="CY3">
        <f>AB3</f>
        <v>0.3</v>
      </c>
      <c r="CZ3">
        <f>AF3</f>
        <v>0.28000000000000003</v>
      </c>
      <c r="DA3">
        <f>AJ3</f>
        <v>1</v>
      </c>
      <c r="DB3">
        <f t="shared" si="1"/>
        <v>0.126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0.25</v>
      </c>
      <c r="DH3">
        <f t="shared" si="5"/>
        <v>0</v>
      </c>
      <c r="DI3">
        <f t="shared" si="6"/>
        <v>0</v>
      </c>
      <c r="DJ3">
        <f>DG3</f>
        <v>0.25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55747649</v>
      </c>
      <c r="C4">
        <v>55747832</v>
      </c>
      <c r="D4">
        <v>54768339</v>
      </c>
      <c r="E4">
        <v>1</v>
      </c>
      <c r="F4">
        <v>1</v>
      </c>
      <c r="G4">
        <v>1081</v>
      </c>
      <c r="H4">
        <v>2</v>
      </c>
      <c r="I4" t="s">
        <v>483</v>
      </c>
      <c r="J4" t="s">
        <v>484</v>
      </c>
      <c r="K4" t="s">
        <v>485</v>
      </c>
      <c r="L4">
        <v>1368</v>
      </c>
      <c r="N4">
        <v>1011</v>
      </c>
      <c r="O4" t="s">
        <v>479</v>
      </c>
      <c r="P4" t="s">
        <v>479</v>
      </c>
      <c r="Q4">
        <v>1</v>
      </c>
      <c r="W4">
        <v>0</v>
      </c>
      <c r="X4">
        <v>874612079</v>
      </c>
      <c r="Y4">
        <f t="shared" si="0"/>
        <v>0.20700000000000002</v>
      </c>
      <c r="AA4">
        <v>0</v>
      </c>
      <c r="AB4">
        <v>88.67</v>
      </c>
      <c r="AC4">
        <v>13.47</v>
      </c>
      <c r="AD4">
        <v>0</v>
      </c>
      <c r="AE4">
        <v>0</v>
      </c>
      <c r="AF4">
        <v>83.1</v>
      </c>
      <c r="AG4">
        <v>12.62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0.23</v>
      </c>
      <c r="AU4" t="s">
        <v>28</v>
      </c>
      <c r="AV4">
        <v>0</v>
      </c>
      <c r="AW4">
        <v>2</v>
      </c>
      <c r="AX4">
        <v>55747846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5.2246800000000002</v>
      </c>
      <c r="CX4">
        <f>ROUND(Y4*Source!I28,9)</f>
        <v>0.41399999999999998</v>
      </c>
      <c r="CY4">
        <f>AB4</f>
        <v>88.67</v>
      </c>
      <c r="CZ4">
        <f>AF4</f>
        <v>83.1</v>
      </c>
      <c r="DA4">
        <f>AJ4</f>
        <v>1</v>
      </c>
      <c r="DB4">
        <f t="shared" si="1"/>
        <v>17.199000000000002</v>
      </c>
      <c r="DC4">
        <f t="shared" si="2"/>
        <v>2.61</v>
      </c>
      <c r="DD4" t="s">
        <v>3</v>
      </c>
      <c r="DE4" t="s">
        <v>3</v>
      </c>
      <c r="DF4">
        <f t="shared" si="3"/>
        <v>0</v>
      </c>
      <c r="DG4">
        <f t="shared" si="4"/>
        <v>34.4</v>
      </c>
      <c r="DH4">
        <f t="shared" si="5"/>
        <v>5.22</v>
      </c>
      <c r="DI4">
        <f t="shared" si="6"/>
        <v>0</v>
      </c>
      <c r="DJ4">
        <f>DG4</f>
        <v>34.4</v>
      </c>
      <c r="DK4">
        <v>0</v>
      </c>
      <c r="DL4" t="s">
        <v>486</v>
      </c>
      <c r="DM4">
        <v>0</v>
      </c>
      <c r="DN4" t="s">
        <v>475</v>
      </c>
      <c r="DO4">
        <v>12.62</v>
      </c>
    </row>
    <row r="5" spans="1:119" x14ac:dyDescent="0.2">
      <c r="A5">
        <f>ROW(Source!A28)</f>
        <v>28</v>
      </c>
      <c r="B5">
        <v>55747649</v>
      </c>
      <c r="C5">
        <v>55747832</v>
      </c>
      <c r="D5">
        <v>54768400</v>
      </c>
      <c r="E5">
        <v>1</v>
      </c>
      <c r="F5">
        <v>1</v>
      </c>
      <c r="G5">
        <v>1081</v>
      </c>
      <c r="H5">
        <v>2</v>
      </c>
      <c r="I5" t="s">
        <v>487</v>
      </c>
      <c r="J5" t="s">
        <v>488</v>
      </c>
      <c r="K5" t="s">
        <v>489</v>
      </c>
      <c r="L5">
        <v>1368</v>
      </c>
      <c r="N5">
        <v>1011</v>
      </c>
      <c r="O5" t="s">
        <v>479</v>
      </c>
      <c r="P5" t="s">
        <v>479</v>
      </c>
      <c r="Q5">
        <v>1</v>
      </c>
      <c r="W5">
        <v>0</v>
      </c>
      <c r="X5">
        <v>-1412866184</v>
      </c>
      <c r="Y5">
        <f t="shared" si="0"/>
        <v>2.61</v>
      </c>
      <c r="AA5">
        <v>0</v>
      </c>
      <c r="AB5">
        <v>0.45</v>
      </c>
      <c r="AC5">
        <v>0</v>
      </c>
      <c r="AD5">
        <v>0</v>
      </c>
      <c r="AE5">
        <v>0</v>
      </c>
      <c r="AF5">
        <v>0.42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2.9</v>
      </c>
      <c r="AU5" t="s">
        <v>28</v>
      </c>
      <c r="AV5">
        <v>0</v>
      </c>
      <c r="AW5">
        <v>2</v>
      </c>
      <c r="AX5">
        <v>55747847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ROUND(Y5*Source!I28*DO5,9)</f>
        <v>0</v>
      </c>
      <c r="CX5">
        <f>ROUND(Y5*Source!I28,9)</f>
        <v>5.22</v>
      </c>
      <c r="CY5">
        <f>AB5</f>
        <v>0.45</v>
      </c>
      <c r="CZ5">
        <f>AF5</f>
        <v>0.42</v>
      </c>
      <c r="DA5">
        <f>AJ5</f>
        <v>1</v>
      </c>
      <c r="DB5">
        <f t="shared" si="1"/>
        <v>1.0980000000000001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si="4"/>
        <v>2.19</v>
      </c>
      <c r="DH5">
        <f t="shared" si="5"/>
        <v>0</v>
      </c>
      <c r="DI5">
        <f t="shared" si="6"/>
        <v>0</v>
      </c>
      <c r="DJ5">
        <f>DG5</f>
        <v>2.19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55747649</v>
      </c>
      <c r="C6">
        <v>55747832</v>
      </c>
      <c r="D6">
        <v>54767702</v>
      </c>
      <c r="E6">
        <v>1</v>
      </c>
      <c r="F6">
        <v>1</v>
      </c>
      <c r="G6">
        <v>1081</v>
      </c>
      <c r="H6">
        <v>2</v>
      </c>
      <c r="I6" t="s">
        <v>490</v>
      </c>
      <c r="J6" t="s">
        <v>491</v>
      </c>
      <c r="K6" t="s">
        <v>492</v>
      </c>
      <c r="L6">
        <v>1368</v>
      </c>
      <c r="N6">
        <v>1011</v>
      </c>
      <c r="O6" t="s">
        <v>479</v>
      </c>
      <c r="P6" t="s">
        <v>479</v>
      </c>
      <c r="Q6">
        <v>1</v>
      </c>
      <c r="W6">
        <v>0</v>
      </c>
      <c r="X6">
        <v>1143286219</v>
      </c>
      <c r="Y6">
        <f t="shared" si="0"/>
        <v>0.70199999999999996</v>
      </c>
      <c r="AA6">
        <v>0</v>
      </c>
      <c r="AB6">
        <v>4.2699999999999996</v>
      </c>
      <c r="AC6">
        <v>0</v>
      </c>
      <c r="AD6">
        <v>0</v>
      </c>
      <c r="AE6">
        <v>0</v>
      </c>
      <c r="AF6">
        <v>4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0.78</v>
      </c>
      <c r="AU6" t="s">
        <v>28</v>
      </c>
      <c r="AV6">
        <v>0</v>
      </c>
      <c r="AW6">
        <v>2</v>
      </c>
      <c r="AX6">
        <v>55747848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ROUND(Y6*Source!I28*DO6,9)</f>
        <v>0</v>
      </c>
      <c r="CX6">
        <f>ROUND(Y6*Source!I28,9)</f>
        <v>1.4039999999999999</v>
      </c>
      <c r="CY6">
        <f>AB6</f>
        <v>4.2699999999999996</v>
      </c>
      <c r="CZ6">
        <f>AF6</f>
        <v>4</v>
      </c>
      <c r="DA6">
        <f>AJ6</f>
        <v>1</v>
      </c>
      <c r="DB6">
        <f t="shared" si="1"/>
        <v>2.8079999999999998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5.62</v>
      </c>
      <c r="DH6">
        <f t="shared" si="5"/>
        <v>0</v>
      </c>
      <c r="DI6">
        <f t="shared" si="6"/>
        <v>0</v>
      </c>
      <c r="DJ6">
        <f>DG6</f>
        <v>5.62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55747649</v>
      </c>
      <c r="C7">
        <v>55747832</v>
      </c>
      <c r="D7">
        <v>54738518</v>
      </c>
      <c r="E7">
        <v>1</v>
      </c>
      <c r="F7">
        <v>1</v>
      </c>
      <c r="G7">
        <v>1081</v>
      </c>
      <c r="H7">
        <v>3</v>
      </c>
      <c r="I7" t="s">
        <v>493</v>
      </c>
      <c r="J7" t="s">
        <v>494</v>
      </c>
      <c r="K7" t="s">
        <v>495</v>
      </c>
      <c r="L7">
        <v>1348</v>
      </c>
      <c r="N7">
        <v>1009</v>
      </c>
      <c r="O7" t="s">
        <v>282</v>
      </c>
      <c r="P7" t="s">
        <v>282</v>
      </c>
      <c r="Q7">
        <v>1000</v>
      </c>
      <c r="W7">
        <v>0</v>
      </c>
      <c r="X7">
        <v>205566664</v>
      </c>
      <c r="Y7">
        <f>((AT7*0.75)*1)</f>
        <v>2.6250000000000002E-3</v>
      </c>
      <c r="AA7">
        <v>9367.64</v>
      </c>
      <c r="AB7">
        <v>0</v>
      </c>
      <c r="AC7">
        <v>0</v>
      </c>
      <c r="AD7">
        <v>0</v>
      </c>
      <c r="AE7">
        <v>9112.49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3.5000000000000001E-3</v>
      </c>
      <c r="AU7" t="s">
        <v>27</v>
      </c>
      <c r="AV7">
        <v>0</v>
      </c>
      <c r="AW7">
        <v>2</v>
      </c>
      <c r="AX7">
        <v>55747849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5.2500000000000003E-3</v>
      </c>
      <c r="CY7">
        <f>AA7</f>
        <v>9367.64</v>
      </c>
      <c r="CZ7">
        <f>AE7</f>
        <v>9112.49</v>
      </c>
      <c r="DA7">
        <f>AI7</f>
        <v>1</v>
      </c>
      <c r="DB7">
        <f>ROUND(((ROUND(AT7*CZ7,2)*0.75)*1),6)</f>
        <v>23.9175</v>
      </c>
      <c r="DC7">
        <f>ROUND(((ROUND(AT7*AG7,2)*0.75)*1),6)</f>
        <v>0</v>
      </c>
      <c r="DD7" t="s">
        <v>3</v>
      </c>
      <c r="DE7" t="s">
        <v>3</v>
      </c>
      <c r="DF7">
        <f t="shared" si="3"/>
        <v>47.84</v>
      </c>
      <c r="DG7">
        <f t="shared" si="4"/>
        <v>0</v>
      </c>
      <c r="DH7">
        <f t="shared" si="5"/>
        <v>0</v>
      </c>
      <c r="DI7">
        <f t="shared" si="6"/>
        <v>0</v>
      </c>
      <c r="DJ7">
        <f>DF7</f>
        <v>47.84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ROW(Source!A28)</f>
        <v>28</v>
      </c>
      <c r="B8">
        <v>55747649</v>
      </c>
      <c r="C8">
        <v>55747832</v>
      </c>
      <c r="D8">
        <v>54738676</v>
      </c>
      <c r="E8">
        <v>1</v>
      </c>
      <c r="F8">
        <v>1</v>
      </c>
      <c r="G8">
        <v>1081</v>
      </c>
      <c r="H8">
        <v>3</v>
      </c>
      <c r="I8" t="s">
        <v>496</v>
      </c>
      <c r="J8" t="s">
        <v>497</v>
      </c>
      <c r="K8" t="s">
        <v>498</v>
      </c>
      <c r="L8">
        <v>1255</v>
      </c>
      <c r="N8">
        <v>1013</v>
      </c>
      <c r="O8" t="s">
        <v>499</v>
      </c>
      <c r="P8" t="s">
        <v>499</v>
      </c>
      <c r="Q8">
        <v>1</v>
      </c>
      <c r="W8">
        <v>0</v>
      </c>
      <c r="X8">
        <v>-1398468845</v>
      </c>
      <c r="Y8">
        <f>((AT8*0.75)*1)</f>
        <v>7.125</v>
      </c>
      <c r="AA8">
        <v>0.43</v>
      </c>
      <c r="AB8">
        <v>0</v>
      </c>
      <c r="AC8">
        <v>0</v>
      </c>
      <c r="AD8">
        <v>0</v>
      </c>
      <c r="AE8">
        <v>0.42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9.5</v>
      </c>
      <c r="AU8" t="s">
        <v>27</v>
      </c>
      <c r="AV8">
        <v>0</v>
      </c>
      <c r="AW8">
        <v>2</v>
      </c>
      <c r="AX8">
        <v>55747850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14.25</v>
      </c>
      <c r="CY8">
        <f>AA8</f>
        <v>0.43</v>
      </c>
      <c r="CZ8">
        <f>AE8</f>
        <v>0.42</v>
      </c>
      <c r="DA8">
        <f>AI8</f>
        <v>1</v>
      </c>
      <c r="DB8">
        <f>ROUND(((ROUND(AT8*CZ8,2)*0.75)*1),6)</f>
        <v>2.9925000000000002</v>
      </c>
      <c r="DC8">
        <f>ROUND(((ROUND(AT8*AG8,2)*0.75)*1),6)</f>
        <v>0</v>
      </c>
      <c r="DD8" t="s">
        <v>3</v>
      </c>
      <c r="DE8" t="s">
        <v>3</v>
      </c>
      <c r="DF8">
        <f t="shared" si="3"/>
        <v>5.99</v>
      </c>
      <c r="DG8">
        <f t="shared" si="4"/>
        <v>0</v>
      </c>
      <c r="DH8">
        <f t="shared" si="5"/>
        <v>0</v>
      </c>
      <c r="DI8">
        <f t="shared" si="6"/>
        <v>0</v>
      </c>
      <c r="DJ8">
        <f>DF8</f>
        <v>5.99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ROW(Source!A28)</f>
        <v>28</v>
      </c>
      <c r="B9">
        <v>55747649</v>
      </c>
      <c r="C9">
        <v>55747832</v>
      </c>
      <c r="D9">
        <v>54739191</v>
      </c>
      <c r="E9">
        <v>1</v>
      </c>
      <c r="F9">
        <v>1</v>
      </c>
      <c r="G9">
        <v>1081</v>
      </c>
      <c r="H9">
        <v>3</v>
      </c>
      <c r="I9" t="s">
        <v>500</v>
      </c>
      <c r="J9" t="s">
        <v>501</v>
      </c>
      <c r="K9" t="s">
        <v>502</v>
      </c>
      <c r="L9">
        <v>1346</v>
      </c>
      <c r="N9">
        <v>1009</v>
      </c>
      <c r="O9" t="s">
        <v>503</v>
      </c>
      <c r="P9" t="s">
        <v>503</v>
      </c>
      <c r="Q9">
        <v>1</v>
      </c>
      <c r="W9">
        <v>0</v>
      </c>
      <c r="X9">
        <v>-2132327540</v>
      </c>
      <c r="Y9">
        <f>((AT9*0.75)*1)</f>
        <v>0.18</v>
      </c>
      <c r="AA9">
        <v>6.43</v>
      </c>
      <c r="AB9">
        <v>0</v>
      </c>
      <c r="AC9">
        <v>0</v>
      </c>
      <c r="AD9">
        <v>0</v>
      </c>
      <c r="AE9">
        <v>6.25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0.24</v>
      </c>
      <c r="AU9" t="s">
        <v>27</v>
      </c>
      <c r="AV9">
        <v>0</v>
      </c>
      <c r="AW9">
        <v>2</v>
      </c>
      <c r="AX9">
        <v>55747851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0.36</v>
      </c>
      <c r="CY9">
        <f>AA9</f>
        <v>6.43</v>
      </c>
      <c r="CZ9">
        <f>AE9</f>
        <v>6.25</v>
      </c>
      <c r="DA9">
        <f>AI9</f>
        <v>1</v>
      </c>
      <c r="DB9">
        <f>ROUND(((ROUND(AT9*CZ9,2)*0.75)*1),6)</f>
        <v>1.125</v>
      </c>
      <c r="DC9">
        <f>ROUND(((ROUND(AT9*AG9,2)*0.75)*1),6)</f>
        <v>0</v>
      </c>
      <c r="DD9" t="s">
        <v>3</v>
      </c>
      <c r="DE9" t="s">
        <v>3</v>
      </c>
      <c r="DF9">
        <f t="shared" si="3"/>
        <v>2.25</v>
      </c>
      <c r="DG9">
        <f t="shared" si="4"/>
        <v>0</v>
      </c>
      <c r="DH9">
        <f t="shared" si="5"/>
        <v>0</v>
      </c>
      <c r="DI9">
        <f t="shared" si="6"/>
        <v>0</v>
      </c>
      <c r="DJ9">
        <f>DF9</f>
        <v>2.25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ROW(Source!A28)</f>
        <v>28</v>
      </c>
      <c r="B10">
        <v>55747649</v>
      </c>
      <c r="C10">
        <v>55747832</v>
      </c>
      <c r="D10">
        <v>54737565</v>
      </c>
      <c r="E10">
        <v>1</v>
      </c>
      <c r="F10">
        <v>1</v>
      </c>
      <c r="G10">
        <v>1081</v>
      </c>
      <c r="H10">
        <v>3</v>
      </c>
      <c r="I10" t="s">
        <v>504</v>
      </c>
      <c r="J10" t="s">
        <v>505</v>
      </c>
      <c r="K10" t="s">
        <v>506</v>
      </c>
      <c r="L10">
        <v>1339</v>
      </c>
      <c r="N10">
        <v>1007</v>
      </c>
      <c r="O10" t="s">
        <v>507</v>
      </c>
      <c r="P10" t="s">
        <v>507</v>
      </c>
      <c r="Q10">
        <v>1</v>
      </c>
      <c r="W10">
        <v>0</v>
      </c>
      <c r="X10">
        <v>-1235260082</v>
      </c>
      <c r="Y10">
        <f>((AT10*0.75)*1)</f>
        <v>1.0499999999999998</v>
      </c>
      <c r="AA10">
        <v>5.98</v>
      </c>
      <c r="AB10">
        <v>0</v>
      </c>
      <c r="AC10">
        <v>0</v>
      </c>
      <c r="AD10">
        <v>0</v>
      </c>
      <c r="AE10">
        <v>5.82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1.4</v>
      </c>
      <c r="AU10" t="s">
        <v>27</v>
      </c>
      <c r="AV10">
        <v>0</v>
      </c>
      <c r="AW10">
        <v>2</v>
      </c>
      <c r="AX10">
        <v>55747852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2.1</v>
      </c>
      <c r="CY10">
        <f>AA10</f>
        <v>5.98</v>
      </c>
      <c r="CZ10">
        <f>AE10</f>
        <v>5.82</v>
      </c>
      <c r="DA10">
        <f>AI10</f>
        <v>1</v>
      </c>
      <c r="DB10">
        <f>ROUND(((ROUND(AT10*CZ10,2)*0.75)*1),6)</f>
        <v>6.1124999999999998</v>
      </c>
      <c r="DC10">
        <f>ROUND(((ROUND(AT10*AG10,2)*0.75)*1),6)</f>
        <v>0</v>
      </c>
      <c r="DD10" t="s">
        <v>3</v>
      </c>
      <c r="DE10" t="s">
        <v>3</v>
      </c>
      <c r="DF10">
        <f t="shared" si="3"/>
        <v>12.22</v>
      </c>
      <c r="DG10">
        <f t="shared" si="4"/>
        <v>0</v>
      </c>
      <c r="DH10">
        <f t="shared" si="5"/>
        <v>0</v>
      </c>
      <c r="DI10">
        <f t="shared" si="6"/>
        <v>0</v>
      </c>
      <c r="DJ10">
        <f>DF10</f>
        <v>12.22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ROW(Source!A29)</f>
        <v>29</v>
      </c>
      <c r="B11">
        <v>55747651</v>
      </c>
      <c r="C11">
        <v>55747832</v>
      </c>
      <c r="D11">
        <v>54702434</v>
      </c>
      <c r="E11">
        <v>1081</v>
      </c>
      <c r="F11">
        <v>1</v>
      </c>
      <c r="G11">
        <v>1081</v>
      </c>
      <c r="H11">
        <v>1</v>
      </c>
      <c r="I11" t="s">
        <v>473</v>
      </c>
      <c r="J11" t="s">
        <v>3</v>
      </c>
      <c r="K11" t="s">
        <v>474</v>
      </c>
      <c r="L11">
        <v>1191</v>
      </c>
      <c r="N11">
        <v>1013</v>
      </c>
      <c r="O11" t="s">
        <v>475</v>
      </c>
      <c r="P11" t="s">
        <v>475</v>
      </c>
      <c r="Q11">
        <v>1</v>
      </c>
      <c r="W11">
        <v>0</v>
      </c>
      <c r="X11">
        <v>476480486</v>
      </c>
      <c r="Y11">
        <f t="shared" ref="Y11:Y16" si="7">((AT11*0.75)*1.2)</f>
        <v>28.799999999999997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5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32</v>
      </c>
      <c r="AU11" t="s">
        <v>28</v>
      </c>
      <c r="AV11">
        <v>1</v>
      </c>
      <c r="AW11">
        <v>2</v>
      </c>
      <c r="AX11">
        <v>55747843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ROUND(AT11*Source!I29*AH11*AL11,2)</f>
        <v>0</v>
      </c>
      <c r="CV11">
        <f>ROUND(Y11*Source!I29,9)</f>
        <v>57.6</v>
      </c>
      <c r="CW11">
        <v>0</v>
      </c>
      <c r="CX11">
        <f>ROUND(Y11*Source!I29,9)</f>
        <v>57.6</v>
      </c>
      <c r="CY11">
        <f>AD11</f>
        <v>0</v>
      </c>
      <c r="CZ11">
        <f>AH11</f>
        <v>0</v>
      </c>
      <c r="DA11">
        <f>AL11</f>
        <v>1</v>
      </c>
      <c r="DB11">
        <f t="shared" ref="DB11:DB16" si="8">ROUND(((ROUND(AT11*CZ11,2)*0.75)*1.2),6)</f>
        <v>0</v>
      </c>
      <c r="DC11">
        <f t="shared" ref="DC11:DC16" si="9">ROUND(((ROUND(AT11*AG11,2)*0.75)*1.2),6)</f>
        <v>0</v>
      </c>
      <c r="DD11" t="s">
        <v>3</v>
      </c>
      <c r="DE11" t="s">
        <v>3</v>
      </c>
      <c r="DF11">
        <f t="shared" si="3"/>
        <v>0</v>
      </c>
      <c r="DG11">
        <f t="shared" si="4"/>
        <v>0</v>
      </c>
      <c r="DH11">
        <f t="shared" si="5"/>
        <v>0</v>
      </c>
      <c r="DI11">
        <f t="shared" si="6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ROW(Source!A29)</f>
        <v>29</v>
      </c>
      <c r="B12">
        <v>55747651</v>
      </c>
      <c r="C12">
        <v>55747832</v>
      </c>
      <c r="D12">
        <v>54768040</v>
      </c>
      <c r="E12">
        <v>1</v>
      </c>
      <c r="F12">
        <v>1</v>
      </c>
      <c r="G12">
        <v>1081</v>
      </c>
      <c r="H12">
        <v>2</v>
      </c>
      <c r="I12" t="s">
        <v>476</v>
      </c>
      <c r="J12" t="s">
        <v>477</v>
      </c>
      <c r="K12" t="s">
        <v>478</v>
      </c>
      <c r="L12">
        <v>1368</v>
      </c>
      <c r="N12">
        <v>1011</v>
      </c>
      <c r="O12" t="s">
        <v>479</v>
      </c>
      <c r="P12" t="s">
        <v>479</v>
      </c>
      <c r="Q12">
        <v>1</v>
      </c>
      <c r="W12">
        <v>0</v>
      </c>
      <c r="X12">
        <v>1498588441</v>
      </c>
      <c r="Y12">
        <f t="shared" si="7"/>
        <v>2.3400000000000003</v>
      </c>
      <c r="AA12">
        <v>0</v>
      </c>
      <c r="AB12">
        <v>102.11</v>
      </c>
      <c r="AC12">
        <v>0</v>
      </c>
      <c r="AD12">
        <v>0</v>
      </c>
      <c r="AE12">
        <v>0</v>
      </c>
      <c r="AF12">
        <v>7.11</v>
      </c>
      <c r="AG12">
        <v>0</v>
      </c>
      <c r="AH12">
        <v>0</v>
      </c>
      <c r="AI12">
        <v>1</v>
      </c>
      <c r="AJ12">
        <v>13.46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2.6</v>
      </c>
      <c r="AU12" t="s">
        <v>28</v>
      </c>
      <c r="AV12">
        <v>0</v>
      </c>
      <c r="AW12">
        <v>2</v>
      </c>
      <c r="AX12">
        <v>55747844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ROUND(Y12*Source!I29*DO12,9)</f>
        <v>0</v>
      </c>
      <c r="CX12">
        <f>ROUND(Y12*Source!I29,9)</f>
        <v>4.68</v>
      </c>
      <c r="CY12">
        <f>AB12</f>
        <v>102.11</v>
      </c>
      <c r="CZ12">
        <f>AF12</f>
        <v>7.11</v>
      </c>
      <c r="DA12">
        <f>AJ12</f>
        <v>13.46</v>
      </c>
      <c r="DB12">
        <f t="shared" si="8"/>
        <v>16.640999999999998</v>
      </c>
      <c r="DC12">
        <f t="shared" si="9"/>
        <v>0</v>
      </c>
      <c r="DD12" t="s">
        <v>3</v>
      </c>
      <c r="DE12" t="s">
        <v>3</v>
      </c>
      <c r="DF12">
        <f t="shared" si="3"/>
        <v>0</v>
      </c>
      <c r="DG12">
        <f>ROUND(ROUND(AF12*AJ12,2)*CX12,2)</f>
        <v>447.88</v>
      </c>
      <c r="DH12">
        <f t="shared" si="5"/>
        <v>0</v>
      </c>
      <c r="DI12">
        <f t="shared" si="6"/>
        <v>0</v>
      </c>
      <c r="DJ12">
        <f>DG12</f>
        <v>447.88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ROW(Source!A29)</f>
        <v>29</v>
      </c>
      <c r="B13">
        <v>55747651</v>
      </c>
      <c r="C13">
        <v>55747832</v>
      </c>
      <c r="D13">
        <v>54768042</v>
      </c>
      <c r="E13">
        <v>1</v>
      </c>
      <c r="F13">
        <v>1</v>
      </c>
      <c r="G13">
        <v>1081</v>
      </c>
      <c r="H13">
        <v>2</v>
      </c>
      <c r="I13" t="s">
        <v>480</v>
      </c>
      <c r="J13" t="s">
        <v>481</v>
      </c>
      <c r="K13" t="s">
        <v>482</v>
      </c>
      <c r="L13">
        <v>1368</v>
      </c>
      <c r="N13">
        <v>1011</v>
      </c>
      <c r="O13" t="s">
        <v>479</v>
      </c>
      <c r="P13" t="s">
        <v>479</v>
      </c>
      <c r="Q13">
        <v>1</v>
      </c>
      <c r="W13">
        <v>0</v>
      </c>
      <c r="X13">
        <v>-49672420</v>
      </c>
      <c r="Y13">
        <f t="shared" si="7"/>
        <v>0.44999999999999996</v>
      </c>
      <c r="AA13">
        <v>0</v>
      </c>
      <c r="AB13">
        <v>2.78</v>
      </c>
      <c r="AC13">
        <v>0</v>
      </c>
      <c r="AD13">
        <v>0</v>
      </c>
      <c r="AE13">
        <v>0</v>
      </c>
      <c r="AF13">
        <v>0.28000000000000003</v>
      </c>
      <c r="AG13">
        <v>0</v>
      </c>
      <c r="AH13">
        <v>0</v>
      </c>
      <c r="AI13">
        <v>1</v>
      </c>
      <c r="AJ13">
        <v>9.2899999999999991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0.5</v>
      </c>
      <c r="AU13" t="s">
        <v>28</v>
      </c>
      <c r="AV13">
        <v>0</v>
      </c>
      <c r="AW13">
        <v>2</v>
      </c>
      <c r="AX13">
        <v>55747845</v>
      </c>
      <c r="AY13">
        <v>1</v>
      </c>
      <c r="AZ13">
        <v>0</v>
      </c>
      <c r="BA13">
        <v>14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ROUND(Y13*Source!I29*DO13,9)</f>
        <v>0</v>
      </c>
      <c r="CX13">
        <f>ROUND(Y13*Source!I29,9)</f>
        <v>0.9</v>
      </c>
      <c r="CY13">
        <f>AB13</f>
        <v>2.78</v>
      </c>
      <c r="CZ13">
        <f>AF13</f>
        <v>0.28000000000000003</v>
      </c>
      <c r="DA13">
        <f>AJ13</f>
        <v>9.2899999999999991</v>
      </c>
      <c r="DB13">
        <f t="shared" si="8"/>
        <v>0.126</v>
      </c>
      <c r="DC13">
        <f t="shared" si="9"/>
        <v>0</v>
      </c>
      <c r="DD13" t="s">
        <v>3</v>
      </c>
      <c r="DE13" t="s">
        <v>3</v>
      </c>
      <c r="DF13">
        <f t="shared" si="3"/>
        <v>0</v>
      </c>
      <c r="DG13">
        <f>ROUND(ROUND(AF13*AJ13,2)*CX13,2)</f>
        <v>2.34</v>
      </c>
      <c r="DH13">
        <f t="shared" si="5"/>
        <v>0</v>
      </c>
      <c r="DI13">
        <f t="shared" si="6"/>
        <v>0</v>
      </c>
      <c r="DJ13">
        <f>DG13</f>
        <v>2.34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ROW(Source!A29)</f>
        <v>29</v>
      </c>
      <c r="B14">
        <v>55747651</v>
      </c>
      <c r="C14">
        <v>55747832</v>
      </c>
      <c r="D14">
        <v>54768339</v>
      </c>
      <c r="E14">
        <v>1</v>
      </c>
      <c r="F14">
        <v>1</v>
      </c>
      <c r="G14">
        <v>1081</v>
      </c>
      <c r="H14">
        <v>2</v>
      </c>
      <c r="I14" t="s">
        <v>483</v>
      </c>
      <c r="J14" t="s">
        <v>484</v>
      </c>
      <c r="K14" t="s">
        <v>485</v>
      </c>
      <c r="L14">
        <v>1368</v>
      </c>
      <c r="N14">
        <v>1011</v>
      </c>
      <c r="O14" t="s">
        <v>479</v>
      </c>
      <c r="P14" t="s">
        <v>479</v>
      </c>
      <c r="Q14">
        <v>1</v>
      </c>
      <c r="W14">
        <v>0</v>
      </c>
      <c r="X14">
        <v>874612079</v>
      </c>
      <c r="Y14">
        <f t="shared" si="7"/>
        <v>0.20700000000000002</v>
      </c>
      <c r="AA14">
        <v>0</v>
      </c>
      <c r="AB14">
        <v>1513.56</v>
      </c>
      <c r="AC14">
        <v>758.78</v>
      </c>
      <c r="AD14">
        <v>0</v>
      </c>
      <c r="AE14">
        <v>0</v>
      </c>
      <c r="AF14">
        <v>83.1</v>
      </c>
      <c r="AG14">
        <v>12.62</v>
      </c>
      <c r="AH14">
        <v>0</v>
      </c>
      <c r="AI14">
        <v>1</v>
      </c>
      <c r="AJ14">
        <v>17.07</v>
      </c>
      <c r="AK14">
        <v>56.35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0.23</v>
      </c>
      <c r="AU14" t="s">
        <v>28</v>
      </c>
      <c r="AV14">
        <v>0</v>
      </c>
      <c r="AW14">
        <v>2</v>
      </c>
      <c r="AX14">
        <v>55747846</v>
      </c>
      <c r="AY14">
        <v>1</v>
      </c>
      <c r="AZ14">
        <v>0</v>
      </c>
      <c r="BA14">
        <v>15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ROUND(Y14*Source!I29*DO14,9)</f>
        <v>5.2246800000000002</v>
      </c>
      <c r="CX14">
        <f>ROUND(Y14*Source!I29,9)</f>
        <v>0.41399999999999998</v>
      </c>
      <c r="CY14">
        <f>AB14</f>
        <v>1513.56</v>
      </c>
      <c r="CZ14">
        <f>AF14</f>
        <v>83.1</v>
      </c>
      <c r="DA14">
        <f>AJ14</f>
        <v>17.07</v>
      </c>
      <c r="DB14">
        <f t="shared" si="8"/>
        <v>17.199000000000002</v>
      </c>
      <c r="DC14">
        <f t="shared" si="9"/>
        <v>2.61</v>
      </c>
      <c r="DD14" t="s">
        <v>3</v>
      </c>
      <c r="DE14" t="s">
        <v>3</v>
      </c>
      <c r="DF14">
        <f t="shared" si="3"/>
        <v>0</v>
      </c>
      <c r="DG14">
        <f>ROUND(ROUND(AF14*AJ14,2)*CX14,2)</f>
        <v>587.27</v>
      </c>
      <c r="DH14">
        <f>ROUND(ROUND(AG14*AK14,2)*CX14,2)</f>
        <v>294.41000000000003</v>
      </c>
      <c r="DI14">
        <f t="shared" si="6"/>
        <v>0</v>
      </c>
      <c r="DJ14">
        <f>DG14</f>
        <v>587.27</v>
      </c>
      <c r="DK14">
        <v>0</v>
      </c>
      <c r="DL14" t="s">
        <v>486</v>
      </c>
      <c r="DM14">
        <v>0</v>
      </c>
      <c r="DN14" t="s">
        <v>475</v>
      </c>
      <c r="DO14">
        <v>12.62</v>
      </c>
    </row>
    <row r="15" spans="1:119" x14ac:dyDescent="0.2">
      <c r="A15">
        <f>ROW(Source!A29)</f>
        <v>29</v>
      </c>
      <c r="B15">
        <v>55747651</v>
      </c>
      <c r="C15">
        <v>55747832</v>
      </c>
      <c r="D15">
        <v>54768400</v>
      </c>
      <c r="E15">
        <v>1</v>
      </c>
      <c r="F15">
        <v>1</v>
      </c>
      <c r="G15">
        <v>1081</v>
      </c>
      <c r="H15">
        <v>2</v>
      </c>
      <c r="I15" t="s">
        <v>487</v>
      </c>
      <c r="J15" t="s">
        <v>488</v>
      </c>
      <c r="K15" t="s">
        <v>489</v>
      </c>
      <c r="L15">
        <v>1368</v>
      </c>
      <c r="N15">
        <v>1011</v>
      </c>
      <c r="O15" t="s">
        <v>479</v>
      </c>
      <c r="P15" t="s">
        <v>479</v>
      </c>
      <c r="Q15">
        <v>1</v>
      </c>
      <c r="W15">
        <v>0</v>
      </c>
      <c r="X15">
        <v>-1412866184</v>
      </c>
      <c r="Y15">
        <f t="shared" si="7"/>
        <v>2.61</v>
      </c>
      <c r="AA15">
        <v>0</v>
      </c>
      <c r="AB15">
        <v>4.41</v>
      </c>
      <c r="AC15">
        <v>0</v>
      </c>
      <c r="AD15">
        <v>0</v>
      </c>
      <c r="AE15">
        <v>0</v>
      </c>
      <c r="AF15">
        <v>0.42</v>
      </c>
      <c r="AG15">
        <v>0</v>
      </c>
      <c r="AH15">
        <v>0</v>
      </c>
      <c r="AI15">
        <v>1</v>
      </c>
      <c r="AJ15">
        <v>9.83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2.9</v>
      </c>
      <c r="AU15" t="s">
        <v>28</v>
      </c>
      <c r="AV15">
        <v>0</v>
      </c>
      <c r="AW15">
        <v>2</v>
      </c>
      <c r="AX15">
        <v>55747847</v>
      </c>
      <c r="AY15">
        <v>1</v>
      </c>
      <c r="AZ15">
        <v>0</v>
      </c>
      <c r="BA15">
        <v>16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ROUND(Y15*Source!I29*DO15,9)</f>
        <v>0</v>
      </c>
      <c r="CX15">
        <f>ROUND(Y15*Source!I29,9)</f>
        <v>5.22</v>
      </c>
      <c r="CY15">
        <f>AB15</f>
        <v>4.41</v>
      </c>
      <c r="CZ15">
        <f>AF15</f>
        <v>0.42</v>
      </c>
      <c r="DA15">
        <f>AJ15</f>
        <v>9.83</v>
      </c>
      <c r="DB15">
        <f t="shared" si="8"/>
        <v>1.0980000000000001</v>
      </c>
      <c r="DC15">
        <f t="shared" si="9"/>
        <v>0</v>
      </c>
      <c r="DD15" t="s">
        <v>3</v>
      </c>
      <c r="DE15" t="s">
        <v>3</v>
      </c>
      <c r="DF15">
        <f t="shared" si="3"/>
        <v>0</v>
      </c>
      <c r="DG15">
        <f>ROUND(ROUND(AF15*AJ15,2)*CX15,2)</f>
        <v>21.56</v>
      </c>
      <c r="DH15">
        <f t="shared" ref="DH15:DH31" si="10">ROUND(ROUND(AG15,2)*CX15,2)</f>
        <v>0</v>
      </c>
      <c r="DI15">
        <f t="shared" si="6"/>
        <v>0</v>
      </c>
      <c r="DJ15">
        <f>DG15</f>
        <v>21.56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ROW(Source!A29)</f>
        <v>29</v>
      </c>
      <c r="B16">
        <v>55747651</v>
      </c>
      <c r="C16">
        <v>55747832</v>
      </c>
      <c r="D16">
        <v>54767702</v>
      </c>
      <c r="E16">
        <v>1</v>
      </c>
      <c r="F16">
        <v>1</v>
      </c>
      <c r="G16">
        <v>1081</v>
      </c>
      <c r="H16">
        <v>2</v>
      </c>
      <c r="I16" t="s">
        <v>490</v>
      </c>
      <c r="J16" t="s">
        <v>491</v>
      </c>
      <c r="K16" t="s">
        <v>492</v>
      </c>
      <c r="L16">
        <v>1368</v>
      </c>
      <c r="N16">
        <v>1011</v>
      </c>
      <c r="O16" t="s">
        <v>479</v>
      </c>
      <c r="P16" t="s">
        <v>479</v>
      </c>
      <c r="Q16">
        <v>1</v>
      </c>
      <c r="W16">
        <v>0</v>
      </c>
      <c r="X16">
        <v>1143286219</v>
      </c>
      <c r="Y16">
        <f t="shared" si="7"/>
        <v>0.70199999999999996</v>
      </c>
      <c r="AA16">
        <v>0</v>
      </c>
      <c r="AB16">
        <v>43.92</v>
      </c>
      <c r="AC16">
        <v>0</v>
      </c>
      <c r="AD16">
        <v>0</v>
      </c>
      <c r="AE16">
        <v>0</v>
      </c>
      <c r="AF16">
        <v>4</v>
      </c>
      <c r="AG16">
        <v>0</v>
      </c>
      <c r="AH16">
        <v>0</v>
      </c>
      <c r="AI16">
        <v>1</v>
      </c>
      <c r="AJ16">
        <v>10.29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0.78</v>
      </c>
      <c r="AU16" t="s">
        <v>28</v>
      </c>
      <c r="AV16">
        <v>0</v>
      </c>
      <c r="AW16">
        <v>2</v>
      </c>
      <c r="AX16">
        <v>55747848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ROUND(Y16*Source!I29*DO16,9)</f>
        <v>0</v>
      </c>
      <c r="CX16">
        <f>ROUND(Y16*Source!I29,9)</f>
        <v>1.4039999999999999</v>
      </c>
      <c r="CY16">
        <f>AB16</f>
        <v>43.92</v>
      </c>
      <c r="CZ16">
        <f>AF16</f>
        <v>4</v>
      </c>
      <c r="DA16">
        <f>AJ16</f>
        <v>10.29</v>
      </c>
      <c r="DB16">
        <f t="shared" si="8"/>
        <v>2.8079999999999998</v>
      </c>
      <c r="DC16">
        <f t="shared" si="9"/>
        <v>0</v>
      </c>
      <c r="DD16" t="s">
        <v>3</v>
      </c>
      <c r="DE16" t="s">
        <v>3</v>
      </c>
      <c r="DF16">
        <f t="shared" si="3"/>
        <v>0</v>
      </c>
      <c r="DG16">
        <f>ROUND(ROUND(AF16*AJ16,2)*CX16,2)</f>
        <v>57.79</v>
      </c>
      <c r="DH16">
        <f t="shared" si="10"/>
        <v>0</v>
      </c>
      <c r="DI16">
        <f t="shared" si="6"/>
        <v>0</v>
      </c>
      <c r="DJ16">
        <f>DG16</f>
        <v>57.79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ROW(Source!A29)</f>
        <v>29</v>
      </c>
      <c r="B17">
        <v>55747651</v>
      </c>
      <c r="C17">
        <v>55747832</v>
      </c>
      <c r="D17">
        <v>54738518</v>
      </c>
      <c r="E17">
        <v>1</v>
      </c>
      <c r="F17">
        <v>1</v>
      </c>
      <c r="G17">
        <v>1081</v>
      </c>
      <c r="H17">
        <v>3</v>
      </c>
      <c r="I17" t="s">
        <v>493</v>
      </c>
      <c r="J17" t="s">
        <v>494</v>
      </c>
      <c r="K17" t="s">
        <v>495</v>
      </c>
      <c r="L17">
        <v>1348</v>
      </c>
      <c r="N17">
        <v>1009</v>
      </c>
      <c r="O17" t="s">
        <v>282</v>
      </c>
      <c r="P17" t="s">
        <v>282</v>
      </c>
      <c r="Q17">
        <v>1000</v>
      </c>
      <c r="W17">
        <v>0</v>
      </c>
      <c r="X17">
        <v>205566664</v>
      </c>
      <c r="Y17">
        <f>((AT17*0.75)*1)</f>
        <v>2.6250000000000002E-3</v>
      </c>
      <c r="AA17">
        <v>95081.54</v>
      </c>
      <c r="AB17">
        <v>0</v>
      </c>
      <c r="AC17">
        <v>0</v>
      </c>
      <c r="AD17">
        <v>0</v>
      </c>
      <c r="AE17">
        <v>9112.49</v>
      </c>
      <c r="AF17">
        <v>0</v>
      </c>
      <c r="AG17">
        <v>0</v>
      </c>
      <c r="AH17">
        <v>0</v>
      </c>
      <c r="AI17">
        <v>10.15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3.5000000000000001E-3</v>
      </c>
      <c r="AU17" t="s">
        <v>27</v>
      </c>
      <c r="AV17">
        <v>0</v>
      </c>
      <c r="AW17">
        <v>2</v>
      </c>
      <c r="AX17">
        <v>55747849</v>
      </c>
      <c r="AY17">
        <v>1</v>
      </c>
      <c r="AZ17">
        <v>0</v>
      </c>
      <c r="BA17">
        <v>18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ROUND(Y17*Source!I29,9)</f>
        <v>5.2500000000000003E-3</v>
      </c>
      <c r="CY17">
        <f>AA17</f>
        <v>95081.54</v>
      </c>
      <c r="CZ17">
        <f>AE17</f>
        <v>9112.49</v>
      </c>
      <c r="DA17">
        <f>AI17</f>
        <v>10.15</v>
      </c>
      <c r="DB17">
        <f>ROUND(((ROUND(AT17*CZ17,2)*0.75)*1),6)</f>
        <v>23.9175</v>
      </c>
      <c r="DC17">
        <f>ROUND(((ROUND(AT17*AG17,2)*0.75)*1),6)</f>
        <v>0</v>
      </c>
      <c r="DD17" t="s">
        <v>3</v>
      </c>
      <c r="DE17" t="s">
        <v>3</v>
      </c>
      <c r="DF17">
        <f>ROUND(ROUND(AE17*AI17,2)*CX17,2)</f>
        <v>485.58</v>
      </c>
      <c r="DG17">
        <f t="shared" ref="DG17:DG30" si="11">ROUND(ROUND(AF17,2)*CX17,2)</f>
        <v>0</v>
      </c>
      <c r="DH17">
        <f t="shared" si="10"/>
        <v>0</v>
      </c>
      <c r="DI17">
        <f t="shared" si="6"/>
        <v>0</v>
      </c>
      <c r="DJ17">
        <f>DF17</f>
        <v>485.58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ROW(Source!A29)</f>
        <v>29</v>
      </c>
      <c r="B18">
        <v>55747651</v>
      </c>
      <c r="C18">
        <v>55747832</v>
      </c>
      <c r="D18">
        <v>54738676</v>
      </c>
      <c r="E18">
        <v>1</v>
      </c>
      <c r="F18">
        <v>1</v>
      </c>
      <c r="G18">
        <v>1081</v>
      </c>
      <c r="H18">
        <v>3</v>
      </c>
      <c r="I18" t="s">
        <v>496</v>
      </c>
      <c r="J18" t="s">
        <v>497</v>
      </c>
      <c r="K18" t="s">
        <v>498</v>
      </c>
      <c r="L18">
        <v>1255</v>
      </c>
      <c r="N18">
        <v>1013</v>
      </c>
      <c r="O18" t="s">
        <v>499</v>
      </c>
      <c r="P18" t="s">
        <v>499</v>
      </c>
      <c r="Q18">
        <v>1</v>
      </c>
      <c r="W18">
        <v>0</v>
      </c>
      <c r="X18">
        <v>-1398468845</v>
      </c>
      <c r="Y18">
        <f>((AT18*0.75)*1)</f>
        <v>7.125</v>
      </c>
      <c r="AA18">
        <v>7.01</v>
      </c>
      <c r="AB18">
        <v>0</v>
      </c>
      <c r="AC18">
        <v>0</v>
      </c>
      <c r="AD18">
        <v>0</v>
      </c>
      <c r="AE18">
        <v>0.42</v>
      </c>
      <c r="AF18">
        <v>0</v>
      </c>
      <c r="AG18">
        <v>0</v>
      </c>
      <c r="AH18">
        <v>0</v>
      </c>
      <c r="AI18">
        <v>16.239999999999998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9.5</v>
      </c>
      <c r="AU18" t="s">
        <v>27</v>
      </c>
      <c r="AV18">
        <v>0</v>
      </c>
      <c r="AW18">
        <v>2</v>
      </c>
      <c r="AX18">
        <v>55747850</v>
      </c>
      <c r="AY18">
        <v>1</v>
      </c>
      <c r="AZ18">
        <v>0</v>
      </c>
      <c r="BA18">
        <v>19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ROUND(Y18*Source!I29,9)</f>
        <v>14.25</v>
      </c>
      <c r="CY18">
        <f>AA18</f>
        <v>7.01</v>
      </c>
      <c r="CZ18">
        <f>AE18</f>
        <v>0.42</v>
      </c>
      <c r="DA18">
        <f>AI18</f>
        <v>16.239999999999998</v>
      </c>
      <c r="DB18">
        <f>ROUND(((ROUND(AT18*CZ18,2)*0.75)*1),6)</f>
        <v>2.9925000000000002</v>
      </c>
      <c r="DC18">
        <f>ROUND(((ROUND(AT18*AG18,2)*0.75)*1),6)</f>
        <v>0</v>
      </c>
      <c r="DD18" t="s">
        <v>3</v>
      </c>
      <c r="DE18" t="s">
        <v>3</v>
      </c>
      <c r="DF18">
        <f>ROUND(ROUND(AE18*AI18,2)*CX18,2)</f>
        <v>97.19</v>
      </c>
      <c r="DG18">
        <f t="shared" si="11"/>
        <v>0</v>
      </c>
      <c r="DH18">
        <f t="shared" si="10"/>
        <v>0</v>
      </c>
      <c r="DI18">
        <f t="shared" si="6"/>
        <v>0</v>
      </c>
      <c r="DJ18">
        <f>DF18</f>
        <v>97.19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ROW(Source!A29)</f>
        <v>29</v>
      </c>
      <c r="B19">
        <v>55747651</v>
      </c>
      <c r="C19">
        <v>55747832</v>
      </c>
      <c r="D19">
        <v>54739191</v>
      </c>
      <c r="E19">
        <v>1</v>
      </c>
      <c r="F19">
        <v>1</v>
      </c>
      <c r="G19">
        <v>1081</v>
      </c>
      <c r="H19">
        <v>3</v>
      </c>
      <c r="I19" t="s">
        <v>500</v>
      </c>
      <c r="J19" t="s">
        <v>501</v>
      </c>
      <c r="K19" t="s">
        <v>502</v>
      </c>
      <c r="L19">
        <v>1346</v>
      </c>
      <c r="N19">
        <v>1009</v>
      </c>
      <c r="O19" t="s">
        <v>503</v>
      </c>
      <c r="P19" t="s">
        <v>503</v>
      </c>
      <c r="Q19">
        <v>1</v>
      </c>
      <c r="W19">
        <v>0</v>
      </c>
      <c r="X19">
        <v>-2132327540</v>
      </c>
      <c r="Y19">
        <f>((AT19*0.75)*1)</f>
        <v>0.18</v>
      </c>
      <c r="AA19">
        <v>64.760000000000005</v>
      </c>
      <c r="AB19">
        <v>0</v>
      </c>
      <c r="AC19">
        <v>0</v>
      </c>
      <c r="AD19">
        <v>0</v>
      </c>
      <c r="AE19">
        <v>6.25</v>
      </c>
      <c r="AF19">
        <v>0</v>
      </c>
      <c r="AG19">
        <v>0</v>
      </c>
      <c r="AH19">
        <v>0</v>
      </c>
      <c r="AI19">
        <v>10.08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0.24</v>
      </c>
      <c r="AU19" t="s">
        <v>27</v>
      </c>
      <c r="AV19">
        <v>0</v>
      </c>
      <c r="AW19">
        <v>2</v>
      </c>
      <c r="AX19">
        <v>55747851</v>
      </c>
      <c r="AY19">
        <v>1</v>
      </c>
      <c r="AZ19">
        <v>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ROUND(Y19*Source!I29,9)</f>
        <v>0.36</v>
      </c>
      <c r="CY19">
        <f>AA19</f>
        <v>64.760000000000005</v>
      </c>
      <c r="CZ19">
        <f>AE19</f>
        <v>6.25</v>
      </c>
      <c r="DA19">
        <f>AI19</f>
        <v>10.08</v>
      </c>
      <c r="DB19">
        <f>ROUND(((ROUND(AT19*CZ19,2)*0.75)*1),6)</f>
        <v>1.125</v>
      </c>
      <c r="DC19">
        <f>ROUND(((ROUND(AT19*AG19,2)*0.75)*1),6)</f>
        <v>0</v>
      </c>
      <c r="DD19" t="s">
        <v>3</v>
      </c>
      <c r="DE19" t="s">
        <v>3</v>
      </c>
      <c r="DF19">
        <f>ROUND(ROUND(AE19*AI19,2)*CX19,2)</f>
        <v>22.68</v>
      </c>
      <c r="DG19">
        <f t="shared" si="11"/>
        <v>0</v>
      </c>
      <c r="DH19">
        <f t="shared" si="10"/>
        <v>0</v>
      </c>
      <c r="DI19">
        <f t="shared" si="6"/>
        <v>0</v>
      </c>
      <c r="DJ19">
        <f>DF19</f>
        <v>22.68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ROW(Source!A29)</f>
        <v>29</v>
      </c>
      <c r="B20">
        <v>55747651</v>
      </c>
      <c r="C20">
        <v>55747832</v>
      </c>
      <c r="D20">
        <v>54737565</v>
      </c>
      <c r="E20">
        <v>1</v>
      </c>
      <c r="F20">
        <v>1</v>
      </c>
      <c r="G20">
        <v>1081</v>
      </c>
      <c r="H20">
        <v>3</v>
      </c>
      <c r="I20" t="s">
        <v>504</v>
      </c>
      <c r="J20" t="s">
        <v>505</v>
      </c>
      <c r="K20" t="s">
        <v>506</v>
      </c>
      <c r="L20">
        <v>1339</v>
      </c>
      <c r="N20">
        <v>1007</v>
      </c>
      <c r="O20" t="s">
        <v>507</v>
      </c>
      <c r="P20" t="s">
        <v>507</v>
      </c>
      <c r="Q20">
        <v>1</v>
      </c>
      <c r="W20">
        <v>0</v>
      </c>
      <c r="X20">
        <v>-1235260082</v>
      </c>
      <c r="Y20">
        <f>((AT20*0.75)*1)</f>
        <v>1.0499999999999998</v>
      </c>
      <c r="AA20">
        <v>104.16</v>
      </c>
      <c r="AB20">
        <v>0</v>
      </c>
      <c r="AC20">
        <v>0</v>
      </c>
      <c r="AD20">
        <v>0</v>
      </c>
      <c r="AE20">
        <v>5.82</v>
      </c>
      <c r="AF20">
        <v>0</v>
      </c>
      <c r="AG20">
        <v>0</v>
      </c>
      <c r="AH20">
        <v>0</v>
      </c>
      <c r="AI20">
        <v>17.41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1.4</v>
      </c>
      <c r="AU20" t="s">
        <v>27</v>
      </c>
      <c r="AV20">
        <v>0</v>
      </c>
      <c r="AW20">
        <v>2</v>
      </c>
      <c r="AX20">
        <v>55747852</v>
      </c>
      <c r="AY20">
        <v>1</v>
      </c>
      <c r="AZ20">
        <v>0</v>
      </c>
      <c r="BA20">
        <v>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ROUND(Y20*Source!I29,9)</f>
        <v>2.1</v>
      </c>
      <c r="CY20">
        <f>AA20</f>
        <v>104.16</v>
      </c>
      <c r="CZ20">
        <f>AE20</f>
        <v>5.82</v>
      </c>
      <c r="DA20">
        <f>AI20</f>
        <v>17.41</v>
      </c>
      <c r="DB20">
        <f>ROUND(((ROUND(AT20*CZ20,2)*0.75)*1),6)</f>
        <v>6.1124999999999998</v>
      </c>
      <c r="DC20">
        <f>ROUND(((ROUND(AT20*AG20,2)*0.75)*1),6)</f>
        <v>0</v>
      </c>
      <c r="DD20" t="s">
        <v>3</v>
      </c>
      <c r="DE20" t="s">
        <v>3</v>
      </c>
      <c r="DF20">
        <f>ROUND(ROUND(AE20*AI20,2)*CX20,2)</f>
        <v>212.79</v>
      </c>
      <c r="DG20">
        <f t="shared" si="11"/>
        <v>0</v>
      </c>
      <c r="DH20">
        <f t="shared" si="10"/>
        <v>0</v>
      </c>
      <c r="DI20">
        <f t="shared" si="6"/>
        <v>0</v>
      </c>
      <c r="DJ20">
        <f>DF20</f>
        <v>212.79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ROW(Source!A30)</f>
        <v>30</v>
      </c>
      <c r="B21">
        <v>55747649</v>
      </c>
      <c r="C21">
        <v>57261016</v>
      </c>
      <c r="D21">
        <v>54702434</v>
      </c>
      <c r="E21">
        <v>1081</v>
      </c>
      <c r="F21">
        <v>1</v>
      </c>
      <c r="G21">
        <v>1081</v>
      </c>
      <c r="H21">
        <v>1</v>
      </c>
      <c r="I21" t="s">
        <v>473</v>
      </c>
      <c r="J21" t="s">
        <v>3</v>
      </c>
      <c r="K21" t="s">
        <v>474</v>
      </c>
      <c r="L21">
        <v>1191</v>
      </c>
      <c r="N21">
        <v>1013</v>
      </c>
      <c r="O21" t="s">
        <v>475</v>
      </c>
      <c r="P21" t="s">
        <v>475</v>
      </c>
      <c r="Q21">
        <v>1</v>
      </c>
      <c r="W21">
        <v>0</v>
      </c>
      <c r="X21">
        <v>476480486</v>
      </c>
      <c r="Y21">
        <f>((AT21*1.2)*1.15)</f>
        <v>22.493999999999996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16.3</v>
      </c>
      <c r="AU21" t="s">
        <v>40</v>
      </c>
      <c r="AV21">
        <v>1</v>
      </c>
      <c r="AW21">
        <v>2</v>
      </c>
      <c r="AX21">
        <v>57261017</v>
      </c>
      <c r="AY21">
        <v>1</v>
      </c>
      <c r="AZ21">
        <v>0</v>
      </c>
      <c r="BA21">
        <v>23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ROUND(AT21*Source!I30*AH21*AL21,2)</f>
        <v>0</v>
      </c>
      <c r="CV21">
        <f>ROUND(Y21*Source!I30,9)</f>
        <v>22.494</v>
      </c>
      <c r="CW21">
        <v>0</v>
      </c>
      <c r="CX21">
        <f>ROUND(Y21*Source!I30,9)</f>
        <v>22.494</v>
      </c>
      <c r="CY21">
        <f>AD21</f>
        <v>0</v>
      </c>
      <c r="CZ21">
        <f>AH21</f>
        <v>0</v>
      </c>
      <c r="DA21">
        <f>AL21</f>
        <v>1</v>
      </c>
      <c r="DB21">
        <f>ROUND(((ROUND(AT21*CZ21,2)*1.2)*1.15),6)</f>
        <v>0</v>
      </c>
      <c r="DC21">
        <f>ROUND(((ROUND(AT21*AG21,2)*1.2)*1.15),6)</f>
        <v>0</v>
      </c>
      <c r="DD21" t="s">
        <v>3</v>
      </c>
      <c r="DE21" t="s">
        <v>3</v>
      </c>
      <c r="DF21">
        <f t="shared" ref="DF21:DF33" si="12">ROUND(ROUND(AE21,2)*CX21,2)</f>
        <v>0</v>
      </c>
      <c r="DG21">
        <f t="shared" si="11"/>
        <v>0</v>
      </c>
      <c r="DH21">
        <f t="shared" si="10"/>
        <v>0</v>
      </c>
      <c r="DI21">
        <f t="shared" si="6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ROW(Source!A30)</f>
        <v>30</v>
      </c>
      <c r="B22">
        <v>55747649</v>
      </c>
      <c r="C22">
        <v>57261016</v>
      </c>
      <c r="D22">
        <v>54768040</v>
      </c>
      <c r="E22">
        <v>1</v>
      </c>
      <c r="F22">
        <v>1</v>
      </c>
      <c r="G22">
        <v>1081</v>
      </c>
      <c r="H22">
        <v>2</v>
      </c>
      <c r="I22" t="s">
        <v>476</v>
      </c>
      <c r="J22" t="s">
        <v>477</v>
      </c>
      <c r="K22" t="s">
        <v>478</v>
      </c>
      <c r="L22">
        <v>1368</v>
      </c>
      <c r="N22">
        <v>1011</v>
      </c>
      <c r="O22" t="s">
        <v>479</v>
      </c>
      <c r="P22" t="s">
        <v>479</v>
      </c>
      <c r="Q22">
        <v>1</v>
      </c>
      <c r="W22">
        <v>0</v>
      </c>
      <c r="X22">
        <v>1498588441</v>
      </c>
      <c r="Y22">
        <f>((AT22*1.2)*1.25)</f>
        <v>0.79500000000000004</v>
      </c>
      <c r="AA22">
        <v>0</v>
      </c>
      <c r="AB22">
        <v>7.59</v>
      </c>
      <c r="AC22">
        <v>0</v>
      </c>
      <c r="AD22">
        <v>0</v>
      </c>
      <c r="AE22">
        <v>0</v>
      </c>
      <c r="AF22">
        <v>7.11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0.53</v>
      </c>
      <c r="AU22" t="s">
        <v>39</v>
      </c>
      <c r="AV22">
        <v>0</v>
      </c>
      <c r="AW22">
        <v>2</v>
      </c>
      <c r="AX22">
        <v>57261018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ROUND(Y22*Source!I30*DO22,9)</f>
        <v>0</v>
      </c>
      <c r="CX22">
        <f>ROUND(Y22*Source!I30,9)</f>
        <v>0.79500000000000004</v>
      </c>
      <c r="CY22">
        <f>AB22</f>
        <v>7.59</v>
      </c>
      <c r="CZ22">
        <f>AF22</f>
        <v>7.11</v>
      </c>
      <c r="DA22">
        <f>AJ22</f>
        <v>1</v>
      </c>
      <c r="DB22">
        <f>ROUND(((ROUND(AT22*CZ22,2)*1.2)*1.25),6)</f>
        <v>5.6550000000000002</v>
      </c>
      <c r="DC22">
        <f>ROUND(((ROUND(AT22*AG22,2)*1.2)*1.25),6)</f>
        <v>0</v>
      </c>
      <c r="DD22" t="s">
        <v>3</v>
      </c>
      <c r="DE22" t="s">
        <v>3</v>
      </c>
      <c r="DF22">
        <f t="shared" si="12"/>
        <v>0</v>
      </c>
      <c r="DG22">
        <f t="shared" si="11"/>
        <v>5.65</v>
      </c>
      <c r="DH22">
        <f t="shared" si="10"/>
        <v>0</v>
      </c>
      <c r="DI22">
        <f t="shared" si="6"/>
        <v>0</v>
      </c>
      <c r="DJ22">
        <f>DG22</f>
        <v>5.65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ROW(Source!A30)</f>
        <v>30</v>
      </c>
      <c r="B23">
        <v>55747649</v>
      </c>
      <c r="C23">
        <v>57261016</v>
      </c>
      <c r="D23">
        <v>54768339</v>
      </c>
      <c r="E23">
        <v>1</v>
      </c>
      <c r="F23">
        <v>1</v>
      </c>
      <c r="G23">
        <v>1081</v>
      </c>
      <c r="H23">
        <v>2</v>
      </c>
      <c r="I23" t="s">
        <v>483</v>
      </c>
      <c r="J23" t="s">
        <v>484</v>
      </c>
      <c r="K23" t="s">
        <v>485</v>
      </c>
      <c r="L23">
        <v>1368</v>
      </c>
      <c r="N23">
        <v>1011</v>
      </c>
      <c r="O23" t="s">
        <v>479</v>
      </c>
      <c r="P23" t="s">
        <v>479</v>
      </c>
      <c r="Q23">
        <v>1</v>
      </c>
      <c r="W23">
        <v>0</v>
      </c>
      <c r="X23">
        <v>874612079</v>
      </c>
      <c r="Y23">
        <f>((AT23*1.2)*1.25)</f>
        <v>0.09</v>
      </c>
      <c r="AA23">
        <v>0</v>
      </c>
      <c r="AB23">
        <v>88.67</v>
      </c>
      <c r="AC23">
        <v>13.47</v>
      </c>
      <c r="AD23">
        <v>0</v>
      </c>
      <c r="AE23">
        <v>0</v>
      </c>
      <c r="AF23">
        <v>83.1</v>
      </c>
      <c r="AG23">
        <v>12.62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0.06</v>
      </c>
      <c r="AU23" t="s">
        <v>39</v>
      </c>
      <c r="AV23">
        <v>0</v>
      </c>
      <c r="AW23">
        <v>2</v>
      </c>
      <c r="AX23">
        <v>57261019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ROUND(Y23*Source!I30*DO23,9)</f>
        <v>1.1357999999999999</v>
      </c>
      <c r="CX23">
        <f>ROUND(Y23*Source!I30,9)</f>
        <v>0.09</v>
      </c>
      <c r="CY23">
        <f>AB23</f>
        <v>88.67</v>
      </c>
      <c r="CZ23">
        <f>AF23</f>
        <v>83.1</v>
      </c>
      <c r="DA23">
        <f>AJ23</f>
        <v>1</v>
      </c>
      <c r="DB23">
        <f>ROUND(((ROUND(AT23*CZ23,2)*1.2)*1.25),6)</f>
        <v>7.4850000000000003</v>
      </c>
      <c r="DC23">
        <f>ROUND(((ROUND(AT23*AG23,2)*1.2)*1.25),6)</f>
        <v>1.1399999999999999</v>
      </c>
      <c r="DD23" t="s">
        <v>3</v>
      </c>
      <c r="DE23" t="s">
        <v>3</v>
      </c>
      <c r="DF23">
        <f t="shared" si="12"/>
        <v>0</v>
      </c>
      <c r="DG23">
        <f t="shared" si="11"/>
        <v>7.48</v>
      </c>
      <c r="DH23">
        <f t="shared" si="10"/>
        <v>1.1399999999999999</v>
      </c>
      <c r="DI23">
        <f t="shared" si="6"/>
        <v>0</v>
      </c>
      <c r="DJ23">
        <f>DG23</f>
        <v>7.48</v>
      </c>
      <c r="DK23">
        <v>0</v>
      </c>
      <c r="DL23" t="s">
        <v>486</v>
      </c>
      <c r="DM23">
        <v>0</v>
      </c>
      <c r="DN23" t="s">
        <v>475</v>
      </c>
      <c r="DO23">
        <v>12.62</v>
      </c>
    </row>
    <row r="24" spans="1:119" x14ac:dyDescent="0.2">
      <c r="A24">
        <f>ROW(Source!A30)</f>
        <v>30</v>
      </c>
      <c r="B24">
        <v>55747649</v>
      </c>
      <c r="C24">
        <v>57261016</v>
      </c>
      <c r="D24">
        <v>54767573</v>
      </c>
      <c r="E24">
        <v>1</v>
      </c>
      <c r="F24">
        <v>1</v>
      </c>
      <c r="G24">
        <v>1081</v>
      </c>
      <c r="H24">
        <v>2</v>
      </c>
      <c r="I24" t="s">
        <v>508</v>
      </c>
      <c r="J24" t="s">
        <v>509</v>
      </c>
      <c r="K24" t="s">
        <v>510</v>
      </c>
      <c r="L24">
        <v>1368</v>
      </c>
      <c r="N24">
        <v>1011</v>
      </c>
      <c r="O24" t="s">
        <v>479</v>
      </c>
      <c r="P24" t="s">
        <v>479</v>
      </c>
      <c r="Q24">
        <v>1</v>
      </c>
      <c r="W24">
        <v>0</v>
      </c>
      <c r="X24">
        <v>-44940208</v>
      </c>
      <c r="Y24">
        <f>((AT24*1.2)*1.25)</f>
        <v>0.06</v>
      </c>
      <c r="AA24">
        <v>0</v>
      </c>
      <c r="AB24">
        <v>191.17</v>
      </c>
      <c r="AC24">
        <v>18.059999999999999</v>
      </c>
      <c r="AD24">
        <v>0</v>
      </c>
      <c r="AE24">
        <v>0</v>
      </c>
      <c r="AF24">
        <v>179.17</v>
      </c>
      <c r="AG24">
        <v>16.93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0.04</v>
      </c>
      <c r="AU24" t="s">
        <v>39</v>
      </c>
      <c r="AV24">
        <v>0</v>
      </c>
      <c r="AW24">
        <v>2</v>
      </c>
      <c r="AX24">
        <v>57261020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ROUND(Y24*Source!I30*DO24,9)</f>
        <v>1.0158</v>
      </c>
      <c r="CX24">
        <f>ROUND(Y24*Source!I30,9)</f>
        <v>0.06</v>
      </c>
      <c r="CY24">
        <f>AB24</f>
        <v>191.17</v>
      </c>
      <c r="CZ24">
        <f>AF24</f>
        <v>179.17</v>
      </c>
      <c r="DA24">
        <f>AJ24</f>
        <v>1</v>
      </c>
      <c r="DB24">
        <f>ROUND(((ROUND(AT24*CZ24,2)*1.2)*1.25),6)</f>
        <v>10.755000000000001</v>
      </c>
      <c r="DC24">
        <f>ROUND(((ROUND(AT24*AG24,2)*1.2)*1.25),6)</f>
        <v>1.02</v>
      </c>
      <c r="DD24" t="s">
        <v>3</v>
      </c>
      <c r="DE24" t="s">
        <v>3</v>
      </c>
      <c r="DF24">
        <f t="shared" si="12"/>
        <v>0</v>
      </c>
      <c r="DG24">
        <f t="shared" si="11"/>
        <v>10.75</v>
      </c>
      <c r="DH24">
        <f t="shared" si="10"/>
        <v>1.02</v>
      </c>
      <c r="DI24">
        <f t="shared" si="6"/>
        <v>0</v>
      </c>
      <c r="DJ24">
        <f>DG24</f>
        <v>10.75</v>
      </c>
      <c r="DK24">
        <v>0</v>
      </c>
      <c r="DL24" t="s">
        <v>486</v>
      </c>
      <c r="DM24">
        <v>0</v>
      </c>
      <c r="DN24" t="s">
        <v>475</v>
      </c>
      <c r="DO24">
        <v>16.93</v>
      </c>
    </row>
    <row r="25" spans="1:119" x14ac:dyDescent="0.2">
      <c r="A25">
        <f>ROW(Source!A30)</f>
        <v>30</v>
      </c>
      <c r="B25">
        <v>55747649</v>
      </c>
      <c r="C25">
        <v>57261016</v>
      </c>
      <c r="D25">
        <v>54737969</v>
      </c>
      <c r="E25">
        <v>1</v>
      </c>
      <c r="F25">
        <v>1</v>
      </c>
      <c r="G25">
        <v>1081</v>
      </c>
      <c r="H25">
        <v>3</v>
      </c>
      <c r="I25" t="s">
        <v>511</v>
      </c>
      <c r="J25" t="s">
        <v>512</v>
      </c>
      <c r="K25" t="s">
        <v>513</v>
      </c>
      <c r="L25">
        <v>1348</v>
      </c>
      <c r="N25">
        <v>1009</v>
      </c>
      <c r="O25" t="s">
        <v>282</v>
      </c>
      <c r="P25" t="s">
        <v>282</v>
      </c>
      <c r="Q25">
        <v>1000</v>
      </c>
      <c r="W25">
        <v>0</v>
      </c>
      <c r="X25">
        <v>-287838193</v>
      </c>
      <c r="Y25">
        <f>((AT25*1)*1)</f>
        <v>9.0000000000000006E-5</v>
      </c>
      <c r="AA25">
        <v>23114.43</v>
      </c>
      <c r="AB25">
        <v>0</v>
      </c>
      <c r="AC25">
        <v>0</v>
      </c>
      <c r="AD25">
        <v>0</v>
      </c>
      <c r="AE25">
        <v>23114.43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9.0000000000000006E-5</v>
      </c>
      <c r="AU25" t="s">
        <v>38</v>
      </c>
      <c r="AV25">
        <v>0</v>
      </c>
      <c r="AW25">
        <v>2</v>
      </c>
      <c r="AX25">
        <v>57261021</v>
      </c>
      <c r="AY25">
        <v>1</v>
      </c>
      <c r="AZ25">
        <v>0</v>
      </c>
      <c r="BA25">
        <v>27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ROUND(Y25*Source!I30,9)</f>
        <v>9.0000000000000006E-5</v>
      </c>
      <c r="CY25">
        <f>AA25</f>
        <v>23114.43</v>
      </c>
      <c r="CZ25">
        <f>AE25</f>
        <v>23114.43</v>
      </c>
      <c r="DA25">
        <f>AI25</f>
        <v>1</v>
      </c>
      <c r="DB25">
        <f>ROUND(((ROUND(AT25*CZ25,2)*1)*1),6)</f>
        <v>2.08</v>
      </c>
      <c r="DC25">
        <f>ROUND(((ROUND(AT25*AG25,2)*1)*1),6)</f>
        <v>0</v>
      </c>
      <c r="DD25" t="s">
        <v>3</v>
      </c>
      <c r="DE25" t="s">
        <v>3</v>
      </c>
      <c r="DF25">
        <f t="shared" si="12"/>
        <v>2.08</v>
      </c>
      <c r="DG25">
        <f t="shared" si="11"/>
        <v>0</v>
      </c>
      <c r="DH25">
        <f t="shared" si="10"/>
        <v>0</v>
      </c>
      <c r="DI25">
        <f t="shared" si="6"/>
        <v>0</v>
      </c>
      <c r="DJ25">
        <f>DF25</f>
        <v>2.08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ROW(Source!A30)</f>
        <v>30</v>
      </c>
      <c r="B26">
        <v>55747649</v>
      </c>
      <c r="C26">
        <v>57261016</v>
      </c>
      <c r="D26">
        <v>54738510</v>
      </c>
      <c r="E26">
        <v>1</v>
      </c>
      <c r="F26">
        <v>1</v>
      </c>
      <c r="G26">
        <v>1081</v>
      </c>
      <c r="H26">
        <v>3</v>
      </c>
      <c r="I26" t="s">
        <v>514</v>
      </c>
      <c r="J26" t="s">
        <v>515</v>
      </c>
      <c r="K26" t="s">
        <v>516</v>
      </c>
      <c r="L26">
        <v>1348</v>
      </c>
      <c r="N26">
        <v>1009</v>
      </c>
      <c r="O26" t="s">
        <v>282</v>
      </c>
      <c r="P26" t="s">
        <v>282</v>
      </c>
      <c r="Q26">
        <v>1000</v>
      </c>
      <c r="W26">
        <v>0</v>
      </c>
      <c r="X26">
        <v>277309194</v>
      </c>
      <c r="Y26">
        <f>((AT26*1)*1)</f>
        <v>4.0999999999999999E-4</v>
      </c>
      <c r="AA26">
        <v>8590.86</v>
      </c>
      <c r="AB26">
        <v>0</v>
      </c>
      <c r="AC26">
        <v>0</v>
      </c>
      <c r="AD26">
        <v>0</v>
      </c>
      <c r="AE26">
        <v>8590.86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4.0999999999999999E-4</v>
      </c>
      <c r="AU26" t="s">
        <v>38</v>
      </c>
      <c r="AV26">
        <v>0</v>
      </c>
      <c r="AW26">
        <v>2</v>
      </c>
      <c r="AX26">
        <v>57261022</v>
      </c>
      <c r="AY26">
        <v>1</v>
      </c>
      <c r="AZ26">
        <v>0</v>
      </c>
      <c r="BA26">
        <v>28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ROUND(Y26*Source!I30,9)</f>
        <v>4.0999999999999999E-4</v>
      </c>
      <c r="CY26">
        <f>AA26</f>
        <v>8590.86</v>
      </c>
      <c r="CZ26">
        <f>AE26</f>
        <v>8590.86</v>
      </c>
      <c r="DA26">
        <f>AI26</f>
        <v>1</v>
      </c>
      <c r="DB26">
        <f>ROUND(((ROUND(AT26*CZ26,2)*1)*1),6)</f>
        <v>3.52</v>
      </c>
      <c r="DC26">
        <f>ROUND(((ROUND(AT26*AG26,2)*1)*1),6)</f>
        <v>0</v>
      </c>
      <c r="DD26" t="s">
        <v>3</v>
      </c>
      <c r="DE26" t="s">
        <v>3</v>
      </c>
      <c r="DF26">
        <f t="shared" si="12"/>
        <v>3.52</v>
      </c>
      <c r="DG26">
        <f t="shared" si="11"/>
        <v>0</v>
      </c>
      <c r="DH26">
        <f t="shared" si="10"/>
        <v>0</v>
      </c>
      <c r="DI26">
        <f t="shared" si="6"/>
        <v>0</v>
      </c>
      <c r="DJ26">
        <f>DF26</f>
        <v>3.52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ROW(Source!A30)</f>
        <v>30</v>
      </c>
      <c r="B27">
        <v>55747649</v>
      </c>
      <c r="C27">
        <v>57261016</v>
      </c>
      <c r="D27">
        <v>54753582</v>
      </c>
      <c r="E27">
        <v>1</v>
      </c>
      <c r="F27">
        <v>1</v>
      </c>
      <c r="G27">
        <v>1081</v>
      </c>
      <c r="H27">
        <v>3</v>
      </c>
      <c r="I27" t="s">
        <v>517</v>
      </c>
      <c r="J27" t="s">
        <v>518</v>
      </c>
      <c r="K27" t="s">
        <v>519</v>
      </c>
      <c r="L27">
        <v>1354</v>
      </c>
      <c r="N27">
        <v>1010</v>
      </c>
      <c r="O27" t="s">
        <v>118</v>
      </c>
      <c r="P27" t="s">
        <v>118</v>
      </c>
      <c r="Q27">
        <v>1</v>
      </c>
      <c r="W27">
        <v>0</v>
      </c>
      <c r="X27">
        <v>-1127264721</v>
      </c>
      <c r="Y27">
        <f>((AT27*1)*1)</f>
        <v>1</v>
      </c>
      <c r="AA27">
        <v>73.52</v>
      </c>
      <c r="AB27">
        <v>0</v>
      </c>
      <c r="AC27">
        <v>0</v>
      </c>
      <c r="AD27">
        <v>0</v>
      </c>
      <c r="AE27">
        <v>73.52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</v>
      </c>
      <c r="AU27" t="s">
        <v>38</v>
      </c>
      <c r="AV27">
        <v>0</v>
      </c>
      <c r="AW27">
        <v>2</v>
      </c>
      <c r="AX27">
        <v>57261023</v>
      </c>
      <c r="AY27">
        <v>1</v>
      </c>
      <c r="AZ27">
        <v>0</v>
      </c>
      <c r="BA27">
        <v>29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ROUND(Y27*Source!I30,9)</f>
        <v>1</v>
      </c>
      <c r="CY27">
        <f>AA27</f>
        <v>73.52</v>
      </c>
      <c r="CZ27">
        <f>AE27</f>
        <v>73.52</v>
      </c>
      <c r="DA27">
        <f>AI27</f>
        <v>1</v>
      </c>
      <c r="DB27">
        <f>ROUND(((ROUND(AT27*CZ27,2)*1)*1),6)</f>
        <v>73.52</v>
      </c>
      <c r="DC27">
        <f>ROUND(((ROUND(AT27*AG27,2)*1)*1),6)</f>
        <v>0</v>
      </c>
      <c r="DD27" t="s">
        <v>3</v>
      </c>
      <c r="DE27" t="s">
        <v>3</v>
      </c>
      <c r="DF27">
        <f t="shared" si="12"/>
        <v>73.52</v>
      </c>
      <c r="DG27">
        <f t="shared" si="11"/>
        <v>0</v>
      </c>
      <c r="DH27">
        <f t="shared" si="10"/>
        <v>0</v>
      </c>
      <c r="DI27">
        <f t="shared" si="6"/>
        <v>0</v>
      </c>
      <c r="DJ27">
        <f>DF27</f>
        <v>73.52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ROW(Source!A30)</f>
        <v>30</v>
      </c>
      <c r="B28">
        <v>55747649</v>
      </c>
      <c r="C28">
        <v>57261016</v>
      </c>
      <c r="D28">
        <v>54753583</v>
      </c>
      <c r="E28">
        <v>1</v>
      </c>
      <c r="F28">
        <v>1</v>
      </c>
      <c r="G28">
        <v>1081</v>
      </c>
      <c r="H28">
        <v>3</v>
      </c>
      <c r="I28" t="s">
        <v>520</v>
      </c>
      <c r="J28" t="s">
        <v>521</v>
      </c>
      <c r="K28" t="s">
        <v>522</v>
      </c>
      <c r="L28">
        <v>1354</v>
      </c>
      <c r="N28">
        <v>1010</v>
      </c>
      <c r="O28" t="s">
        <v>118</v>
      </c>
      <c r="P28" t="s">
        <v>118</v>
      </c>
      <c r="Q28">
        <v>1</v>
      </c>
      <c r="W28">
        <v>0</v>
      </c>
      <c r="X28">
        <v>242978422</v>
      </c>
      <c r="Y28">
        <f>((AT28*1)*1)</f>
        <v>1</v>
      </c>
      <c r="AA28">
        <v>87.78</v>
      </c>
      <c r="AB28">
        <v>0</v>
      </c>
      <c r="AC28">
        <v>0</v>
      </c>
      <c r="AD28">
        <v>0</v>
      </c>
      <c r="AE28">
        <v>87.78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</v>
      </c>
      <c r="AU28" t="s">
        <v>38</v>
      </c>
      <c r="AV28">
        <v>0</v>
      </c>
      <c r="AW28">
        <v>2</v>
      </c>
      <c r="AX28">
        <v>57261024</v>
      </c>
      <c r="AY28">
        <v>1</v>
      </c>
      <c r="AZ28">
        <v>0</v>
      </c>
      <c r="BA28">
        <v>30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ROUND(Y28*Source!I30,9)</f>
        <v>1</v>
      </c>
      <c r="CY28">
        <f>AA28</f>
        <v>87.78</v>
      </c>
      <c r="CZ28">
        <f>AE28</f>
        <v>87.78</v>
      </c>
      <c r="DA28">
        <f>AI28</f>
        <v>1</v>
      </c>
      <c r="DB28">
        <f>ROUND(((ROUND(AT28*CZ28,2)*1)*1),6)</f>
        <v>87.78</v>
      </c>
      <c r="DC28">
        <f>ROUND(((ROUND(AT28*AG28,2)*1)*1),6)</f>
        <v>0</v>
      </c>
      <c r="DD28" t="s">
        <v>3</v>
      </c>
      <c r="DE28" t="s">
        <v>3</v>
      </c>
      <c r="DF28">
        <f t="shared" si="12"/>
        <v>87.78</v>
      </c>
      <c r="DG28">
        <f t="shared" si="11"/>
        <v>0</v>
      </c>
      <c r="DH28">
        <f t="shared" si="10"/>
        <v>0</v>
      </c>
      <c r="DI28">
        <f t="shared" si="6"/>
        <v>0</v>
      </c>
      <c r="DJ28">
        <f>DF28</f>
        <v>87.78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ROW(Source!A30)</f>
        <v>30</v>
      </c>
      <c r="B29">
        <v>55747649</v>
      </c>
      <c r="C29">
        <v>57261016</v>
      </c>
      <c r="D29">
        <v>54744824</v>
      </c>
      <c r="E29">
        <v>1</v>
      </c>
      <c r="F29">
        <v>1</v>
      </c>
      <c r="G29">
        <v>1081</v>
      </c>
      <c r="H29">
        <v>3</v>
      </c>
      <c r="I29" t="s">
        <v>523</v>
      </c>
      <c r="J29" t="s">
        <v>524</v>
      </c>
      <c r="K29" t="s">
        <v>525</v>
      </c>
      <c r="L29">
        <v>1339</v>
      </c>
      <c r="N29">
        <v>1007</v>
      </c>
      <c r="O29" t="s">
        <v>507</v>
      </c>
      <c r="P29" t="s">
        <v>507</v>
      </c>
      <c r="Q29">
        <v>1</v>
      </c>
      <c r="W29">
        <v>0</v>
      </c>
      <c r="X29">
        <v>1130225326</v>
      </c>
      <c r="Y29">
        <f>((AT29*1)*1)</f>
        <v>1.4E-2</v>
      </c>
      <c r="AA29">
        <v>364.57</v>
      </c>
      <c r="AB29">
        <v>0</v>
      </c>
      <c r="AC29">
        <v>0</v>
      </c>
      <c r="AD29">
        <v>0</v>
      </c>
      <c r="AE29">
        <v>364.57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1.4E-2</v>
      </c>
      <c r="AU29" t="s">
        <v>38</v>
      </c>
      <c r="AV29">
        <v>0</v>
      </c>
      <c r="AW29">
        <v>2</v>
      </c>
      <c r="AX29">
        <v>57261025</v>
      </c>
      <c r="AY29">
        <v>1</v>
      </c>
      <c r="AZ29">
        <v>0</v>
      </c>
      <c r="BA29">
        <v>31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ROUND(Y29*Source!I30,9)</f>
        <v>1.4E-2</v>
      </c>
      <c r="CY29">
        <f>AA29</f>
        <v>364.57</v>
      </c>
      <c r="CZ29">
        <f>AE29</f>
        <v>364.57</v>
      </c>
      <c r="DA29">
        <f>AI29</f>
        <v>1</v>
      </c>
      <c r="DB29">
        <f>ROUND(((ROUND(AT29*CZ29,2)*1)*1),6)</f>
        <v>5.0999999999999996</v>
      </c>
      <c r="DC29">
        <f>ROUND(((ROUND(AT29*AG29,2)*1)*1),6)</f>
        <v>0</v>
      </c>
      <c r="DD29" t="s">
        <v>3</v>
      </c>
      <c r="DE29" t="s">
        <v>3</v>
      </c>
      <c r="DF29">
        <f t="shared" si="12"/>
        <v>5.0999999999999996</v>
      </c>
      <c r="DG29">
        <f t="shared" si="11"/>
        <v>0</v>
      </c>
      <c r="DH29">
        <f t="shared" si="10"/>
        <v>0</v>
      </c>
      <c r="DI29">
        <f t="shared" si="6"/>
        <v>0</v>
      </c>
      <c r="DJ29">
        <f>DF29</f>
        <v>5.0999999999999996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ROW(Source!A31)</f>
        <v>31</v>
      </c>
      <c r="B30">
        <v>55747651</v>
      </c>
      <c r="C30">
        <v>57261016</v>
      </c>
      <c r="D30">
        <v>54702434</v>
      </c>
      <c r="E30">
        <v>1081</v>
      </c>
      <c r="F30">
        <v>1</v>
      </c>
      <c r="G30">
        <v>1081</v>
      </c>
      <c r="H30">
        <v>1</v>
      </c>
      <c r="I30" t="s">
        <v>473</v>
      </c>
      <c r="J30" t="s">
        <v>3</v>
      </c>
      <c r="K30" t="s">
        <v>474</v>
      </c>
      <c r="L30">
        <v>1191</v>
      </c>
      <c r="N30">
        <v>1013</v>
      </c>
      <c r="O30" t="s">
        <v>475</v>
      </c>
      <c r="P30" t="s">
        <v>475</v>
      </c>
      <c r="Q30">
        <v>1</v>
      </c>
      <c r="W30">
        <v>0</v>
      </c>
      <c r="X30">
        <v>476480486</v>
      </c>
      <c r="Y30">
        <f>((AT30*1.2)*1.15)</f>
        <v>22.493999999999996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16.3</v>
      </c>
      <c r="AU30" t="s">
        <v>40</v>
      </c>
      <c r="AV30">
        <v>1</v>
      </c>
      <c r="AW30">
        <v>2</v>
      </c>
      <c r="AX30">
        <v>57261017</v>
      </c>
      <c r="AY30">
        <v>1</v>
      </c>
      <c r="AZ30">
        <v>0</v>
      </c>
      <c r="BA30">
        <v>35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U30">
        <f>ROUND(AT30*Source!I31*AH30*AL30,2)</f>
        <v>0</v>
      </c>
      <c r="CV30">
        <f>ROUND(Y30*Source!I31,9)</f>
        <v>22.494</v>
      </c>
      <c r="CW30">
        <v>0</v>
      </c>
      <c r="CX30">
        <f>ROUND(Y30*Source!I31,9)</f>
        <v>22.494</v>
      </c>
      <c r="CY30">
        <f>AD30</f>
        <v>0</v>
      </c>
      <c r="CZ30">
        <f>AH30</f>
        <v>0</v>
      </c>
      <c r="DA30">
        <f>AL30</f>
        <v>1</v>
      </c>
      <c r="DB30">
        <f>ROUND(((ROUND(AT30*CZ30,2)*1.2)*1.15),6)</f>
        <v>0</v>
      </c>
      <c r="DC30">
        <f>ROUND(((ROUND(AT30*AG30,2)*1.2)*1.15),6)</f>
        <v>0</v>
      </c>
      <c r="DD30" t="s">
        <v>3</v>
      </c>
      <c r="DE30" t="s">
        <v>3</v>
      </c>
      <c r="DF30">
        <f t="shared" si="12"/>
        <v>0</v>
      </c>
      <c r="DG30">
        <f t="shared" si="11"/>
        <v>0</v>
      </c>
      <c r="DH30">
        <f t="shared" si="10"/>
        <v>0</v>
      </c>
      <c r="DI30">
        <f t="shared" si="6"/>
        <v>0</v>
      </c>
      <c r="DJ30">
        <f>DI30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ROW(Source!A31)</f>
        <v>31</v>
      </c>
      <c r="B31">
        <v>55747651</v>
      </c>
      <c r="C31">
        <v>57261016</v>
      </c>
      <c r="D31">
        <v>54768040</v>
      </c>
      <c r="E31">
        <v>1</v>
      </c>
      <c r="F31">
        <v>1</v>
      </c>
      <c r="G31">
        <v>1081</v>
      </c>
      <c r="H31">
        <v>2</v>
      </c>
      <c r="I31" t="s">
        <v>476</v>
      </c>
      <c r="J31" t="s">
        <v>477</v>
      </c>
      <c r="K31" t="s">
        <v>478</v>
      </c>
      <c r="L31">
        <v>1368</v>
      </c>
      <c r="N31">
        <v>1011</v>
      </c>
      <c r="O31" t="s">
        <v>479</v>
      </c>
      <c r="P31" t="s">
        <v>479</v>
      </c>
      <c r="Q31">
        <v>1</v>
      </c>
      <c r="W31">
        <v>0</v>
      </c>
      <c r="X31">
        <v>1498588441</v>
      </c>
      <c r="Y31">
        <f>((AT31*1.2)*1.25)</f>
        <v>0.79500000000000004</v>
      </c>
      <c r="AA31">
        <v>0</v>
      </c>
      <c r="AB31">
        <v>102.11</v>
      </c>
      <c r="AC31">
        <v>0</v>
      </c>
      <c r="AD31">
        <v>0</v>
      </c>
      <c r="AE31">
        <v>0</v>
      </c>
      <c r="AF31">
        <v>7.11</v>
      </c>
      <c r="AG31">
        <v>0</v>
      </c>
      <c r="AH31">
        <v>0</v>
      </c>
      <c r="AI31">
        <v>1</v>
      </c>
      <c r="AJ31">
        <v>13.46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0.53</v>
      </c>
      <c r="AU31" t="s">
        <v>39</v>
      </c>
      <c r="AV31">
        <v>0</v>
      </c>
      <c r="AW31">
        <v>2</v>
      </c>
      <c r="AX31">
        <v>57261018</v>
      </c>
      <c r="AY31">
        <v>1</v>
      </c>
      <c r="AZ31">
        <v>0</v>
      </c>
      <c r="BA31">
        <v>36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ROUND(Y31*Source!I31*DO31,9)</f>
        <v>0</v>
      </c>
      <c r="CX31">
        <f>ROUND(Y31*Source!I31,9)</f>
        <v>0.79500000000000004</v>
      </c>
      <c r="CY31">
        <f>AB31</f>
        <v>102.11</v>
      </c>
      <c r="CZ31">
        <f>AF31</f>
        <v>7.11</v>
      </c>
      <c r="DA31">
        <f>AJ31</f>
        <v>13.46</v>
      </c>
      <c r="DB31">
        <f>ROUND(((ROUND(AT31*CZ31,2)*1.2)*1.25),6)</f>
        <v>5.6550000000000002</v>
      </c>
      <c r="DC31">
        <f>ROUND(((ROUND(AT31*AG31,2)*1.2)*1.25),6)</f>
        <v>0</v>
      </c>
      <c r="DD31" t="s">
        <v>3</v>
      </c>
      <c r="DE31" t="s">
        <v>3</v>
      </c>
      <c r="DF31">
        <f t="shared" si="12"/>
        <v>0</v>
      </c>
      <c r="DG31">
        <f>ROUND(ROUND(AF31*AJ31,2)*CX31,2)</f>
        <v>76.08</v>
      </c>
      <c r="DH31">
        <f t="shared" si="10"/>
        <v>0</v>
      </c>
      <c r="DI31">
        <f t="shared" si="6"/>
        <v>0</v>
      </c>
      <c r="DJ31">
        <f>DG31</f>
        <v>76.08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ROW(Source!A31)</f>
        <v>31</v>
      </c>
      <c r="B32">
        <v>55747651</v>
      </c>
      <c r="C32">
        <v>57261016</v>
      </c>
      <c r="D32">
        <v>54768339</v>
      </c>
      <c r="E32">
        <v>1</v>
      </c>
      <c r="F32">
        <v>1</v>
      </c>
      <c r="G32">
        <v>1081</v>
      </c>
      <c r="H32">
        <v>2</v>
      </c>
      <c r="I32" t="s">
        <v>483</v>
      </c>
      <c r="J32" t="s">
        <v>484</v>
      </c>
      <c r="K32" t="s">
        <v>485</v>
      </c>
      <c r="L32">
        <v>1368</v>
      </c>
      <c r="N32">
        <v>1011</v>
      </c>
      <c r="O32" t="s">
        <v>479</v>
      </c>
      <c r="P32" t="s">
        <v>479</v>
      </c>
      <c r="Q32">
        <v>1</v>
      </c>
      <c r="W32">
        <v>0</v>
      </c>
      <c r="X32">
        <v>874612079</v>
      </c>
      <c r="Y32">
        <f>((AT32*1.2)*1.25)</f>
        <v>0.09</v>
      </c>
      <c r="AA32">
        <v>0</v>
      </c>
      <c r="AB32">
        <v>1513.56</v>
      </c>
      <c r="AC32">
        <v>758.78</v>
      </c>
      <c r="AD32">
        <v>0</v>
      </c>
      <c r="AE32">
        <v>0</v>
      </c>
      <c r="AF32">
        <v>83.1</v>
      </c>
      <c r="AG32">
        <v>12.62</v>
      </c>
      <c r="AH32">
        <v>0</v>
      </c>
      <c r="AI32">
        <v>1</v>
      </c>
      <c r="AJ32">
        <v>17.07</v>
      </c>
      <c r="AK32">
        <v>56.35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0.06</v>
      </c>
      <c r="AU32" t="s">
        <v>39</v>
      </c>
      <c r="AV32">
        <v>0</v>
      </c>
      <c r="AW32">
        <v>2</v>
      </c>
      <c r="AX32">
        <v>57261019</v>
      </c>
      <c r="AY32">
        <v>1</v>
      </c>
      <c r="AZ32">
        <v>0</v>
      </c>
      <c r="BA32">
        <v>37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ROUND(Y32*Source!I31*DO32,9)</f>
        <v>1.1357999999999999</v>
      </c>
      <c r="CX32">
        <f>ROUND(Y32*Source!I31,9)</f>
        <v>0.09</v>
      </c>
      <c r="CY32">
        <f>AB32</f>
        <v>1513.56</v>
      </c>
      <c r="CZ32">
        <f>AF32</f>
        <v>83.1</v>
      </c>
      <c r="DA32">
        <f>AJ32</f>
        <v>17.07</v>
      </c>
      <c r="DB32">
        <f>ROUND(((ROUND(AT32*CZ32,2)*1.2)*1.25),6)</f>
        <v>7.4850000000000003</v>
      </c>
      <c r="DC32">
        <f>ROUND(((ROUND(AT32*AG32,2)*1.2)*1.25),6)</f>
        <v>1.1399999999999999</v>
      </c>
      <c r="DD32" t="s">
        <v>3</v>
      </c>
      <c r="DE32" t="s">
        <v>3</v>
      </c>
      <c r="DF32">
        <f t="shared" si="12"/>
        <v>0</v>
      </c>
      <c r="DG32">
        <f>ROUND(ROUND(AF32*AJ32,2)*CX32,2)</f>
        <v>127.67</v>
      </c>
      <c r="DH32">
        <f>ROUND(ROUND(AG32*AK32,2)*CX32,2)</f>
        <v>64</v>
      </c>
      <c r="DI32">
        <f t="shared" si="6"/>
        <v>0</v>
      </c>
      <c r="DJ32">
        <f>DG32</f>
        <v>127.67</v>
      </c>
      <c r="DK32">
        <v>0</v>
      </c>
      <c r="DL32" t="s">
        <v>486</v>
      </c>
      <c r="DM32">
        <v>0</v>
      </c>
      <c r="DN32" t="s">
        <v>475</v>
      </c>
      <c r="DO32">
        <v>12.62</v>
      </c>
    </row>
    <row r="33" spans="1:119" x14ac:dyDescent="0.2">
      <c r="A33">
        <f>ROW(Source!A31)</f>
        <v>31</v>
      </c>
      <c r="B33">
        <v>55747651</v>
      </c>
      <c r="C33">
        <v>57261016</v>
      </c>
      <c r="D33">
        <v>54767573</v>
      </c>
      <c r="E33">
        <v>1</v>
      </c>
      <c r="F33">
        <v>1</v>
      </c>
      <c r="G33">
        <v>1081</v>
      </c>
      <c r="H33">
        <v>2</v>
      </c>
      <c r="I33" t="s">
        <v>508</v>
      </c>
      <c r="J33" t="s">
        <v>509</v>
      </c>
      <c r="K33" t="s">
        <v>510</v>
      </c>
      <c r="L33">
        <v>1368</v>
      </c>
      <c r="N33">
        <v>1011</v>
      </c>
      <c r="O33" t="s">
        <v>479</v>
      </c>
      <c r="P33" t="s">
        <v>479</v>
      </c>
      <c r="Q33">
        <v>1</v>
      </c>
      <c r="W33">
        <v>0</v>
      </c>
      <c r="X33">
        <v>-44940208</v>
      </c>
      <c r="Y33">
        <f>((AT33*1.2)*1.25)</f>
        <v>0.06</v>
      </c>
      <c r="AA33">
        <v>0</v>
      </c>
      <c r="AB33">
        <v>2758.65</v>
      </c>
      <c r="AC33">
        <v>1017.92</v>
      </c>
      <c r="AD33">
        <v>0</v>
      </c>
      <c r="AE33">
        <v>0</v>
      </c>
      <c r="AF33">
        <v>179.17</v>
      </c>
      <c r="AG33">
        <v>16.93</v>
      </c>
      <c r="AH33">
        <v>0</v>
      </c>
      <c r="AI33">
        <v>1</v>
      </c>
      <c r="AJ33">
        <v>14.43</v>
      </c>
      <c r="AK33">
        <v>56.35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0.04</v>
      </c>
      <c r="AU33" t="s">
        <v>39</v>
      </c>
      <c r="AV33">
        <v>0</v>
      </c>
      <c r="AW33">
        <v>2</v>
      </c>
      <c r="AX33">
        <v>57261020</v>
      </c>
      <c r="AY33">
        <v>1</v>
      </c>
      <c r="AZ33">
        <v>0</v>
      </c>
      <c r="BA33">
        <v>38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ROUND(Y33*Source!I31*DO33,9)</f>
        <v>1.0158</v>
      </c>
      <c r="CX33">
        <f>ROUND(Y33*Source!I31,9)</f>
        <v>0.06</v>
      </c>
      <c r="CY33">
        <f>AB33</f>
        <v>2758.65</v>
      </c>
      <c r="CZ33">
        <f>AF33</f>
        <v>179.17</v>
      </c>
      <c r="DA33">
        <f>AJ33</f>
        <v>14.43</v>
      </c>
      <c r="DB33">
        <f>ROUND(((ROUND(AT33*CZ33,2)*1.2)*1.25),6)</f>
        <v>10.755000000000001</v>
      </c>
      <c r="DC33">
        <f>ROUND(((ROUND(AT33*AG33,2)*1.2)*1.25),6)</f>
        <v>1.02</v>
      </c>
      <c r="DD33" t="s">
        <v>3</v>
      </c>
      <c r="DE33" t="s">
        <v>3</v>
      </c>
      <c r="DF33">
        <f t="shared" si="12"/>
        <v>0</v>
      </c>
      <c r="DG33">
        <f>ROUND(ROUND(AF33*AJ33,2)*CX33,2)</f>
        <v>155.13</v>
      </c>
      <c r="DH33">
        <f>ROUND(ROUND(AG33*AK33,2)*CX33,2)</f>
        <v>57.24</v>
      </c>
      <c r="DI33">
        <f t="shared" si="6"/>
        <v>0</v>
      </c>
      <c r="DJ33">
        <f>DG33</f>
        <v>155.13</v>
      </c>
      <c r="DK33">
        <v>0</v>
      </c>
      <c r="DL33" t="s">
        <v>486</v>
      </c>
      <c r="DM33">
        <v>0</v>
      </c>
      <c r="DN33" t="s">
        <v>475</v>
      </c>
      <c r="DO33">
        <v>16.93</v>
      </c>
    </row>
    <row r="34" spans="1:119" x14ac:dyDescent="0.2">
      <c r="A34">
        <f>ROW(Source!A31)</f>
        <v>31</v>
      </c>
      <c r="B34">
        <v>55747651</v>
      </c>
      <c r="C34">
        <v>57261016</v>
      </c>
      <c r="D34">
        <v>54737969</v>
      </c>
      <c r="E34">
        <v>1</v>
      </c>
      <c r="F34">
        <v>1</v>
      </c>
      <c r="G34">
        <v>1081</v>
      </c>
      <c r="H34">
        <v>3</v>
      </c>
      <c r="I34" t="s">
        <v>511</v>
      </c>
      <c r="J34" t="s">
        <v>512</v>
      </c>
      <c r="K34" t="s">
        <v>513</v>
      </c>
      <c r="L34">
        <v>1348</v>
      </c>
      <c r="N34">
        <v>1009</v>
      </c>
      <c r="O34" t="s">
        <v>282</v>
      </c>
      <c r="P34" t="s">
        <v>282</v>
      </c>
      <c r="Q34">
        <v>1000</v>
      </c>
      <c r="W34">
        <v>0</v>
      </c>
      <c r="X34">
        <v>-287838193</v>
      </c>
      <c r="Y34">
        <f>((AT34*1)*1)</f>
        <v>9.0000000000000006E-5</v>
      </c>
      <c r="AA34">
        <v>103783.79</v>
      </c>
      <c r="AB34">
        <v>0</v>
      </c>
      <c r="AC34">
        <v>0</v>
      </c>
      <c r="AD34">
        <v>0</v>
      </c>
      <c r="AE34">
        <v>23114.43</v>
      </c>
      <c r="AF34">
        <v>0</v>
      </c>
      <c r="AG34">
        <v>0</v>
      </c>
      <c r="AH34">
        <v>0</v>
      </c>
      <c r="AI34">
        <v>4.49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9.0000000000000006E-5</v>
      </c>
      <c r="AU34" t="s">
        <v>38</v>
      </c>
      <c r="AV34">
        <v>0</v>
      </c>
      <c r="AW34">
        <v>2</v>
      </c>
      <c r="AX34">
        <v>57261021</v>
      </c>
      <c r="AY34">
        <v>1</v>
      </c>
      <c r="AZ34">
        <v>0</v>
      </c>
      <c r="BA34">
        <v>39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ROUND(Y34*Source!I31,9)</f>
        <v>9.0000000000000006E-5</v>
      </c>
      <c r="CY34">
        <f>AA34</f>
        <v>103783.79</v>
      </c>
      <c r="CZ34">
        <f>AE34</f>
        <v>23114.43</v>
      </c>
      <c r="DA34">
        <f>AI34</f>
        <v>4.49</v>
      </c>
      <c r="DB34">
        <f>ROUND(((ROUND(AT34*CZ34,2)*1)*1),6)</f>
        <v>2.08</v>
      </c>
      <c r="DC34">
        <f>ROUND(((ROUND(AT34*AG34,2)*1)*1),6)</f>
        <v>0</v>
      </c>
      <c r="DD34" t="s">
        <v>3</v>
      </c>
      <c r="DE34" t="s">
        <v>3</v>
      </c>
      <c r="DF34">
        <f>ROUND(ROUND(AE34*AI34,2)*CX34,2)</f>
        <v>9.34</v>
      </c>
      <c r="DG34">
        <f t="shared" ref="DG34:DG49" si="13">ROUND(ROUND(AF34,2)*CX34,2)</f>
        <v>0</v>
      </c>
      <c r="DH34">
        <f t="shared" ref="DH34:DH51" si="14">ROUND(ROUND(AG34,2)*CX34,2)</f>
        <v>0</v>
      </c>
      <c r="DI34">
        <f t="shared" si="6"/>
        <v>0</v>
      </c>
      <c r="DJ34">
        <f>DF34</f>
        <v>9.34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ROW(Source!A31)</f>
        <v>31</v>
      </c>
      <c r="B35">
        <v>55747651</v>
      </c>
      <c r="C35">
        <v>57261016</v>
      </c>
      <c r="D35">
        <v>54738510</v>
      </c>
      <c r="E35">
        <v>1</v>
      </c>
      <c r="F35">
        <v>1</v>
      </c>
      <c r="G35">
        <v>1081</v>
      </c>
      <c r="H35">
        <v>3</v>
      </c>
      <c r="I35" t="s">
        <v>514</v>
      </c>
      <c r="J35" t="s">
        <v>515</v>
      </c>
      <c r="K35" t="s">
        <v>516</v>
      </c>
      <c r="L35">
        <v>1348</v>
      </c>
      <c r="N35">
        <v>1009</v>
      </c>
      <c r="O35" t="s">
        <v>282</v>
      </c>
      <c r="P35" t="s">
        <v>282</v>
      </c>
      <c r="Q35">
        <v>1000</v>
      </c>
      <c r="W35">
        <v>0</v>
      </c>
      <c r="X35">
        <v>277309194</v>
      </c>
      <c r="Y35">
        <f>((AT35*1)*1)</f>
        <v>4.0999999999999999E-4</v>
      </c>
      <c r="AA35">
        <v>141233.74</v>
      </c>
      <c r="AB35">
        <v>0</v>
      </c>
      <c r="AC35">
        <v>0</v>
      </c>
      <c r="AD35">
        <v>0</v>
      </c>
      <c r="AE35">
        <v>8590.86</v>
      </c>
      <c r="AF35">
        <v>0</v>
      </c>
      <c r="AG35">
        <v>0</v>
      </c>
      <c r="AH35">
        <v>0</v>
      </c>
      <c r="AI35">
        <v>16.440000000000001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4.0999999999999999E-4</v>
      </c>
      <c r="AU35" t="s">
        <v>38</v>
      </c>
      <c r="AV35">
        <v>0</v>
      </c>
      <c r="AW35">
        <v>2</v>
      </c>
      <c r="AX35">
        <v>57261022</v>
      </c>
      <c r="AY35">
        <v>1</v>
      </c>
      <c r="AZ35">
        <v>0</v>
      </c>
      <c r="BA35">
        <v>40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ROUND(Y35*Source!I31,9)</f>
        <v>4.0999999999999999E-4</v>
      </c>
      <c r="CY35">
        <f>AA35</f>
        <v>141233.74</v>
      </c>
      <c r="CZ35">
        <f>AE35</f>
        <v>8590.86</v>
      </c>
      <c r="DA35">
        <f>AI35</f>
        <v>16.440000000000001</v>
      </c>
      <c r="DB35">
        <f>ROUND(((ROUND(AT35*CZ35,2)*1)*1),6)</f>
        <v>3.52</v>
      </c>
      <c r="DC35">
        <f>ROUND(((ROUND(AT35*AG35,2)*1)*1),6)</f>
        <v>0</v>
      </c>
      <c r="DD35" t="s">
        <v>3</v>
      </c>
      <c r="DE35" t="s">
        <v>3</v>
      </c>
      <c r="DF35">
        <f>ROUND(ROUND(AE35*AI35,2)*CX35,2)</f>
        <v>57.91</v>
      </c>
      <c r="DG35">
        <f t="shared" si="13"/>
        <v>0</v>
      </c>
      <c r="DH35">
        <f t="shared" si="14"/>
        <v>0</v>
      </c>
      <c r="DI35">
        <f t="shared" si="6"/>
        <v>0</v>
      </c>
      <c r="DJ35">
        <f>DF35</f>
        <v>57.91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ROW(Source!A31)</f>
        <v>31</v>
      </c>
      <c r="B36">
        <v>55747651</v>
      </c>
      <c r="C36">
        <v>57261016</v>
      </c>
      <c r="D36">
        <v>54753582</v>
      </c>
      <c r="E36">
        <v>1</v>
      </c>
      <c r="F36">
        <v>1</v>
      </c>
      <c r="G36">
        <v>1081</v>
      </c>
      <c r="H36">
        <v>3</v>
      </c>
      <c r="I36" t="s">
        <v>517</v>
      </c>
      <c r="J36" t="s">
        <v>518</v>
      </c>
      <c r="K36" t="s">
        <v>519</v>
      </c>
      <c r="L36">
        <v>1354</v>
      </c>
      <c r="N36">
        <v>1010</v>
      </c>
      <c r="O36" t="s">
        <v>118</v>
      </c>
      <c r="P36" t="s">
        <v>118</v>
      </c>
      <c r="Q36">
        <v>1</v>
      </c>
      <c r="W36">
        <v>0</v>
      </c>
      <c r="X36">
        <v>-1127264721</v>
      </c>
      <c r="Y36">
        <f>((AT36*1)*1)</f>
        <v>1</v>
      </c>
      <c r="AA36">
        <v>459.5</v>
      </c>
      <c r="AB36">
        <v>0</v>
      </c>
      <c r="AC36">
        <v>0</v>
      </c>
      <c r="AD36">
        <v>0</v>
      </c>
      <c r="AE36">
        <v>73.52</v>
      </c>
      <c r="AF36">
        <v>0</v>
      </c>
      <c r="AG36">
        <v>0</v>
      </c>
      <c r="AH36">
        <v>0</v>
      </c>
      <c r="AI36">
        <v>6.25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</v>
      </c>
      <c r="AU36" t="s">
        <v>38</v>
      </c>
      <c r="AV36">
        <v>0</v>
      </c>
      <c r="AW36">
        <v>2</v>
      </c>
      <c r="AX36">
        <v>57261023</v>
      </c>
      <c r="AY36">
        <v>1</v>
      </c>
      <c r="AZ36">
        <v>0</v>
      </c>
      <c r="BA36">
        <v>41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ROUND(Y36*Source!I31,9)</f>
        <v>1</v>
      </c>
      <c r="CY36">
        <f>AA36</f>
        <v>459.5</v>
      </c>
      <c r="CZ36">
        <f>AE36</f>
        <v>73.52</v>
      </c>
      <c r="DA36">
        <f>AI36</f>
        <v>6.25</v>
      </c>
      <c r="DB36">
        <f>ROUND(((ROUND(AT36*CZ36,2)*1)*1),6)</f>
        <v>73.52</v>
      </c>
      <c r="DC36">
        <f>ROUND(((ROUND(AT36*AG36,2)*1)*1),6)</f>
        <v>0</v>
      </c>
      <c r="DD36" t="s">
        <v>3</v>
      </c>
      <c r="DE36" t="s">
        <v>3</v>
      </c>
      <c r="DF36">
        <f>ROUND(ROUND(AE36*AI36,2)*CX36,2)</f>
        <v>459.5</v>
      </c>
      <c r="DG36">
        <f t="shared" si="13"/>
        <v>0</v>
      </c>
      <c r="DH36">
        <f t="shared" si="14"/>
        <v>0</v>
      </c>
      <c r="DI36">
        <f t="shared" si="6"/>
        <v>0</v>
      </c>
      <c r="DJ36">
        <f>DF36</f>
        <v>459.5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ROW(Source!A31)</f>
        <v>31</v>
      </c>
      <c r="B37">
        <v>55747651</v>
      </c>
      <c r="C37">
        <v>57261016</v>
      </c>
      <c r="D37">
        <v>54753583</v>
      </c>
      <c r="E37">
        <v>1</v>
      </c>
      <c r="F37">
        <v>1</v>
      </c>
      <c r="G37">
        <v>1081</v>
      </c>
      <c r="H37">
        <v>3</v>
      </c>
      <c r="I37" t="s">
        <v>520</v>
      </c>
      <c r="J37" t="s">
        <v>521</v>
      </c>
      <c r="K37" t="s">
        <v>522</v>
      </c>
      <c r="L37">
        <v>1354</v>
      </c>
      <c r="N37">
        <v>1010</v>
      </c>
      <c r="O37" t="s">
        <v>118</v>
      </c>
      <c r="P37" t="s">
        <v>118</v>
      </c>
      <c r="Q37">
        <v>1</v>
      </c>
      <c r="W37">
        <v>0</v>
      </c>
      <c r="X37">
        <v>242978422</v>
      </c>
      <c r="Y37">
        <f>((AT37*1)*1)</f>
        <v>1</v>
      </c>
      <c r="AA37">
        <v>650.45000000000005</v>
      </c>
      <c r="AB37">
        <v>0</v>
      </c>
      <c r="AC37">
        <v>0</v>
      </c>
      <c r="AD37">
        <v>0</v>
      </c>
      <c r="AE37">
        <v>87.78</v>
      </c>
      <c r="AF37">
        <v>0</v>
      </c>
      <c r="AG37">
        <v>0</v>
      </c>
      <c r="AH37">
        <v>0</v>
      </c>
      <c r="AI37">
        <v>7.41</v>
      </c>
      <c r="AJ37">
        <v>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</v>
      </c>
      <c r="AU37" t="s">
        <v>38</v>
      </c>
      <c r="AV37">
        <v>0</v>
      </c>
      <c r="AW37">
        <v>2</v>
      </c>
      <c r="AX37">
        <v>57261024</v>
      </c>
      <c r="AY37">
        <v>1</v>
      </c>
      <c r="AZ37">
        <v>0</v>
      </c>
      <c r="BA37">
        <v>42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ROUND(Y37*Source!I31,9)</f>
        <v>1</v>
      </c>
      <c r="CY37">
        <f>AA37</f>
        <v>650.45000000000005</v>
      </c>
      <c r="CZ37">
        <f>AE37</f>
        <v>87.78</v>
      </c>
      <c r="DA37">
        <f>AI37</f>
        <v>7.41</v>
      </c>
      <c r="DB37">
        <f>ROUND(((ROUND(AT37*CZ37,2)*1)*1),6)</f>
        <v>87.78</v>
      </c>
      <c r="DC37">
        <f>ROUND(((ROUND(AT37*AG37,2)*1)*1),6)</f>
        <v>0</v>
      </c>
      <c r="DD37" t="s">
        <v>3</v>
      </c>
      <c r="DE37" t="s">
        <v>3</v>
      </c>
      <c r="DF37">
        <f>ROUND(ROUND(AE37*AI37,2)*CX37,2)</f>
        <v>650.45000000000005</v>
      </c>
      <c r="DG37">
        <f t="shared" si="13"/>
        <v>0</v>
      </c>
      <c r="DH37">
        <f t="shared" si="14"/>
        <v>0</v>
      </c>
      <c r="DI37">
        <f t="shared" si="6"/>
        <v>0</v>
      </c>
      <c r="DJ37">
        <f>DF37</f>
        <v>650.45000000000005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ROW(Source!A31)</f>
        <v>31</v>
      </c>
      <c r="B38">
        <v>55747651</v>
      </c>
      <c r="C38">
        <v>57261016</v>
      </c>
      <c r="D38">
        <v>54744824</v>
      </c>
      <c r="E38">
        <v>1</v>
      </c>
      <c r="F38">
        <v>1</v>
      </c>
      <c r="G38">
        <v>1081</v>
      </c>
      <c r="H38">
        <v>3</v>
      </c>
      <c r="I38" t="s">
        <v>523</v>
      </c>
      <c r="J38" t="s">
        <v>524</v>
      </c>
      <c r="K38" t="s">
        <v>525</v>
      </c>
      <c r="L38">
        <v>1339</v>
      </c>
      <c r="N38">
        <v>1007</v>
      </c>
      <c r="O38" t="s">
        <v>507</v>
      </c>
      <c r="P38" t="s">
        <v>507</v>
      </c>
      <c r="Q38">
        <v>1</v>
      </c>
      <c r="W38">
        <v>0</v>
      </c>
      <c r="X38">
        <v>1130225326</v>
      </c>
      <c r="Y38">
        <f>((AT38*1)*1)</f>
        <v>1.4E-2</v>
      </c>
      <c r="AA38">
        <v>5238.87</v>
      </c>
      <c r="AB38">
        <v>0</v>
      </c>
      <c r="AC38">
        <v>0</v>
      </c>
      <c r="AD38">
        <v>0</v>
      </c>
      <c r="AE38">
        <v>364.57</v>
      </c>
      <c r="AF38">
        <v>0</v>
      </c>
      <c r="AG38">
        <v>0</v>
      </c>
      <c r="AH38">
        <v>0</v>
      </c>
      <c r="AI38">
        <v>14.37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1.4E-2</v>
      </c>
      <c r="AU38" t="s">
        <v>38</v>
      </c>
      <c r="AV38">
        <v>0</v>
      </c>
      <c r="AW38">
        <v>2</v>
      </c>
      <c r="AX38">
        <v>57261025</v>
      </c>
      <c r="AY38">
        <v>1</v>
      </c>
      <c r="AZ38">
        <v>0</v>
      </c>
      <c r="BA38">
        <v>43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ROUND(Y38*Source!I31,9)</f>
        <v>1.4E-2</v>
      </c>
      <c r="CY38">
        <f>AA38</f>
        <v>5238.87</v>
      </c>
      <c r="CZ38">
        <f>AE38</f>
        <v>364.57</v>
      </c>
      <c r="DA38">
        <f>AI38</f>
        <v>14.37</v>
      </c>
      <c r="DB38">
        <f>ROUND(((ROUND(AT38*CZ38,2)*1)*1),6)</f>
        <v>5.0999999999999996</v>
      </c>
      <c r="DC38">
        <f>ROUND(((ROUND(AT38*AG38,2)*1)*1),6)</f>
        <v>0</v>
      </c>
      <c r="DD38" t="s">
        <v>3</v>
      </c>
      <c r="DE38" t="s">
        <v>3</v>
      </c>
      <c r="DF38">
        <f>ROUND(ROUND(AE38*AI38,2)*CX38,2)</f>
        <v>73.34</v>
      </c>
      <c r="DG38">
        <f t="shared" si="13"/>
        <v>0</v>
      </c>
      <c r="DH38">
        <f t="shared" si="14"/>
        <v>0</v>
      </c>
      <c r="DI38">
        <f t="shared" si="6"/>
        <v>0</v>
      </c>
      <c r="DJ38">
        <f>DF38</f>
        <v>73.34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ROW(Source!A32)</f>
        <v>32</v>
      </c>
      <c r="B39">
        <v>55747649</v>
      </c>
      <c r="C39">
        <v>55747854</v>
      </c>
      <c r="D39">
        <v>54702434</v>
      </c>
      <c r="E39">
        <v>1081</v>
      </c>
      <c r="F39">
        <v>1</v>
      </c>
      <c r="G39">
        <v>1081</v>
      </c>
      <c r="H39">
        <v>1</v>
      </c>
      <c r="I39" t="s">
        <v>473</v>
      </c>
      <c r="J39" t="s">
        <v>3</v>
      </c>
      <c r="K39" t="s">
        <v>474</v>
      </c>
      <c r="L39">
        <v>1191</v>
      </c>
      <c r="N39">
        <v>1013</v>
      </c>
      <c r="O39" t="s">
        <v>475</v>
      </c>
      <c r="P39" t="s">
        <v>475</v>
      </c>
      <c r="Q39">
        <v>1</v>
      </c>
      <c r="W39">
        <v>0</v>
      </c>
      <c r="X39">
        <v>476480486</v>
      </c>
      <c r="Y39">
        <f t="shared" ref="Y39:Y44" si="15">(AT39*1.2)</f>
        <v>33.36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27.8</v>
      </c>
      <c r="AU39" t="s">
        <v>49</v>
      </c>
      <c r="AV39">
        <v>1</v>
      </c>
      <c r="AW39">
        <v>2</v>
      </c>
      <c r="AX39">
        <v>55747865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ROUND(AT39*Source!I32*AH39*AL39,2)</f>
        <v>0</v>
      </c>
      <c r="CV39">
        <f>ROUND(Y39*Source!I32,9)</f>
        <v>33.36</v>
      </c>
      <c r="CW39">
        <v>0</v>
      </c>
      <c r="CX39">
        <f>ROUND(Y39*Source!I32,9)</f>
        <v>33.36</v>
      </c>
      <c r="CY39">
        <f>AD39</f>
        <v>0</v>
      </c>
      <c r="CZ39">
        <f>AH39</f>
        <v>0</v>
      </c>
      <c r="DA39">
        <f>AL39</f>
        <v>1</v>
      </c>
      <c r="DB39">
        <f t="shared" ref="DB39:DB44" si="16">ROUND((ROUND(AT39*CZ39,2)*1.2),6)</f>
        <v>0</v>
      </c>
      <c r="DC39">
        <f t="shared" ref="DC39:DC44" si="17">ROUND((ROUND(AT39*AG39,2)*1.2),6)</f>
        <v>0</v>
      </c>
      <c r="DD39" t="s">
        <v>3</v>
      </c>
      <c r="DE39" t="s">
        <v>3</v>
      </c>
      <c r="DF39">
        <f t="shared" ref="DF39:DF54" si="18">ROUND(ROUND(AE39,2)*CX39,2)</f>
        <v>0</v>
      </c>
      <c r="DG39">
        <f t="shared" si="13"/>
        <v>0</v>
      </c>
      <c r="DH39">
        <f t="shared" si="14"/>
        <v>0</v>
      </c>
      <c r="DI39">
        <f t="shared" si="6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ROW(Source!A32)</f>
        <v>32</v>
      </c>
      <c r="B40">
        <v>55747649</v>
      </c>
      <c r="C40">
        <v>55747854</v>
      </c>
      <c r="D40">
        <v>54768040</v>
      </c>
      <c r="E40">
        <v>1</v>
      </c>
      <c r="F40">
        <v>1</v>
      </c>
      <c r="G40">
        <v>1081</v>
      </c>
      <c r="H40">
        <v>2</v>
      </c>
      <c r="I40" t="s">
        <v>476</v>
      </c>
      <c r="J40" t="s">
        <v>477</v>
      </c>
      <c r="K40" t="s">
        <v>478</v>
      </c>
      <c r="L40">
        <v>1368</v>
      </c>
      <c r="N40">
        <v>1011</v>
      </c>
      <c r="O40" t="s">
        <v>479</v>
      </c>
      <c r="P40" t="s">
        <v>479</v>
      </c>
      <c r="Q40">
        <v>1</v>
      </c>
      <c r="W40">
        <v>0</v>
      </c>
      <c r="X40">
        <v>1498588441</v>
      </c>
      <c r="Y40">
        <f t="shared" si="15"/>
        <v>3.12</v>
      </c>
      <c r="AA40">
        <v>0</v>
      </c>
      <c r="AB40">
        <v>7.59</v>
      </c>
      <c r="AC40">
        <v>0</v>
      </c>
      <c r="AD40">
        <v>0</v>
      </c>
      <c r="AE40">
        <v>0</v>
      </c>
      <c r="AF40">
        <v>7.11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2.6</v>
      </c>
      <c r="AU40" t="s">
        <v>49</v>
      </c>
      <c r="AV40">
        <v>0</v>
      </c>
      <c r="AW40">
        <v>2</v>
      </c>
      <c r="AX40">
        <v>55747866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ROUND(Y40*Source!I32*DO40,9)</f>
        <v>0</v>
      </c>
      <c r="CX40">
        <f>ROUND(Y40*Source!I32,9)</f>
        <v>3.12</v>
      </c>
      <c r="CY40">
        <f>AB40</f>
        <v>7.59</v>
      </c>
      <c r="CZ40">
        <f>AF40</f>
        <v>7.11</v>
      </c>
      <c r="DA40">
        <f>AJ40</f>
        <v>1</v>
      </c>
      <c r="DB40">
        <f t="shared" si="16"/>
        <v>22.187999999999999</v>
      </c>
      <c r="DC40">
        <f t="shared" si="17"/>
        <v>0</v>
      </c>
      <c r="DD40" t="s">
        <v>3</v>
      </c>
      <c r="DE40" t="s">
        <v>3</v>
      </c>
      <c r="DF40">
        <f t="shared" si="18"/>
        <v>0</v>
      </c>
      <c r="DG40">
        <f t="shared" si="13"/>
        <v>22.18</v>
      </c>
      <c r="DH40">
        <f t="shared" si="14"/>
        <v>0</v>
      </c>
      <c r="DI40">
        <f t="shared" si="6"/>
        <v>0</v>
      </c>
      <c r="DJ40">
        <f>DG40</f>
        <v>22.18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ROW(Source!A32)</f>
        <v>32</v>
      </c>
      <c r="B41">
        <v>55747649</v>
      </c>
      <c r="C41">
        <v>55747854</v>
      </c>
      <c r="D41">
        <v>54768042</v>
      </c>
      <c r="E41">
        <v>1</v>
      </c>
      <c r="F41">
        <v>1</v>
      </c>
      <c r="G41">
        <v>1081</v>
      </c>
      <c r="H41">
        <v>2</v>
      </c>
      <c r="I41" t="s">
        <v>480</v>
      </c>
      <c r="J41" t="s">
        <v>481</v>
      </c>
      <c r="K41" t="s">
        <v>482</v>
      </c>
      <c r="L41">
        <v>1368</v>
      </c>
      <c r="N41">
        <v>1011</v>
      </c>
      <c r="O41" t="s">
        <v>479</v>
      </c>
      <c r="P41" t="s">
        <v>479</v>
      </c>
      <c r="Q41">
        <v>1</v>
      </c>
      <c r="W41">
        <v>0</v>
      </c>
      <c r="X41">
        <v>-49672420</v>
      </c>
      <c r="Y41">
        <f t="shared" si="15"/>
        <v>0.6</v>
      </c>
      <c r="AA41">
        <v>0</v>
      </c>
      <c r="AB41">
        <v>0.3</v>
      </c>
      <c r="AC41">
        <v>0</v>
      </c>
      <c r="AD41">
        <v>0</v>
      </c>
      <c r="AE41">
        <v>0</v>
      </c>
      <c r="AF41">
        <v>0.28000000000000003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0.5</v>
      </c>
      <c r="AU41" t="s">
        <v>49</v>
      </c>
      <c r="AV41">
        <v>0</v>
      </c>
      <c r="AW41">
        <v>2</v>
      </c>
      <c r="AX41">
        <v>55747867</v>
      </c>
      <c r="AY41">
        <v>1</v>
      </c>
      <c r="AZ41">
        <v>0</v>
      </c>
      <c r="BA41">
        <v>49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ROUND(Y41*Source!I32*DO41,9)</f>
        <v>0</v>
      </c>
      <c r="CX41">
        <f>ROUND(Y41*Source!I32,9)</f>
        <v>0.6</v>
      </c>
      <c r="CY41">
        <f>AB41</f>
        <v>0.3</v>
      </c>
      <c r="CZ41">
        <f>AF41</f>
        <v>0.28000000000000003</v>
      </c>
      <c r="DA41">
        <f>AJ41</f>
        <v>1</v>
      </c>
      <c r="DB41">
        <f t="shared" si="16"/>
        <v>0.16800000000000001</v>
      </c>
      <c r="DC41">
        <f t="shared" si="17"/>
        <v>0</v>
      </c>
      <c r="DD41" t="s">
        <v>3</v>
      </c>
      <c r="DE41" t="s">
        <v>3</v>
      </c>
      <c r="DF41">
        <f t="shared" si="18"/>
        <v>0</v>
      </c>
      <c r="DG41">
        <f t="shared" si="13"/>
        <v>0.17</v>
      </c>
      <c r="DH41">
        <f t="shared" si="14"/>
        <v>0</v>
      </c>
      <c r="DI41">
        <f t="shared" si="6"/>
        <v>0</v>
      </c>
      <c r="DJ41">
        <f>DG41</f>
        <v>0.17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ROW(Source!A32)</f>
        <v>32</v>
      </c>
      <c r="B42">
        <v>55747649</v>
      </c>
      <c r="C42">
        <v>55747854</v>
      </c>
      <c r="D42">
        <v>54768339</v>
      </c>
      <c r="E42">
        <v>1</v>
      </c>
      <c r="F42">
        <v>1</v>
      </c>
      <c r="G42">
        <v>1081</v>
      </c>
      <c r="H42">
        <v>2</v>
      </c>
      <c r="I42" t="s">
        <v>483</v>
      </c>
      <c r="J42" t="s">
        <v>484</v>
      </c>
      <c r="K42" t="s">
        <v>485</v>
      </c>
      <c r="L42">
        <v>1368</v>
      </c>
      <c r="N42">
        <v>1011</v>
      </c>
      <c r="O42" t="s">
        <v>479</v>
      </c>
      <c r="P42" t="s">
        <v>479</v>
      </c>
      <c r="Q42">
        <v>1</v>
      </c>
      <c r="W42">
        <v>0</v>
      </c>
      <c r="X42">
        <v>874612079</v>
      </c>
      <c r="Y42">
        <f t="shared" si="15"/>
        <v>3.5999999999999997E-2</v>
      </c>
      <c r="AA42">
        <v>0</v>
      </c>
      <c r="AB42">
        <v>88.67</v>
      </c>
      <c r="AC42">
        <v>13.47</v>
      </c>
      <c r="AD42">
        <v>0</v>
      </c>
      <c r="AE42">
        <v>0</v>
      </c>
      <c r="AF42">
        <v>83.1</v>
      </c>
      <c r="AG42">
        <v>12.62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0.03</v>
      </c>
      <c r="AU42" t="s">
        <v>49</v>
      </c>
      <c r="AV42">
        <v>0</v>
      </c>
      <c r="AW42">
        <v>2</v>
      </c>
      <c r="AX42">
        <v>55747868</v>
      </c>
      <c r="AY42">
        <v>1</v>
      </c>
      <c r="AZ42">
        <v>0</v>
      </c>
      <c r="BA42">
        <v>50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ROUND(Y42*Source!I32*DO42,9)</f>
        <v>0.45432</v>
      </c>
      <c r="CX42">
        <f>ROUND(Y42*Source!I32,9)</f>
        <v>3.5999999999999997E-2</v>
      </c>
      <c r="CY42">
        <f>AB42</f>
        <v>88.67</v>
      </c>
      <c r="CZ42">
        <f>AF42</f>
        <v>83.1</v>
      </c>
      <c r="DA42">
        <f>AJ42</f>
        <v>1</v>
      </c>
      <c r="DB42">
        <f t="shared" si="16"/>
        <v>2.988</v>
      </c>
      <c r="DC42">
        <f t="shared" si="17"/>
        <v>0.45600000000000002</v>
      </c>
      <c r="DD42" t="s">
        <v>3</v>
      </c>
      <c r="DE42" t="s">
        <v>3</v>
      </c>
      <c r="DF42">
        <f t="shared" si="18"/>
        <v>0</v>
      </c>
      <c r="DG42">
        <f t="shared" si="13"/>
        <v>2.99</v>
      </c>
      <c r="DH42">
        <f t="shared" si="14"/>
        <v>0.45</v>
      </c>
      <c r="DI42">
        <f t="shared" si="6"/>
        <v>0</v>
      </c>
      <c r="DJ42">
        <f>DG42</f>
        <v>2.99</v>
      </c>
      <c r="DK42">
        <v>0</v>
      </c>
      <c r="DL42" t="s">
        <v>486</v>
      </c>
      <c r="DM42">
        <v>0</v>
      </c>
      <c r="DN42" t="s">
        <v>475</v>
      </c>
      <c r="DO42">
        <v>12.62</v>
      </c>
    </row>
    <row r="43" spans="1:119" x14ac:dyDescent="0.2">
      <c r="A43">
        <f>ROW(Source!A32)</f>
        <v>32</v>
      </c>
      <c r="B43">
        <v>55747649</v>
      </c>
      <c r="C43">
        <v>55747854</v>
      </c>
      <c r="D43">
        <v>54768400</v>
      </c>
      <c r="E43">
        <v>1</v>
      </c>
      <c r="F43">
        <v>1</v>
      </c>
      <c r="G43">
        <v>1081</v>
      </c>
      <c r="H43">
        <v>2</v>
      </c>
      <c r="I43" t="s">
        <v>487</v>
      </c>
      <c r="J43" t="s">
        <v>488</v>
      </c>
      <c r="K43" t="s">
        <v>489</v>
      </c>
      <c r="L43">
        <v>1368</v>
      </c>
      <c r="N43">
        <v>1011</v>
      </c>
      <c r="O43" t="s">
        <v>479</v>
      </c>
      <c r="P43" t="s">
        <v>479</v>
      </c>
      <c r="Q43">
        <v>1</v>
      </c>
      <c r="W43">
        <v>0</v>
      </c>
      <c r="X43">
        <v>-1412866184</v>
      </c>
      <c r="Y43">
        <f t="shared" si="15"/>
        <v>3.48</v>
      </c>
      <c r="AA43">
        <v>0</v>
      </c>
      <c r="AB43">
        <v>0.45</v>
      </c>
      <c r="AC43">
        <v>0</v>
      </c>
      <c r="AD43">
        <v>0</v>
      </c>
      <c r="AE43">
        <v>0</v>
      </c>
      <c r="AF43">
        <v>0.42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2.9</v>
      </c>
      <c r="AU43" t="s">
        <v>49</v>
      </c>
      <c r="AV43">
        <v>0</v>
      </c>
      <c r="AW43">
        <v>2</v>
      </c>
      <c r="AX43">
        <v>55747869</v>
      </c>
      <c r="AY43">
        <v>1</v>
      </c>
      <c r="AZ43">
        <v>0</v>
      </c>
      <c r="BA43">
        <v>51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ROUND(Y43*Source!I32*DO43,9)</f>
        <v>0</v>
      </c>
      <c r="CX43">
        <f>ROUND(Y43*Source!I32,9)</f>
        <v>3.48</v>
      </c>
      <c r="CY43">
        <f>AB43</f>
        <v>0.45</v>
      </c>
      <c r="CZ43">
        <f>AF43</f>
        <v>0.42</v>
      </c>
      <c r="DA43">
        <f>AJ43</f>
        <v>1</v>
      </c>
      <c r="DB43">
        <f t="shared" si="16"/>
        <v>1.464</v>
      </c>
      <c r="DC43">
        <f t="shared" si="17"/>
        <v>0</v>
      </c>
      <c r="DD43" t="s">
        <v>3</v>
      </c>
      <c r="DE43" t="s">
        <v>3</v>
      </c>
      <c r="DF43">
        <f t="shared" si="18"/>
        <v>0</v>
      </c>
      <c r="DG43">
        <f t="shared" si="13"/>
        <v>1.46</v>
      </c>
      <c r="DH43">
        <f t="shared" si="14"/>
        <v>0</v>
      </c>
      <c r="DI43">
        <f t="shared" si="6"/>
        <v>0</v>
      </c>
      <c r="DJ43">
        <f>DG43</f>
        <v>1.46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ROW(Source!A32)</f>
        <v>32</v>
      </c>
      <c r="B44">
        <v>55747649</v>
      </c>
      <c r="C44">
        <v>55747854</v>
      </c>
      <c r="D44">
        <v>54767702</v>
      </c>
      <c r="E44">
        <v>1</v>
      </c>
      <c r="F44">
        <v>1</v>
      </c>
      <c r="G44">
        <v>1081</v>
      </c>
      <c r="H44">
        <v>2</v>
      </c>
      <c r="I44" t="s">
        <v>490</v>
      </c>
      <c r="J44" t="s">
        <v>491</v>
      </c>
      <c r="K44" t="s">
        <v>492</v>
      </c>
      <c r="L44">
        <v>1368</v>
      </c>
      <c r="N44">
        <v>1011</v>
      </c>
      <c r="O44" t="s">
        <v>479</v>
      </c>
      <c r="P44" t="s">
        <v>479</v>
      </c>
      <c r="Q44">
        <v>1</v>
      </c>
      <c r="W44">
        <v>0</v>
      </c>
      <c r="X44">
        <v>1143286219</v>
      </c>
      <c r="Y44">
        <f t="shared" si="15"/>
        <v>0.64800000000000002</v>
      </c>
      <c r="AA44">
        <v>0</v>
      </c>
      <c r="AB44">
        <v>4.2699999999999996</v>
      </c>
      <c r="AC44">
        <v>0</v>
      </c>
      <c r="AD44">
        <v>0</v>
      </c>
      <c r="AE44">
        <v>0</v>
      </c>
      <c r="AF44">
        <v>4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0.54</v>
      </c>
      <c r="AU44" t="s">
        <v>49</v>
      </c>
      <c r="AV44">
        <v>0</v>
      </c>
      <c r="AW44">
        <v>2</v>
      </c>
      <c r="AX44">
        <v>55747870</v>
      </c>
      <c r="AY44">
        <v>1</v>
      </c>
      <c r="AZ44">
        <v>0</v>
      </c>
      <c r="BA44">
        <v>52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ROUND(Y44*Source!I32*DO44,9)</f>
        <v>0</v>
      </c>
      <c r="CX44">
        <f>ROUND(Y44*Source!I32,9)</f>
        <v>0.64800000000000002</v>
      </c>
      <c r="CY44">
        <f>AB44</f>
        <v>4.2699999999999996</v>
      </c>
      <c r="CZ44">
        <f>AF44</f>
        <v>4</v>
      </c>
      <c r="DA44">
        <f>AJ44</f>
        <v>1</v>
      </c>
      <c r="DB44">
        <f t="shared" si="16"/>
        <v>2.5920000000000001</v>
      </c>
      <c r="DC44">
        <f t="shared" si="17"/>
        <v>0</v>
      </c>
      <c r="DD44" t="s">
        <v>3</v>
      </c>
      <c r="DE44" t="s">
        <v>3</v>
      </c>
      <c r="DF44">
        <f t="shared" si="18"/>
        <v>0</v>
      </c>
      <c r="DG44">
        <f t="shared" si="13"/>
        <v>2.59</v>
      </c>
      <c r="DH44">
        <f t="shared" si="14"/>
        <v>0</v>
      </c>
      <c r="DI44">
        <f t="shared" si="6"/>
        <v>0</v>
      </c>
      <c r="DJ44">
        <f>DG44</f>
        <v>2.59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ROW(Source!A32)</f>
        <v>32</v>
      </c>
      <c r="B45">
        <v>55747649</v>
      </c>
      <c r="C45">
        <v>55747854</v>
      </c>
      <c r="D45">
        <v>54738518</v>
      </c>
      <c r="E45">
        <v>1</v>
      </c>
      <c r="F45">
        <v>1</v>
      </c>
      <c r="G45">
        <v>1081</v>
      </c>
      <c r="H45">
        <v>3</v>
      </c>
      <c r="I45" t="s">
        <v>493</v>
      </c>
      <c r="J45" t="s">
        <v>494</v>
      </c>
      <c r="K45" t="s">
        <v>495</v>
      </c>
      <c r="L45">
        <v>1348</v>
      </c>
      <c r="N45">
        <v>1009</v>
      </c>
      <c r="O45" t="s">
        <v>282</v>
      </c>
      <c r="P45" t="s">
        <v>282</v>
      </c>
      <c r="Q45">
        <v>1000</v>
      </c>
      <c r="W45">
        <v>0</v>
      </c>
      <c r="X45">
        <v>205566664</v>
      </c>
      <c r="Y45">
        <f>(AT45*1)</f>
        <v>3.5000000000000001E-3</v>
      </c>
      <c r="AA45">
        <v>9367.64</v>
      </c>
      <c r="AB45">
        <v>0</v>
      </c>
      <c r="AC45">
        <v>0</v>
      </c>
      <c r="AD45">
        <v>0</v>
      </c>
      <c r="AE45">
        <v>9112.49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3.5000000000000001E-3</v>
      </c>
      <c r="AU45" t="s">
        <v>48</v>
      </c>
      <c r="AV45">
        <v>0</v>
      </c>
      <c r="AW45">
        <v>2</v>
      </c>
      <c r="AX45">
        <v>55747871</v>
      </c>
      <c r="AY45">
        <v>1</v>
      </c>
      <c r="AZ45">
        <v>0</v>
      </c>
      <c r="BA45">
        <v>53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ROUND(Y45*Source!I32,9)</f>
        <v>3.5000000000000001E-3</v>
      </c>
      <c r="CY45">
        <f>AA45</f>
        <v>9367.64</v>
      </c>
      <c r="CZ45">
        <f>AE45</f>
        <v>9112.49</v>
      </c>
      <c r="DA45">
        <f>AI45</f>
        <v>1</v>
      </c>
      <c r="DB45">
        <f>ROUND((ROUND(AT45*CZ45,2)*1),6)</f>
        <v>31.89</v>
      </c>
      <c r="DC45">
        <f>ROUND((ROUND(AT45*AG45,2)*1),6)</f>
        <v>0</v>
      </c>
      <c r="DD45" t="s">
        <v>3</v>
      </c>
      <c r="DE45" t="s">
        <v>3</v>
      </c>
      <c r="DF45">
        <f t="shared" si="18"/>
        <v>31.89</v>
      </c>
      <c r="DG45">
        <f t="shared" si="13"/>
        <v>0</v>
      </c>
      <c r="DH45">
        <f t="shared" si="14"/>
        <v>0</v>
      </c>
      <c r="DI45">
        <f t="shared" si="6"/>
        <v>0</v>
      </c>
      <c r="DJ45">
        <f>DF45</f>
        <v>31.89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ROW(Source!A32)</f>
        <v>32</v>
      </c>
      <c r="B46">
        <v>55747649</v>
      </c>
      <c r="C46">
        <v>55747854</v>
      </c>
      <c r="D46">
        <v>54738676</v>
      </c>
      <c r="E46">
        <v>1</v>
      </c>
      <c r="F46">
        <v>1</v>
      </c>
      <c r="G46">
        <v>1081</v>
      </c>
      <c r="H46">
        <v>3</v>
      </c>
      <c r="I46" t="s">
        <v>496</v>
      </c>
      <c r="J46" t="s">
        <v>497</v>
      </c>
      <c r="K46" t="s">
        <v>498</v>
      </c>
      <c r="L46">
        <v>1255</v>
      </c>
      <c r="N46">
        <v>1013</v>
      </c>
      <c r="O46" t="s">
        <v>499</v>
      </c>
      <c r="P46" t="s">
        <v>499</v>
      </c>
      <c r="Q46">
        <v>1</v>
      </c>
      <c r="W46">
        <v>0</v>
      </c>
      <c r="X46">
        <v>-1398468845</v>
      </c>
      <c r="Y46">
        <f>(AT46*1)</f>
        <v>1.9</v>
      </c>
      <c r="AA46">
        <v>0.43</v>
      </c>
      <c r="AB46">
        <v>0</v>
      </c>
      <c r="AC46">
        <v>0</v>
      </c>
      <c r="AD46">
        <v>0</v>
      </c>
      <c r="AE46">
        <v>0.42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1.9</v>
      </c>
      <c r="AU46" t="s">
        <v>48</v>
      </c>
      <c r="AV46">
        <v>0</v>
      </c>
      <c r="AW46">
        <v>2</v>
      </c>
      <c r="AX46">
        <v>55747872</v>
      </c>
      <c r="AY46">
        <v>1</v>
      </c>
      <c r="AZ46">
        <v>0</v>
      </c>
      <c r="BA46">
        <v>54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ROUND(Y46*Source!I32,9)</f>
        <v>1.9</v>
      </c>
      <c r="CY46">
        <f>AA46</f>
        <v>0.43</v>
      </c>
      <c r="CZ46">
        <f>AE46</f>
        <v>0.42</v>
      </c>
      <c r="DA46">
        <f>AI46</f>
        <v>1</v>
      </c>
      <c r="DB46">
        <f>ROUND((ROUND(AT46*CZ46,2)*1),6)</f>
        <v>0.8</v>
      </c>
      <c r="DC46">
        <f>ROUND((ROUND(AT46*AG46,2)*1),6)</f>
        <v>0</v>
      </c>
      <c r="DD46" t="s">
        <v>3</v>
      </c>
      <c r="DE46" t="s">
        <v>3</v>
      </c>
      <c r="DF46">
        <f t="shared" si="18"/>
        <v>0.8</v>
      </c>
      <c r="DG46">
        <f t="shared" si="13"/>
        <v>0</v>
      </c>
      <c r="DH46">
        <f t="shared" si="14"/>
        <v>0</v>
      </c>
      <c r="DI46">
        <f t="shared" si="6"/>
        <v>0</v>
      </c>
      <c r="DJ46">
        <f>DF46</f>
        <v>0.8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ROW(Source!A32)</f>
        <v>32</v>
      </c>
      <c r="B47">
        <v>55747649</v>
      </c>
      <c r="C47">
        <v>55747854</v>
      </c>
      <c r="D47">
        <v>54739191</v>
      </c>
      <c r="E47">
        <v>1</v>
      </c>
      <c r="F47">
        <v>1</v>
      </c>
      <c r="G47">
        <v>1081</v>
      </c>
      <c r="H47">
        <v>3</v>
      </c>
      <c r="I47" t="s">
        <v>500</v>
      </c>
      <c r="J47" t="s">
        <v>501</v>
      </c>
      <c r="K47" t="s">
        <v>502</v>
      </c>
      <c r="L47">
        <v>1346</v>
      </c>
      <c r="N47">
        <v>1009</v>
      </c>
      <c r="O47" t="s">
        <v>503</v>
      </c>
      <c r="P47" t="s">
        <v>503</v>
      </c>
      <c r="Q47">
        <v>1</v>
      </c>
      <c r="W47">
        <v>0</v>
      </c>
      <c r="X47">
        <v>-2132327540</v>
      </c>
      <c r="Y47">
        <f>(AT47*1)</f>
        <v>0.24</v>
      </c>
      <c r="AA47">
        <v>6.43</v>
      </c>
      <c r="AB47">
        <v>0</v>
      </c>
      <c r="AC47">
        <v>0</v>
      </c>
      <c r="AD47">
        <v>0</v>
      </c>
      <c r="AE47">
        <v>6.25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0.24</v>
      </c>
      <c r="AU47" t="s">
        <v>48</v>
      </c>
      <c r="AV47">
        <v>0</v>
      </c>
      <c r="AW47">
        <v>2</v>
      </c>
      <c r="AX47">
        <v>55747873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ROUND(Y47*Source!I32,9)</f>
        <v>0.24</v>
      </c>
      <c r="CY47">
        <f>AA47</f>
        <v>6.43</v>
      </c>
      <c r="CZ47">
        <f>AE47</f>
        <v>6.25</v>
      </c>
      <c r="DA47">
        <f>AI47</f>
        <v>1</v>
      </c>
      <c r="DB47">
        <f>ROUND((ROUND(AT47*CZ47,2)*1),6)</f>
        <v>1.5</v>
      </c>
      <c r="DC47">
        <f>ROUND((ROUND(AT47*AG47,2)*1),6)</f>
        <v>0</v>
      </c>
      <c r="DD47" t="s">
        <v>3</v>
      </c>
      <c r="DE47" t="s">
        <v>3</v>
      </c>
      <c r="DF47">
        <f t="shared" si="18"/>
        <v>1.5</v>
      </c>
      <c r="DG47">
        <f t="shared" si="13"/>
        <v>0</v>
      </c>
      <c r="DH47">
        <f t="shared" si="14"/>
        <v>0</v>
      </c>
      <c r="DI47">
        <f t="shared" si="6"/>
        <v>0</v>
      </c>
      <c r="DJ47">
        <f>DF47</f>
        <v>1.5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ROW(Source!A32)</f>
        <v>32</v>
      </c>
      <c r="B48">
        <v>55747649</v>
      </c>
      <c r="C48">
        <v>55747854</v>
      </c>
      <c r="D48">
        <v>54737565</v>
      </c>
      <c r="E48">
        <v>1</v>
      </c>
      <c r="F48">
        <v>1</v>
      </c>
      <c r="G48">
        <v>1081</v>
      </c>
      <c r="H48">
        <v>3</v>
      </c>
      <c r="I48" t="s">
        <v>504</v>
      </c>
      <c r="J48" t="s">
        <v>505</v>
      </c>
      <c r="K48" t="s">
        <v>506</v>
      </c>
      <c r="L48">
        <v>1339</v>
      </c>
      <c r="N48">
        <v>1007</v>
      </c>
      <c r="O48" t="s">
        <v>507</v>
      </c>
      <c r="P48" t="s">
        <v>507</v>
      </c>
      <c r="Q48">
        <v>1</v>
      </c>
      <c r="W48">
        <v>0</v>
      </c>
      <c r="X48">
        <v>-1235260082</v>
      </c>
      <c r="Y48">
        <f>(AT48*1)</f>
        <v>1.4</v>
      </c>
      <c r="AA48">
        <v>5.98</v>
      </c>
      <c r="AB48">
        <v>0</v>
      </c>
      <c r="AC48">
        <v>0</v>
      </c>
      <c r="AD48">
        <v>0</v>
      </c>
      <c r="AE48">
        <v>5.82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1.4</v>
      </c>
      <c r="AU48" t="s">
        <v>48</v>
      </c>
      <c r="AV48">
        <v>0</v>
      </c>
      <c r="AW48">
        <v>2</v>
      </c>
      <c r="AX48">
        <v>55747874</v>
      </c>
      <c r="AY48">
        <v>1</v>
      </c>
      <c r="AZ48">
        <v>0</v>
      </c>
      <c r="BA48">
        <v>56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ROUND(Y48*Source!I32,9)</f>
        <v>1.4</v>
      </c>
      <c r="CY48">
        <f>AA48</f>
        <v>5.98</v>
      </c>
      <c r="CZ48">
        <f>AE48</f>
        <v>5.82</v>
      </c>
      <c r="DA48">
        <f>AI48</f>
        <v>1</v>
      </c>
      <c r="DB48">
        <f>ROUND((ROUND(AT48*CZ48,2)*1),6)</f>
        <v>8.15</v>
      </c>
      <c r="DC48">
        <f>ROUND((ROUND(AT48*AG48,2)*1),6)</f>
        <v>0</v>
      </c>
      <c r="DD48" t="s">
        <v>3</v>
      </c>
      <c r="DE48" t="s">
        <v>3</v>
      </c>
      <c r="DF48">
        <f t="shared" si="18"/>
        <v>8.15</v>
      </c>
      <c r="DG48">
        <f t="shared" si="13"/>
        <v>0</v>
      </c>
      <c r="DH48">
        <f t="shared" si="14"/>
        <v>0</v>
      </c>
      <c r="DI48">
        <f t="shared" si="6"/>
        <v>0</v>
      </c>
      <c r="DJ48">
        <f>DF48</f>
        <v>8.15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ROW(Source!A33)</f>
        <v>33</v>
      </c>
      <c r="B49">
        <v>55747651</v>
      </c>
      <c r="C49">
        <v>55747854</v>
      </c>
      <c r="D49">
        <v>54702434</v>
      </c>
      <c r="E49">
        <v>1081</v>
      </c>
      <c r="F49">
        <v>1</v>
      </c>
      <c r="G49">
        <v>1081</v>
      </c>
      <c r="H49">
        <v>1</v>
      </c>
      <c r="I49" t="s">
        <v>473</v>
      </c>
      <c r="J49" t="s">
        <v>3</v>
      </c>
      <c r="K49" t="s">
        <v>474</v>
      </c>
      <c r="L49">
        <v>1191</v>
      </c>
      <c r="N49">
        <v>1013</v>
      </c>
      <c r="O49" t="s">
        <v>475</v>
      </c>
      <c r="P49" t="s">
        <v>475</v>
      </c>
      <c r="Q49">
        <v>1</v>
      </c>
      <c r="W49">
        <v>0</v>
      </c>
      <c r="X49">
        <v>476480486</v>
      </c>
      <c r="Y49">
        <f t="shared" ref="Y49:Y54" si="19">(AT49*1.2)</f>
        <v>33.36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27.8</v>
      </c>
      <c r="AU49" t="s">
        <v>49</v>
      </c>
      <c r="AV49">
        <v>1</v>
      </c>
      <c r="AW49">
        <v>2</v>
      </c>
      <c r="AX49">
        <v>55747865</v>
      </c>
      <c r="AY49">
        <v>1</v>
      </c>
      <c r="AZ49">
        <v>0</v>
      </c>
      <c r="BA49">
        <v>58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ROUND(AT49*Source!I33*AH49*AL49,2)</f>
        <v>0</v>
      </c>
      <c r="CV49">
        <f>ROUND(Y49*Source!I33,9)</f>
        <v>33.36</v>
      </c>
      <c r="CW49">
        <v>0</v>
      </c>
      <c r="CX49">
        <f>ROUND(Y49*Source!I33,9)</f>
        <v>33.36</v>
      </c>
      <c r="CY49">
        <f>AD49</f>
        <v>0</v>
      </c>
      <c r="CZ49">
        <f>AH49</f>
        <v>0</v>
      </c>
      <c r="DA49">
        <f>AL49</f>
        <v>1</v>
      </c>
      <c r="DB49">
        <f t="shared" ref="DB49:DB54" si="20">ROUND((ROUND(AT49*CZ49,2)*1.2),6)</f>
        <v>0</v>
      </c>
      <c r="DC49">
        <f t="shared" ref="DC49:DC54" si="21">ROUND((ROUND(AT49*AG49,2)*1.2),6)</f>
        <v>0</v>
      </c>
      <c r="DD49" t="s">
        <v>3</v>
      </c>
      <c r="DE49" t="s">
        <v>3</v>
      </c>
      <c r="DF49">
        <f t="shared" si="18"/>
        <v>0</v>
      </c>
      <c r="DG49">
        <f t="shared" si="13"/>
        <v>0</v>
      </c>
      <c r="DH49">
        <f t="shared" si="14"/>
        <v>0</v>
      </c>
      <c r="DI49">
        <f t="shared" si="6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ROW(Source!A33)</f>
        <v>33</v>
      </c>
      <c r="B50">
        <v>55747651</v>
      </c>
      <c r="C50">
        <v>55747854</v>
      </c>
      <c r="D50">
        <v>54768040</v>
      </c>
      <c r="E50">
        <v>1</v>
      </c>
      <c r="F50">
        <v>1</v>
      </c>
      <c r="G50">
        <v>1081</v>
      </c>
      <c r="H50">
        <v>2</v>
      </c>
      <c r="I50" t="s">
        <v>476</v>
      </c>
      <c r="J50" t="s">
        <v>477</v>
      </c>
      <c r="K50" t="s">
        <v>478</v>
      </c>
      <c r="L50">
        <v>1368</v>
      </c>
      <c r="N50">
        <v>1011</v>
      </c>
      <c r="O50" t="s">
        <v>479</v>
      </c>
      <c r="P50" t="s">
        <v>479</v>
      </c>
      <c r="Q50">
        <v>1</v>
      </c>
      <c r="W50">
        <v>0</v>
      </c>
      <c r="X50">
        <v>1498588441</v>
      </c>
      <c r="Y50">
        <f t="shared" si="19"/>
        <v>3.12</v>
      </c>
      <c r="AA50">
        <v>0</v>
      </c>
      <c r="AB50">
        <v>102.11</v>
      </c>
      <c r="AC50">
        <v>0</v>
      </c>
      <c r="AD50">
        <v>0</v>
      </c>
      <c r="AE50">
        <v>0</v>
      </c>
      <c r="AF50">
        <v>7.11</v>
      </c>
      <c r="AG50">
        <v>0</v>
      </c>
      <c r="AH50">
        <v>0</v>
      </c>
      <c r="AI50">
        <v>1</v>
      </c>
      <c r="AJ50">
        <v>13.46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2.6</v>
      </c>
      <c r="AU50" t="s">
        <v>49</v>
      </c>
      <c r="AV50">
        <v>0</v>
      </c>
      <c r="AW50">
        <v>2</v>
      </c>
      <c r="AX50">
        <v>55747866</v>
      </c>
      <c r="AY50">
        <v>1</v>
      </c>
      <c r="AZ50">
        <v>0</v>
      </c>
      <c r="BA50">
        <v>59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ROUND(Y50*Source!I33*DO50,9)</f>
        <v>0</v>
      </c>
      <c r="CX50">
        <f>ROUND(Y50*Source!I33,9)</f>
        <v>3.12</v>
      </c>
      <c r="CY50">
        <f>AB50</f>
        <v>102.11</v>
      </c>
      <c r="CZ50">
        <f>AF50</f>
        <v>7.11</v>
      </c>
      <c r="DA50">
        <f>AJ50</f>
        <v>13.46</v>
      </c>
      <c r="DB50">
        <f t="shared" si="20"/>
        <v>22.187999999999999</v>
      </c>
      <c r="DC50">
        <f t="shared" si="21"/>
        <v>0</v>
      </c>
      <c r="DD50" t="s">
        <v>3</v>
      </c>
      <c r="DE50" t="s">
        <v>3</v>
      </c>
      <c r="DF50">
        <f t="shared" si="18"/>
        <v>0</v>
      </c>
      <c r="DG50">
        <f>ROUND(ROUND(AF50*AJ50,2)*CX50,2)</f>
        <v>298.58</v>
      </c>
      <c r="DH50">
        <f t="shared" si="14"/>
        <v>0</v>
      </c>
      <c r="DI50">
        <f t="shared" si="6"/>
        <v>0</v>
      </c>
      <c r="DJ50">
        <f>DG50</f>
        <v>298.58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ROW(Source!A33)</f>
        <v>33</v>
      </c>
      <c r="B51">
        <v>55747651</v>
      </c>
      <c r="C51">
        <v>55747854</v>
      </c>
      <c r="D51">
        <v>54768042</v>
      </c>
      <c r="E51">
        <v>1</v>
      </c>
      <c r="F51">
        <v>1</v>
      </c>
      <c r="G51">
        <v>1081</v>
      </c>
      <c r="H51">
        <v>2</v>
      </c>
      <c r="I51" t="s">
        <v>480</v>
      </c>
      <c r="J51" t="s">
        <v>481</v>
      </c>
      <c r="K51" t="s">
        <v>482</v>
      </c>
      <c r="L51">
        <v>1368</v>
      </c>
      <c r="N51">
        <v>1011</v>
      </c>
      <c r="O51" t="s">
        <v>479</v>
      </c>
      <c r="P51" t="s">
        <v>479</v>
      </c>
      <c r="Q51">
        <v>1</v>
      </c>
      <c r="W51">
        <v>0</v>
      </c>
      <c r="X51">
        <v>-49672420</v>
      </c>
      <c r="Y51">
        <f t="shared" si="19"/>
        <v>0.6</v>
      </c>
      <c r="AA51">
        <v>0</v>
      </c>
      <c r="AB51">
        <v>2.78</v>
      </c>
      <c r="AC51">
        <v>0</v>
      </c>
      <c r="AD51">
        <v>0</v>
      </c>
      <c r="AE51">
        <v>0</v>
      </c>
      <c r="AF51">
        <v>0.28000000000000003</v>
      </c>
      <c r="AG51">
        <v>0</v>
      </c>
      <c r="AH51">
        <v>0</v>
      </c>
      <c r="AI51">
        <v>1</v>
      </c>
      <c r="AJ51">
        <v>9.2899999999999991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0.5</v>
      </c>
      <c r="AU51" t="s">
        <v>49</v>
      </c>
      <c r="AV51">
        <v>0</v>
      </c>
      <c r="AW51">
        <v>2</v>
      </c>
      <c r="AX51">
        <v>55747867</v>
      </c>
      <c r="AY51">
        <v>1</v>
      </c>
      <c r="AZ51">
        <v>0</v>
      </c>
      <c r="BA51">
        <v>60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ROUND(Y51*Source!I33*DO51,9)</f>
        <v>0</v>
      </c>
      <c r="CX51">
        <f>ROUND(Y51*Source!I33,9)</f>
        <v>0.6</v>
      </c>
      <c r="CY51">
        <f>AB51</f>
        <v>2.78</v>
      </c>
      <c r="CZ51">
        <f>AF51</f>
        <v>0.28000000000000003</v>
      </c>
      <c r="DA51">
        <f>AJ51</f>
        <v>9.2899999999999991</v>
      </c>
      <c r="DB51">
        <f t="shared" si="20"/>
        <v>0.16800000000000001</v>
      </c>
      <c r="DC51">
        <f t="shared" si="21"/>
        <v>0</v>
      </c>
      <c r="DD51" t="s">
        <v>3</v>
      </c>
      <c r="DE51" t="s">
        <v>3</v>
      </c>
      <c r="DF51">
        <f t="shared" si="18"/>
        <v>0</v>
      </c>
      <c r="DG51">
        <f>ROUND(ROUND(AF51*AJ51,2)*CX51,2)</f>
        <v>1.56</v>
      </c>
      <c r="DH51">
        <f t="shared" si="14"/>
        <v>0</v>
      </c>
      <c r="DI51">
        <f t="shared" si="6"/>
        <v>0</v>
      </c>
      <c r="DJ51">
        <f>DG51</f>
        <v>1.56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ROW(Source!A33)</f>
        <v>33</v>
      </c>
      <c r="B52">
        <v>55747651</v>
      </c>
      <c r="C52">
        <v>55747854</v>
      </c>
      <c r="D52">
        <v>54768339</v>
      </c>
      <c r="E52">
        <v>1</v>
      </c>
      <c r="F52">
        <v>1</v>
      </c>
      <c r="G52">
        <v>1081</v>
      </c>
      <c r="H52">
        <v>2</v>
      </c>
      <c r="I52" t="s">
        <v>483</v>
      </c>
      <c r="J52" t="s">
        <v>484</v>
      </c>
      <c r="K52" t="s">
        <v>485</v>
      </c>
      <c r="L52">
        <v>1368</v>
      </c>
      <c r="N52">
        <v>1011</v>
      </c>
      <c r="O52" t="s">
        <v>479</v>
      </c>
      <c r="P52" t="s">
        <v>479</v>
      </c>
      <c r="Q52">
        <v>1</v>
      </c>
      <c r="W52">
        <v>0</v>
      </c>
      <c r="X52">
        <v>874612079</v>
      </c>
      <c r="Y52">
        <f t="shared" si="19"/>
        <v>3.5999999999999997E-2</v>
      </c>
      <c r="AA52">
        <v>0</v>
      </c>
      <c r="AB52">
        <v>1513.56</v>
      </c>
      <c r="AC52">
        <v>758.78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17.07</v>
      </c>
      <c r="AK52">
        <v>56.35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0.03</v>
      </c>
      <c r="AU52" t="s">
        <v>49</v>
      </c>
      <c r="AV52">
        <v>0</v>
      </c>
      <c r="AW52">
        <v>2</v>
      </c>
      <c r="AX52">
        <v>55747868</v>
      </c>
      <c r="AY52">
        <v>1</v>
      </c>
      <c r="AZ52">
        <v>0</v>
      </c>
      <c r="BA52">
        <v>61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ROUND(Y52*Source!I33*DO52,9)</f>
        <v>0.45432</v>
      </c>
      <c r="CX52">
        <f>ROUND(Y52*Source!I33,9)</f>
        <v>3.5999999999999997E-2</v>
      </c>
      <c r="CY52">
        <f>AB52</f>
        <v>1513.56</v>
      </c>
      <c r="CZ52">
        <f>AF52</f>
        <v>83.1</v>
      </c>
      <c r="DA52">
        <f>AJ52</f>
        <v>17.07</v>
      </c>
      <c r="DB52">
        <f t="shared" si="20"/>
        <v>2.988</v>
      </c>
      <c r="DC52">
        <f t="shared" si="21"/>
        <v>0.45600000000000002</v>
      </c>
      <c r="DD52" t="s">
        <v>3</v>
      </c>
      <c r="DE52" t="s">
        <v>3</v>
      </c>
      <c r="DF52">
        <f t="shared" si="18"/>
        <v>0</v>
      </c>
      <c r="DG52">
        <f>ROUND(ROUND(AF52*AJ52,2)*CX52,2)</f>
        <v>51.07</v>
      </c>
      <c r="DH52">
        <f>ROUND(ROUND(AG52*AK52,2)*CX52,2)</f>
        <v>25.6</v>
      </c>
      <c r="DI52">
        <f t="shared" si="6"/>
        <v>0</v>
      </c>
      <c r="DJ52">
        <f>DG52</f>
        <v>51.07</v>
      </c>
      <c r="DK52">
        <v>0</v>
      </c>
      <c r="DL52" t="s">
        <v>486</v>
      </c>
      <c r="DM52">
        <v>0</v>
      </c>
      <c r="DN52" t="s">
        <v>475</v>
      </c>
      <c r="DO52">
        <v>12.62</v>
      </c>
    </row>
    <row r="53" spans="1:119" x14ac:dyDescent="0.2">
      <c r="A53">
        <f>ROW(Source!A33)</f>
        <v>33</v>
      </c>
      <c r="B53">
        <v>55747651</v>
      </c>
      <c r="C53">
        <v>55747854</v>
      </c>
      <c r="D53">
        <v>54768400</v>
      </c>
      <c r="E53">
        <v>1</v>
      </c>
      <c r="F53">
        <v>1</v>
      </c>
      <c r="G53">
        <v>1081</v>
      </c>
      <c r="H53">
        <v>2</v>
      </c>
      <c r="I53" t="s">
        <v>487</v>
      </c>
      <c r="J53" t="s">
        <v>488</v>
      </c>
      <c r="K53" t="s">
        <v>489</v>
      </c>
      <c r="L53">
        <v>1368</v>
      </c>
      <c r="N53">
        <v>1011</v>
      </c>
      <c r="O53" t="s">
        <v>479</v>
      </c>
      <c r="P53" t="s">
        <v>479</v>
      </c>
      <c r="Q53">
        <v>1</v>
      </c>
      <c r="W53">
        <v>0</v>
      </c>
      <c r="X53">
        <v>-1412866184</v>
      </c>
      <c r="Y53">
        <f t="shared" si="19"/>
        <v>3.48</v>
      </c>
      <c r="AA53">
        <v>0</v>
      </c>
      <c r="AB53">
        <v>4.41</v>
      </c>
      <c r="AC53">
        <v>0</v>
      </c>
      <c r="AD53">
        <v>0</v>
      </c>
      <c r="AE53">
        <v>0</v>
      </c>
      <c r="AF53">
        <v>0.42</v>
      </c>
      <c r="AG53">
        <v>0</v>
      </c>
      <c r="AH53">
        <v>0</v>
      </c>
      <c r="AI53">
        <v>1</v>
      </c>
      <c r="AJ53">
        <v>9.83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2.9</v>
      </c>
      <c r="AU53" t="s">
        <v>49</v>
      </c>
      <c r="AV53">
        <v>0</v>
      </c>
      <c r="AW53">
        <v>2</v>
      </c>
      <c r="AX53">
        <v>55747869</v>
      </c>
      <c r="AY53">
        <v>1</v>
      </c>
      <c r="AZ53">
        <v>0</v>
      </c>
      <c r="BA53">
        <v>62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ROUND(Y53*Source!I33*DO53,9)</f>
        <v>0</v>
      </c>
      <c r="CX53">
        <f>ROUND(Y53*Source!I33,9)</f>
        <v>3.48</v>
      </c>
      <c r="CY53">
        <f>AB53</f>
        <v>4.41</v>
      </c>
      <c r="CZ53">
        <f>AF53</f>
        <v>0.42</v>
      </c>
      <c r="DA53">
        <f>AJ53</f>
        <v>9.83</v>
      </c>
      <c r="DB53">
        <f t="shared" si="20"/>
        <v>1.464</v>
      </c>
      <c r="DC53">
        <f t="shared" si="21"/>
        <v>0</v>
      </c>
      <c r="DD53" t="s">
        <v>3</v>
      </c>
      <c r="DE53" t="s">
        <v>3</v>
      </c>
      <c r="DF53">
        <f t="shared" si="18"/>
        <v>0</v>
      </c>
      <c r="DG53">
        <f>ROUND(ROUND(AF53*AJ53,2)*CX53,2)</f>
        <v>14.37</v>
      </c>
      <c r="DH53">
        <f t="shared" ref="DH53:DH69" si="22">ROUND(ROUND(AG53,2)*CX53,2)</f>
        <v>0</v>
      </c>
      <c r="DI53">
        <f t="shared" si="6"/>
        <v>0</v>
      </c>
      <c r="DJ53">
        <f>DG53</f>
        <v>14.37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ROW(Source!A33)</f>
        <v>33</v>
      </c>
      <c r="B54">
        <v>55747651</v>
      </c>
      <c r="C54">
        <v>55747854</v>
      </c>
      <c r="D54">
        <v>54767702</v>
      </c>
      <c r="E54">
        <v>1</v>
      </c>
      <c r="F54">
        <v>1</v>
      </c>
      <c r="G54">
        <v>1081</v>
      </c>
      <c r="H54">
        <v>2</v>
      </c>
      <c r="I54" t="s">
        <v>490</v>
      </c>
      <c r="J54" t="s">
        <v>491</v>
      </c>
      <c r="K54" t="s">
        <v>492</v>
      </c>
      <c r="L54">
        <v>1368</v>
      </c>
      <c r="N54">
        <v>1011</v>
      </c>
      <c r="O54" t="s">
        <v>479</v>
      </c>
      <c r="P54" t="s">
        <v>479</v>
      </c>
      <c r="Q54">
        <v>1</v>
      </c>
      <c r="W54">
        <v>0</v>
      </c>
      <c r="X54">
        <v>1143286219</v>
      </c>
      <c r="Y54">
        <f t="shared" si="19"/>
        <v>0.64800000000000002</v>
      </c>
      <c r="AA54">
        <v>0</v>
      </c>
      <c r="AB54">
        <v>43.92</v>
      </c>
      <c r="AC54">
        <v>0</v>
      </c>
      <c r="AD54">
        <v>0</v>
      </c>
      <c r="AE54">
        <v>0</v>
      </c>
      <c r="AF54">
        <v>4</v>
      </c>
      <c r="AG54">
        <v>0</v>
      </c>
      <c r="AH54">
        <v>0</v>
      </c>
      <c r="AI54">
        <v>1</v>
      </c>
      <c r="AJ54">
        <v>10.29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0.54</v>
      </c>
      <c r="AU54" t="s">
        <v>49</v>
      </c>
      <c r="AV54">
        <v>0</v>
      </c>
      <c r="AW54">
        <v>2</v>
      </c>
      <c r="AX54">
        <v>55747870</v>
      </c>
      <c r="AY54">
        <v>1</v>
      </c>
      <c r="AZ54">
        <v>0</v>
      </c>
      <c r="BA54">
        <v>63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ROUND(Y54*Source!I33*DO54,9)</f>
        <v>0</v>
      </c>
      <c r="CX54">
        <f>ROUND(Y54*Source!I33,9)</f>
        <v>0.64800000000000002</v>
      </c>
      <c r="CY54">
        <f>AB54</f>
        <v>43.92</v>
      </c>
      <c r="CZ54">
        <f>AF54</f>
        <v>4</v>
      </c>
      <c r="DA54">
        <f>AJ54</f>
        <v>10.29</v>
      </c>
      <c r="DB54">
        <f t="shared" si="20"/>
        <v>2.5920000000000001</v>
      </c>
      <c r="DC54">
        <f t="shared" si="21"/>
        <v>0</v>
      </c>
      <c r="DD54" t="s">
        <v>3</v>
      </c>
      <c r="DE54" t="s">
        <v>3</v>
      </c>
      <c r="DF54">
        <f t="shared" si="18"/>
        <v>0</v>
      </c>
      <c r="DG54">
        <f>ROUND(ROUND(AF54*AJ54,2)*CX54,2)</f>
        <v>26.67</v>
      </c>
      <c r="DH54">
        <f t="shared" si="22"/>
        <v>0</v>
      </c>
      <c r="DI54">
        <f t="shared" si="6"/>
        <v>0</v>
      </c>
      <c r="DJ54">
        <f>DG54</f>
        <v>26.67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ROW(Source!A33)</f>
        <v>33</v>
      </c>
      <c r="B55">
        <v>55747651</v>
      </c>
      <c r="C55">
        <v>55747854</v>
      </c>
      <c r="D55">
        <v>54738518</v>
      </c>
      <c r="E55">
        <v>1</v>
      </c>
      <c r="F55">
        <v>1</v>
      </c>
      <c r="G55">
        <v>1081</v>
      </c>
      <c r="H55">
        <v>3</v>
      </c>
      <c r="I55" t="s">
        <v>493</v>
      </c>
      <c r="J55" t="s">
        <v>494</v>
      </c>
      <c r="K55" t="s">
        <v>495</v>
      </c>
      <c r="L55">
        <v>1348</v>
      </c>
      <c r="N55">
        <v>1009</v>
      </c>
      <c r="O55" t="s">
        <v>282</v>
      </c>
      <c r="P55" t="s">
        <v>282</v>
      </c>
      <c r="Q55">
        <v>1000</v>
      </c>
      <c r="W55">
        <v>0</v>
      </c>
      <c r="X55">
        <v>205566664</v>
      </c>
      <c r="Y55">
        <f>(AT55*1)</f>
        <v>3.5000000000000001E-3</v>
      </c>
      <c r="AA55">
        <v>95081.54</v>
      </c>
      <c r="AB55">
        <v>0</v>
      </c>
      <c r="AC55">
        <v>0</v>
      </c>
      <c r="AD55">
        <v>0</v>
      </c>
      <c r="AE55">
        <v>9112.49</v>
      </c>
      <c r="AF55">
        <v>0</v>
      </c>
      <c r="AG55">
        <v>0</v>
      </c>
      <c r="AH55">
        <v>0</v>
      </c>
      <c r="AI55">
        <v>10.15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3.5000000000000001E-3</v>
      </c>
      <c r="AU55" t="s">
        <v>48</v>
      </c>
      <c r="AV55">
        <v>0</v>
      </c>
      <c r="AW55">
        <v>2</v>
      </c>
      <c r="AX55">
        <v>55747871</v>
      </c>
      <c r="AY55">
        <v>1</v>
      </c>
      <c r="AZ55">
        <v>0</v>
      </c>
      <c r="BA55">
        <v>64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ROUND(Y55*Source!I33,9)</f>
        <v>3.5000000000000001E-3</v>
      </c>
      <c r="CY55">
        <f>AA55</f>
        <v>95081.54</v>
      </c>
      <c r="CZ55">
        <f>AE55</f>
        <v>9112.49</v>
      </c>
      <c r="DA55">
        <f>AI55</f>
        <v>10.15</v>
      </c>
      <c r="DB55">
        <f>ROUND((ROUND(AT55*CZ55,2)*1),6)</f>
        <v>31.89</v>
      </c>
      <c r="DC55">
        <f>ROUND((ROUND(AT55*AG55,2)*1),6)</f>
        <v>0</v>
      </c>
      <c r="DD55" t="s">
        <v>3</v>
      </c>
      <c r="DE55" t="s">
        <v>3</v>
      </c>
      <c r="DF55">
        <f>ROUND(ROUND(AE55*AI55,2)*CX55,2)</f>
        <v>323.72000000000003</v>
      </c>
      <c r="DG55">
        <f t="shared" ref="DG55:DG68" si="23">ROUND(ROUND(AF55,2)*CX55,2)</f>
        <v>0</v>
      </c>
      <c r="DH55">
        <f t="shared" si="22"/>
        <v>0</v>
      </c>
      <c r="DI55">
        <f t="shared" si="6"/>
        <v>0</v>
      </c>
      <c r="DJ55">
        <f>DF55</f>
        <v>323.72000000000003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ROW(Source!A33)</f>
        <v>33</v>
      </c>
      <c r="B56">
        <v>55747651</v>
      </c>
      <c r="C56">
        <v>55747854</v>
      </c>
      <c r="D56">
        <v>54738676</v>
      </c>
      <c r="E56">
        <v>1</v>
      </c>
      <c r="F56">
        <v>1</v>
      </c>
      <c r="G56">
        <v>1081</v>
      </c>
      <c r="H56">
        <v>3</v>
      </c>
      <c r="I56" t="s">
        <v>496</v>
      </c>
      <c r="J56" t="s">
        <v>497</v>
      </c>
      <c r="K56" t="s">
        <v>498</v>
      </c>
      <c r="L56">
        <v>1255</v>
      </c>
      <c r="N56">
        <v>1013</v>
      </c>
      <c r="O56" t="s">
        <v>499</v>
      </c>
      <c r="P56" t="s">
        <v>499</v>
      </c>
      <c r="Q56">
        <v>1</v>
      </c>
      <c r="W56">
        <v>0</v>
      </c>
      <c r="X56">
        <v>-1398468845</v>
      </c>
      <c r="Y56">
        <f>(AT56*1)</f>
        <v>1.9</v>
      </c>
      <c r="AA56">
        <v>7.01</v>
      </c>
      <c r="AB56">
        <v>0</v>
      </c>
      <c r="AC56">
        <v>0</v>
      </c>
      <c r="AD56">
        <v>0</v>
      </c>
      <c r="AE56">
        <v>0.42</v>
      </c>
      <c r="AF56">
        <v>0</v>
      </c>
      <c r="AG56">
        <v>0</v>
      </c>
      <c r="AH56">
        <v>0</v>
      </c>
      <c r="AI56">
        <v>16.239999999999998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1.9</v>
      </c>
      <c r="AU56" t="s">
        <v>48</v>
      </c>
      <c r="AV56">
        <v>0</v>
      </c>
      <c r="AW56">
        <v>2</v>
      </c>
      <c r="AX56">
        <v>55747872</v>
      </c>
      <c r="AY56">
        <v>1</v>
      </c>
      <c r="AZ56">
        <v>0</v>
      </c>
      <c r="BA56">
        <v>65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ROUND(Y56*Source!I33,9)</f>
        <v>1.9</v>
      </c>
      <c r="CY56">
        <f>AA56</f>
        <v>7.01</v>
      </c>
      <c r="CZ56">
        <f>AE56</f>
        <v>0.42</v>
      </c>
      <c r="DA56">
        <f>AI56</f>
        <v>16.239999999999998</v>
      </c>
      <c r="DB56">
        <f>ROUND((ROUND(AT56*CZ56,2)*1),6)</f>
        <v>0.8</v>
      </c>
      <c r="DC56">
        <f>ROUND((ROUND(AT56*AG56,2)*1),6)</f>
        <v>0</v>
      </c>
      <c r="DD56" t="s">
        <v>3</v>
      </c>
      <c r="DE56" t="s">
        <v>3</v>
      </c>
      <c r="DF56">
        <f>ROUND(ROUND(AE56*AI56,2)*CX56,2)</f>
        <v>12.96</v>
      </c>
      <c r="DG56">
        <f t="shared" si="23"/>
        <v>0</v>
      </c>
      <c r="DH56">
        <f t="shared" si="22"/>
        <v>0</v>
      </c>
      <c r="DI56">
        <f t="shared" si="6"/>
        <v>0</v>
      </c>
      <c r="DJ56">
        <f>DF56</f>
        <v>12.96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ROW(Source!A33)</f>
        <v>33</v>
      </c>
      <c r="B57">
        <v>55747651</v>
      </c>
      <c r="C57">
        <v>55747854</v>
      </c>
      <c r="D57">
        <v>54739191</v>
      </c>
      <c r="E57">
        <v>1</v>
      </c>
      <c r="F57">
        <v>1</v>
      </c>
      <c r="G57">
        <v>1081</v>
      </c>
      <c r="H57">
        <v>3</v>
      </c>
      <c r="I57" t="s">
        <v>500</v>
      </c>
      <c r="J57" t="s">
        <v>501</v>
      </c>
      <c r="K57" t="s">
        <v>502</v>
      </c>
      <c r="L57">
        <v>1346</v>
      </c>
      <c r="N57">
        <v>1009</v>
      </c>
      <c r="O57" t="s">
        <v>503</v>
      </c>
      <c r="P57" t="s">
        <v>503</v>
      </c>
      <c r="Q57">
        <v>1</v>
      </c>
      <c r="W57">
        <v>0</v>
      </c>
      <c r="X57">
        <v>-2132327540</v>
      </c>
      <c r="Y57">
        <f>(AT57*1)</f>
        <v>0.24</v>
      </c>
      <c r="AA57">
        <v>64.760000000000005</v>
      </c>
      <c r="AB57">
        <v>0</v>
      </c>
      <c r="AC57">
        <v>0</v>
      </c>
      <c r="AD57">
        <v>0</v>
      </c>
      <c r="AE57">
        <v>6.25</v>
      </c>
      <c r="AF57">
        <v>0</v>
      </c>
      <c r="AG57">
        <v>0</v>
      </c>
      <c r="AH57">
        <v>0</v>
      </c>
      <c r="AI57">
        <v>10.08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0.24</v>
      </c>
      <c r="AU57" t="s">
        <v>48</v>
      </c>
      <c r="AV57">
        <v>0</v>
      </c>
      <c r="AW57">
        <v>2</v>
      </c>
      <c r="AX57">
        <v>55747873</v>
      </c>
      <c r="AY57">
        <v>1</v>
      </c>
      <c r="AZ57">
        <v>0</v>
      </c>
      <c r="BA57">
        <v>66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ROUND(Y57*Source!I33,9)</f>
        <v>0.24</v>
      </c>
      <c r="CY57">
        <f>AA57</f>
        <v>64.760000000000005</v>
      </c>
      <c r="CZ57">
        <f>AE57</f>
        <v>6.25</v>
      </c>
      <c r="DA57">
        <f>AI57</f>
        <v>10.08</v>
      </c>
      <c r="DB57">
        <f>ROUND((ROUND(AT57*CZ57,2)*1),6)</f>
        <v>1.5</v>
      </c>
      <c r="DC57">
        <f>ROUND((ROUND(AT57*AG57,2)*1),6)</f>
        <v>0</v>
      </c>
      <c r="DD57" t="s">
        <v>3</v>
      </c>
      <c r="DE57" t="s">
        <v>3</v>
      </c>
      <c r="DF57">
        <f>ROUND(ROUND(AE57*AI57,2)*CX57,2)</f>
        <v>15.12</v>
      </c>
      <c r="DG57">
        <f t="shared" si="23"/>
        <v>0</v>
      </c>
      <c r="DH57">
        <f t="shared" si="22"/>
        <v>0</v>
      </c>
      <c r="DI57">
        <f t="shared" si="6"/>
        <v>0</v>
      </c>
      <c r="DJ57">
        <f>DF57</f>
        <v>15.12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ROW(Source!A33)</f>
        <v>33</v>
      </c>
      <c r="B58">
        <v>55747651</v>
      </c>
      <c r="C58">
        <v>55747854</v>
      </c>
      <c r="D58">
        <v>54737565</v>
      </c>
      <c r="E58">
        <v>1</v>
      </c>
      <c r="F58">
        <v>1</v>
      </c>
      <c r="G58">
        <v>1081</v>
      </c>
      <c r="H58">
        <v>3</v>
      </c>
      <c r="I58" t="s">
        <v>504</v>
      </c>
      <c r="J58" t="s">
        <v>505</v>
      </c>
      <c r="K58" t="s">
        <v>506</v>
      </c>
      <c r="L58">
        <v>1339</v>
      </c>
      <c r="N58">
        <v>1007</v>
      </c>
      <c r="O58" t="s">
        <v>507</v>
      </c>
      <c r="P58" t="s">
        <v>507</v>
      </c>
      <c r="Q58">
        <v>1</v>
      </c>
      <c r="W58">
        <v>0</v>
      </c>
      <c r="X58">
        <v>-1235260082</v>
      </c>
      <c r="Y58">
        <f>(AT58*1)</f>
        <v>1.4</v>
      </c>
      <c r="AA58">
        <v>104.16</v>
      </c>
      <c r="AB58">
        <v>0</v>
      </c>
      <c r="AC58">
        <v>0</v>
      </c>
      <c r="AD58">
        <v>0</v>
      </c>
      <c r="AE58">
        <v>5.82</v>
      </c>
      <c r="AF58">
        <v>0</v>
      </c>
      <c r="AG58">
        <v>0</v>
      </c>
      <c r="AH58">
        <v>0</v>
      </c>
      <c r="AI58">
        <v>17.41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1.4</v>
      </c>
      <c r="AU58" t="s">
        <v>48</v>
      </c>
      <c r="AV58">
        <v>0</v>
      </c>
      <c r="AW58">
        <v>2</v>
      </c>
      <c r="AX58">
        <v>55747874</v>
      </c>
      <c r="AY58">
        <v>1</v>
      </c>
      <c r="AZ58">
        <v>0</v>
      </c>
      <c r="BA58">
        <v>67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ROUND(Y58*Source!I33,9)</f>
        <v>1.4</v>
      </c>
      <c r="CY58">
        <f>AA58</f>
        <v>104.16</v>
      </c>
      <c r="CZ58">
        <f>AE58</f>
        <v>5.82</v>
      </c>
      <c r="DA58">
        <f>AI58</f>
        <v>17.41</v>
      </c>
      <c r="DB58">
        <f>ROUND((ROUND(AT58*CZ58,2)*1),6)</f>
        <v>8.15</v>
      </c>
      <c r="DC58">
        <f>ROUND((ROUND(AT58*AG58,2)*1),6)</f>
        <v>0</v>
      </c>
      <c r="DD58" t="s">
        <v>3</v>
      </c>
      <c r="DE58" t="s">
        <v>3</v>
      </c>
      <c r="DF58">
        <f>ROUND(ROUND(AE58*AI58,2)*CX58,2)</f>
        <v>141.86000000000001</v>
      </c>
      <c r="DG58">
        <f t="shared" si="23"/>
        <v>0</v>
      </c>
      <c r="DH58">
        <f t="shared" si="22"/>
        <v>0</v>
      </c>
      <c r="DI58">
        <f t="shared" si="6"/>
        <v>0</v>
      </c>
      <c r="DJ58">
        <f>DF58</f>
        <v>141.86000000000001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ROW(Source!A34)</f>
        <v>34</v>
      </c>
      <c r="B59">
        <v>55747649</v>
      </c>
      <c r="C59">
        <v>57261032</v>
      </c>
      <c r="D59">
        <v>54702434</v>
      </c>
      <c r="E59">
        <v>1081</v>
      </c>
      <c r="F59">
        <v>1</v>
      </c>
      <c r="G59">
        <v>1081</v>
      </c>
      <c r="H59">
        <v>1</v>
      </c>
      <c r="I59" t="s">
        <v>473</v>
      </c>
      <c r="J59" t="s">
        <v>3</v>
      </c>
      <c r="K59" t="s">
        <v>474</v>
      </c>
      <c r="L59">
        <v>1191</v>
      </c>
      <c r="N59">
        <v>1013</v>
      </c>
      <c r="O59" t="s">
        <v>475</v>
      </c>
      <c r="P59" t="s">
        <v>475</v>
      </c>
      <c r="Q59">
        <v>1</v>
      </c>
      <c r="W59">
        <v>0</v>
      </c>
      <c r="X59">
        <v>476480486</v>
      </c>
      <c r="Y59">
        <f>((AT59*1.2)*1.15)</f>
        <v>18.353999999999999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13.3</v>
      </c>
      <c r="AU59" t="s">
        <v>40</v>
      </c>
      <c r="AV59">
        <v>1</v>
      </c>
      <c r="AW59">
        <v>2</v>
      </c>
      <c r="AX59">
        <v>57261033</v>
      </c>
      <c r="AY59">
        <v>1</v>
      </c>
      <c r="AZ59">
        <v>0</v>
      </c>
      <c r="BA59">
        <v>69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ROUND(AT59*Source!I34*AH59*AL59,2)</f>
        <v>0</v>
      </c>
      <c r="CV59">
        <f>ROUND(Y59*Source!I34,9)</f>
        <v>18.353999999999999</v>
      </c>
      <c r="CW59">
        <v>0</v>
      </c>
      <c r="CX59">
        <f>ROUND(Y59*Source!I34,9)</f>
        <v>18.353999999999999</v>
      </c>
      <c r="CY59">
        <f>AD59</f>
        <v>0</v>
      </c>
      <c r="CZ59">
        <f>AH59</f>
        <v>0</v>
      </c>
      <c r="DA59">
        <f>AL59</f>
        <v>1</v>
      </c>
      <c r="DB59">
        <f>ROUND(((ROUND(AT59*CZ59,2)*1.2)*1.15),6)</f>
        <v>0</v>
      </c>
      <c r="DC59">
        <f>ROUND(((ROUND(AT59*AG59,2)*1.2)*1.15),6)</f>
        <v>0</v>
      </c>
      <c r="DD59" t="s">
        <v>3</v>
      </c>
      <c r="DE59" t="s">
        <v>3</v>
      </c>
      <c r="DF59">
        <f t="shared" ref="DF59:DF71" si="24">ROUND(ROUND(AE59,2)*CX59,2)</f>
        <v>0</v>
      </c>
      <c r="DG59">
        <f t="shared" si="23"/>
        <v>0</v>
      </c>
      <c r="DH59">
        <f t="shared" si="22"/>
        <v>0</v>
      </c>
      <c r="DI59">
        <f t="shared" si="6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ROW(Source!A34)</f>
        <v>34</v>
      </c>
      <c r="B60">
        <v>55747649</v>
      </c>
      <c r="C60">
        <v>57261032</v>
      </c>
      <c r="D60">
        <v>54768040</v>
      </c>
      <c r="E60">
        <v>1</v>
      </c>
      <c r="F60">
        <v>1</v>
      </c>
      <c r="G60">
        <v>1081</v>
      </c>
      <c r="H60">
        <v>2</v>
      </c>
      <c r="I60" t="s">
        <v>476</v>
      </c>
      <c r="J60" t="s">
        <v>477</v>
      </c>
      <c r="K60" t="s">
        <v>478</v>
      </c>
      <c r="L60">
        <v>1368</v>
      </c>
      <c r="N60">
        <v>1011</v>
      </c>
      <c r="O60" t="s">
        <v>479</v>
      </c>
      <c r="P60" t="s">
        <v>479</v>
      </c>
      <c r="Q60">
        <v>1</v>
      </c>
      <c r="W60">
        <v>0</v>
      </c>
      <c r="X60">
        <v>1498588441</v>
      </c>
      <c r="Y60">
        <f>((AT60*1.2)*1.25)</f>
        <v>0.76500000000000001</v>
      </c>
      <c r="AA60">
        <v>0</v>
      </c>
      <c r="AB60">
        <v>7.59</v>
      </c>
      <c r="AC60">
        <v>0</v>
      </c>
      <c r="AD60">
        <v>0</v>
      </c>
      <c r="AE60">
        <v>0</v>
      </c>
      <c r="AF60">
        <v>7.11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0.51</v>
      </c>
      <c r="AU60" t="s">
        <v>39</v>
      </c>
      <c r="AV60">
        <v>0</v>
      </c>
      <c r="AW60">
        <v>2</v>
      </c>
      <c r="AX60">
        <v>57261034</v>
      </c>
      <c r="AY60">
        <v>1</v>
      </c>
      <c r="AZ60">
        <v>0</v>
      </c>
      <c r="BA60">
        <v>70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ROUND(Y60*Source!I34*DO60,9)</f>
        <v>0</v>
      </c>
      <c r="CX60">
        <f>ROUND(Y60*Source!I34,9)</f>
        <v>0.76500000000000001</v>
      </c>
      <c r="CY60">
        <f>AB60</f>
        <v>7.59</v>
      </c>
      <c r="CZ60">
        <f>AF60</f>
        <v>7.11</v>
      </c>
      <c r="DA60">
        <f>AJ60</f>
        <v>1</v>
      </c>
      <c r="DB60">
        <f>ROUND(((ROUND(AT60*CZ60,2)*1.2)*1.25),6)</f>
        <v>5.4450000000000003</v>
      </c>
      <c r="DC60">
        <f>ROUND(((ROUND(AT60*AG60,2)*1.2)*1.25),6)</f>
        <v>0</v>
      </c>
      <c r="DD60" t="s">
        <v>3</v>
      </c>
      <c r="DE60" t="s">
        <v>3</v>
      </c>
      <c r="DF60">
        <f t="shared" si="24"/>
        <v>0</v>
      </c>
      <c r="DG60">
        <f t="shared" si="23"/>
        <v>5.44</v>
      </c>
      <c r="DH60">
        <f t="shared" si="22"/>
        <v>0</v>
      </c>
      <c r="DI60">
        <f t="shared" si="6"/>
        <v>0</v>
      </c>
      <c r="DJ60">
        <f>DG60</f>
        <v>5.44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ROW(Source!A34)</f>
        <v>34</v>
      </c>
      <c r="B61">
        <v>55747649</v>
      </c>
      <c r="C61">
        <v>57261032</v>
      </c>
      <c r="D61">
        <v>54768339</v>
      </c>
      <c r="E61">
        <v>1</v>
      </c>
      <c r="F61">
        <v>1</v>
      </c>
      <c r="G61">
        <v>1081</v>
      </c>
      <c r="H61">
        <v>2</v>
      </c>
      <c r="I61" t="s">
        <v>483</v>
      </c>
      <c r="J61" t="s">
        <v>484</v>
      </c>
      <c r="K61" t="s">
        <v>485</v>
      </c>
      <c r="L61">
        <v>1368</v>
      </c>
      <c r="N61">
        <v>1011</v>
      </c>
      <c r="O61" t="s">
        <v>479</v>
      </c>
      <c r="P61" t="s">
        <v>479</v>
      </c>
      <c r="Q61">
        <v>1</v>
      </c>
      <c r="W61">
        <v>0</v>
      </c>
      <c r="X61">
        <v>874612079</v>
      </c>
      <c r="Y61">
        <f>((AT61*1.2)*1.25)</f>
        <v>1.4999999999999999E-2</v>
      </c>
      <c r="AA61">
        <v>0</v>
      </c>
      <c r="AB61">
        <v>88.67</v>
      </c>
      <c r="AC61">
        <v>13.47</v>
      </c>
      <c r="AD61">
        <v>0</v>
      </c>
      <c r="AE61">
        <v>0</v>
      </c>
      <c r="AF61">
        <v>83.1</v>
      </c>
      <c r="AG61">
        <v>12.62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0.01</v>
      </c>
      <c r="AU61" t="s">
        <v>39</v>
      </c>
      <c r="AV61">
        <v>0</v>
      </c>
      <c r="AW61">
        <v>2</v>
      </c>
      <c r="AX61">
        <v>57261035</v>
      </c>
      <c r="AY61">
        <v>1</v>
      </c>
      <c r="AZ61">
        <v>0</v>
      </c>
      <c r="BA61">
        <v>71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ROUND(Y61*Source!I34*DO61,9)</f>
        <v>0.1893</v>
      </c>
      <c r="CX61">
        <f>ROUND(Y61*Source!I34,9)</f>
        <v>1.4999999999999999E-2</v>
      </c>
      <c r="CY61">
        <f>AB61</f>
        <v>88.67</v>
      </c>
      <c r="CZ61">
        <f>AF61</f>
        <v>83.1</v>
      </c>
      <c r="DA61">
        <f>AJ61</f>
        <v>1</v>
      </c>
      <c r="DB61">
        <f>ROUND(((ROUND(AT61*CZ61,2)*1.2)*1.25),6)</f>
        <v>1.2450000000000001</v>
      </c>
      <c r="DC61">
        <f>ROUND(((ROUND(AT61*AG61,2)*1.2)*1.25),6)</f>
        <v>0.19500000000000001</v>
      </c>
      <c r="DD61" t="s">
        <v>3</v>
      </c>
      <c r="DE61" t="s">
        <v>3</v>
      </c>
      <c r="DF61">
        <f t="shared" si="24"/>
        <v>0</v>
      </c>
      <c r="DG61">
        <f t="shared" si="23"/>
        <v>1.25</v>
      </c>
      <c r="DH61">
        <f t="shared" si="22"/>
        <v>0.19</v>
      </c>
      <c r="DI61">
        <f t="shared" si="6"/>
        <v>0</v>
      </c>
      <c r="DJ61">
        <f>DG61</f>
        <v>1.25</v>
      </c>
      <c r="DK61">
        <v>0</v>
      </c>
      <c r="DL61" t="s">
        <v>486</v>
      </c>
      <c r="DM61">
        <v>0</v>
      </c>
      <c r="DN61" t="s">
        <v>475</v>
      </c>
      <c r="DO61">
        <v>12.62</v>
      </c>
    </row>
    <row r="62" spans="1:119" x14ac:dyDescent="0.2">
      <c r="A62">
        <f>ROW(Source!A34)</f>
        <v>34</v>
      </c>
      <c r="B62">
        <v>55747649</v>
      </c>
      <c r="C62">
        <v>57261032</v>
      </c>
      <c r="D62">
        <v>54767573</v>
      </c>
      <c r="E62">
        <v>1</v>
      </c>
      <c r="F62">
        <v>1</v>
      </c>
      <c r="G62">
        <v>1081</v>
      </c>
      <c r="H62">
        <v>2</v>
      </c>
      <c r="I62" t="s">
        <v>508</v>
      </c>
      <c r="J62" t="s">
        <v>509</v>
      </c>
      <c r="K62" t="s">
        <v>510</v>
      </c>
      <c r="L62">
        <v>1368</v>
      </c>
      <c r="N62">
        <v>1011</v>
      </c>
      <c r="O62" t="s">
        <v>479</v>
      </c>
      <c r="P62" t="s">
        <v>479</v>
      </c>
      <c r="Q62">
        <v>1</v>
      </c>
      <c r="W62">
        <v>0</v>
      </c>
      <c r="X62">
        <v>-44940208</v>
      </c>
      <c r="Y62">
        <f>((AT62*1.2)*1.25)</f>
        <v>1.4999999999999999E-2</v>
      </c>
      <c r="AA62">
        <v>0</v>
      </c>
      <c r="AB62">
        <v>191.17</v>
      </c>
      <c r="AC62">
        <v>18.059999999999999</v>
      </c>
      <c r="AD62">
        <v>0</v>
      </c>
      <c r="AE62">
        <v>0</v>
      </c>
      <c r="AF62">
        <v>179.17</v>
      </c>
      <c r="AG62">
        <v>16.93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0.01</v>
      </c>
      <c r="AU62" t="s">
        <v>39</v>
      </c>
      <c r="AV62">
        <v>0</v>
      </c>
      <c r="AW62">
        <v>2</v>
      </c>
      <c r="AX62">
        <v>57261036</v>
      </c>
      <c r="AY62">
        <v>1</v>
      </c>
      <c r="AZ62">
        <v>0</v>
      </c>
      <c r="BA62">
        <v>72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ROUND(Y62*Source!I34*DO62,9)</f>
        <v>0.25395000000000001</v>
      </c>
      <c r="CX62">
        <f>ROUND(Y62*Source!I34,9)</f>
        <v>1.4999999999999999E-2</v>
      </c>
      <c r="CY62">
        <f>AB62</f>
        <v>191.17</v>
      </c>
      <c r="CZ62">
        <f>AF62</f>
        <v>179.17</v>
      </c>
      <c r="DA62">
        <f>AJ62</f>
        <v>1</v>
      </c>
      <c r="DB62">
        <f>ROUND(((ROUND(AT62*CZ62,2)*1.2)*1.25),6)</f>
        <v>2.6850000000000001</v>
      </c>
      <c r="DC62">
        <f>ROUND(((ROUND(AT62*AG62,2)*1.2)*1.25),6)</f>
        <v>0.255</v>
      </c>
      <c r="DD62" t="s">
        <v>3</v>
      </c>
      <c r="DE62" t="s">
        <v>3</v>
      </c>
      <c r="DF62">
        <f t="shared" si="24"/>
        <v>0</v>
      </c>
      <c r="DG62">
        <f t="shared" si="23"/>
        <v>2.69</v>
      </c>
      <c r="DH62">
        <f t="shared" si="22"/>
        <v>0.25</v>
      </c>
      <c r="DI62">
        <f t="shared" si="6"/>
        <v>0</v>
      </c>
      <c r="DJ62">
        <f>DG62</f>
        <v>2.69</v>
      </c>
      <c r="DK62">
        <v>0</v>
      </c>
      <c r="DL62" t="s">
        <v>486</v>
      </c>
      <c r="DM62">
        <v>0</v>
      </c>
      <c r="DN62" t="s">
        <v>475</v>
      </c>
      <c r="DO62">
        <v>16.93</v>
      </c>
    </row>
    <row r="63" spans="1:119" x14ac:dyDescent="0.2">
      <c r="A63">
        <f>ROW(Source!A34)</f>
        <v>34</v>
      </c>
      <c r="B63">
        <v>55747649</v>
      </c>
      <c r="C63">
        <v>57261032</v>
      </c>
      <c r="D63">
        <v>54737969</v>
      </c>
      <c r="E63">
        <v>1</v>
      </c>
      <c r="F63">
        <v>1</v>
      </c>
      <c r="G63">
        <v>1081</v>
      </c>
      <c r="H63">
        <v>3</v>
      </c>
      <c r="I63" t="s">
        <v>511</v>
      </c>
      <c r="J63" t="s">
        <v>512</v>
      </c>
      <c r="K63" t="s">
        <v>513</v>
      </c>
      <c r="L63">
        <v>1348</v>
      </c>
      <c r="N63">
        <v>1009</v>
      </c>
      <c r="O63" t="s">
        <v>282</v>
      </c>
      <c r="P63" t="s">
        <v>282</v>
      </c>
      <c r="Q63">
        <v>1000</v>
      </c>
      <c r="W63">
        <v>0</v>
      </c>
      <c r="X63">
        <v>-287838193</v>
      </c>
      <c r="Y63">
        <f>((AT63*1)*1)</f>
        <v>5.0000000000000002E-5</v>
      </c>
      <c r="AA63">
        <v>23114.43</v>
      </c>
      <c r="AB63">
        <v>0</v>
      </c>
      <c r="AC63">
        <v>0</v>
      </c>
      <c r="AD63">
        <v>0</v>
      </c>
      <c r="AE63">
        <v>23114.43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5.0000000000000002E-5</v>
      </c>
      <c r="AU63" t="s">
        <v>38</v>
      </c>
      <c r="AV63">
        <v>0</v>
      </c>
      <c r="AW63">
        <v>2</v>
      </c>
      <c r="AX63">
        <v>57261037</v>
      </c>
      <c r="AY63">
        <v>1</v>
      </c>
      <c r="AZ63">
        <v>0</v>
      </c>
      <c r="BA63">
        <v>73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ROUND(Y63*Source!I34,9)</f>
        <v>5.0000000000000002E-5</v>
      </c>
      <c r="CY63">
        <f>AA63</f>
        <v>23114.43</v>
      </c>
      <c r="CZ63">
        <f>AE63</f>
        <v>23114.43</v>
      </c>
      <c r="DA63">
        <f>AI63</f>
        <v>1</v>
      </c>
      <c r="DB63">
        <f>ROUND(((ROUND(AT63*CZ63,2)*1)*1),6)</f>
        <v>1.1599999999999999</v>
      </c>
      <c r="DC63">
        <f>ROUND(((ROUND(AT63*AG63,2)*1)*1),6)</f>
        <v>0</v>
      </c>
      <c r="DD63" t="s">
        <v>3</v>
      </c>
      <c r="DE63" t="s">
        <v>3</v>
      </c>
      <c r="DF63">
        <f t="shared" si="24"/>
        <v>1.1599999999999999</v>
      </c>
      <c r="DG63">
        <f t="shared" si="23"/>
        <v>0</v>
      </c>
      <c r="DH63">
        <f t="shared" si="22"/>
        <v>0</v>
      </c>
      <c r="DI63">
        <f t="shared" si="6"/>
        <v>0</v>
      </c>
      <c r="DJ63">
        <f>DF63</f>
        <v>1.1599999999999999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ROW(Source!A34)</f>
        <v>34</v>
      </c>
      <c r="B64">
        <v>55747649</v>
      </c>
      <c r="C64">
        <v>57261032</v>
      </c>
      <c r="D64">
        <v>54738510</v>
      </c>
      <c r="E64">
        <v>1</v>
      </c>
      <c r="F64">
        <v>1</v>
      </c>
      <c r="G64">
        <v>1081</v>
      </c>
      <c r="H64">
        <v>3</v>
      </c>
      <c r="I64" t="s">
        <v>514</v>
      </c>
      <c r="J64" t="s">
        <v>515</v>
      </c>
      <c r="K64" t="s">
        <v>516</v>
      </c>
      <c r="L64">
        <v>1348</v>
      </c>
      <c r="N64">
        <v>1009</v>
      </c>
      <c r="O64" t="s">
        <v>282</v>
      </c>
      <c r="P64" t="s">
        <v>282</v>
      </c>
      <c r="Q64">
        <v>1000</v>
      </c>
      <c r="W64">
        <v>0</v>
      </c>
      <c r="X64">
        <v>277309194</v>
      </c>
      <c r="Y64">
        <f>((AT64*1)*1)</f>
        <v>2.0000000000000001E-4</v>
      </c>
      <c r="AA64">
        <v>8590.86</v>
      </c>
      <c r="AB64">
        <v>0</v>
      </c>
      <c r="AC64">
        <v>0</v>
      </c>
      <c r="AD64">
        <v>0</v>
      </c>
      <c r="AE64">
        <v>8590.86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2.0000000000000001E-4</v>
      </c>
      <c r="AU64" t="s">
        <v>38</v>
      </c>
      <c r="AV64">
        <v>0</v>
      </c>
      <c r="AW64">
        <v>2</v>
      </c>
      <c r="AX64">
        <v>57261038</v>
      </c>
      <c r="AY64">
        <v>1</v>
      </c>
      <c r="AZ64">
        <v>0</v>
      </c>
      <c r="BA64">
        <v>74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ROUND(Y64*Source!I34,9)</f>
        <v>2.0000000000000001E-4</v>
      </c>
      <c r="CY64">
        <f>AA64</f>
        <v>8590.86</v>
      </c>
      <c r="CZ64">
        <f>AE64</f>
        <v>8590.86</v>
      </c>
      <c r="DA64">
        <f>AI64</f>
        <v>1</v>
      </c>
      <c r="DB64">
        <f>ROUND(((ROUND(AT64*CZ64,2)*1)*1),6)</f>
        <v>1.72</v>
      </c>
      <c r="DC64">
        <f>ROUND(((ROUND(AT64*AG64,2)*1)*1),6)</f>
        <v>0</v>
      </c>
      <c r="DD64" t="s">
        <v>3</v>
      </c>
      <c r="DE64" t="s">
        <v>3</v>
      </c>
      <c r="DF64">
        <f t="shared" si="24"/>
        <v>1.72</v>
      </c>
      <c r="DG64">
        <f t="shared" si="23"/>
        <v>0</v>
      </c>
      <c r="DH64">
        <f t="shared" si="22"/>
        <v>0</v>
      </c>
      <c r="DI64">
        <f t="shared" si="6"/>
        <v>0</v>
      </c>
      <c r="DJ64">
        <f>DF64</f>
        <v>1.72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ROW(Source!A34)</f>
        <v>34</v>
      </c>
      <c r="B65">
        <v>55747649</v>
      </c>
      <c r="C65">
        <v>57261032</v>
      </c>
      <c r="D65">
        <v>54737318</v>
      </c>
      <c r="E65">
        <v>1</v>
      </c>
      <c r="F65">
        <v>1</v>
      </c>
      <c r="G65">
        <v>1081</v>
      </c>
      <c r="H65">
        <v>3</v>
      </c>
      <c r="I65" t="s">
        <v>526</v>
      </c>
      <c r="J65" t="s">
        <v>527</v>
      </c>
      <c r="K65" t="s">
        <v>528</v>
      </c>
      <c r="L65">
        <v>1348</v>
      </c>
      <c r="N65">
        <v>1009</v>
      </c>
      <c r="O65" t="s">
        <v>282</v>
      </c>
      <c r="P65" t="s">
        <v>282</v>
      </c>
      <c r="Q65">
        <v>1000</v>
      </c>
      <c r="W65">
        <v>0</v>
      </c>
      <c r="X65">
        <v>-268464753</v>
      </c>
      <c r="Y65">
        <f>((AT65*1)*1)</f>
        <v>1.2999999999999999E-3</v>
      </c>
      <c r="AA65">
        <v>17868.28</v>
      </c>
      <c r="AB65">
        <v>0</v>
      </c>
      <c r="AC65">
        <v>0</v>
      </c>
      <c r="AD65">
        <v>0</v>
      </c>
      <c r="AE65">
        <v>17868.28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1.2999999999999999E-3</v>
      </c>
      <c r="AU65" t="s">
        <v>38</v>
      </c>
      <c r="AV65">
        <v>0</v>
      </c>
      <c r="AW65">
        <v>2</v>
      </c>
      <c r="AX65">
        <v>57261039</v>
      </c>
      <c r="AY65">
        <v>1</v>
      </c>
      <c r="AZ65">
        <v>0</v>
      </c>
      <c r="BA65">
        <v>75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ROUND(Y65*Source!I34,9)</f>
        <v>1.2999999999999999E-3</v>
      </c>
      <c r="CY65">
        <f>AA65</f>
        <v>17868.28</v>
      </c>
      <c r="CZ65">
        <f>AE65</f>
        <v>17868.28</v>
      </c>
      <c r="DA65">
        <f>AI65</f>
        <v>1</v>
      </c>
      <c r="DB65">
        <f>ROUND(((ROUND(AT65*CZ65,2)*1)*1),6)</f>
        <v>23.23</v>
      </c>
      <c r="DC65">
        <f>ROUND(((ROUND(AT65*AG65,2)*1)*1),6)</f>
        <v>0</v>
      </c>
      <c r="DD65" t="s">
        <v>3</v>
      </c>
      <c r="DE65" t="s">
        <v>3</v>
      </c>
      <c r="DF65">
        <f t="shared" si="24"/>
        <v>23.23</v>
      </c>
      <c r="DG65">
        <f t="shared" si="23"/>
        <v>0</v>
      </c>
      <c r="DH65">
        <f t="shared" si="22"/>
        <v>0</v>
      </c>
      <c r="DI65">
        <f t="shared" ref="DI65:DI128" si="25">ROUND(ROUND(AH65,2)*CX65,2)</f>
        <v>0</v>
      </c>
      <c r="DJ65">
        <f>DF65</f>
        <v>23.23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ROW(Source!A34)</f>
        <v>34</v>
      </c>
      <c r="B66">
        <v>55747649</v>
      </c>
      <c r="C66">
        <v>57261032</v>
      </c>
      <c r="D66">
        <v>54753579</v>
      </c>
      <c r="E66">
        <v>1</v>
      </c>
      <c r="F66">
        <v>1</v>
      </c>
      <c r="G66">
        <v>1081</v>
      </c>
      <c r="H66">
        <v>3</v>
      </c>
      <c r="I66" t="s">
        <v>529</v>
      </c>
      <c r="J66" t="s">
        <v>530</v>
      </c>
      <c r="K66" t="s">
        <v>531</v>
      </c>
      <c r="L66">
        <v>1354</v>
      </c>
      <c r="N66">
        <v>1010</v>
      </c>
      <c r="O66" t="s">
        <v>118</v>
      </c>
      <c r="P66" t="s">
        <v>118</v>
      </c>
      <c r="Q66">
        <v>1</v>
      </c>
      <c r="W66">
        <v>0</v>
      </c>
      <c r="X66">
        <v>-1666017985</v>
      </c>
      <c r="Y66">
        <f>((AT66*1)*1)</f>
        <v>1</v>
      </c>
      <c r="AA66">
        <v>37.619999999999997</v>
      </c>
      <c r="AB66">
        <v>0</v>
      </c>
      <c r="AC66">
        <v>0</v>
      </c>
      <c r="AD66">
        <v>0</v>
      </c>
      <c r="AE66">
        <v>37.619999999999997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</v>
      </c>
      <c r="AU66" t="s">
        <v>38</v>
      </c>
      <c r="AV66">
        <v>0</v>
      </c>
      <c r="AW66">
        <v>2</v>
      </c>
      <c r="AX66">
        <v>57261040</v>
      </c>
      <c r="AY66">
        <v>1</v>
      </c>
      <c r="AZ66">
        <v>0</v>
      </c>
      <c r="BA66">
        <v>76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ROUND(Y66*Source!I34,9)</f>
        <v>1</v>
      </c>
      <c r="CY66">
        <f>AA66</f>
        <v>37.619999999999997</v>
      </c>
      <c r="CZ66">
        <f>AE66</f>
        <v>37.619999999999997</v>
      </c>
      <c r="DA66">
        <f>AI66</f>
        <v>1</v>
      </c>
      <c r="DB66">
        <f>ROUND(((ROUND(AT66*CZ66,2)*1)*1),6)</f>
        <v>37.619999999999997</v>
      </c>
      <c r="DC66">
        <f>ROUND(((ROUND(AT66*AG66,2)*1)*1),6)</f>
        <v>0</v>
      </c>
      <c r="DD66" t="s">
        <v>3</v>
      </c>
      <c r="DE66" t="s">
        <v>3</v>
      </c>
      <c r="DF66">
        <f t="shared" si="24"/>
        <v>37.619999999999997</v>
      </c>
      <c r="DG66">
        <f t="shared" si="23"/>
        <v>0</v>
      </c>
      <c r="DH66">
        <f t="shared" si="22"/>
        <v>0</v>
      </c>
      <c r="DI66">
        <f t="shared" si="25"/>
        <v>0</v>
      </c>
      <c r="DJ66">
        <f>DF66</f>
        <v>37.619999999999997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ROW(Source!A34)</f>
        <v>34</v>
      </c>
      <c r="B67">
        <v>55747649</v>
      </c>
      <c r="C67">
        <v>57261032</v>
      </c>
      <c r="D67">
        <v>54753580</v>
      </c>
      <c r="E67">
        <v>1</v>
      </c>
      <c r="F67">
        <v>1</v>
      </c>
      <c r="G67">
        <v>1081</v>
      </c>
      <c r="H67">
        <v>3</v>
      </c>
      <c r="I67" t="s">
        <v>532</v>
      </c>
      <c r="J67" t="s">
        <v>533</v>
      </c>
      <c r="K67" t="s">
        <v>534</v>
      </c>
      <c r="L67">
        <v>1354</v>
      </c>
      <c r="N67">
        <v>1010</v>
      </c>
      <c r="O67" t="s">
        <v>118</v>
      </c>
      <c r="P67" t="s">
        <v>118</v>
      </c>
      <c r="Q67">
        <v>1</v>
      </c>
      <c r="W67">
        <v>0</v>
      </c>
      <c r="X67">
        <v>-635382895</v>
      </c>
      <c r="Y67">
        <f>((AT67*1)*1)</f>
        <v>1</v>
      </c>
      <c r="AA67">
        <v>45.93</v>
      </c>
      <c r="AB67">
        <v>0</v>
      </c>
      <c r="AC67">
        <v>0</v>
      </c>
      <c r="AD67">
        <v>0</v>
      </c>
      <c r="AE67">
        <v>45.93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</v>
      </c>
      <c r="AU67" t="s">
        <v>38</v>
      </c>
      <c r="AV67">
        <v>0</v>
      </c>
      <c r="AW67">
        <v>2</v>
      </c>
      <c r="AX67">
        <v>57261041</v>
      </c>
      <c r="AY67">
        <v>1</v>
      </c>
      <c r="AZ67">
        <v>0</v>
      </c>
      <c r="BA67">
        <v>77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ROUND(Y67*Source!I34,9)</f>
        <v>1</v>
      </c>
      <c r="CY67">
        <f>AA67</f>
        <v>45.93</v>
      </c>
      <c r="CZ67">
        <f>AE67</f>
        <v>45.93</v>
      </c>
      <c r="DA67">
        <f>AI67</f>
        <v>1</v>
      </c>
      <c r="DB67">
        <f>ROUND(((ROUND(AT67*CZ67,2)*1)*1),6)</f>
        <v>45.93</v>
      </c>
      <c r="DC67">
        <f>ROUND(((ROUND(AT67*AG67,2)*1)*1),6)</f>
        <v>0</v>
      </c>
      <c r="DD67" t="s">
        <v>3</v>
      </c>
      <c r="DE67" t="s">
        <v>3</v>
      </c>
      <c r="DF67">
        <f t="shared" si="24"/>
        <v>45.93</v>
      </c>
      <c r="DG67">
        <f t="shared" si="23"/>
        <v>0</v>
      </c>
      <c r="DH67">
        <f t="shared" si="22"/>
        <v>0</v>
      </c>
      <c r="DI67">
        <f t="shared" si="25"/>
        <v>0</v>
      </c>
      <c r="DJ67">
        <f>DF67</f>
        <v>45.93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ROW(Source!A35)</f>
        <v>35</v>
      </c>
      <c r="B68">
        <v>55747651</v>
      </c>
      <c r="C68">
        <v>57261032</v>
      </c>
      <c r="D68">
        <v>54702434</v>
      </c>
      <c r="E68">
        <v>1081</v>
      </c>
      <c r="F68">
        <v>1</v>
      </c>
      <c r="G68">
        <v>1081</v>
      </c>
      <c r="H68">
        <v>1</v>
      </c>
      <c r="I68" t="s">
        <v>473</v>
      </c>
      <c r="J68" t="s">
        <v>3</v>
      </c>
      <c r="K68" t="s">
        <v>474</v>
      </c>
      <c r="L68">
        <v>1191</v>
      </c>
      <c r="N68">
        <v>1013</v>
      </c>
      <c r="O68" t="s">
        <v>475</v>
      </c>
      <c r="P68" t="s">
        <v>475</v>
      </c>
      <c r="Q68">
        <v>1</v>
      </c>
      <c r="W68">
        <v>0</v>
      </c>
      <c r="X68">
        <v>476480486</v>
      </c>
      <c r="Y68">
        <f>((AT68*1.2)*1.15)</f>
        <v>18.353999999999999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13.3</v>
      </c>
      <c r="AU68" t="s">
        <v>40</v>
      </c>
      <c r="AV68">
        <v>1</v>
      </c>
      <c r="AW68">
        <v>2</v>
      </c>
      <c r="AX68">
        <v>57261033</v>
      </c>
      <c r="AY68">
        <v>1</v>
      </c>
      <c r="AZ68">
        <v>0</v>
      </c>
      <c r="BA68">
        <v>79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ROUND(AT68*Source!I35*AH68*AL68,2)</f>
        <v>0</v>
      </c>
      <c r="CV68">
        <f>ROUND(Y68*Source!I35,9)</f>
        <v>18.353999999999999</v>
      </c>
      <c r="CW68">
        <v>0</v>
      </c>
      <c r="CX68">
        <f>ROUND(Y68*Source!I35,9)</f>
        <v>18.353999999999999</v>
      </c>
      <c r="CY68">
        <f>AD68</f>
        <v>0</v>
      </c>
      <c r="CZ68">
        <f>AH68</f>
        <v>0</v>
      </c>
      <c r="DA68">
        <f>AL68</f>
        <v>1</v>
      </c>
      <c r="DB68">
        <f>ROUND(((ROUND(AT68*CZ68,2)*1.2)*1.15),6)</f>
        <v>0</v>
      </c>
      <c r="DC68">
        <f>ROUND(((ROUND(AT68*AG68,2)*1.2)*1.15),6)</f>
        <v>0</v>
      </c>
      <c r="DD68" t="s">
        <v>3</v>
      </c>
      <c r="DE68" t="s">
        <v>3</v>
      </c>
      <c r="DF68">
        <f t="shared" si="24"/>
        <v>0</v>
      </c>
      <c r="DG68">
        <f t="shared" si="23"/>
        <v>0</v>
      </c>
      <c r="DH68">
        <f t="shared" si="22"/>
        <v>0</v>
      </c>
      <c r="DI68">
        <f t="shared" si="25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ROW(Source!A35)</f>
        <v>35</v>
      </c>
      <c r="B69">
        <v>55747651</v>
      </c>
      <c r="C69">
        <v>57261032</v>
      </c>
      <c r="D69">
        <v>54768040</v>
      </c>
      <c r="E69">
        <v>1</v>
      </c>
      <c r="F69">
        <v>1</v>
      </c>
      <c r="G69">
        <v>1081</v>
      </c>
      <c r="H69">
        <v>2</v>
      </c>
      <c r="I69" t="s">
        <v>476</v>
      </c>
      <c r="J69" t="s">
        <v>477</v>
      </c>
      <c r="K69" t="s">
        <v>478</v>
      </c>
      <c r="L69">
        <v>1368</v>
      </c>
      <c r="N69">
        <v>1011</v>
      </c>
      <c r="O69" t="s">
        <v>479</v>
      </c>
      <c r="P69" t="s">
        <v>479</v>
      </c>
      <c r="Q69">
        <v>1</v>
      </c>
      <c r="W69">
        <v>0</v>
      </c>
      <c r="X69">
        <v>1498588441</v>
      </c>
      <c r="Y69">
        <f>((AT69*1.2)*1.25)</f>
        <v>0.76500000000000001</v>
      </c>
      <c r="AA69">
        <v>0</v>
      </c>
      <c r="AB69">
        <v>102.11</v>
      </c>
      <c r="AC69">
        <v>0</v>
      </c>
      <c r="AD69">
        <v>0</v>
      </c>
      <c r="AE69">
        <v>0</v>
      </c>
      <c r="AF69">
        <v>7.11</v>
      </c>
      <c r="AG69">
        <v>0</v>
      </c>
      <c r="AH69">
        <v>0</v>
      </c>
      <c r="AI69">
        <v>1</v>
      </c>
      <c r="AJ69">
        <v>13.46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0.51</v>
      </c>
      <c r="AU69" t="s">
        <v>39</v>
      </c>
      <c r="AV69">
        <v>0</v>
      </c>
      <c r="AW69">
        <v>2</v>
      </c>
      <c r="AX69">
        <v>57261034</v>
      </c>
      <c r="AY69">
        <v>1</v>
      </c>
      <c r="AZ69">
        <v>0</v>
      </c>
      <c r="BA69">
        <v>80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ROUND(Y69*Source!I35*DO69,9)</f>
        <v>0</v>
      </c>
      <c r="CX69">
        <f>ROUND(Y69*Source!I35,9)</f>
        <v>0.76500000000000001</v>
      </c>
      <c r="CY69">
        <f>AB69</f>
        <v>102.11</v>
      </c>
      <c r="CZ69">
        <f>AF69</f>
        <v>7.11</v>
      </c>
      <c r="DA69">
        <f>AJ69</f>
        <v>13.46</v>
      </c>
      <c r="DB69">
        <f>ROUND(((ROUND(AT69*CZ69,2)*1.2)*1.25),6)</f>
        <v>5.4450000000000003</v>
      </c>
      <c r="DC69">
        <f>ROUND(((ROUND(AT69*AG69,2)*1.2)*1.25),6)</f>
        <v>0</v>
      </c>
      <c r="DD69" t="s">
        <v>3</v>
      </c>
      <c r="DE69" t="s">
        <v>3</v>
      </c>
      <c r="DF69">
        <f t="shared" si="24"/>
        <v>0</v>
      </c>
      <c r="DG69">
        <f>ROUND(ROUND(AF69*AJ69,2)*CX69,2)</f>
        <v>73.209999999999994</v>
      </c>
      <c r="DH69">
        <f t="shared" si="22"/>
        <v>0</v>
      </c>
      <c r="DI69">
        <f t="shared" si="25"/>
        <v>0</v>
      </c>
      <c r="DJ69">
        <f>DG69</f>
        <v>73.209999999999994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ROW(Source!A35)</f>
        <v>35</v>
      </c>
      <c r="B70">
        <v>55747651</v>
      </c>
      <c r="C70">
        <v>57261032</v>
      </c>
      <c r="D70">
        <v>54768339</v>
      </c>
      <c r="E70">
        <v>1</v>
      </c>
      <c r="F70">
        <v>1</v>
      </c>
      <c r="G70">
        <v>1081</v>
      </c>
      <c r="H70">
        <v>2</v>
      </c>
      <c r="I70" t="s">
        <v>483</v>
      </c>
      <c r="J70" t="s">
        <v>484</v>
      </c>
      <c r="K70" t="s">
        <v>485</v>
      </c>
      <c r="L70">
        <v>1368</v>
      </c>
      <c r="N70">
        <v>1011</v>
      </c>
      <c r="O70" t="s">
        <v>479</v>
      </c>
      <c r="P70" t="s">
        <v>479</v>
      </c>
      <c r="Q70">
        <v>1</v>
      </c>
      <c r="W70">
        <v>0</v>
      </c>
      <c r="X70">
        <v>874612079</v>
      </c>
      <c r="Y70">
        <f>((AT70*1.2)*1.25)</f>
        <v>1.4999999999999999E-2</v>
      </c>
      <c r="AA70">
        <v>0</v>
      </c>
      <c r="AB70">
        <v>1513.56</v>
      </c>
      <c r="AC70">
        <v>758.78</v>
      </c>
      <c r="AD70">
        <v>0</v>
      </c>
      <c r="AE70">
        <v>0</v>
      </c>
      <c r="AF70">
        <v>83.1</v>
      </c>
      <c r="AG70">
        <v>12.62</v>
      </c>
      <c r="AH70">
        <v>0</v>
      </c>
      <c r="AI70">
        <v>1</v>
      </c>
      <c r="AJ70">
        <v>17.07</v>
      </c>
      <c r="AK70">
        <v>56.35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0.01</v>
      </c>
      <c r="AU70" t="s">
        <v>39</v>
      </c>
      <c r="AV70">
        <v>0</v>
      </c>
      <c r="AW70">
        <v>2</v>
      </c>
      <c r="AX70">
        <v>57261035</v>
      </c>
      <c r="AY70">
        <v>1</v>
      </c>
      <c r="AZ70">
        <v>0</v>
      </c>
      <c r="BA70">
        <v>81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ROUND(Y70*Source!I35*DO70,9)</f>
        <v>0.1893</v>
      </c>
      <c r="CX70">
        <f>ROUND(Y70*Source!I35,9)</f>
        <v>1.4999999999999999E-2</v>
      </c>
      <c r="CY70">
        <f>AB70</f>
        <v>1513.56</v>
      </c>
      <c r="CZ70">
        <f>AF70</f>
        <v>83.1</v>
      </c>
      <c r="DA70">
        <f>AJ70</f>
        <v>17.07</v>
      </c>
      <c r="DB70">
        <f>ROUND(((ROUND(AT70*CZ70,2)*1.2)*1.25),6)</f>
        <v>1.2450000000000001</v>
      </c>
      <c r="DC70">
        <f>ROUND(((ROUND(AT70*AG70,2)*1.2)*1.25),6)</f>
        <v>0.19500000000000001</v>
      </c>
      <c r="DD70" t="s">
        <v>3</v>
      </c>
      <c r="DE70" t="s">
        <v>3</v>
      </c>
      <c r="DF70">
        <f t="shared" si="24"/>
        <v>0</v>
      </c>
      <c r="DG70">
        <f>ROUND(ROUND(AF70*AJ70,2)*CX70,2)</f>
        <v>21.28</v>
      </c>
      <c r="DH70">
        <f>ROUND(ROUND(AG70*AK70,2)*CX70,2)</f>
        <v>10.67</v>
      </c>
      <c r="DI70">
        <f t="shared" si="25"/>
        <v>0</v>
      </c>
      <c r="DJ70">
        <f>DG70</f>
        <v>21.28</v>
      </c>
      <c r="DK70">
        <v>0</v>
      </c>
      <c r="DL70" t="s">
        <v>486</v>
      </c>
      <c r="DM70">
        <v>0</v>
      </c>
      <c r="DN70" t="s">
        <v>475</v>
      </c>
      <c r="DO70">
        <v>12.62</v>
      </c>
    </row>
    <row r="71" spans="1:119" x14ac:dyDescent="0.2">
      <c r="A71">
        <f>ROW(Source!A35)</f>
        <v>35</v>
      </c>
      <c r="B71">
        <v>55747651</v>
      </c>
      <c r="C71">
        <v>57261032</v>
      </c>
      <c r="D71">
        <v>54767573</v>
      </c>
      <c r="E71">
        <v>1</v>
      </c>
      <c r="F71">
        <v>1</v>
      </c>
      <c r="G71">
        <v>1081</v>
      </c>
      <c r="H71">
        <v>2</v>
      </c>
      <c r="I71" t="s">
        <v>508</v>
      </c>
      <c r="J71" t="s">
        <v>509</v>
      </c>
      <c r="K71" t="s">
        <v>510</v>
      </c>
      <c r="L71">
        <v>1368</v>
      </c>
      <c r="N71">
        <v>1011</v>
      </c>
      <c r="O71" t="s">
        <v>479</v>
      </c>
      <c r="P71" t="s">
        <v>479</v>
      </c>
      <c r="Q71">
        <v>1</v>
      </c>
      <c r="W71">
        <v>0</v>
      </c>
      <c r="X71">
        <v>-44940208</v>
      </c>
      <c r="Y71">
        <f>((AT71*1.2)*1.25)</f>
        <v>1.4999999999999999E-2</v>
      </c>
      <c r="AA71">
        <v>0</v>
      </c>
      <c r="AB71">
        <v>2758.65</v>
      </c>
      <c r="AC71">
        <v>1017.92</v>
      </c>
      <c r="AD71">
        <v>0</v>
      </c>
      <c r="AE71">
        <v>0</v>
      </c>
      <c r="AF71">
        <v>179.17</v>
      </c>
      <c r="AG71">
        <v>16.93</v>
      </c>
      <c r="AH71">
        <v>0</v>
      </c>
      <c r="AI71">
        <v>1</v>
      </c>
      <c r="AJ71">
        <v>14.43</v>
      </c>
      <c r="AK71">
        <v>56.35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0.01</v>
      </c>
      <c r="AU71" t="s">
        <v>39</v>
      </c>
      <c r="AV71">
        <v>0</v>
      </c>
      <c r="AW71">
        <v>2</v>
      </c>
      <c r="AX71">
        <v>57261036</v>
      </c>
      <c r="AY71">
        <v>1</v>
      </c>
      <c r="AZ71">
        <v>0</v>
      </c>
      <c r="BA71">
        <v>82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ROUND(Y71*Source!I35*DO71,9)</f>
        <v>0.25395000000000001</v>
      </c>
      <c r="CX71">
        <f>ROUND(Y71*Source!I35,9)</f>
        <v>1.4999999999999999E-2</v>
      </c>
      <c r="CY71">
        <f>AB71</f>
        <v>2758.65</v>
      </c>
      <c r="CZ71">
        <f>AF71</f>
        <v>179.17</v>
      </c>
      <c r="DA71">
        <f>AJ71</f>
        <v>14.43</v>
      </c>
      <c r="DB71">
        <f>ROUND(((ROUND(AT71*CZ71,2)*1.2)*1.25),6)</f>
        <v>2.6850000000000001</v>
      </c>
      <c r="DC71">
        <f>ROUND(((ROUND(AT71*AG71,2)*1.2)*1.25),6)</f>
        <v>0.255</v>
      </c>
      <c r="DD71" t="s">
        <v>3</v>
      </c>
      <c r="DE71" t="s">
        <v>3</v>
      </c>
      <c r="DF71">
        <f t="shared" si="24"/>
        <v>0</v>
      </c>
      <c r="DG71">
        <f>ROUND(ROUND(AF71*AJ71,2)*CX71,2)</f>
        <v>38.78</v>
      </c>
      <c r="DH71">
        <f>ROUND(ROUND(AG71*AK71,2)*CX71,2)</f>
        <v>14.31</v>
      </c>
      <c r="DI71">
        <f t="shared" si="25"/>
        <v>0</v>
      </c>
      <c r="DJ71">
        <f>DG71</f>
        <v>38.78</v>
      </c>
      <c r="DK71">
        <v>0</v>
      </c>
      <c r="DL71" t="s">
        <v>486</v>
      </c>
      <c r="DM71">
        <v>0</v>
      </c>
      <c r="DN71" t="s">
        <v>475</v>
      </c>
      <c r="DO71">
        <v>16.93</v>
      </c>
    </row>
    <row r="72" spans="1:119" x14ac:dyDescent="0.2">
      <c r="A72">
        <f>ROW(Source!A35)</f>
        <v>35</v>
      </c>
      <c r="B72">
        <v>55747651</v>
      </c>
      <c r="C72">
        <v>57261032</v>
      </c>
      <c r="D72">
        <v>54737969</v>
      </c>
      <c r="E72">
        <v>1</v>
      </c>
      <c r="F72">
        <v>1</v>
      </c>
      <c r="G72">
        <v>1081</v>
      </c>
      <c r="H72">
        <v>3</v>
      </c>
      <c r="I72" t="s">
        <v>511</v>
      </c>
      <c r="J72" t="s">
        <v>512</v>
      </c>
      <c r="K72" t="s">
        <v>513</v>
      </c>
      <c r="L72">
        <v>1348</v>
      </c>
      <c r="N72">
        <v>1009</v>
      </c>
      <c r="O72" t="s">
        <v>282</v>
      </c>
      <c r="P72" t="s">
        <v>282</v>
      </c>
      <c r="Q72">
        <v>1000</v>
      </c>
      <c r="W72">
        <v>0</v>
      </c>
      <c r="X72">
        <v>-287838193</v>
      </c>
      <c r="Y72">
        <f>((AT72*1)*1)</f>
        <v>5.0000000000000002E-5</v>
      </c>
      <c r="AA72">
        <v>103783.79</v>
      </c>
      <c r="AB72">
        <v>0</v>
      </c>
      <c r="AC72">
        <v>0</v>
      </c>
      <c r="AD72">
        <v>0</v>
      </c>
      <c r="AE72">
        <v>23114.43</v>
      </c>
      <c r="AF72">
        <v>0</v>
      </c>
      <c r="AG72">
        <v>0</v>
      </c>
      <c r="AH72">
        <v>0</v>
      </c>
      <c r="AI72">
        <v>4.49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5.0000000000000002E-5</v>
      </c>
      <c r="AU72" t="s">
        <v>38</v>
      </c>
      <c r="AV72">
        <v>0</v>
      </c>
      <c r="AW72">
        <v>2</v>
      </c>
      <c r="AX72">
        <v>57261037</v>
      </c>
      <c r="AY72">
        <v>1</v>
      </c>
      <c r="AZ72">
        <v>0</v>
      </c>
      <c r="BA72">
        <v>83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ROUND(Y72*Source!I35,9)</f>
        <v>5.0000000000000002E-5</v>
      </c>
      <c r="CY72">
        <f>AA72</f>
        <v>103783.79</v>
      </c>
      <c r="CZ72">
        <f>AE72</f>
        <v>23114.43</v>
      </c>
      <c r="DA72">
        <f>AI72</f>
        <v>4.49</v>
      </c>
      <c r="DB72">
        <f>ROUND(((ROUND(AT72*CZ72,2)*1)*1),6)</f>
        <v>1.1599999999999999</v>
      </c>
      <c r="DC72">
        <f>ROUND(((ROUND(AT72*AG72,2)*1)*1),6)</f>
        <v>0</v>
      </c>
      <c r="DD72" t="s">
        <v>3</v>
      </c>
      <c r="DE72" t="s">
        <v>3</v>
      </c>
      <c r="DF72">
        <f>ROUND(ROUND(AE72*AI72,2)*CX72,2)</f>
        <v>5.19</v>
      </c>
      <c r="DG72">
        <f t="shared" ref="DG72:DG87" si="26">ROUND(ROUND(AF72,2)*CX72,2)</f>
        <v>0</v>
      </c>
      <c r="DH72">
        <f t="shared" ref="DH72:DH88" si="27">ROUND(ROUND(AG72,2)*CX72,2)</f>
        <v>0</v>
      </c>
      <c r="DI72">
        <f t="shared" si="25"/>
        <v>0</v>
      </c>
      <c r="DJ72">
        <f>DF72</f>
        <v>5.19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ROW(Source!A35)</f>
        <v>35</v>
      </c>
      <c r="B73">
        <v>55747651</v>
      </c>
      <c r="C73">
        <v>57261032</v>
      </c>
      <c r="D73">
        <v>54738510</v>
      </c>
      <c r="E73">
        <v>1</v>
      </c>
      <c r="F73">
        <v>1</v>
      </c>
      <c r="G73">
        <v>1081</v>
      </c>
      <c r="H73">
        <v>3</v>
      </c>
      <c r="I73" t="s">
        <v>514</v>
      </c>
      <c r="J73" t="s">
        <v>515</v>
      </c>
      <c r="K73" t="s">
        <v>516</v>
      </c>
      <c r="L73">
        <v>1348</v>
      </c>
      <c r="N73">
        <v>1009</v>
      </c>
      <c r="O73" t="s">
        <v>282</v>
      </c>
      <c r="P73" t="s">
        <v>282</v>
      </c>
      <c r="Q73">
        <v>1000</v>
      </c>
      <c r="W73">
        <v>0</v>
      </c>
      <c r="X73">
        <v>277309194</v>
      </c>
      <c r="Y73">
        <f>((AT73*1)*1)</f>
        <v>2.0000000000000001E-4</v>
      </c>
      <c r="AA73">
        <v>141233.74</v>
      </c>
      <c r="AB73">
        <v>0</v>
      </c>
      <c r="AC73">
        <v>0</v>
      </c>
      <c r="AD73">
        <v>0</v>
      </c>
      <c r="AE73">
        <v>8590.86</v>
      </c>
      <c r="AF73">
        <v>0</v>
      </c>
      <c r="AG73">
        <v>0</v>
      </c>
      <c r="AH73">
        <v>0</v>
      </c>
      <c r="AI73">
        <v>16.440000000000001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2.0000000000000001E-4</v>
      </c>
      <c r="AU73" t="s">
        <v>38</v>
      </c>
      <c r="AV73">
        <v>0</v>
      </c>
      <c r="AW73">
        <v>2</v>
      </c>
      <c r="AX73">
        <v>57261038</v>
      </c>
      <c r="AY73">
        <v>1</v>
      </c>
      <c r="AZ73">
        <v>0</v>
      </c>
      <c r="BA73">
        <v>84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ROUND(Y73*Source!I35,9)</f>
        <v>2.0000000000000001E-4</v>
      </c>
      <c r="CY73">
        <f>AA73</f>
        <v>141233.74</v>
      </c>
      <c r="CZ73">
        <f>AE73</f>
        <v>8590.86</v>
      </c>
      <c r="DA73">
        <f>AI73</f>
        <v>16.440000000000001</v>
      </c>
      <c r="DB73">
        <f>ROUND(((ROUND(AT73*CZ73,2)*1)*1),6)</f>
        <v>1.72</v>
      </c>
      <c r="DC73">
        <f>ROUND(((ROUND(AT73*AG73,2)*1)*1),6)</f>
        <v>0</v>
      </c>
      <c r="DD73" t="s">
        <v>3</v>
      </c>
      <c r="DE73" t="s">
        <v>3</v>
      </c>
      <c r="DF73">
        <f>ROUND(ROUND(AE73*AI73,2)*CX73,2)</f>
        <v>28.25</v>
      </c>
      <c r="DG73">
        <f t="shared" si="26"/>
        <v>0</v>
      </c>
      <c r="DH73">
        <f t="shared" si="27"/>
        <v>0</v>
      </c>
      <c r="DI73">
        <f t="shared" si="25"/>
        <v>0</v>
      </c>
      <c r="DJ73">
        <f>DF73</f>
        <v>28.25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ROW(Source!A35)</f>
        <v>35</v>
      </c>
      <c r="B74">
        <v>55747651</v>
      </c>
      <c r="C74">
        <v>57261032</v>
      </c>
      <c r="D74">
        <v>54737318</v>
      </c>
      <c r="E74">
        <v>1</v>
      </c>
      <c r="F74">
        <v>1</v>
      </c>
      <c r="G74">
        <v>1081</v>
      </c>
      <c r="H74">
        <v>3</v>
      </c>
      <c r="I74" t="s">
        <v>526</v>
      </c>
      <c r="J74" t="s">
        <v>527</v>
      </c>
      <c r="K74" t="s">
        <v>528</v>
      </c>
      <c r="L74">
        <v>1348</v>
      </c>
      <c r="N74">
        <v>1009</v>
      </c>
      <c r="O74" t="s">
        <v>282</v>
      </c>
      <c r="P74" t="s">
        <v>282</v>
      </c>
      <c r="Q74">
        <v>1000</v>
      </c>
      <c r="W74">
        <v>0</v>
      </c>
      <c r="X74">
        <v>-268464753</v>
      </c>
      <c r="Y74">
        <f>((AT74*1)*1)</f>
        <v>1.2999999999999999E-3</v>
      </c>
      <c r="AA74">
        <v>121682.99</v>
      </c>
      <c r="AB74">
        <v>0</v>
      </c>
      <c r="AC74">
        <v>0</v>
      </c>
      <c r="AD74">
        <v>0</v>
      </c>
      <c r="AE74">
        <v>17868.28</v>
      </c>
      <c r="AF74">
        <v>0</v>
      </c>
      <c r="AG74">
        <v>0</v>
      </c>
      <c r="AH74">
        <v>0</v>
      </c>
      <c r="AI74">
        <v>6.81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1.2999999999999999E-3</v>
      </c>
      <c r="AU74" t="s">
        <v>38</v>
      </c>
      <c r="AV74">
        <v>0</v>
      </c>
      <c r="AW74">
        <v>2</v>
      </c>
      <c r="AX74">
        <v>57261039</v>
      </c>
      <c r="AY74">
        <v>1</v>
      </c>
      <c r="AZ74">
        <v>0</v>
      </c>
      <c r="BA74">
        <v>85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ROUND(Y74*Source!I35,9)</f>
        <v>1.2999999999999999E-3</v>
      </c>
      <c r="CY74">
        <f>AA74</f>
        <v>121682.99</v>
      </c>
      <c r="CZ74">
        <f>AE74</f>
        <v>17868.28</v>
      </c>
      <c r="DA74">
        <f>AI74</f>
        <v>6.81</v>
      </c>
      <c r="DB74">
        <f>ROUND(((ROUND(AT74*CZ74,2)*1)*1),6)</f>
        <v>23.23</v>
      </c>
      <c r="DC74">
        <f>ROUND(((ROUND(AT74*AG74,2)*1)*1),6)</f>
        <v>0</v>
      </c>
      <c r="DD74" t="s">
        <v>3</v>
      </c>
      <c r="DE74" t="s">
        <v>3</v>
      </c>
      <c r="DF74">
        <f>ROUND(ROUND(AE74*AI74,2)*CX74,2)</f>
        <v>158.19</v>
      </c>
      <c r="DG74">
        <f t="shared" si="26"/>
        <v>0</v>
      </c>
      <c r="DH74">
        <f t="shared" si="27"/>
        <v>0</v>
      </c>
      <c r="DI74">
        <f t="shared" si="25"/>
        <v>0</v>
      </c>
      <c r="DJ74">
        <f>DF74</f>
        <v>158.19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ROW(Source!A35)</f>
        <v>35</v>
      </c>
      <c r="B75">
        <v>55747651</v>
      </c>
      <c r="C75">
        <v>57261032</v>
      </c>
      <c r="D75">
        <v>54753579</v>
      </c>
      <c r="E75">
        <v>1</v>
      </c>
      <c r="F75">
        <v>1</v>
      </c>
      <c r="G75">
        <v>1081</v>
      </c>
      <c r="H75">
        <v>3</v>
      </c>
      <c r="I75" t="s">
        <v>529</v>
      </c>
      <c r="J75" t="s">
        <v>530</v>
      </c>
      <c r="K75" t="s">
        <v>531</v>
      </c>
      <c r="L75">
        <v>1354</v>
      </c>
      <c r="N75">
        <v>1010</v>
      </c>
      <c r="O75" t="s">
        <v>118</v>
      </c>
      <c r="P75" t="s">
        <v>118</v>
      </c>
      <c r="Q75">
        <v>1</v>
      </c>
      <c r="W75">
        <v>0</v>
      </c>
      <c r="X75">
        <v>-1666017985</v>
      </c>
      <c r="Y75">
        <f>((AT75*1)*1)</f>
        <v>1</v>
      </c>
      <c r="AA75">
        <v>275</v>
      </c>
      <c r="AB75">
        <v>0</v>
      </c>
      <c r="AC75">
        <v>0</v>
      </c>
      <c r="AD75">
        <v>0</v>
      </c>
      <c r="AE75">
        <v>37.619999999999997</v>
      </c>
      <c r="AF75">
        <v>0</v>
      </c>
      <c r="AG75">
        <v>0</v>
      </c>
      <c r="AH75">
        <v>0</v>
      </c>
      <c r="AI75">
        <v>7.31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</v>
      </c>
      <c r="AU75" t="s">
        <v>38</v>
      </c>
      <c r="AV75">
        <v>0</v>
      </c>
      <c r="AW75">
        <v>2</v>
      </c>
      <c r="AX75">
        <v>57261040</v>
      </c>
      <c r="AY75">
        <v>1</v>
      </c>
      <c r="AZ75">
        <v>0</v>
      </c>
      <c r="BA75">
        <v>86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ROUND(Y75*Source!I35,9)</f>
        <v>1</v>
      </c>
      <c r="CY75">
        <f>AA75</f>
        <v>275</v>
      </c>
      <c r="CZ75">
        <f>AE75</f>
        <v>37.619999999999997</v>
      </c>
      <c r="DA75">
        <f>AI75</f>
        <v>7.31</v>
      </c>
      <c r="DB75">
        <f>ROUND(((ROUND(AT75*CZ75,2)*1)*1),6)</f>
        <v>37.619999999999997</v>
      </c>
      <c r="DC75">
        <f>ROUND(((ROUND(AT75*AG75,2)*1)*1),6)</f>
        <v>0</v>
      </c>
      <c r="DD75" t="s">
        <v>3</v>
      </c>
      <c r="DE75" t="s">
        <v>3</v>
      </c>
      <c r="DF75">
        <f>ROUND(ROUND(AE75*AI75,2)*CX75,2)</f>
        <v>275</v>
      </c>
      <c r="DG75">
        <f t="shared" si="26"/>
        <v>0</v>
      </c>
      <c r="DH75">
        <f t="shared" si="27"/>
        <v>0</v>
      </c>
      <c r="DI75">
        <f t="shared" si="25"/>
        <v>0</v>
      </c>
      <c r="DJ75">
        <f>DF75</f>
        <v>275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ROW(Source!A35)</f>
        <v>35</v>
      </c>
      <c r="B76">
        <v>55747651</v>
      </c>
      <c r="C76">
        <v>57261032</v>
      </c>
      <c r="D76">
        <v>54753580</v>
      </c>
      <c r="E76">
        <v>1</v>
      </c>
      <c r="F76">
        <v>1</v>
      </c>
      <c r="G76">
        <v>1081</v>
      </c>
      <c r="H76">
        <v>3</v>
      </c>
      <c r="I76" t="s">
        <v>532</v>
      </c>
      <c r="J76" t="s">
        <v>533</v>
      </c>
      <c r="K76" t="s">
        <v>534</v>
      </c>
      <c r="L76">
        <v>1354</v>
      </c>
      <c r="N76">
        <v>1010</v>
      </c>
      <c r="O76" t="s">
        <v>118</v>
      </c>
      <c r="P76" t="s">
        <v>118</v>
      </c>
      <c r="Q76">
        <v>1</v>
      </c>
      <c r="W76">
        <v>0</v>
      </c>
      <c r="X76">
        <v>-635382895</v>
      </c>
      <c r="Y76">
        <f>((AT76*1)*1)</f>
        <v>1</v>
      </c>
      <c r="AA76">
        <v>324.27</v>
      </c>
      <c r="AB76">
        <v>0</v>
      </c>
      <c r="AC76">
        <v>0</v>
      </c>
      <c r="AD76">
        <v>0</v>
      </c>
      <c r="AE76">
        <v>45.93</v>
      </c>
      <c r="AF76">
        <v>0</v>
      </c>
      <c r="AG76">
        <v>0</v>
      </c>
      <c r="AH76">
        <v>0</v>
      </c>
      <c r="AI76">
        <v>7.06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</v>
      </c>
      <c r="AU76" t="s">
        <v>38</v>
      </c>
      <c r="AV76">
        <v>0</v>
      </c>
      <c r="AW76">
        <v>2</v>
      </c>
      <c r="AX76">
        <v>57261041</v>
      </c>
      <c r="AY76">
        <v>1</v>
      </c>
      <c r="AZ76">
        <v>0</v>
      </c>
      <c r="BA76">
        <v>87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ROUND(Y76*Source!I35,9)</f>
        <v>1</v>
      </c>
      <c r="CY76">
        <f>AA76</f>
        <v>324.27</v>
      </c>
      <c r="CZ76">
        <f>AE76</f>
        <v>45.93</v>
      </c>
      <c r="DA76">
        <f>AI76</f>
        <v>7.06</v>
      </c>
      <c r="DB76">
        <f>ROUND(((ROUND(AT76*CZ76,2)*1)*1),6)</f>
        <v>45.93</v>
      </c>
      <c r="DC76">
        <f>ROUND(((ROUND(AT76*AG76,2)*1)*1),6)</f>
        <v>0</v>
      </c>
      <c r="DD76" t="s">
        <v>3</v>
      </c>
      <c r="DE76" t="s">
        <v>3</v>
      </c>
      <c r="DF76">
        <f>ROUND(ROUND(AE76*AI76,2)*CX76,2)</f>
        <v>324.27</v>
      </c>
      <c r="DG76">
        <f t="shared" si="26"/>
        <v>0</v>
      </c>
      <c r="DH76">
        <f t="shared" si="27"/>
        <v>0</v>
      </c>
      <c r="DI76">
        <f t="shared" si="25"/>
        <v>0</v>
      </c>
      <c r="DJ76">
        <f>DF76</f>
        <v>324.27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ROW(Source!A36)</f>
        <v>36</v>
      </c>
      <c r="B77">
        <v>55747649</v>
      </c>
      <c r="C77">
        <v>55747877</v>
      </c>
      <c r="D77">
        <v>54702434</v>
      </c>
      <c r="E77">
        <v>1081</v>
      </c>
      <c r="F77">
        <v>1</v>
      </c>
      <c r="G77">
        <v>1081</v>
      </c>
      <c r="H77">
        <v>1</v>
      </c>
      <c r="I77" t="s">
        <v>473</v>
      </c>
      <c r="J77" t="s">
        <v>3</v>
      </c>
      <c r="K77" t="s">
        <v>474</v>
      </c>
      <c r="L77">
        <v>1191</v>
      </c>
      <c r="N77">
        <v>1013</v>
      </c>
      <c r="O77" t="s">
        <v>475</v>
      </c>
      <c r="P77" t="s">
        <v>475</v>
      </c>
      <c r="Q77">
        <v>1</v>
      </c>
      <c r="W77">
        <v>0</v>
      </c>
      <c r="X77">
        <v>476480486</v>
      </c>
      <c r="Y77">
        <f>(AT77*1.2)</f>
        <v>584.4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487</v>
      </c>
      <c r="AU77" t="s">
        <v>49</v>
      </c>
      <c r="AV77">
        <v>1</v>
      </c>
      <c r="AW77">
        <v>2</v>
      </c>
      <c r="AX77">
        <v>55747879</v>
      </c>
      <c r="AY77">
        <v>1</v>
      </c>
      <c r="AZ77">
        <v>0</v>
      </c>
      <c r="BA77">
        <v>89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ROUND(AT77*Source!I36*AH77*AL77,2)</f>
        <v>0</v>
      </c>
      <c r="CV77">
        <f>ROUND(Y77*Source!I36,9)</f>
        <v>5.2595999999999998</v>
      </c>
      <c r="CW77">
        <v>0</v>
      </c>
      <c r="CX77">
        <f>ROUND(Y77*Source!I36,9)</f>
        <v>5.2595999999999998</v>
      </c>
      <c r="CY77">
        <f>AD77</f>
        <v>0</v>
      </c>
      <c r="CZ77">
        <f>AH77</f>
        <v>0</v>
      </c>
      <c r="DA77">
        <f>AL77</f>
        <v>1</v>
      </c>
      <c r="DB77">
        <f>ROUND((ROUND(AT77*CZ77,2)*1.2),6)</f>
        <v>0</v>
      </c>
      <c r="DC77">
        <f>ROUND((ROUND(AT77*AG77,2)*1.2),6)</f>
        <v>0</v>
      </c>
      <c r="DD77" t="s">
        <v>3</v>
      </c>
      <c r="DE77" t="s">
        <v>3</v>
      </c>
      <c r="DF77">
        <f t="shared" ref="DF77:DF90" si="28">ROUND(ROUND(AE77,2)*CX77,2)</f>
        <v>0</v>
      </c>
      <c r="DG77">
        <f t="shared" si="26"/>
        <v>0</v>
      </c>
      <c r="DH77">
        <f t="shared" si="27"/>
        <v>0</v>
      </c>
      <c r="DI77">
        <f t="shared" si="25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ROW(Source!A37)</f>
        <v>37</v>
      </c>
      <c r="B78">
        <v>55747651</v>
      </c>
      <c r="C78">
        <v>55747877</v>
      </c>
      <c r="D78">
        <v>54702434</v>
      </c>
      <c r="E78">
        <v>1081</v>
      </c>
      <c r="F78">
        <v>1</v>
      </c>
      <c r="G78">
        <v>1081</v>
      </c>
      <c r="H78">
        <v>1</v>
      </c>
      <c r="I78" t="s">
        <v>473</v>
      </c>
      <c r="J78" t="s">
        <v>3</v>
      </c>
      <c r="K78" t="s">
        <v>474</v>
      </c>
      <c r="L78">
        <v>1191</v>
      </c>
      <c r="N78">
        <v>1013</v>
      </c>
      <c r="O78" t="s">
        <v>475</v>
      </c>
      <c r="P78" t="s">
        <v>475</v>
      </c>
      <c r="Q78">
        <v>1</v>
      </c>
      <c r="W78">
        <v>0</v>
      </c>
      <c r="X78">
        <v>476480486</v>
      </c>
      <c r="Y78">
        <f>(AT78*1.2)</f>
        <v>584.4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487</v>
      </c>
      <c r="AU78" t="s">
        <v>49</v>
      </c>
      <c r="AV78">
        <v>1</v>
      </c>
      <c r="AW78">
        <v>2</v>
      </c>
      <c r="AX78">
        <v>55747879</v>
      </c>
      <c r="AY78">
        <v>1</v>
      </c>
      <c r="AZ78">
        <v>0</v>
      </c>
      <c r="BA78">
        <v>90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U78">
        <f>ROUND(AT78*Source!I37*AH78*AL78,2)</f>
        <v>0</v>
      </c>
      <c r="CV78">
        <f>ROUND(Y78*Source!I37,9)</f>
        <v>5.2595999999999998</v>
      </c>
      <c r="CW78">
        <v>0</v>
      </c>
      <c r="CX78">
        <f>ROUND(Y78*Source!I37,9)</f>
        <v>5.2595999999999998</v>
      </c>
      <c r="CY78">
        <f>AD78</f>
        <v>0</v>
      </c>
      <c r="CZ78">
        <f>AH78</f>
        <v>0</v>
      </c>
      <c r="DA78">
        <f>AL78</f>
        <v>1</v>
      </c>
      <c r="DB78">
        <f>ROUND((ROUND(AT78*CZ78,2)*1.2),6)</f>
        <v>0</v>
      </c>
      <c r="DC78">
        <f>ROUND((ROUND(AT78*AG78,2)*1.2),6)</f>
        <v>0</v>
      </c>
      <c r="DD78" t="s">
        <v>3</v>
      </c>
      <c r="DE78" t="s">
        <v>3</v>
      </c>
      <c r="DF78">
        <f t="shared" si="28"/>
        <v>0</v>
      </c>
      <c r="DG78">
        <f t="shared" si="26"/>
        <v>0</v>
      </c>
      <c r="DH78">
        <f t="shared" si="27"/>
        <v>0</v>
      </c>
      <c r="DI78">
        <f t="shared" si="25"/>
        <v>0</v>
      </c>
      <c r="DJ78">
        <f>DI78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ROW(Source!A38)</f>
        <v>38</v>
      </c>
      <c r="B79">
        <v>55747649</v>
      </c>
      <c r="C79">
        <v>55747881</v>
      </c>
      <c r="D79">
        <v>54702434</v>
      </c>
      <c r="E79">
        <v>1081</v>
      </c>
      <c r="F79">
        <v>1</v>
      </c>
      <c r="G79">
        <v>1081</v>
      </c>
      <c r="H79">
        <v>1</v>
      </c>
      <c r="I79" t="s">
        <v>473</v>
      </c>
      <c r="J79" t="s">
        <v>3</v>
      </c>
      <c r="K79" t="s">
        <v>474</v>
      </c>
      <c r="L79">
        <v>1191</v>
      </c>
      <c r="N79">
        <v>1013</v>
      </c>
      <c r="O79" t="s">
        <v>475</v>
      </c>
      <c r="P79" t="s">
        <v>475</v>
      </c>
      <c r="Q79">
        <v>1</v>
      </c>
      <c r="W79">
        <v>0</v>
      </c>
      <c r="X79">
        <v>476480486</v>
      </c>
      <c r="Y79">
        <f t="shared" ref="Y79:Y94" si="29">AT79</f>
        <v>3.63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3.63</v>
      </c>
      <c r="AU79" t="s">
        <v>3</v>
      </c>
      <c r="AV79">
        <v>1</v>
      </c>
      <c r="AW79">
        <v>2</v>
      </c>
      <c r="AX79">
        <v>55747890</v>
      </c>
      <c r="AY79">
        <v>1</v>
      </c>
      <c r="AZ79">
        <v>0</v>
      </c>
      <c r="BA79">
        <v>91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ROUND(AT79*Source!I38*AH79*AL79,2)</f>
        <v>0</v>
      </c>
      <c r="CV79">
        <f>ROUND(Y79*Source!I38,9)</f>
        <v>3.63</v>
      </c>
      <c r="CW79">
        <v>0</v>
      </c>
      <c r="CX79">
        <f>ROUND(Y79*Source!I38,9)</f>
        <v>3.63</v>
      </c>
      <c r="CY79">
        <f>AD79</f>
        <v>0</v>
      </c>
      <c r="CZ79">
        <f>AH79</f>
        <v>0</v>
      </c>
      <c r="DA79">
        <f>AL79</f>
        <v>1</v>
      </c>
      <c r="DB79">
        <f t="shared" ref="DB79:DB94" si="30">ROUND(ROUND(AT79*CZ79,2),6)</f>
        <v>0</v>
      </c>
      <c r="DC79">
        <f t="shared" ref="DC79:DC94" si="31">ROUND(ROUND(AT79*AG79,2),6)</f>
        <v>0</v>
      </c>
      <c r="DD79" t="s">
        <v>3</v>
      </c>
      <c r="DE79" t="s">
        <v>3</v>
      </c>
      <c r="DF79">
        <f t="shared" si="28"/>
        <v>0</v>
      </c>
      <c r="DG79">
        <f t="shared" si="26"/>
        <v>0</v>
      </c>
      <c r="DH79">
        <f t="shared" si="27"/>
        <v>0</v>
      </c>
      <c r="DI79">
        <f t="shared" si="25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ROW(Source!A38)</f>
        <v>38</v>
      </c>
      <c r="B80">
        <v>55747649</v>
      </c>
      <c r="C80">
        <v>55747881</v>
      </c>
      <c r="D80">
        <v>54767994</v>
      </c>
      <c r="E80">
        <v>1</v>
      </c>
      <c r="F80">
        <v>1</v>
      </c>
      <c r="G80">
        <v>1081</v>
      </c>
      <c r="H80">
        <v>2</v>
      </c>
      <c r="I80" t="s">
        <v>535</v>
      </c>
      <c r="J80" t="s">
        <v>536</v>
      </c>
      <c r="K80" t="s">
        <v>537</v>
      </c>
      <c r="L80">
        <v>1368</v>
      </c>
      <c r="N80">
        <v>1011</v>
      </c>
      <c r="O80" t="s">
        <v>479</v>
      </c>
      <c r="P80" t="s">
        <v>479</v>
      </c>
      <c r="Q80">
        <v>1</v>
      </c>
      <c r="W80">
        <v>0</v>
      </c>
      <c r="X80">
        <v>-286665822</v>
      </c>
      <c r="Y80">
        <f t="shared" si="29"/>
        <v>0.4</v>
      </c>
      <c r="AA80">
        <v>0</v>
      </c>
      <c r="AB80">
        <v>6.17</v>
      </c>
      <c r="AC80">
        <v>0</v>
      </c>
      <c r="AD80">
        <v>0</v>
      </c>
      <c r="AE80">
        <v>0</v>
      </c>
      <c r="AF80">
        <v>5.78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0.4</v>
      </c>
      <c r="AU80" t="s">
        <v>3</v>
      </c>
      <c r="AV80">
        <v>0</v>
      </c>
      <c r="AW80">
        <v>2</v>
      </c>
      <c r="AX80">
        <v>55747891</v>
      </c>
      <c r="AY80">
        <v>1</v>
      </c>
      <c r="AZ80">
        <v>0</v>
      </c>
      <c r="BA80">
        <v>92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ROUND(Y80*Source!I38*DO80,9)</f>
        <v>0</v>
      </c>
      <c r="CX80">
        <f>ROUND(Y80*Source!I38,9)</f>
        <v>0.4</v>
      </c>
      <c r="CY80">
        <f>AB80</f>
        <v>6.17</v>
      </c>
      <c r="CZ80">
        <f>AF80</f>
        <v>5.78</v>
      </c>
      <c r="DA80">
        <f>AJ80</f>
        <v>1</v>
      </c>
      <c r="DB80">
        <f t="shared" si="30"/>
        <v>2.31</v>
      </c>
      <c r="DC80">
        <f t="shared" si="31"/>
        <v>0</v>
      </c>
      <c r="DD80" t="s">
        <v>3</v>
      </c>
      <c r="DE80" t="s">
        <v>3</v>
      </c>
      <c r="DF80">
        <f t="shared" si="28"/>
        <v>0</v>
      </c>
      <c r="DG80">
        <f t="shared" si="26"/>
        <v>2.31</v>
      </c>
      <c r="DH80">
        <f t="shared" si="27"/>
        <v>0</v>
      </c>
      <c r="DI80">
        <f t="shared" si="25"/>
        <v>0</v>
      </c>
      <c r="DJ80">
        <f>DG80</f>
        <v>2.31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ROW(Source!A38)</f>
        <v>38</v>
      </c>
      <c r="B81">
        <v>55747649</v>
      </c>
      <c r="C81">
        <v>55747881</v>
      </c>
      <c r="D81">
        <v>54768339</v>
      </c>
      <c r="E81">
        <v>1</v>
      </c>
      <c r="F81">
        <v>1</v>
      </c>
      <c r="G81">
        <v>1081</v>
      </c>
      <c r="H81">
        <v>2</v>
      </c>
      <c r="I81" t="s">
        <v>483</v>
      </c>
      <c r="J81" t="s">
        <v>484</v>
      </c>
      <c r="K81" t="s">
        <v>485</v>
      </c>
      <c r="L81">
        <v>1368</v>
      </c>
      <c r="N81">
        <v>1011</v>
      </c>
      <c r="O81" t="s">
        <v>479</v>
      </c>
      <c r="P81" t="s">
        <v>479</v>
      </c>
      <c r="Q81">
        <v>1</v>
      </c>
      <c r="W81">
        <v>0</v>
      </c>
      <c r="X81">
        <v>874612079</v>
      </c>
      <c r="Y81">
        <f t="shared" si="29"/>
        <v>0.02</v>
      </c>
      <c r="AA81">
        <v>0</v>
      </c>
      <c r="AB81">
        <v>88.67</v>
      </c>
      <c r="AC81">
        <v>13.47</v>
      </c>
      <c r="AD81">
        <v>0</v>
      </c>
      <c r="AE81">
        <v>0</v>
      </c>
      <c r="AF81">
        <v>83.1</v>
      </c>
      <c r="AG81">
        <v>12.62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0.02</v>
      </c>
      <c r="AU81" t="s">
        <v>3</v>
      </c>
      <c r="AV81">
        <v>0</v>
      </c>
      <c r="AW81">
        <v>2</v>
      </c>
      <c r="AX81">
        <v>55747892</v>
      </c>
      <c r="AY81">
        <v>1</v>
      </c>
      <c r="AZ81">
        <v>0</v>
      </c>
      <c r="BA81">
        <v>93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ROUND(Y81*Source!I38*DO81,9)</f>
        <v>0.25240000000000001</v>
      </c>
      <c r="CX81">
        <f>ROUND(Y81*Source!I38,9)</f>
        <v>0.02</v>
      </c>
      <c r="CY81">
        <f>AB81</f>
        <v>88.67</v>
      </c>
      <c r="CZ81">
        <f>AF81</f>
        <v>83.1</v>
      </c>
      <c r="DA81">
        <f>AJ81</f>
        <v>1</v>
      </c>
      <c r="DB81">
        <f t="shared" si="30"/>
        <v>1.66</v>
      </c>
      <c r="DC81">
        <f t="shared" si="31"/>
        <v>0.25</v>
      </c>
      <c r="DD81" t="s">
        <v>3</v>
      </c>
      <c r="DE81" t="s">
        <v>3</v>
      </c>
      <c r="DF81">
        <f t="shared" si="28"/>
        <v>0</v>
      </c>
      <c r="DG81">
        <f t="shared" si="26"/>
        <v>1.66</v>
      </c>
      <c r="DH81">
        <f t="shared" si="27"/>
        <v>0.25</v>
      </c>
      <c r="DI81">
        <f t="shared" si="25"/>
        <v>0</v>
      </c>
      <c r="DJ81">
        <f>DG81</f>
        <v>1.66</v>
      </c>
      <c r="DK81">
        <v>0</v>
      </c>
      <c r="DL81" t="s">
        <v>486</v>
      </c>
      <c r="DM81">
        <v>0</v>
      </c>
      <c r="DN81" t="s">
        <v>475</v>
      </c>
      <c r="DO81">
        <v>12.62</v>
      </c>
    </row>
    <row r="82" spans="1:119" x14ac:dyDescent="0.2">
      <c r="A82">
        <f>ROW(Source!A38)</f>
        <v>38</v>
      </c>
      <c r="B82">
        <v>55747649</v>
      </c>
      <c r="C82">
        <v>55747881</v>
      </c>
      <c r="D82">
        <v>54767573</v>
      </c>
      <c r="E82">
        <v>1</v>
      </c>
      <c r="F82">
        <v>1</v>
      </c>
      <c r="G82">
        <v>1081</v>
      </c>
      <c r="H82">
        <v>2</v>
      </c>
      <c r="I82" t="s">
        <v>508</v>
      </c>
      <c r="J82" t="s">
        <v>509</v>
      </c>
      <c r="K82" t="s">
        <v>510</v>
      </c>
      <c r="L82">
        <v>1368</v>
      </c>
      <c r="N82">
        <v>1011</v>
      </c>
      <c r="O82" t="s">
        <v>479</v>
      </c>
      <c r="P82" t="s">
        <v>479</v>
      </c>
      <c r="Q82">
        <v>1</v>
      </c>
      <c r="W82">
        <v>0</v>
      </c>
      <c r="X82">
        <v>-44940208</v>
      </c>
      <c r="Y82">
        <f t="shared" si="29"/>
        <v>0.02</v>
      </c>
      <c r="AA82">
        <v>0</v>
      </c>
      <c r="AB82">
        <v>191.17</v>
      </c>
      <c r="AC82">
        <v>18.059999999999999</v>
      </c>
      <c r="AD82">
        <v>0</v>
      </c>
      <c r="AE82">
        <v>0</v>
      </c>
      <c r="AF82">
        <v>179.17</v>
      </c>
      <c r="AG82">
        <v>16.93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0.02</v>
      </c>
      <c r="AU82" t="s">
        <v>3</v>
      </c>
      <c r="AV82">
        <v>0</v>
      </c>
      <c r="AW82">
        <v>2</v>
      </c>
      <c r="AX82">
        <v>55747893</v>
      </c>
      <c r="AY82">
        <v>1</v>
      </c>
      <c r="AZ82">
        <v>0</v>
      </c>
      <c r="BA82">
        <v>94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ROUND(Y82*Source!I38*DO82,9)</f>
        <v>0.33860000000000001</v>
      </c>
      <c r="CX82">
        <f>ROUND(Y82*Source!I38,9)</f>
        <v>0.02</v>
      </c>
      <c r="CY82">
        <f>AB82</f>
        <v>191.17</v>
      </c>
      <c r="CZ82">
        <f>AF82</f>
        <v>179.17</v>
      </c>
      <c r="DA82">
        <f>AJ82</f>
        <v>1</v>
      </c>
      <c r="DB82">
        <f t="shared" si="30"/>
        <v>3.58</v>
      </c>
      <c r="DC82">
        <f t="shared" si="31"/>
        <v>0.34</v>
      </c>
      <c r="DD82" t="s">
        <v>3</v>
      </c>
      <c r="DE82" t="s">
        <v>3</v>
      </c>
      <c r="DF82">
        <f t="shared" si="28"/>
        <v>0</v>
      </c>
      <c r="DG82">
        <f t="shared" si="26"/>
        <v>3.58</v>
      </c>
      <c r="DH82">
        <f t="shared" si="27"/>
        <v>0.34</v>
      </c>
      <c r="DI82">
        <f t="shared" si="25"/>
        <v>0</v>
      </c>
      <c r="DJ82">
        <f>DG82</f>
        <v>3.58</v>
      </c>
      <c r="DK82">
        <v>0</v>
      </c>
      <c r="DL82" t="s">
        <v>486</v>
      </c>
      <c r="DM82">
        <v>0</v>
      </c>
      <c r="DN82" t="s">
        <v>475</v>
      </c>
      <c r="DO82">
        <v>16.93</v>
      </c>
    </row>
    <row r="83" spans="1:119" x14ac:dyDescent="0.2">
      <c r="A83">
        <f>ROW(Source!A38)</f>
        <v>38</v>
      </c>
      <c r="B83">
        <v>55747649</v>
      </c>
      <c r="C83">
        <v>55747881</v>
      </c>
      <c r="D83">
        <v>54737367</v>
      </c>
      <c r="E83">
        <v>1</v>
      </c>
      <c r="F83">
        <v>1</v>
      </c>
      <c r="G83">
        <v>1081</v>
      </c>
      <c r="H83">
        <v>3</v>
      </c>
      <c r="I83" t="s">
        <v>538</v>
      </c>
      <c r="J83" t="s">
        <v>539</v>
      </c>
      <c r="K83" t="s">
        <v>540</v>
      </c>
      <c r="L83">
        <v>1339</v>
      </c>
      <c r="N83">
        <v>1007</v>
      </c>
      <c r="O83" t="s">
        <v>507</v>
      </c>
      <c r="P83" t="s">
        <v>507</v>
      </c>
      <c r="Q83">
        <v>1</v>
      </c>
      <c r="W83">
        <v>0</v>
      </c>
      <c r="X83">
        <v>-1622585150</v>
      </c>
      <c r="Y83">
        <f t="shared" si="29"/>
        <v>0.08</v>
      </c>
      <c r="AA83">
        <v>7.07</v>
      </c>
      <c r="AB83">
        <v>0</v>
      </c>
      <c r="AC83">
        <v>0</v>
      </c>
      <c r="AD83">
        <v>0</v>
      </c>
      <c r="AE83">
        <v>7.07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0.08</v>
      </c>
      <c r="AU83" t="s">
        <v>3</v>
      </c>
      <c r="AV83">
        <v>0</v>
      </c>
      <c r="AW83">
        <v>2</v>
      </c>
      <c r="AX83">
        <v>55747894</v>
      </c>
      <c r="AY83">
        <v>1</v>
      </c>
      <c r="AZ83">
        <v>0</v>
      </c>
      <c r="BA83">
        <v>95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ROUND(Y83*Source!I38,9)</f>
        <v>0.08</v>
      </c>
      <c r="CY83">
        <f>AA83</f>
        <v>7.07</v>
      </c>
      <c r="CZ83">
        <f>AE83</f>
        <v>7.07</v>
      </c>
      <c r="DA83">
        <f>AI83</f>
        <v>1</v>
      </c>
      <c r="DB83">
        <f t="shared" si="30"/>
        <v>0.56999999999999995</v>
      </c>
      <c r="DC83">
        <f t="shared" si="31"/>
        <v>0</v>
      </c>
      <c r="DD83" t="s">
        <v>3</v>
      </c>
      <c r="DE83" t="s">
        <v>3</v>
      </c>
      <c r="DF83">
        <f t="shared" si="28"/>
        <v>0.56999999999999995</v>
      </c>
      <c r="DG83">
        <f t="shared" si="26"/>
        <v>0</v>
      </c>
      <c r="DH83">
        <f t="shared" si="27"/>
        <v>0</v>
      </c>
      <c r="DI83">
        <f t="shared" si="25"/>
        <v>0</v>
      </c>
      <c r="DJ83">
        <f>DF83</f>
        <v>0.56999999999999995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ROW(Source!A38)</f>
        <v>38</v>
      </c>
      <c r="B84">
        <v>55747649</v>
      </c>
      <c r="C84">
        <v>55747881</v>
      </c>
      <c r="D84">
        <v>54739078</v>
      </c>
      <c r="E84">
        <v>1</v>
      </c>
      <c r="F84">
        <v>1</v>
      </c>
      <c r="G84">
        <v>1081</v>
      </c>
      <c r="H84">
        <v>3</v>
      </c>
      <c r="I84" t="s">
        <v>541</v>
      </c>
      <c r="J84" t="s">
        <v>542</v>
      </c>
      <c r="K84" t="s">
        <v>543</v>
      </c>
      <c r="L84">
        <v>1346</v>
      </c>
      <c r="N84">
        <v>1009</v>
      </c>
      <c r="O84" t="s">
        <v>503</v>
      </c>
      <c r="P84" t="s">
        <v>503</v>
      </c>
      <c r="Q84">
        <v>1</v>
      </c>
      <c r="W84">
        <v>0</v>
      </c>
      <c r="X84">
        <v>1021383118</v>
      </c>
      <c r="Y84">
        <f t="shared" si="29"/>
        <v>0.04</v>
      </c>
      <c r="AA84">
        <v>37.979999999999997</v>
      </c>
      <c r="AB84">
        <v>0</v>
      </c>
      <c r="AC84">
        <v>0</v>
      </c>
      <c r="AD84">
        <v>0</v>
      </c>
      <c r="AE84">
        <v>37.979999999999997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0.04</v>
      </c>
      <c r="AU84" t="s">
        <v>3</v>
      </c>
      <c r="AV84">
        <v>0</v>
      </c>
      <c r="AW84">
        <v>2</v>
      </c>
      <c r="AX84">
        <v>55747895</v>
      </c>
      <c r="AY84">
        <v>1</v>
      </c>
      <c r="AZ84">
        <v>0</v>
      </c>
      <c r="BA84">
        <v>96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ROUND(Y84*Source!I38,9)</f>
        <v>0.04</v>
      </c>
      <c r="CY84">
        <f>AA84</f>
        <v>37.979999999999997</v>
      </c>
      <c r="CZ84">
        <f>AE84</f>
        <v>37.979999999999997</v>
      </c>
      <c r="DA84">
        <f>AI84</f>
        <v>1</v>
      </c>
      <c r="DB84">
        <f t="shared" si="30"/>
        <v>1.52</v>
      </c>
      <c r="DC84">
        <f t="shared" si="31"/>
        <v>0</v>
      </c>
      <c r="DD84" t="s">
        <v>3</v>
      </c>
      <c r="DE84" t="s">
        <v>3</v>
      </c>
      <c r="DF84">
        <f t="shared" si="28"/>
        <v>1.52</v>
      </c>
      <c r="DG84">
        <f t="shared" si="26"/>
        <v>0</v>
      </c>
      <c r="DH84">
        <f t="shared" si="27"/>
        <v>0</v>
      </c>
      <c r="DI84">
        <f t="shared" si="25"/>
        <v>0</v>
      </c>
      <c r="DJ84">
        <f>DF84</f>
        <v>1.52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ROW(Source!A38)</f>
        <v>38</v>
      </c>
      <c r="B85">
        <v>55747649</v>
      </c>
      <c r="C85">
        <v>55747881</v>
      </c>
      <c r="D85">
        <v>54737637</v>
      </c>
      <c r="E85">
        <v>1</v>
      </c>
      <c r="F85">
        <v>1</v>
      </c>
      <c r="G85">
        <v>1081</v>
      </c>
      <c r="H85">
        <v>3</v>
      </c>
      <c r="I85" t="s">
        <v>544</v>
      </c>
      <c r="J85" t="s">
        <v>545</v>
      </c>
      <c r="K85" t="s">
        <v>546</v>
      </c>
      <c r="L85">
        <v>1348</v>
      </c>
      <c r="N85">
        <v>1009</v>
      </c>
      <c r="O85" t="s">
        <v>282</v>
      </c>
      <c r="P85" t="s">
        <v>282</v>
      </c>
      <c r="Q85">
        <v>1000</v>
      </c>
      <c r="W85">
        <v>0</v>
      </c>
      <c r="X85">
        <v>1270042986</v>
      </c>
      <c r="Y85">
        <f t="shared" si="29"/>
        <v>8.0000000000000007E-5</v>
      </c>
      <c r="AA85">
        <v>16214.84</v>
      </c>
      <c r="AB85">
        <v>0</v>
      </c>
      <c r="AC85">
        <v>0</v>
      </c>
      <c r="AD85">
        <v>0</v>
      </c>
      <c r="AE85">
        <v>16214.84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8.0000000000000007E-5</v>
      </c>
      <c r="AU85" t="s">
        <v>3</v>
      </c>
      <c r="AV85">
        <v>0</v>
      </c>
      <c r="AW85">
        <v>2</v>
      </c>
      <c r="AX85">
        <v>55747896</v>
      </c>
      <c r="AY85">
        <v>1</v>
      </c>
      <c r="AZ85">
        <v>0</v>
      </c>
      <c r="BA85">
        <v>97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ROUND(Y85*Source!I38,9)</f>
        <v>8.0000000000000007E-5</v>
      </c>
      <c r="CY85">
        <f>AA85</f>
        <v>16214.84</v>
      </c>
      <c r="CZ85">
        <f>AE85</f>
        <v>16214.84</v>
      </c>
      <c r="DA85">
        <f>AI85</f>
        <v>1</v>
      </c>
      <c r="DB85">
        <f t="shared" si="30"/>
        <v>1.3</v>
      </c>
      <c r="DC85">
        <f t="shared" si="31"/>
        <v>0</v>
      </c>
      <c r="DD85" t="s">
        <v>3</v>
      </c>
      <c r="DE85" t="s">
        <v>3</v>
      </c>
      <c r="DF85">
        <f t="shared" si="28"/>
        <v>1.3</v>
      </c>
      <c r="DG85">
        <f t="shared" si="26"/>
        <v>0</v>
      </c>
      <c r="DH85">
        <f t="shared" si="27"/>
        <v>0</v>
      </c>
      <c r="DI85">
        <f t="shared" si="25"/>
        <v>0</v>
      </c>
      <c r="DJ85">
        <f>DF85</f>
        <v>1.3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ROW(Source!A38)</f>
        <v>38</v>
      </c>
      <c r="B86">
        <v>55747649</v>
      </c>
      <c r="C86">
        <v>55747881</v>
      </c>
      <c r="D86">
        <v>54737805</v>
      </c>
      <c r="E86">
        <v>1</v>
      </c>
      <c r="F86">
        <v>1</v>
      </c>
      <c r="G86">
        <v>1081</v>
      </c>
      <c r="H86">
        <v>3</v>
      </c>
      <c r="I86" t="s">
        <v>547</v>
      </c>
      <c r="J86" t="s">
        <v>548</v>
      </c>
      <c r="K86" t="s">
        <v>549</v>
      </c>
      <c r="L86">
        <v>1346</v>
      </c>
      <c r="N86">
        <v>1009</v>
      </c>
      <c r="O86" t="s">
        <v>503</v>
      </c>
      <c r="P86" t="s">
        <v>503</v>
      </c>
      <c r="Q86">
        <v>1</v>
      </c>
      <c r="W86">
        <v>0</v>
      </c>
      <c r="X86">
        <v>488689173</v>
      </c>
      <c r="Y86">
        <f t="shared" si="29"/>
        <v>0.04</v>
      </c>
      <c r="AA86">
        <v>20.190000000000001</v>
      </c>
      <c r="AB86">
        <v>0</v>
      </c>
      <c r="AC86">
        <v>0</v>
      </c>
      <c r="AD86">
        <v>0</v>
      </c>
      <c r="AE86">
        <v>20.190000000000001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0.04</v>
      </c>
      <c r="AU86" t="s">
        <v>3</v>
      </c>
      <c r="AV86">
        <v>0</v>
      </c>
      <c r="AW86">
        <v>2</v>
      </c>
      <c r="AX86">
        <v>55747897</v>
      </c>
      <c r="AY86">
        <v>1</v>
      </c>
      <c r="AZ86">
        <v>0</v>
      </c>
      <c r="BA86">
        <v>98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ROUND(Y86*Source!I38,9)</f>
        <v>0.04</v>
      </c>
      <c r="CY86">
        <f>AA86</f>
        <v>20.190000000000001</v>
      </c>
      <c r="CZ86">
        <f>AE86</f>
        <v>20.190000000000001</v>
      </c>
      <c r="DA86">
        <f>AI86</f>
        <v>1</v>
      </c>
      <c r="DB86">
        <f t="shared" si="30"/>
        <v>0.81</v>
      </c>
      <c r="DC86">
        <f t="shared" si="31"/>
        <v>0</v>
      </c>
      <c r="DD86" t="s">
        <v>3</v>
      </c>
      <c r="DE86" t="s">
        <v>3</v>
      </c>
      <c r="DF86">
        <f t="shared" si="28"/>
        <v>0.81</v>
      </c>
      <c r="DG86">
        <f t="shared" si="26"/>
        <v>0</v>
      </c>
      <c r="DH86">
        <f t="shared" si="27"/>
        <v>0</v>
      </c>
      <c r="DI86">
        <f t="shared" si="25"/>
        <v>0</v>
      </c>
      <c r="DJ86">
        <f>DF86</f>
        <v>0.81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ROW(Source!A39)</f>
        <v>39</v>
      </c>
      <c r="B87">
        <v>55747651</v>
      </c>
      <c r="C87">
        <v>55747881</v>
      </c>
      <c r="D87">
        <v>54702434</v>
      </c>
      <c r="E87">
        <v>1081</v>
      </c>
      <c r="F87">
        <v>1</v>
      </c>
      <c r="G87">
        <v>1081</v>
      </c>
      <c r="H87">
        <v>1</v>
      </c>
      <c r="I87" t="s">
        <v>473</v>
      </c>
      <c r="J87" t="s">
        <v>3</v>
      </c>
      <c r="K87" t="s">
        <v>474</v>
      </c>
      <c r="L87">
        <v>1191</v>
      </c>
      <c r="N87">
        <v>1013</v>
      </c>
      <c r="O87" t="s">
        <v>475</v>
      </c>
      <c r="P87" t="s">
        <v>475</v>
      </c>
      <c r="Q87">
        <v>1</v>
      </c>
      <c r="W87">
        <v>0</v>
      </c>
      <c r="X87">
        <v>476480486</v>
      </c>
      <c r="Y87">
        <f t="shared" si="29"/>
        <v>3.63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3.63</v>
      </c>
      <c r="AU87" t="s">
        <v>3</v>
      </c>
      <c r="AV87">
        <v>1</v>
      </c>
      <c r="AW87">
        <v>2</v>
      </c>
      <c r="AX87">
        <v>55747890</v>
      </c>
      <c r="AY87">
        <v>1</v>
      </c>
      <c r="AZ87">
        <v>0</v>
      </c>
      <c r="BA87">
        <v>100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ROUND(AT87*Source!I39*AH87*AL87,2)</f>
        <v>0</v>
      </c>
      <c r="CV87">
        <f>ROUND(Y87*Source!I39,9)</f>
        <v>3.63</v>
      </c>
      <c r="CW87">
        <v>0</v>
      </c>
      <c r="CX87">
        <f>ROUND(Y87*Source!I39,9)</f>
        <v>3.63</v>
      </c>
      <c r="CY87">
        <f>AD87</f>
        <v>0</v>
      </c>
      <c r="CZ87">
        <f>AH87</f>
        <v>0</v>
      </c>
      <c r="DA87">
        <f>AL87</f>
        <v>1</v>
      </c>
      <c r="DB87">
        <f t="shared" si="30"/>
        <v>0</v>
      </c>
      <c r="DC87">
        <f t="shared" si="31"/>
        <v>0</v>
      </c>
      <c r="DD87" t="s">
        <v>3</v>
      </c>
      <c r="DE87" t="s">
        <v>3</v>
      </c>
      <c r="DF87">
        <f t="shared" si="28"/>
        <v>0</v>
      </c>
      <c r="DG87">
        <f t="shared" si="26"/>
        <v>0</v>
      </c>
      <c r="DH87">
        <f t="shared" si="27"/>
        <v>0</v>
      </c>
      <c r="DI87">
        <f t="shared" si="25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ROW(Source!A39)</f>
        <v>39</v>
      </c>
      <c r="B88">
        <v>55747651</v>
      </c>
      <c r="C88">
        <v>55747881</v>
      </c>
      <c r="D88">
        <v>54767994</v>
      </c>
      <c r="E88">
        <v>1</v>
      </c>
      <c r="F88">
        <v>1</v>
      </c>
      <c r="G88">
        <v>1081</v>
      </c>
      <c r="H88">
        <v>2</v>
      </c>
      <c r="I88" t="s">
        <v>535</v>
      </c>
      <c r="J88" t="s">
        <v>536</v>
      </c>
      <c r="K88" t="s">
        <v>537</v>
      </c>
      <c r="L88">
        <v>1368</v>
      </c>
      <c r="N88">
        <v>1011</v>
      </c>
      <c r="O88" t="s">
        <v>479</v>
      </c>
      <c r="P88" t="s">
        <v>479</v>
      </c>
      <c r="Q88">
        <v>1</v>
      </c>
      <c r="W88">
        <v>0</v>
      </c>
      <c r="X88">
        <v>-286665822</v>
      </c>
      <c r="Y88">
        <f t="shared" si="29"/>
        <v>0.4</v>
      </c>
      <c r="AA88">
        <v>0</v>
      </c>
      <c r="AB88">
        <v>71.790000000000006</v>
      </c>
      <c r="AC88">
        <v>0</v>
      </c>
      <c r="AD88">
        <v>0</v>
      </c>
      <c r="AE88">
        <v>0</v>
      </c>
      <c r="AF88">
        <v>5.78</v>
      </c>
      <c r="AG88">
        <v>0</v>
      </c>
      <c r="AH88">
        <v>0</v>
      </c>
      <c r="AI88">
        <v>1</v>
      </c>
      <c r="AJ88">
        <v>11.64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0.4</v>
      </c>
      <c r="AU88" t="s">
        <v>3</v>
      </c>
      <c r="AV88">
        <v>0</v>
      </c>
      <c r="AW88">
        <v>2</v>
      </c>
      <c r="AX88">
        <v>55747891</v>
      </c>
      <c r="AY88">
        <v>1</v>
      </c>
      <c r="AZ88">
        <v>0</v>
      </c>
      <c r="BA88">
        <v>101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ROUND(Y88*Source!I39*DO88,9)</f>
        <v>0</v>
      </c>
      <c r="CX88">
        <f>ROUND(Y88*Source!I39,9)</f>
        <v>0.4</v>
      </c>
      <c r="CY88">
        <f>AB88</f>
        <v>71.790000000000006</v>
      </c>
      <c r="CZ88">
        <f>AF88</f>
        <v>5.78</v>
      </c>
      <c r="DA88">
        <f>AJ88</f>
        <v>11.64</v>
      </c>
      <c r="DB88">
        <f t="shared" si="30"/>
        <v>2.31</v>
      </c>
      <c r="DC88">
        <f t="shared" si="31"/>
        <v>0</v>
      </c>
      <c r="DD88" t="s">
        <v>3</v>
      </c>
      <c r="DE88" t="s">
        <v>3</v>
      </c>
      <c r="DF88">
        <f t="shared" si="28"/>
        <v>0</v>
      </c>
      <c r="DG88">
        <f>ROUND(ROUND(AF88*AJ88,2)*CX88,2)</f>
        <v>26.91</v>
      </c>
      <c r="DH88">
        <f t="shared" si="27"/>
        <v>0</v>
      </c>
      <c r="DI88">
        <f t="shared" si="25"/>
        <v>0</v>
      </c>
      <c r="DJ88">
        <f>DG88</f>
        <v>26.91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ROW(Source!A39)</f>
        <v>39</v>
      </c>
      <c r="B89">
        <v>55747651</v>
      </c>
      <c r="C89">
        <v>55747881</v>
      </c>
      <c r="D89">
        <v>54768339</v>
      </c>
      <c r="E89">
        <v>1</v>
      </c>
      <c r="F89">
        <v>1</v>
      </c>
      <c r="G89">
        <v>1081</v>
      </c>
      <c r="H89">
        <v>2</v>
      </c>
      <c r="I89" t="s">
        <v>483</v>
      </c>
      <c r="J89" t="s">
        <v>484</v>
      </c>
      <c r="K89" t="s">
        <v>485</v>
      </c>
      <c r="L89">
        <v>1368</v>
      </c>
      <c r="N89">
        <v>1011</v>
      </c>
      <c r="O89" t="s">
        <v>479</v>
      </c>
      <c r="P89" t="s">
        <v>479</v>
      </c>
      <c r="Q89">
        <v>1</v>
      </c>
      <c r="W89">
        <v>0</v>
      </c>
      <c r="X89">
        <v>874612079</v>
      </c>
      <c r="Y89">
        <f t="shared" si="29"/>
        <v>0.02</v>
      </c>
      <c r="AA89">
        <v>0</v>
      </c>
      <c r="AB89">
        <v>1513.56</v>
      </c>
      <c r="AC89">
        <v>758.78</v>
      </c>
      <c r="AD89">
        <v>0</v>
      </c>
      <c r="AE89">
        <v>0</v>
      </c>
      <c r="AF89">
        <v>83.1</v>
      </c>
      <c r="AG89">
        <v>12.62</v>
      </c>
      <c r="AH89">
        <v>0</v>
      </c>
      <c r="AI89">
        <v>1</v>
      </c>
      <c r="AJ89">
        <v>17.07</v>
      </c>
      <c r="AK89">
        <v>56.35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0.02</v>
      </c>
      <c r="AU89" t="s">
        <v>3</v>
      </c>
      <c r="AV89">
        <v>0</v>
      </c>
      <c r="AW89">
        <v>2</v>
      </c>
      <c r="AX89">
        <v>55747892</v>
      </c>
      <c r="AY89">
        <v>1</v>
      </c>
      <c r="AZ89">
        <v>0</v>
      </c>
      <c r="BA89">
        <v>102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ROUND(Y89*Source!I39*DO89,9)</f>
        <v>0.25240000000000001</v>
      </c>
      <c r="CX89">
        <f>ROUND(Y89*Source!I39,9)</f>
        <v>0.02</v>
      </c>
      <c r="CY89">
        <f>AB89</f>
        <v>1513.56</v>
      </c>
      <c r="CZ89">
        <f>AF89</f>
        <v>83.1</v>
      </c>
      <c r="DA89">
        <f>AJ89</f>
        <v>17.07</v>
      </c>
      <c r="DB89">
        <f t="shared" si="30"/>
        <v>1.66</v>
      </c>
      <c r="DC89">
        <f t="shared" si="31"/>
        <v>0.25</v>
      </c>
      <c r="DD89" t="s">
        <v>3</v>
      </c>
      <c r="DE89" t="s">
        <v>3</v>
      </c>
      <c r="DF89">
        <f t="shared" si="28"/>
        <v>0</v>
      </c>
      <c r="DG89">
        <f>ROUND(ROUND(AF89*AJ89,2)*CX89,2)</f>
        <v>28.37</v>
      </c>
      <c r="DH89">
        <f>ROUND(ROUND(AG89*AK89,2)*CX89,2)</f>
        <v>14.22</v>
      </c>
      <c r="DI89">
        <f t="shared" si="25"/>
        <v>0</v>
      </c>
      <c r="DJ89">
        <f>DG89</f>
        <v>28.37</v>
      </c>
      <c r="DK89">
        <v>0</v>
      </c>
      <c r="DL89" t="s">
        <v>486</v>
      </c>
      <c r="DM89">
        <v>0</v>
      </c>
      <c r="DN89" t="s">
        <v>475</v>
      </c>
      <c r="DO89">
        <v>12.62</v>
      </c>
    </row>
    <row r="90" spans="1:119" x14ac:dyDescent="0.2">
      <c r="A90">
        <f>ROW(Source!A39)</f>
        <v>39</v>
      </c>
      <c r="B90">
        <v>55747651</v>
      </c>
      <c r="C90">
        <v>55747881</v>
      </c>
      <c r="D90">
        <v>54767573</v>
      </c>
      <c r="E90">
        <v>1</v>
      </c>
      <c r="F90">
        <v>1</v>
      </c>
      <c r="G90">
        <v>1081</v>
      </c>
      <c r="H90">
        <v>2</v>
      </c>
      <c r="I90" t="s">
        <v>508</v>
      </c>
      <c r="J90" t="s">
        <v>509</v>
      </c>
      <c r="K90" t="s">
        <v>510</v>
      </c>
      <c r="L90">
        <v>1368</v>
      </c>
      <c r="N90">
        <v>1011</v>
      </c>
      <c r="O90" t="s">
        <v>479</v>
      </c>
      <c r="P90" t="s">
        <v>479</v>
      </c>
      <c r="Q90">
        <v>1</v>
      </c>
      <c r="W90">
        <v>0</v>
      </c>
      <c r="X90">
        <v>-44940208</v>
      </c>
      <c r="Y90">
        <f t="shared" si="29"/>
        <v>0.02</v>
      </c>
      <c r="AA90">
        <v>0</v>
      </c>
      <c r="AB90">
        <v>2758.65</v>
      </c>
      <c r="AC90">
        <v>1017.92</v>
      </c>
      <c r="AD90">
        <v>0</v>
      </c>
      <c r="AE90">
        <v>0</v>
      </c>
      <c r="AF90">
        <v>179.17</v>
      </c>
      <c r="AG90">
        <v>16.93</v>
      </c>
      <c r="AH90">
        <v>0</v>
      </c>
      <c r="AI90">
        <v>1</v>
      </c>
      <c r="AJ90">
        <v>14.43</v>
      </c>
      <c r="AK90">
        <v>56.35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0.02</v>
      </c>
      <c r="AU90" t="s">
        <v>3</v>
      </c>
      <c r="AV90">
        <v>0</v>
      </c>
      <c r="AW90">
        <v>2</v>
      </c>
      <c r="AX90">
        <v>55747893</v>
      </c>
      <c r="AY90">
        <v>1</v>
      </c>
      <c r="AZ90">
        <v>0</v>
      </c>
      <c r="BA90">
        <v>103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ROUND(Y90*Source!I39*DO90,9)</f>
        <v>0.33860000000000001</v>
      </c>
      <c r="CX90">
        <f>ROUND(Y90*Source!I39,9)</f>
        <v>0.02</v>
      </c>
      <c r="CY90">
        <f>AB90</f>
        <v>2758.65</v>
      </c>
      <c r="CZ90">
        <f>AF90</f>
        <v>179.17</v>
      </c>
      <c r="DA90">
        <f>AJ90</f>
        <v>14.43</v>
      </c>
      <c r="DB90">
        <f t="shared" si="30"/>
        <v>3.58</v>
      </c>
      <c r="DC90">
        <f t="shared" si="31"/>
        <v>0.34</v>
      </c>
      <c r="DD90" t="s">
        <v>3</v>
      </c>
      <c r="DE90" t="s">
        <v>3</v>
      </c>
      <c r="DF90">
        <f t="shared" si="28"/>
        <v>0</v>
      </c>
      <c r="DG90">
        <f>ROUND(ROUND(AF90*AJ90,2)*CX90,2)</f>
        <v>51.71</v>
      </c>
      <c r="DH90">
        <f>ROUND(ROUND(AG90*AK90,2)*CX90,2)</f>
        <v>19.079999999999998</v>
      </c>
      <c r="DI90">
        <f t="shared" si="25"/>
        <v>0</v>
      </c>
      <c r="DJ90">
        <f>DG90</f>
        <v>51.71</v>
      </c>
      <c r="DK90">
        <v>0</v>
      </c>
      <c r="DL90" t="s">
        <v>486</v>
      </c>
      <c r="DM90">
        <v>0</v>
      </c>
      <c r="DN90" t="s">
        <v>475</v>
      </c>
      <c r="DO90">
        <v>16.93</v>
      </c>
    </row>
    <row r="91" spans="1:119" x14ac:dyDescent="0.2">
      <c r="A91">
        <f>ROW(Source!A39)</f>
        <v>39</v>
      </c>
      <c r="B91">
        <v>55747651</v>
      </c>
      <c r="C91">
        <v>55747881</v>
      </c>
      <c r="D91">
        <v>54737367</v>
      </c>
      <c r="E91">
        <v>1</v>
      </c>
      <c r="F91">
        <v>1</v>
      </c>
      <c r="G91">
        <v>1081</v>
      </c>
      <c r="H91">
        <v>3</v>
      </c>
      <c r="I91" t="s">
        <v>538</v>
      </c>
      <c r="J91" t="s">
        <v>539</v>
      </c>
      <c r="K91" t="s">
        <v>540</v>
      </c>
      <c r="L91">
        <v>1339</v>
      </c>
      <c r="N91">
        <v>1007</v>
      </c>
      <c r="O91" t="s">
        <v>507</v>
      </c>
      <c r="P91" t="s">
        <v>507</v>
      </c>
      <c r="Q91">
        <v>1</v>
      </c>
      <c r="W91">
        <v>0</v>
      </c>
      <c r="X91">
        <v>-1622585150</v>
      </c>
      <c r="Y91">
        <f t="shared" si="29"/>
        <v>0.08</v>
      </c>
      <c r="AA91">
        <v>54.79</v>
      </c>
      <c r="AB91">
        <v>0</v>
      </c>
      <c r="AC91">
        <v>0</v>
      </c>
      <c r="AD91">
        <v>0</v>
      </c>
      <c r="AE91">
        <v>7.07</v>
      </c>
      <c r="AF91">
        <v>0</v>
      </c>
      <c r="AG91">
        <v>0</v>
      </c>
      <c r="AH91">
        <v>0</v>
      </c>
      <c r="AI91">
        <v>7.75</v>
      </c>
      <c r="AJ91">
        <v>1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0.08</v>
      </c>
      <c r="AU91" t="s">
        <v>3</v>
      </c>
      <c r="AV91">
        <v>0</v>
      </c>
      <c r="AW91">
        <v>2</v>
      </c>
      <c r="AX91">
        <v>55747894</v>
      </c>
      <c r="AY91">
        <v>1</v>
      </c>
      <c r="AZ91">
        <v>0</v>
      </c>
      <c r="BA91">
        <v>104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ROUND(Y91*Source!I39,9)</f>
        <v>0.08</v>
      </c>
      <c r="CY91">
        <f>AA91</f>
        <v>54.79</v>
      </c>
      <c r="CZ91">
        <f>AE91</f>
        <v>7.07</v>
      </c>
      <c r="DA91">
        <f>AI91</f>
        <v>7.75</v>
      </c>
      <c r="DB91">
        <f t="shared" si="30"/>
        <v>0.56999999999999995</v>
      </c>
      <c r="DC91">
        <f t="shared" si="31"/>
        <v>0</v>
      </c>
      <c r="DD91" t="s">
        <v>3</v>
      </c>
      <c r="DE91" t="s">
        <v>3</v>
      </c>
      <c r="DF91">
        <f>ROUND(ROUND(AE91*AI91,2)*CX91,2)</f>
        <v>4.38</v>
      </c>
      <c r="DG91">
        <f t="shared" ref="DG91:DG102" si="32">ROUND(ROUND(AF91,2)*CX91,2)</f>
        <v>0</v>
      </c>
      <c r="DH91">
        <f t="shared" ref="DH91:DH102" si="33">ROUND(ROUND(AG91,2)*CX91,2)</f>
        <v>0</v>
      </c>
      <c r="DI91">
        <f t="shared" si="25"/>
        <v>0</v>
      </c>
      <c r="DJ91">
        <f>DF91</f>
        <v>4.38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ROW(Source!A39)</f>
        <v>39</v>
      </c>
      <c r="B92">
        <v>55747651</v>
      </c>
      <c r="C92">
        <v>55747881</v>
      </c>
      <c r="D92">
        <v>54739078</v>
      </c>
      <c r="E92">
        <v>1</v>
      </c>
      <c r="F92">
        <v>1</v>
      </c>
      <c r="G92">
        <v>1081</v>
      </c>
      <c r="H92">
        <v>3</v>
      </c>
      <c r="I92" t="s">
        <v>541</v>
      </c>
      <c r="J92" t="s">
        <v>542</v>
      </c>
      <c r="K92" t="s">
        <v>543</v>
      </c>
      <c r="L92">
        <v>1346</v>
      </c>
      <c r="N92">
        <v>1009</v>
      </c>
      <c r="O92" t="s">
        <v>503</v>
      </c>
      <c r="P92" t="s">
        <v>503</v>
      </c>
      <c r="Q92">
        <v>1</v>
      </c>
      <c r="W92">
        <v>0</v>
      </c>
      <c r="X92">
        <v>1021383118</v>
      </c>
      <c r="Y92">
        <f t="shared" si="29"/>
        <v>0.04</v>
      </c>
      <c r="AA92">
        <v>315.23</v>
      </c>
      <c r="AB92">
        <v>0</v>
      </c>
      <c r="AC92">
        <v>0</v>
      </c>
      <c r="AD92">
        <v>0</v>
      </c>
      <c r="AE92">
        <v>37.979999999999997</v>
      </c>
      <c r="AF92">
        <v>0</v>
      </c>
      <c r="AG92">
        <v>0</v>
      </c>
      <c r="AH92">
        <v>0</v>
      </c>
      <c r="AI92">
        <v>8.3000000000000007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0.04</v>
      </c>
      <c r="AU92" t="s">
        <v>3</v>
      </c>
      <c r="AV92">
        <v>0</v>
      </c>
      <c r="AW92">
        <v>2</v>
      </c>
      <c r="AX92">
        <v>55747895</v>
      </c>
      <c r="AY92">
        <v>1</v>
      </c>
      <c r="AZ92">
        <v>0</v>
      </c>
      <c r="BA92">
        <v>105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ROUND(Y92*Source!I39,9)</f>
        <v>0.04</v>
      </c>
      <c r="CY92">
        <f>AA92</f>
        <v>315.23</v>
      </c>
      <c r="CZ92">
        <f>AE92</f>
        <v>37.979999999999997</v>
      </c>
      <c r="DA92">
        <f>AI92</f>
        <v>8.3000000000000007</v>
      </c>
      <c r="DB92">
        <f t="shared" si="30"/>
        <v>1.52</v>
      </c>
      <c r="DC92">
        <f t="shared" si="31"/>
        <v>0</v>
      </c>
      <c r="DD92" t="s">
        <v>3</v>
      </c>
      <c r="DE92" t="s">
        <v>3</v>
      </c>
      <c r="DF92">
        <f>ROUND(ROUND(AE92*AI92,2)*CX92,2)</f>
        <v>12.61</v>
      </c>
      <c r="DG92">
        <f t="shared" si="32"/>
        <v>0</v>
      </c>
      <c r="DH92">
        <f t="shared" si="33"/>
        <v>0</v>
      </c>
      <c r="DI92">
        <f t="shared" si="25"/>
        <v>0</v>
      </c>
      <c r="DJ92">
        <f>DF92</f>
        <v>12.61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ROW(Source!A39)</f>
        <v>39</v>
      </c>
      <c r="B93">
        <v>55747651</v>
      </c>
      <c r="C93">
        <v>55747881</v>
      </c>
      <c r="D93">
        <v>54737637</v>
      </c>
      <c r="E93">
        <v>1</v>
      </c>
      <c r="F93">
        <v>1</v>
      </c>
      <c r="G93">
        <v>1081</v>
      </c>
      <c r="H93">
        <v>3</v>
      </c>
      <c r="I93" t="s">
        <v>544</v>
      </c>
      <c r="J93" t="s">
        <v>545</v>
      </c>
      <c r="K93" t="s">
        <v>546</v>
      </c>
      <c r="L93">
        <v>1348</v>
      </c>
      <c r="N93">
        <v>1009</v>
      </c>
      <c r="O93" t="s">
        <v>282</v>
      </c>
      <c r="P93" t="s">
        <v>282</v>
      </c>
      <c r="Q93">
        <v>1000</v>
      </c>
      <c r="W93">
        <v>0</v>
      </c>
      <c r="X93">
        <v>1270042986</v>
      </c>
      <c r="Y93">
        <f t="shared" si="29"/>
        <v>8.0000000000000007E-5</v>
      </c>
      <c r="AA93">
        <v>55941.2</v>
      </c>
      <c r="AB93">
        <v>0</v>
      </c>
      <c r="AC93">
        <v>0</v>
      </c>
      <c r="AD93">
        <v>0</v>
      </c>
      <c r="AE93">
        <v>16214.84</v>
      </c>
      <c r="AF93">
        <v>0</v>
      </c>
      <c r="AG93">
        <v>0</v>
      </c>
      <c r="AH93">
        <v>0</v>
      </c>
      <c r="AI93">
        <v>3.45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8.0000000000000007E-5</v>
      </c>
      <c r="AU93" t="s">
        <v>3</v>
      </c>
      <c r="AV93">
        <v>0</v>
      </c>
      <c r="AW93">
        <v>2</v>
      </c>
      <c r="AX93">
        <v>55747896</v>
      </c>
      <c r="AY93">
        <v>1</v>
      </c>
      <c r="AZ93">
        <v>0</v>
      </c>
      <c r="BA93">
        <v>106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ROUND(Y93*Source!I39,9)</f>
        <v>8.0000000000000007E-5</v>
      </c>
      <c r="CY93">
        <f>AA93</f>
        <v>55941.2</v>
      </c>
      <c r="CZ93">
        <f>AE93</f>
        <v>16214.84</v>
      </c>
      <c r="DA93">
        <f>AI93</f>
        <v>3.45</v>
      </c>
      <c r="DB93">
        <f t="shared" si="30"/>
        <v>1.3</v>
      </c>
      <c r="DC93">
        <f t="shared" si="31"/>
        <v>0</v>
      </c>
      <c r="DD93" t="s">
        <v>3</v>
      </c>
      <c r="DE93" t="s">
        <v>3</v>
      </c>
      <c r="DF93">
        <f>ROUND(ROUND(AE93*AI93,2)*CX93,2)</f>
        <v>4.4800000000000004</v>
      </c>
      <c r="DG93">
        <f t="shared" si="32"/>
        <v>0</v>
      </c>
      <c r="DH93">
        <f t="shared" si="33"/>
        <v>0</v>
      </c>
      <c r="DI93">
        <f t="shared" si="25"/>
        <v>0</v>
      </c>
      <c r="DJ93">
        <f>DF93</f>
        <v>4.4800000000000004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ROW(Source!A39)</f>
        <v>39</v>
      </c>
      <c r="B94">
        <v>55747651</v>
      </c>
      <c r="C94">
        <v>55747881</v>
      </c>
      <c r="D94">
        <v>54737805</v>
      </c>
      <c r="E94">
        <v>1</v>
      </c>
      <c r="F94">
        <v>1</v>
      </c>
      <c r="G94">
        <v>1081</v>
      </c>
      <c r="H94">
        <v>3</v>
      </c>
      <c r="I94" t="s">
        <v>547</v>
      </c>
      <c r="J94" t="s">
        <v>548</v>
      </c>
      <c r="K94" t="s">
        <v>549</v>
      </c>
      <c r="L94">
        <v>1346</v>
      </c>
      <c r="N94">
        <v>1009</v>
      </c>
      <c r="O94" t="s">
        <v>503</v>
      </c>
      <c r="P94" t="s">
        <v>503</v>
      </c>
      <c r="Q94">
        <v>1</v>
      </c>
      <c r="W94">
        <v>0</v>
      </c>
      <c r="X94">
        <v>488689173</v>
      </c>
      <c r="Y94">
        <f t="shared" si="29"/>
        <v>0.04</v>
      </c>
      <c r="AA94">
        <v>85.81</v>
      </c>
      <c r="AB94">
        <v>0</v>
      </c>
      <c r="AC94">
        <v>0</v>
      </c>
      <c r="AD94">
        <v>0</v>
      </c>
      <c r="AE94">
        <v>20.190000000000001</v>
      </c>
      <c r="AF94">
        <v>0</v>
      </c>
      <c r="AG94">
        <v>0</v>
      </c>
      <c r="AH94">
        <v>0</v>
      </c>
      <c r="AI94">
        <v>4.25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0.04</v>
      </c>
      <c r="AU94" t="s">
        <v>3</v>
      </c>
      <c r="AV94">
        <v>0</v>
      </c>
      <c r="AW94">
        <v>2</v>
      </c>
      <c r="AX94">
        <v>55747897</v>
      </c>
      <c r="AY94">
        <v>1</v>
      </c>
      <c r="AZ94">
        <v>0</v>
      </c>
      <c r="BA94">
        <v>107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ROUND(Y94*Source!I39,9)</f>
        <v>0.04</v>
      </c>
      <c r="CY94">
        <f>AA94</f>
        <v>85.81</v>
      </c>
      <c r="CZ94">
        <f>AE94</f>
        <v>20.190000000000001</v>
      </c>
      <c r="DA94">
        <f>AI94</f>
        <v>4.25</v>
      </c>
      <c r="DB94">
        <f t="shared" si="30"/>
        <v>0.81</v>
      </c>
      <c r="DC94">
        <f t="shared" si="31"/>
        <v>0</v>
      </c>
      <c r="DD94" t="s">
        <v>3</v>
      </c>
      <c r="DE94" t="s">
        <v>3</v>
      </c>
      <c r="DF94">
        <f>ROUND(ROUND(AE94*AI94,2)*CX94,2)</f>
        <v>3.43</v>
      </c>
      <c r="DG94">
        <f t="shared" si="32"/>
        <v>0</v>
      </c>
      <c r="DH94">
        <f t="shared" si="33"/>
        <v>0</v>
      </c>
      <c r="DI94">
        <f t="shared" si="25"/>
        <v>0</v>
      </c>
      <c r="DJ94">
        <f>DF94</f>
        <v>3.43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ROW(Source!A40)</f>
        <v>40</v>
      </c>
      <c r="B95">
        <v>55747649</v>
      </c>
      <c r="C95">
        <v>55747899</v>
      </c>
      <c r="D95">
        <v>54702434</v>
      </c>
      <c r="E95">
        <v>1081</v>
      </c>
      <c r="F95">
        <v>1</v>
      </c>
      <c r="G95">
        <v>1081</v>
      </c>
      <c r="H95">
        <v>1</v>
      </c>
      <c r="I95" t="s">
        <v>473</v>
      </c>
      <c r="J95" t="s">
        <v>3</v>
      </c>
      <c r="K95" t="s">
        <v>474</v>
      </c>
      <c r="L95">
        <v>1191</v>
      </c>
      <c r="N95">
        <v>1013</v>
      </c>
      <c r="O95" t="s">
        <v>475</v>
      </c>
      <c r="P95" t="s">
        <v>475</v>
      </c>
      <c r="Q95">
        <v>1</v>
      </c>
      <c r="W95">
        <v>0</v>
      </c>
      <c r="X95">
        <v>476480486</v>
      </c>
      <c r="Y95">
        <f>(AT95*1.2)</f>
        <v>2.472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2.06</v>
      </c>
      <c r="AU95" t="s">
        <v>49</v>
      </c>
      <c r="AV95">
        <v>1</v>
      </c>
      <c r="AW95">
        <v>2</v>
      </c>
      <c r="AX95">
        <v>55747907</v>
      </c>
      <c r="AY95">
        <v>1</v>
      </c>
      <c r="AZ95">
        <v>0</v>
      </c>
      <c r="BA95">
        <v>109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ROUND(AT95*Source!I40*AH95*AL95,2)</f>
        <v>0</v>
      </c>
      <c r="CV95">
        <f>ROUND(Y95*Source!I40,9)</f>
        <v>2.472</v>
      </c>
      <c r="CW95">
        <v>0</v>
      </c>
      <c r="CX95">
        <f>ROUND(Y95*Source!I40,9)</f>
        <v>2.472</v>
      </c>
      <c r="CY95">
        <f>AD95</f>
        <v>0</v>
      </c>
      <c r="CZ95">
        <f>AH95</f>
        <v>0</v>
      </c>
      <c r="DA95">
        <f>AL95</f>
        <v>1</v>
      </c>
      <c r="DB95">
        <f>ROUND((ROUND(AT95*CZ95,2)*1.2),6)</f>
        <v>0</v>
      </c>
      <c r="DC95">
        <f>ROUND((ROUND(AT95*AG95,2)*1.2),6)</f>
        <v>0</v>
      </c>
      <c r="DD95" t="s">
        <v>3</v>
      </c>
      <c r="DE95" t="s">
        <v>3</v>
      </c>
      <c r="DF95">
        <f t="shared" ref="DF95:DF106" si="34">ROUND(ROUND(AE95,2)*CX95,2)</f>
        <v>0</v>
      </c>
      <c r="DG95">
        <f t="shared" si="32"/>
        <v>0</v>
      </c>
      <c r="DH95">
        <f t="shared" si="33"/>
        <v>0</v>
      </c>
      <c r="DI95">
        <f t="shared" si="25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ROW(Source!A40)</f>
        <v>40</v>
      </c>
      <c r="B96">
        <v>55747649</v>
      </c>
      <c r="C96">
        <v>55747899</v>
      </c>
      <c r="D96">
        <v>54767933</v>
      </c>
      <c r="E96">
        <v>1</v>
      </c>
      <c r="F96">
        <v>1</v>
      </c>
      <c r="G96">
        <v>1081</v>
      </c>
      <c r="H96">
        <v>2</v>
      </c>
      <c r="I96" t="s">
        <v>550</v>
      </c>
      <c r="J96" t="s">
        <v>551</v>
      </c>
      <c r="K96" t="s">
        <v>552</v>
      </c>
      <c r="L96">
        <v>1368</v>
      </c>
      <c r="N96">
        <v>1011</v>
      </c>
      <c r="O96" t="s">
        <v>479</v>
      </c>
      <c r="P96" t="s">
        <v>479</v>
      </c>
      <c r="Q96">
        <v>1</v>
      </c>
      <c r="W96">
        <v>0</v>
      </c>
      <c r="X96">
        <v>1752775000</v>
      </c>
      <c r="Y96">
        <f>(AT96*1.2)</f>
        <v>0.22799999999999998</v>
      </c>
      <c r="AA96">
        <v>0</v>
      </c>
      <c r="AB96">
        <v>43.4</v>
      </c>
      <c r="AC96">
        <v>13.21</v>
      </c>
      <c r="AD96">
        <v>0</v>
      </c>
      <c r="AE96">
        <v>0</v>
      </c>
      <c r="AF96">
        <v>41.45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0.19</v>
      </c>
      <c r="AU96" t="s">
        <v>49</v>
      </c>
      <c r="AV96">
        <v>0</v>
      </c>
      <c r="AW96">
        <v>2</v>
      </c>
      <c r="AX96">
        <v>55747908</v>
      </c>
      <c r="AY96">
        <v>1</v>
      </c>
      <c r="AZ96">
        <v>0</v>
      </c>
      <c r="BA96">
        <v>110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ROUND(Y96*Source!I40*DO96,9)</f>
        <v>2.8773599999999999</v>
      </c>
      <c r="CX96">
        <f>ROUND(Y96*Source!I40,9)</f>
        <v>0.22800000000000001</v>
      </c>
      <c r="CY96">
        <f>AB96</f>
        <v>43.4</v>
      </c>
      <c r="CZ96">
        <f>AF96</f>
        <v>41.45</v>
      </c>
      <c r="DA96">
        <f>AJ96</f>
        <v>1</v>
      </c>
      <c r="DB96">
        <f>ROUND((ROUND(AT96*CZ96,2)*1.2),6)</f>
        <v>9.4559999999999995</v>
      </c>
      <c r="DC96">
        <f>ROUND((ROUND(AT96*AG96,2)*1.2),6)</f>
        <v>2.88</v>
      </c>
      <c r="DD96" t="s">
        <v>3</v>
      </c>
      <c r="DE96" t="s">
        <v>3</v>
      </c>
      <c r="DF96">
        <f t="shared" si="34"/>
        <v>0</v>
      </c>
      <c r="DG96">
        <f t="shared" si="32"/>
        <v>9.4499999999999993</v>
      </c>
      <c r="DH96">
        <f t="shared" si="33"/>
        <v>2.88</v>
      </c>
      <c r="DI96">
        <f t="shared" si="25"/>
        <v>0</v>
      </c>
      <c r="DJ96">
        <f>DG96</f>
        <v>9.4499999999999993</v>
      </c>
      <c r="DK96">
        <v>0</v>
      </c>
      <c r="DL96" t="s">
        <v>486</v>
      </c>
      <c r="DM96">
        <v>0</v>
      </c>
      <c r="DN96" t="s">
        <v>475</v>
      </c>
      <c r="DO96">
        <v>12.62</v>
      </c>
    </row>
    <row r="97" spans="1:119" x14ac:dyDescent="0.2">
      <c r="A97">
        <f>ROW(Source!A40)</f>
        <v>40</v>
      </c>
      <c r="B97">
        <v>55747649</v>
      </c>
      <c r="C97">
        <v>55747899</v>
      </c>
      <c r="D97">
        <v>54768040</v>
      </c>
      <c r="E97">
        <v>1</v>
      </c>
      <c r="F97">
        <v>1</v>
      </c>
      <c r="G97">
        <v>1081</v>
      </c>
      <c r="H97">
        <v>2</v>
      </c>
      <c r="I97" t="s">
        <v>476</v>
      </c>
      <c r="J97" t="s">
        <v>477</v>
      </c>
      <c r="K97" t="s">
        <v>478</v>
      </c>
      <c r="L97">
        <v>1368</v>
      </c>
      <c r="N97">
        <v>1011</v>
      </c>
      <c r="O97" t="s">
        <v>479</v>
      </c>
      <c r="P97" t="s">
        <v>479</v>
      </c>
      <c r="Q97">
        <v>1</v>
      </c>
      <c r="W97">
        <v>0</v>
      </c>
      <c r="X97">
        <v>1498588441</v>
      </c>
      <c r="Y97">
        <f>(AT97*1.2)</f>
        <v>0.73199999999999998</v>
      </c>
      <c r="AA97">
        <v>0</v>
      </c>
      <c r="AB97">
        <v>7.44</v>
      </c>
      <c r="AC97">
        <v>0</v>
      </c>
      <c r="AD97">
        <v>0</v>
      </c>
      <c r="AE97">
        <v>0</v>
      </c>
      <c r="AF97">
        <v>7.11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0.61</v>
      </c>
      <c r="AU97" t="s">
        <v>49</v>
      </c>
      <c r="AV97">
        <v>0</v>
      </c>
      <c r="AW97">
        <v>2</v>
      </c>
      <c r="AX97">
        <v>55747909</v>
      </c>
      <c r="AY97">
        <v>1</v>
      </c>
      <c r="AZ97">
        <v>0</v>
      </c>
      <c r="BA97">
        <v>111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ROUND(Y97*Source!I40*DO97,9)</f>
        <v>0</v>
      </c>
      <c r="CX97">
        <f>ROUND(Y97*Source!I40,9)</f>
        <v>0.73199999999999998</v>
      </c>
      <c r="CY97">
        <f>AB97</f>
        <v>7.44</v>
      </c>
      <c r="CZ97">
        <f>AF97</f>
        <v>7.11</v>
      </c>
      <c r="DA97">
        <f>AJ97</f>
        <v>1</v>
      </c>
      <c r="DB97">
        <f>ROUND((ROUND(AT97*CZ97,2)*1.2),6)</f>
        <v>5.2080000000000002</v>
      </c>
      <c r="DC97">
        <f>ROUND((ROUND(AT97*AG97,2)*1.2),6)</f>
        <v>0</v>
      </c>
      <c r="DD97" t="s">
        <v>3</v>
      </c>
      <c r="DE97" t="s">
        <v>3</v>
      </c>
      <c r="DF97">
        <f t="shared" si="34"/>
        <v>0</v>
      </c>
      <c r="DG97">
        <f t="shared" si="32"/>
        <v>5.2</v>
      </c>
      <c r="DH97">
        <f t="shared" si="33"/>
        <v>0</v>
      </c>
      <c r="DI97">
        <f t="shared" si="25"/>
        <v>0</v>
      </c>
      <c r="DJ97">
        <f>DG97</f>
        <v>5.2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ROW(Source!A40)</f>
        <v>40</v>
      </c>
      <c r="B98">
        <v>55747649</v>
      </c>
      <c r="C98">
        <v>55747899</v>
      </c>
      <c r="D98">
        <v>54768339</v>
      </c>
      <c r="E98">
        <v>1</v>
      </c>
      <c r="F98">
        <v>1</v>
      </c>
      <c r="G98">
        <v>1081</v>
      </c>
      <c r="H98">
        <v>2</v>
      </c>
      <c r="I98" t="s">
        <v>483</v>
      </c>
      <c r="J98" t="s">
        <v>484</v>
      </c>
      <c r="K98" t="s">
        <v>485</v>
      </c>
      <c r="L98">
        <v>1368</v>
      </c>
      <c r="N98">
        <v>1011</v>
      </c>
      <c r="O98" t="s">
        <v>479</v>
      </c>
      <c r="P98" t="s">
        <v>479</v>
      </c>
      <c r="Q98">
        <v>1</v>
      </c>
      <c r="W98">
        <v>0</v>
      </c>
      <c r="X98">
        <v>874612079</v>
      </c>
      <c r="Y98">
        <f>(AT98*1.2)</f>
        <v>7.1999999999999995E-2</v>
      </c>
      <c r="AA98">
        <v>0</v>
      </c>
      <c r="AB98">
        <v>87.01</v>
      </c>
      <c r="AC98">
        <v>13.21</v>
      </c>
      <c r="AD98">
        <v>0</v>
      </c>
      <c r="AE98">
        <v>0</v>
      </c>
      <c r="AF98">
        <v>83.1</v>
      </c>
      <c r="AG98">
        <v>12.62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0.06</v>
      </c>
      <c r="AU98" t="s">
        <v>49</v>
      </c>
      <c r="AV98">
        <v>0</v>
      </c>
      <c r="AW98">
        <v>2</v>
      </c>
      <c r="AX98">
        <v>55747910</v>
      </c>
      <c r="AY98">
        <v>1</v>
      </c>
      <c r="AZ98">
        <v>0</v>
      </c>
      <c r="BA98">
        <v>112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ROUND(Y98*Source!I40*DO98,9)</f>
        <v>0.90864</v>
      </c>
      <c r="CX98">
        <f>ROUND(Y98*Source!I40,9)</f>
        <v>7.1999999999999995E-2</v>
      </c>
      <c r="CY98">
        <f>AB98</f>
        <v>87.01</v>
      </c>
      <c r="CZ98">
        <f>AF98</f>
        <v>83.1</v>
      </c>
      <c r="DA98">
        <f>AJ98</f>
        <v>1</v>
      </c>
      <c r="DB98">
        <f>ROUND((ROUND(AT98*CZ98,2)*1.2),6)</f>
        <v>5.9880000000000004</v>
      </c>
      <c r="DC98">
        <f>ROUND((ROUND(AT98*AG98,2)*1.2),6)</f>
        <v>0.91200000000000003</v>
      </c>
      <c r="DD98" t="s">
        <v>3</v>
      </c>
      <c r="DE98" t="s">
        <v>3</v>
      </c>
      <c r="DF98">
        <f t="shared" si="34"/>
        <v>0</v>
      </c>
      <c r="DG98">
        <f t="shared" si="32"/>
        <v>5.98</v>
      </c>
      <c r="DH98">
        <f t="shared" si="33"/>
        <v>0.91</v>
      </c>
      <c r="DI98">
        <f t="shared" si="25"/>
        <v>0</v>
      </c>
      <c r="DJ98">
        <f>DG98</f>
        <v>5.98</v>
      </c>
      <c r="DK98">
        <v>0</v>
      </c>
      <c r="DL98" t="s">
        <v>486</v>
      </c>
      <c r="DM98">
        <v>0</v>
      </c>
      <c r="DN98" t="s">
        <v>475</v>
      </c>
      <c r="DO98">
        <v>12.62</v>
      </c>
    </row>
    <row r="99" spans="1:119" x14ac:dyDescent="0.2">
      <c r="A99">
        <f>ROW(Source!A40)</f>
        <v>40</v>
      </c>
      <c r="B99">
        <v>55747649</v>
      </c>
      <c r="C99">
        <v>55747899</v>
      </c>
      <c r="D99">
        <v>54768390</v>
      </c>
      <c r="E99">
        <v>1</v>
      </c>
      <c r="F99">
        <v>1</v>
      </c>
      <c r="G99">
        <v>1081</v>
      </c>
      <c r="H99">
        <v>2</v>
      </c>
      <c r="I99" t="s">
        <v>553</v>
      </c>
      <c r="J99" t="s">
        <v>554</v>
      </c>
      <c r="K99" t="s">
        <v>555</v>
      </c>
      <c r="L99">
        <v>1368</v>
      </c>
      <c r="N99">
        <v>1011</v>
      </c>
      <c r="O99" t="s">
        <v>479</v>
      </c>
      <c r="P99" t="s">
        <v>479</v>
      </c>
      <c r="Q99">
        <v>1</v>
      </c>
      <c r="W99">
        <v>0</v>
      </c>
      <c r="X99">
        <v>803042515</v>
      </c>
      <c r="Y99">
        <f>(AT99*1.2)</f>
        <v>0.22799999999999998</v>
      </c>
      <c r="AA99">
        <v>0</v>
      </c>
      <c r="AB99">
        <v>1.2</v>
      </c>
      <c r="AC99">
        <v>0</v>
      </c>
      <c r="AD99">
        <v>0</v>
      </c>
      <c r="AE99">
        <v>0</v>
      </c>
      <c r="AF99">
        <v>1.1499999999999999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0.19</v>
      </c>
      <c r="AU99" t="s">
        <v>49</v>
      </c>
      <c r="AV99">
        <v>0</v>
      </c>
      <c r="AW99">
        <v>2</v>
      </c>
      <c r="AX99">
        <v>55747911</v>
      </c>
      <c r="AY99">
        <v>1</v>
      </c>
      <c r="AZ99">
        <v>0</v>
      </c>
      <c r="BA99">
        <v>113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ROUND(Y99*Source!I40*DO99,9)</f>
        <v>0</v>
      </c>
      <c r="CX99">
        <f>ROUND(Y99*Source!I40,9)</f>
        <v>0.22800000000000001</v>
      </c>
      <c r="CY99">
        <f>AB99</f>
        <v>1.2</v>
      </c>
      <c r="CZ99">
        <f>AF99</f>
        <v>1.1499999999999999</v>
      </c>
      <c r="DA99">
        <f>AJ99</f>
        <v>1</v>
      </c>
      <c r="DB99">
        <f>ROUND((ROUND(AT99*CZ99,2)*1.2),6)</f>
        <v>0.26400000000000001</v>
      </c>
      <c r="DC99">
        <f>ROUND((ROUND(AT99*AG99,2)*1.2),6)</f>
        <v>0</v>
      </c>
      <c r="DD99" t="s">
        <v>3</v>
      </c>
      <c r="DE99" t="s">
        <v>3</v>
      </c>
      <c r="DF99">
        <f t="shared" si="34"/>
        <v>0</v>
      </c>
      <c r="DG99">
        <f t="shared" si="32"/>
        <v>0.26</v>
      </c>
      <c r="DH99">
        <f t="shared" si="33"/>
        <v>0</v>
      </c>
      <c r="DI99">
        <f t="shared" si="25"/>
        <v>0</v>
      </c>
      <c r="DJ99">
        <f>DG99</f>
        <v>0.26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ROW(Source!A40)</f>
        <v>40</v>
      </c>
      <c r="B100">
        <v>55747649</v>
      </c>
      <c r="C100">
        <v>55747899</v>
      </c>
      <c r="D100">
        <v>54738440</v>
      </c>
      <c r="E100">
        <v>1</v>
      </c>
      <c r="F100">
        <v>1</v>
      </c>
      <c r="G100">
        <v>1081</v>
      </c>
      <c r="H100">
        <v>3</v>
      </c>
      <c r="I100" t="s">
        <v>556</v>
      </c>
      <c r="J100" t="s">
        <v>557</v>
      </c>
      <c r="K100" t="s">
        <v>558</v>
      </c>
      <c r="L100">
        <v>1346</v>
      </c>
      <c r="N100">
        <v>1009</v>
      </c>
      <c r="O100" t="s">
        <v>503</v>
      </c>
      <c r="P100" t="s">
        <v>503</v>
      </c>
      <c r="Q100">
        <v>1</v>
      </c>
      <c r="W100">
        <v>0</v>
      </c>
      <c r="X100">
        <v>-1097873860</v>
      </c>
      <c r="Y100">
        <f>(AT100*1)</f>
        <v>0.02</v>
      </c>
      <c r="AA100">
        <v>29.89</v>
      </c>
      <c r="AB100">
        <v>0</v>
      </c>
      <c r="AC100">
        <v>0</v>
      </c>
      <c r="AD100">
        <v>0</v>
      </c>
      <c r="AE100">
        <v>29.89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0.02</v>
      </c>
      <c r="AU100" t="s">
        <v>48</v>
      </c>
      <c r="AV100">
        <v>0</v>
      </c>
      <c r="AW100">
        <v>2</v>
      </c>
      <c r="AX100">
        <v>55747912</v>
      </c>
      <c r="AY100">
        <v>1</v>
      </c>
      <c r="AZ100">
        <v>0</v>
      </c>
      <c r="BA100">
        <v>114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ROUND(Y100*Source!I40,9)</f>
        <v>0.02</v>
      </c>
      <c r="CY100">
        <f>AA100</f>
        <v>29.89</v>
      </c>
      <c r="CZ100">
        <f>AE100</f>
        <v>29.89</v>
      </c>
      <c r="DA100">
        <f>AI100</f>
        <v>1</v>
      </c>
      <c r="DB100">
        <f>ROUND((ROUND(AT100*CZ100,2)*1),6)</f>
        <v>0.6</v>
      </c>
      <c r="DC100">
        <f>ROUND((ROUND(AT100*AG100,2)*1),6)</f>
        <v>0</v>
      </c>
      <c r="DD100" t="s">
        <v>3</v>
      </c>
      <c r="DE100" t="s">
        <v>3</v>
      </c>
      <c r="DF100">
        <f t="shared" si="34"/>
        <v>0.6</v>
      </c>
      <c r="DG100">
        <f t="shared" si="32"/>
        <v>0</v>
      </c>
      <c r="DH100">
        <f t="shared" si="33"/>
        <v>0</v>
      </c>
      <c r="DI100">
        <f t="shared" si="25"/>
        <v>0</v>
      </c>
      <c r="DJ100">
        <f>DF100</f>
        <v>0.6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ROW(Source!A40)</f>
        <v>40</v>
      </c>
      <c r="B101">
        <v>55747649</v>
      </c>
      <c r="C101">
        <v>55747899</v>
      </c>
      <c r="D101">
        <v>54738510</v>
      </c>
      <c r="E101">
        <v>1</v>
      </c>
      <c r="F101">
        <v>1</v>
      </c>
      <c r="G101">
        <v>1081</v>
      </c>
      <c r="H101">
        <v>3</v>
      </c>
      <c r="I101" t="s">
        <v>514</v>
      </c>
      <c r="J101" t="s">
        <v>515</v>
      </c>
      <c r="K101" t="s">
        <v>516</v>
      </c>
      <c r="L101">
        <v>1348</v>
      </c>
      <c r="N101">
        <v>1009</v>
      </c>
      <c r="O101" t="s">
        <v>282</v>
      </c>
      <c r="P101" t="s">
        <v>282</v>
      </c>
      <c r="Q101">
        <v>1000</v>
      </c>
      <c r="W101">
        <v>0</v>
      </c>
      <c r="X101">
        <v>277309194</v>
      </c>
      <c r="Y101">
        <f>(AT101*1)</f>
        <v>1E-4</v>
      </c>
      <c r="AA101">
        <v>8590.86</v>
      </c>
      <c r="AB101">
        <v>0</v>
      </c>
      <c r="AC101">
        <v>0</v>
      </c>
      <c r="AD101">
        <v>0</v>
      </c>
      <c r="AE101">
        <v>8590.86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1E-4</v>
      </c>
      <c r="AU101" t="s">
        <v>48</v>
      </c>
      <c r="AV101">
        <v>0</v>
      </c>
      <c r="AW101">
        <v>2</v>
      </c>
      <c r="AX101">
        <v>55747913</v>
      </c>
      <c r="AY101">
        <v>1</v>
      </c>
      <c r="AZ101">
        <v>0</v>
      </c>
      <c r="BA101">
        <v>115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ROUND(Y101*Source!I40,9)</f>
        <v>1E-4</v>
      </c>
      <c r="CY101">
        <f>AA101</f>
        <v>8590.86</v>
      </c>
      <c r="CZ101">
        <f>AE101</f>
        <v>8590.86</v>
      </c>
      <c r="DA101">
        <f>AI101</f>
        <v>1</v>
      </c>
      <c r="DB101">
        <f>ROUND((ROUND(AT101*CZ101,2)*1),6)</f>
        <v>0.86</v>
      </c>
      <c r="DC101">
        <f>ROUND((ROUND(AT101*AG101,2)*1),6)</f>
        <v>0</v>
      </c>
      <c r="DD101" t="s">
        <v>3</v>
      </c>
      <c r="DE101" t="s">
        <v>3</v>
      </c>
      <c r="DF101">
        <f t="shared" si="34"/>
        <v>0.86</v>
      </c>
      <c r="DG101">
        <f t="shared" si="32"/>
        <v>0</v>
      </c>
      <c r="DH101">
        <f t="shared" si="33"/>
        <v>0</v>
      </c>
      <c r="DI101">
        <f t="shared" si="25"/>
        <v>0</v>
      </c>
      <c r="DJ101">
        <f>DF101</f>
        <v>0.86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ROW(Source!A41)</f>
        <v>41</v>
      </c>
      <c r="B102">
        <v>55747651</v>
      </c>
      <c r="C102">
        <v>55747899</v>
      </c>
      <c r="D102">
        <v>54702434</v>
      </c>
      <c r="E102">
        <v>1081</v>
      </c>
      <c r="F102">
        <v>1</v>
      </c>
      <c r="G102">
        <v>1081</v>
      </c>
      <c r="H102">
        <v>1</v>
      </c>
      <c r="I102" t="s">
        <v>473</v>
      </c>
      <c r="J102" t="s">
        <v>3</v>
      </c>
      <c r="K102" t="s">
        <v>474</v>
      </c>
      <c r="L102">
        <v>1191</v>
      </c>
      <c r="N102">
        <v>1013</v>
      </c>
      <c r="O102" t="s">
        <v>475</v>
      </c>
      <c r="P102" t="s">
        <v>475</v>
      </c>
      <c r="Q102">
        <v>1</v>
      </c>
      <c r="W102">
        <v>0</v>
      </c>
      <c r="X102">
        <v>476480486</v>
      </c>
      <c r="Y102">
        <f>(AT102*1.2)</f>
        <v>2.472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2.06</v>
      </c>
      <c r="AU102" t="s">
        <v>49</v>
      </c>
      <c r="AV102">
        <v>1</v>
      </c>
      <c r="AW102">
        <v>2</v>
      </c>
      <c r="AX102">
        <v>55747907</v>
      </c>
      <c r="AY102">
        <v>1</v>
      </c>
      <c r="AZ102">
        <v>0</v>
      </c>
      <c r="BA102">
        <v>118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ROUND(AT102*Source!I41*AH102*AL102,2)</f>
        <v>0</v>
      </c>
      <c r="CV102">
        <f>ROUND(Y102*Source!I41,9)</f>
        <v>2.472</v>
      </c>
      <c r="CW102">
        <v>0</v>
      </c>
      <c r="CX102">
        <f>ROUND(Y102*Source!I41,9)</f>
        <v>2.472</v>
      </c>
      <c r="CY102">
        <f>AD102</f>
        <v>0</v>
      </c>
      <c r="CZ102">
        <f>AH102</f>
        <v>0</v>
      </c>
      <c r="DA102">
        <f>AL102</f>
        <v>1</v>
      </c>
      <c r="DB102">
        <f>ROUND((ROUND(AT102*CZ102,2)*1.2),6)</f>
        <v>0</v>
      </c>
      <c r="DC102">
        <f>ROUND((ROUND(AT102*AG102,2)*1.2),6)</f>
        <v>0</v>
      </c>
      <c r="DD102" t="s">
        <v>3</v>
      </c>
      <c r="DE102" t="s">
        <v>3</v>
      </c>
      <c r="DF102">
        <f t="shared" si="34"/>
        <v>0</v>
      </c>
      <c r="DG102">
        <f t="shared" si="32"/>
        <v>0</v>
      </c>
      <c r="DH102">
        <f t="shared" si="33"/>
        <v>0</v>
      </c>
      <c r="DI102">
        <f t="shared" si="25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ROW(Source!A41)</f>
        <v>41</v>
      </c>
      <c r="B103">
        <v>55747651</v>
      </c>
      <c r="C103">
        <v>55747899</v>
      </c>
      <c r="D103">
        <v>54767933</v>
      </c>
      <c r="E103">
        <v>1</v>
      </c>
      <c r="F103">
        <v>1</v>
      </c>
      <c r="G103">
        <v>1081</v>
      </c>
      <c r="H103">
        <v>2</v>
      </c>
      <c r="I103" t="s">
        <v>550</v>
      </c>
      <c r="J103" t="s">
        <v>551</v>
      </c>
      <c r="K103" t="s">
        <v>552</v>
      </c>
      <c r="L103">
        <v>1368</v>
      </c>
      <c r="N103">
        <v>1011</v>
      </c>
      <c r="O103" t="s">
        <v>479</v>
      </c>
      <c r="P103" t="s">
        <v>479</v>
      </c>
      <c r="Q103">
        <v>1</v>
      </c>
      <c r="W103">
        <v>0</v>
      </c>
      <c r="X103">
        <v>1752775000</v>
      </c>
      <c r="Y103">
        <f>(AT103*1.2)</f>
        <v>0.22799999999999998</v>
      </c>
      <c r="AA103">
        <v>0</v>
      </c>
      <c r="AB103">
        <v>1107.0899999999999</v>
      </c>
      <c r="AC103">
        <v>744.56</v>
      </c>
      <c r="AD103">
        <v>0</v>
      </c>
      <c r="AE103">
        <v>0</v>
      </c>
      <c r="AF103">
        <v>41.45</v>
      </c>
      <c r="AG103">
        <v>12.62</v>
      </c>
      <c r="AH103">
        <v>0</v>
      </c>
      <c r="AI103">
        <v>1</v>
      </c>
      <c r="AJ103">
        <v>25.51</v>
      </c>
      <c r="AK103">
        <v>56.35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0.19</v>
      </c>
      <c r="AU103" t="s">
        <v>49</v>
      </c>
      <c r="AV103">
        <v>0</v>
      </c>
      <c r="AW103">
        <v>2</v>
      </c>
      <c r="AX103">
        <v>55747908</v>
      </c>
      <c r="AY103">
        <v>1</v>
      </c>
      <c r="AZ103">
        <v>0</v>
      </c>
      <c r="BA103">
        <v>119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ROUND(Y103*Source!I41*DO103,9)</f>
        <v>2.8773599999999999</v>
      </c>
      <c r="CX103">
        <f>ROUND(Y103*Source!I41,9)</f>
        <v>0.22800000000000001</v>
      </c>
      <c r="CY103">
        <f>AB103</f>
        <v>1107.0899999999999</v>
      </c>
      <c r="CZ103">
        <f>AF103</f>
        <v>41.45</v>
      </c>
      <c r="DA103">
        <f>AJ103</f>
        <v>25.51</v>
      </c>
      <c r="DB103">
        <f>ROUND((ROUND(AT103*CZ103,2)*1.2),6)</f>
        <v>9.4559999999999995</v>
      </c>
      <c r="DC103">
        <f>ROUND((ROUND(AT103*AG103,2)*1.2),6)</f>
        <v>2.88</v>
      </c>
      <c r="DD103" t="s">
        <v>3</v>
      </c>
      <c r="DE103" t="s">
        <v>3</v>
      </c>
      <c r="DF103">
        <f t="shared" si="34"/>
        <v>0</v>
      </c>
      <c r="DG103">
        <f>ROUND(ROUND(AF103*AJ103,2)*CX103,2)</f>
        <v>241.08</v>
      </c>
      <c r="DH103">
        <f>ROUND(ROUND(AG103*AK103,2)*CX103,2)</f>
        <v>162.13999999999999</v>
      </c>
      <c r="DI103">
        <f t="shared" si="25"/>
        <v>0</v>
      </c>
      <c r="DJ103">
        <f>DG103</f>
        <v>241.08</v>
      </c>
      <c r="DK103">
        <v>0</v>
      </c>
      <c r="DL103" t="s">
        <v>486</v>
      </c>
      <c r="DM103">
        <v>0</v>
      </c>
      <c r="DN103" t="s">
        <v>475</v>
      </c>
      <c r="DO103">
        <v>12.62</v>
      </c>
    </row>
    <row r="104" spans="1:119" x14ac:dyDescent="0.2">
      <c r="A104">
        <f>ROW(Source!A41)</f>
        <v>41</v>
      </c>
      <c r="B104">
        <v>55747651</v>
      </c>
      <c r="C104">
        <v>55747899</v>
      </c>
      <c r="D104">
        <v>54768040</v>
      </c>
      <c r="E104">
        <v>1</v>
      </c>
      <c r="F104">
        <v>1</v>
      </c>
      <c r="G104">
        <v>1081</v>
      </c>
      <c r="H104">
        <v>2</v>
      </c>
      <c r="I104" t="s">
        <v>476</v>
      </c>
      <c r="J104" t="s">
        <v>477</v>
      </c>
      <c r="K104" t="s">
        <v>478</v>
      </c>
      <c r="L104">
        <v>1368</v>
      </c>
      <c r="N104">
        <v>1011</v>
      </c>
      <c r="O104" t="s">
        <v>479</v>
      </c>
      <c r="P104" t="s">
        <v>479</v>
      </c>
      <c r="Q104">
        <v>1</v>
      </c>
      <c r="W104">
        <v>0</v>
      </c>
      <c r="X104">
        <v>1498588441</v>
      </c>
      <c r="Y104">
        <f>(AT104*1.2)</f>
        <v>0.73199999999999998</v>
      </c>
      <c r="AA104">
        <v>0</v>
      </c>
      <c r="AB104">
        <v>100.2</v>
      </c>
      <c r="AC104">
        <v>0</v>
      </c>
      <c r="AD104">
        <v>0</v>
      </c>
      <c r="AE104">
        <v>0</v>
      </c>
      <c r="AF104">
        <v>7.11</v>
      </c>
      <c r="AG104">
        <v>0</v>
      </c>
      <c r="AH104">
        <v>0</v>
      </c>
      <c r="AI104">
        <v>1</v>
      </c>
      <c r="AJ104">
        <v>13.46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0.61</v>
      </c>
      <c r="AU104" t="s">
        <v>49</v>
      </c>
      <c r="AV104">
        <v>0</v>
      </c>
      <c r="AW104">
        <v>2</v>
      </c>
      <c r="AX104">
        <v>55747909</v>
      </c>
      <c r="AY104">
        <v>1</v>
      </c>
      <c r="AZ104">
        <v>0</v>
      </c>
      <c r="BA104">
        <v>120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ROUND(Y104*Source!I41*DO104,9)</f>
        <v>0</v>
      </c>
      <c r="CX104">
        <f>ROUND(Y104*Source!I41,9)</f>
        <v>0.73199999999999998</v>
      </c>
      <c r="CY104">
        <f>AB104</f>
        <v>100.2</v>
      </c>
      <c r="CZ104">
        <f>AF104</f>
        <v>7.11</v>
      </c>
      <c r="DA104">
        <f>AJ104</f>
        <v>13.46</v>
      </c>
      <c r="DB104">
        <f>ROUND((ROUND(AT104*CZ104,2)*1.2),6)</f>
        <v>5.2080000000000002</v>
      </c>
      <c r="DC104">
        <f>ROUND((ROUND(AT104*AG104,2)*1.2),6)</f>
        <v>0</v>
      </c>
      <c r="DD104" t="s">
        <v>3</v>
      </c>
      <c r="DE104" t="s">
        <v>3</v>
      </c>
      <c r="DF104">
        <f t="shared" si="34"/>
        <v>0</v>
      </c>
      <c r="DG104">
        <f>ROUND(ROUND(AF104*AJ104,2)*CX104,2)</f>
        <v>70.05</v>
      </c>
      <c r="DH104">
        <f>ROUND(ROUND(AG104,2)*CX104,2)</f>
        <v>0</v>
      </c>
      <c r="DI104">
        <f t="shared" si="25"/>
        <v>0</v>
      </c>
      <c r="DJ104">
        <f>DG104</f>
        <v>70.05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ROW(Source!A41)</f>
        <v>41</v>
      </c>
      <c r="B105">
        <v>55747651</v>
      </c>
      <c r="C105">
        <v>55747899</v>
      </c>
      <c r="D105">
        <v>54768339</v>
      </c>
      <c r="E105">
        <v>1</v>
      </c>
      <c r="F105">
        <v>1</v>
      </c>
      <c r="G105">
        <v>1081</v>
      </c>
      <c r="H105">
        <v>2</v>
      </c>
      <c r="I105" t="s">
        <v>483</v>
      </c>
      <c r="J105" t="s">
        <v>484</v>
      </c>
      <c r="K105" t="s">
        <v>485</v>
      </c>
      <c r="L105">
        <v>1368</v>
      </c>
      <c r="N105">
        <v>1011</v>
      </c>
      <c r="O105" t="s">
        <v>479</v>
      </c>
      <c r="P105" t="s">
        <v>479</v>
      </c>
      <c r="Q105">
        <v>1</v>
      </c>
      <c r="W105">
        <v>0</v>
      </c>
      <c r="X105">
        <v>874612079</v>
      </c>
      <c r="Y105">
        <f>(AT105*1.2)</f>
        <v>7.1999999999999995E-2</v>
      </c>
      <c r="AA105">
        <v>0</v>
      </c>
      <c r="AB105">
        <v>1485.19</v>
      </c>
      <c r="AC105">
        <v>744.56</v>
      </c>
      <c r="AD105">
        <v>0</v>
      </c>
      <c r="AE105">
        <v>0</v>
      </c>
      <c r="AF105">
        <v>83.1</v>
      </c>
      <c r="AG105">
        <v>12.62</v>
      </c>
      <c r="AH105">
        <v>0</v>
      </c>
      <c r="AI105">
        <v>1</v>
      </c>
      <c r="AJ105">
        <v>17.07</v>
      </c>
      <c r="AK105">
        <v>56.35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0.06</v>
      </c>
      <c r="AU105" t="s">
        <v>49</v>
      </c>
      <c r="AV105">
        <v>0</v>
      </c>
      <c r="AW105">
        <v>2</v>
      </c>
      <c r="AX105">
        <v>55747910</v>
      </c>
      <c r="AY105">
        <v>1</v>
      </c>
      <c r="AZ105">
        <v>0</v>
      </c>
      <c r="BA105">
        <v>121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ROUND(Y105*Source!I41*DO105,9)</f>
        <v>0.90864</v>
      </c>
      <c r="CX105">
        <f>ROUND(Y105*Source!I41,9)</f>
        <v>7.1999999999999995E-2</v>
      </c>
      <c r="CY105">
        <f>AB105</f>
        <v>1485.19</v>
      </c>
      <c r="CZ105">
        <f>AF105</f>
        <v>83.1</v>
      </c>
      <c r="DA105">
        <f>AJ105</f>
        <v>17.07</v>
      </c>
      <c r="DB105">
        <f>ROUND((ROUND(AT105*CZ105,2)*1.2),6)</f>
        <v>5.9880000000000004</v>
      </c>
      <c r="DC105">
        <f>ROUND((ROUND(AT105*AG105,2)*1.2),6)</f>
        <v>0.91200000000000003</v>
      </c>
      <c r="DD105" t="s">
        <v>3</v>
      </c>
      <c r="DE105" t="s">
        <v>3</v>
      </c>
      <c r="DF105">
        <f t="shared" si="34"/>
        <v>0</v>
      </c>
      <c r="DG105">
        <f>ROUND(ROUND(AF105*AJ105,2)*CX105,2)</f>
        <v>102.13</v>
      </c>
      <c r="DH105">
        <f>ROUND(ROUND(AG105*AK105,2)*CX105,2)</f>
        <v>51.2</v>
      </c>
      <c r="DI105">
        <f t="shared" si="25"/>
        <v>0</v>
      </c>
      <c r="DJ105">
        <f>DG105</f>
        <v>102.13</v>
      </c>
      <c r="DK105">
        <v>0</v>
      </c>
      <c r="DL105" t="s">
        <v>486</v>
      </c>
      <c r="DM105">
        <v>0</v>
      </c>
      <c r="DN105" t="s">
        <v>475</v>
      </c>
      <c r="DO105">
        <v>12.62</v>
      </c>
    </row>
    <row r="106" spans="1:119" x14ac:dyDescent="0.2">
      <c r="A106">
        <f>ROW(Source!A41)</f>
        <v>41</v>
      </c>
      <c r="B106">
        <v>55747651</v>
      </c>
      <c r="C106">
        <v>55747899</v>
      </c>
      <c r="D106">
        <v>54768390</v>
      </c>
      <c r="E106">
        <v>1</v>
      </c>
      <c r="F106">
        <v>1</v>
      </c>
      <c r="G106">
        <v>1081</v>
      </c>
      <c r="H106">
        <v>2</v>
      </c>
      <c r="I106" t="s">
        <v>553</v>
      </c>
      <c r="J106" t="s">
        <v>554</v>
      </c>
      <c r="K106" t="s">
        <v>555</v>
      </c>
      <c r="L106">
        <v>1368</v>
      </c>
      <c r="N106">
        <v>1011</v>
      </c>
      <c r="O106" t="s">
        <v>479</v>
      </c>
      <c r="P106" t="s">
        <v>479</v>
      </c>
      <c r="Q106">
        <v>1</v>
      </c>
      <c r="W106">
        <v>0</v>
      </c>
      <c r="X106">
        <v>803042515</v>
      </c>
      <c r="Y106">
        <f>(AT106*1.2)</f>
        <v>0.22799999999999998</v>
      </c>
      <c r="AA106">
        <v>0</v>
      </c>
      <c r="AB106">
        <v>11.26</v>
      </c>
      <c r="AC106">
        <v>0</v>
      </c>
      <c r="AD106">
        <v>0</v>
      </c>
      <c r="AE106">
        <v>0</v>
      </c>
      <c r="AF106">
        <v>1.1499999999999999</v>
      </c>
      <c r="AG106">
        <v>0</v>
      </c>
      <c r="AH106">
        <v>0</v>
      </c>
      <c r="AI106">
        <v>1</v>
      </c>
      <c r="AJ106">
        <v>9.35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0.19</v>
      </c>
      <c r="AU106" t="s">
        <v>49</v>
      </c>
      <c r="AV106">
        <v>0</v>
      </c>
      <c r="AW106">
        <v>2</v>
      </c>
      <c r="AX106">
        <v>55747911</v>
      </c>
      <c r="AY106">
        <v>1</v>
      </c>
      <c r="AZ106">
        <v>0</v>
      </c>
      <c r="BA106">
        <v>122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ROUND(Y106*Source!I41*DO106,9)</f>
        <v>0</v>
      </c>
      <c r="CX106">
        <f>ROUND(Y106*Source!I41,9)</f>
        <v>0.22800000000000001</v>
      </c>
      <c r="CY106">
        <f>AB106</f>
        <v>11.26</v>
      </c>
      <c r="CZ106">
        <f>AF106</f>
        <v>1.1499999999999999</v>
      </c>
      <c r="DA106">
        <f>AJ106</f>
        <v>9.35</v>
      </c>
      <c r="DB106">
        <f>ROUND((ROUND(AT106*CZ106,2)*1.2),6)</f>
        <v>0.26400000000000001</v>
      </c>
      <c r="DC106">
        <f>ROUND((ROUND(AT106*AG106,2)*1.2),6)</f>
        <v>0</v>
      </c>
      <c r="DD106" t="s">
        <v>3</v>
      </c>
      <c r="DE106" t="s">
        <v>3</v>
      </c>
      <c r="DF106">
        <f t="shared" si="34"/>
        <v>0</v>
      </c>
      <c r="DG106">
        <f>ROUND(ROUND(AF106*AJ106,2)*CX106,2)</f>
        <v>2.4500000000000002</v>
      </c>
      <c r="DH106">
        <f t="shared" ref="DH106:DH121" si="35">ROUND(ROUND(AG106,2)*CX106,2)</f>
        <v>0</v>
      </c>
      <c r="DI106">
        <f t="shared" si="25"/>
        <v>0</v>
      </c>
      <c r="DJ106">
        <f>DG106</f>
        <v>2.4500000000000002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ROW(Source!A41)</f>
        <v>41</v>
      </c>
      <c r="B107">
        <v>55747651</v>
      </c>
      <c r="C107">
        <v>55747899</v>
      </c>
      <c r="D107">
        <v>54738440</v>
      </c>
      <c r="E107">
        <v>1</v>
      </c>
      <c r="F107">
        <v>1</v>
      </c>
      <c r="G107">
        <v>1081</v>
      </c>
      <c r="H107">
        <v>3</v>
      </c>
      <c r="I107" t="s">
        <v>556</v>
      </c>
      <c r="J107" t="s">
        <v>557</v>
      </c>
      <c r="K107" t="s">
        <v>558</v>
      </c>
      <c r="L107">
        <v>1346</v>
      </c>
      <c r="N107">
        <v>1009</v>
      </c>
      <c r="O107" t="s">
        <v>503</v>
      </c>
      <c r="P107" t="s">
        <v>503</v>
      </c>
      <c r="Q107">
        <v>1</v>
      </c>
      <c r="W107">
        <v>0</v>
      </c>
      <c r="X107">
        <v>-1097873860</v>
      </c>
      <c r="Y107">
        <f>(AT107*1)</f>
        <v>0.02</v>
      </c>
      <c r="AA107">
        <v>101.03</v>
      </c>
      <c r="AB107">
        <v>0</v>
      </c>
      <c r="AC107">
        <v>0</v>
      </c>
      <c r="AD107">
        <v>0</v>
      </c>
      <c r="AE107">
        <v>29.89</v>
      </c>
      <c r="AF107">
        <v>0</v>
      </c>
      <c r="AG107">
        <v>0</v>
      </c>
      <c r="AH107">
        <v>0</v>
      </c>
      <c r="AI107">
        <v>3.38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0.02</v>
      </c>
      <c r="AU107" t="s">
        <v>48</v>
      </c>
      <c r="AV107">
        <v>0</v>
      </c>
      <c r="AW107">
        <v>2</v>
      </c>
      <c r="AX107">
        <v>55747912</v>
      </c>
      <c r="AY107">
        <v>1</v>
      </c>
      <c r="AZ107">
        <v>0</v>
      </c>
      <c r="BA107">
        <v>123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ROUND(Y107*Source!I41,9)</f>
        <v>0.02</v>
      </c>
      <c r="CY107">
        <f>AA107</f>
        <v>101.03</v>
      </c>
      <c r="CZ107">
        <f>AE107</f>
        <v>29.89</v>
      </c>
      <c r="DA107">
        <f>AI107</f>
        <v>3.38</v>
      </c>
      <c r="DB107">
        <f>ROUND((ROUND(AT107*CZ107,2)*1),6)</f>
        <v>0.6</v>
      </c>
      <c r="DC107">
        <f>ROUND((ROUND(AT107*AG107,2)*1),6)</f>
        <v>0</v>
      </c>
      <c r="DD107" t="s">
        <v>3</v>
      </c>
      <c r="DE107" t="s">
        <v>3</v>
      </c>
      <c r="DF107">
        <f>ROUND(ROUND(AE107*AI107,2)*CX107,2)</f>
        <v>2.02</v>
      </c>
      <c r="DG107">
        <f t="shared" ref="DG107:DG120" si="36">ROUND(ROUND(AF107,2)*CX107,2)</f>
        <v>0</v>
      </c>
      <c r="DH107">
        <f t="shared" si="35"/>
        <v>0</v>
      </c>
      <c r="DI107">
        <f t="shared" si="25"/>
        <v>0</v>
      </c>
      <c r="DJ107">
        <f>DF107</f>
        <v>2.02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ROW(Source!A41)</f>
        <v>41</v>
      </c>
      <c r="B108">
        <v>55747651</v>
      </c>
      <c r="C108">
        <v>55747899</v>
      </c>
      <c r="D108">
        <v>54738510</v>
      </c>
      <c r="E108">
        <v>1</v>
      </c>
      <c r="F108">
        <v>1</v>
      </c>
      <c r="G108">
        <v>1081</v>
      </c>
      <c r="H108">
        <v>3</v>
      </c>
      <c r="I108" t="s">
        <v>514</v>
      </c>
      <c r="J108" t="s">
        <v>515</v>
      </c>
      <c r="K108" t="s">
        <v>516</v>
      </c>
      <c r="L108">
        <v>1348</v>
      </c>
      <c r="N108">
        <v>1009</v>
      </c>
      <c r="O108" t="s">
        <v>282</v>
      </c>
      <c r="P108" t="s">
        <v>282</v>
      </c>
      <c r="Q108">
        <v>1000</v>
      </c>
      <c r="W108">
        <v>0</v>
      </c>
      <c r="X108">
        <v>277309194</v>
      </c>
      <c r="Y108">
        <f>(AT108*1)</f>
        <v>1E-4</v>
      </c>
      <c r="AA108">
        <v>141233.74</v>
      </c>
      <c r="AB108">
        <v>0</v>
      </c>
      <c r="AC108">
        <v>0</v>
      </c>
      <c r="AD108">
        <v>0</v>
      </c>
      <c r="AE108">
        <v>8590.86</v>
      </c>
      <c r="AF108">
        <v>0</v>
      </c>
      <c r="AG108">
        <v>0</v>
      </c>
      <c r="AH108">
        <v>0</v>
      </c>
      <c r="AI108">
        <v>16.440000000000001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1E-4</v>
      </c>
      <c r="AU108" t="s">
        <v>48</v>
      </c>
      <c r="AV108">
        <v>0</v>
      </c>
      <c r="AW108">
        <v>2</v>
      </c>
      <c r="AX108">
        <v>55747913</v>
      </c>
      <c r="AY108">
        <v>1</v>
      </c>
      <c r="AZ108">
        <v>0</v>
      </c>
      <c r="BA108">
        <v>124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ROUND(Y108*Source!I41,9)</f>
        <v>1E-4</v>
      </c>
      <c r="CY108">
        <f>AA108</f>
        <v>141233.74</v>
      </c>
      <c r="CZ108">
        <f>AE108</f>
        <v>8590.86</v>
      </c>
      <c r="DA108">
        <f>AI108</f>
        <v>16.440000000000001</v>
      </c>
      <c r="DB108">
        <f>ROUND((ROUND(AT108*CZ108,2)*1),6)</f>
        <v>0.86</v>
      </c>
      <c r="DC108">
        <f>ROUND((ROUND(AT108*AG108,2)*1),6)</f>
        <v>0</v>
      </c>
      <c r="DD108" t="s">
        <v>3</v>
      </c>
      <c r="DE108" t="s">
        <v>3</v>
      </c>
      <c r="DF108">
        <f>ROUND(ROUND(AE108*AI108,2)*CX108,2)</f>
        <v>14.12</v>
      </c>
      <c r="DG108">
        <f t="shared" si="36"/>
        <v>0</v>
      </c>
      <c r="DH108">
        <f t="shared" si="35"/>
        <v>0</v>
      </c>
      <c r="DI108">
        <f t="shared" si="25"/>
        <v>0</v>
      </c>
      <c r="DJ108">
        <f>DF108</f>
        <v>14.12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ROW(Source!A42)</f>
        <v>42</v>
      </c>
      <c r="B109">
        <v>55747649</v>
      </c>
      <c r="C109">
        <v>57261044</v>
      </c>
      <c r="D109">
        <v>54702434</v>
      </c>
      <c r="E109">
        <v>1081</v>
      </c>
      <c r="F109">
        <v>1</v>
      </c>
      <c r="G109">
        <v>1081</v>
      </c>
      <c r="H109">
        <v>1</v>
      </c>
      <c r="I109" t="s">
        <v>473</v>
      </c>
      <c r="J109" t="s">
        <v>3</v>
      </c>
      <c r="K109" t="s">
        <v>474</v>
      </c>
      <c r="L109">
        <v>1191</v>
      </c>
      <c r="N109">
        <v>1013</v>
      </c>
      <c r="O109" t="s">
        <v>475</v>
      </c>
      <c r="P109" t="s">
        <v>475</v>
      </c>
      <c r="Q109">
        <v>1</v>
      </c>
      <c r="W109">
        <v>0</v>
      </c>
      <c r="X109">
        <v>476480486</v>
      </c>
      <c r="Y109">
        <f>(AT109*1.2)</f>
        <v>6.1800000000000006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5.15</v>
      </c>
      <c r="AU109" t="s">
        <v>49</v>
      </c>
      <c r="AV109">
        <v>1</v>
      </c>
      <c r="AW109">
        <v>2</v>
      </c>
      <c r="AX109">
        <v>57261045</v>
      </c>
      <c r="AY109">
        <v>1</v>
      </c>
      <c r="AZ109">
        <v>0</v>
      </c>
      <c r="BA109">
        <v>127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ROUND(AT109*Source!I42*AH109*AL109,2)</f>
        <v>0</v>
      </c>
      <c r="CV109">
        <f>ROUND(Y109*Source!I42,9)</f>
        <v>6.18</v>
      </c>
      <c r="CW109">
        <v>0</v>
      </c>
      <c r="CX109">
        <f>ROUND(Y109*Source!I42,9)</f>
        <v>6.18</v>
      </c>
      <c r="CY109">
        <f>AD109</f>
        <v>0</v>
      </c>
      <c r="CZ109">
        <f>AH109</f>
        <v>0</v>
      </c>
      <c r="DA109">
        <f>AL109</f>
        <v>1</v>
      </c>
      <c r="DB109">
        <f>ROUND((ROUND(AT109*CZ109,2)*1.2),6)</f>
        <v>0</v>
      </c>
      <c r="DC109">
        <f>ROUND((ROUND(AT109*AG109,2)*1.2),6)</f>
        <v>0</v>
      </c>
      <c r="DD109" t="s">
        <v>3</v>
      </c>
      <c r="DE109" t="s">
        <v>3</v>
      </c>
      <c r="DF109">
        <f t="shared" ref="DF109:DF123" si="37">ROUND(ROUND(AE109,2)*CX109,2)</f>
        <v>0</v>
      </c>
      <c r="DG109">
        <f t="shared" si="36"/>
        <v>0</v>
      </c>
      <c r="DH109">
        <f t="shared" si="35"/>
        <v>0</v>
      </c>
      <c r="DI109">
        <f t="shared" si="25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ROW(Source!A42)</f>
        <v>42</v>
      </c>
      <c r="B110">
        <v>55747649</v>
      </c>
      <c r="C110">
        <v>57261044</v>
      </c>
      <c r="D110">
        <v>54768040</v>
      </c>
      <c r="E110">
        <v>1</v>
      </c>
      <c r="F110">
        <v>1</v>
      </c>
      <c r="G110">
        <v>1081</v>
      </c>
      <c r="H110">
        <v>2</v>
      </c>
      <c r="I110" t="s">
        <v>476</v>
      </c>
      <c r="J110" t="s">
        <v>477</v>
      </c>
      <c r="K110" t="s">
        <v>478</v>
      </c>
      <c r="L110">
        <v>1368</v>
      </c>
      <c r="N110">
        <v>1011</v>
      </c>
      <c r="O110" t="s">
        <v>479</v>
      </c>
      <c r="P110" t="s">
        <v>479</v>
      </c>
      <c r="Q110">
        <v>1</v>
      </c>
      <c r="W110">
        <v>0</v>
      </c>
      <c r="X110">
        <v>1498588441</v>
      </c>
      <c r="Y110">
        <f>(AT110*1.2)</f>
        <v>0.24</v>
      </c>
      <c r="AA110">
        <v>0</v>
      </c>
      <c r="AB110">
        <v>7.44</v>
      </c>
      <c r="AC110">
        <v>0</v>
      </c>
      <c r="AD110">
        <v>0</v>
      </c>
      <c r="AE110">
        <v>0</v>
      </c>
      <c r="AF110">
        <v>7.11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0.2</v>
      </c>
      <c r="AU110" t="s">
        <v>49</v>
      </c>
      <c r="AV110">
        <v>0</v>
      </c>
      <c r="AW110">
        <v>2</v>
      </c>
      <c r="AX110">
        <v>57261046</v>
      </c>
      <c r="AY110">
        <v>1</v>
      </c>
      <c r="AZ110">
        <v>0</v>
      </c>
      <c r="BA110">
        <v>128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ROUND(Y110*Source!I42*DO110,9)</f>
        <v>0</v>
      </c>
      <c r="CX110">
        <f>ROUND(Y110*Source!I42,9)</f>
        <v>0.24</v>
      </c>
      <c r="CY110">
        <f>AB110</f>
        <v>7.44</v>
      </c>
      <c r="CZ110">
        <f>AF110</f>
        <v>7.11</v>
      </c>
      <c r="DA110">
        <f>AJ110</f>
        <v>1</v>
      </c>
      <c r="DB110">
        <f>ROUND((ROUND(AT110*CZ110,2)*1.2),6)</f>
        <v>1.704</v>
      </c>
      <c r="DC110">
        <f>ROUND((ROUND(AT110*AG110,2)*1.2),6)</f>
        <v>0</v>
      </c>
      <c r="DD110" t="s">
        <v>3</v>
      </c>
      <c r="DE110" t="s">
        <v>3</v>
      </c>
      <c r="DF110">
        <f t="shared" si="37"/>
        <v>0</v>
      </c>
      <c r="DG110">
        <f t="shared" si="36"/>
        <v>1.71</v>
      </c>
      <c r="DH110">
        <f t="shared" si="35"/>
        <v>0</v>
      </c>
      <c r="DI110">
        <f t="shared" si="25"/>
        <v>0</v>
      </c>
      <c r="DJ110">
        <f>DG110</f>
        <v>1.71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ROW(Source!A42)</f>
        <v>42</v>
      </c>
      <c r="B111">
        <v>55747649</v>
      </c>
      <c r="C111">
        <v>57261044</v>
      </c>
      <c r="D111">
        <v>54768339</v>
      </c>
      <c r="E111">
        <v>1</v>
      </c>
      <c r="F111">
        <v>1</v>
      </c>
      <c r="G111">
        <v>1081</v>
      </c>
      <c r="H111">
        <v>2</v>
      </c>
      <c r="I111" t="s">
        <v>483</v>
      </c>
      <c r="J111" t="s">
        <v>484</v>
      </c>
      <c r="K111" t="s">
        <v>485</v>
      </c>
      <c r="L111">
        <v>1368</v>
      </c>
      <c r="N111">
        <v>1011</v>
      </c>
      <c r="O111" t="s">
        <v>479</v>
      </c>
      <c r="P111" t="s">
        <v>479</v>
      </c>
      <c r="Q111">
        <v>1</v>
      </c>
      <c r="W111">
        <v>0</v>
      </c>
      <c r="X111">
        <v>874612079</v>
      </c>
      <c r="Y111">
        <f>(AT111*1.2)</f>
        <v>3.5999999999999997E-2</v>
      </c>
      <c r="AA111">
        <v>0</v>
      </c>
      <c r="AB111">
        <v>87.01</v>
      </c>
      <c r="AC111">
        <v>13.21</v>
      </c>
      <c r="AD111">
        <v>0</v>
      </c>
      <c r="AE111">
        <v>0</v>
      </c>
      <c r="AF111">
        <v>83.1</v>
      </c>
      <c r="AG111">
        <v>12.62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0.03</v>
      </c>
      <c r="AU111" t="s">
        <v>49</v>
      </c>
      <c r="AV111">
        <v>0</v>
      </c>
      <c r="AW111">
        <v>2</v>
      </c>
      <c r="AX111">
        <v>57261047</v>
      </c>
      <c r="AY111">
        <v>1</v>
      </c>
      <c r="AZ111">
        <v>0</v>
      </c>
      <c r="BA111">
        <v>129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ROUND(Y111*Source!I42*DO111,9)</f>
        <v>0.45432</v>
      </c>
      <c r="CX111">
        <f>ROUND(Y111*Source!I42,9)</f>
        <v>3.5999999999999997E-2</v>
      </c>
      <c r="CY111">
        <f>AB111</f>
        <v>87.01</v>
      </c>
      <c r="CZ111">
        <f>AF111</f>
        <v>83.1</v>
      </c>
      <c r="DA111">
        <f>AJ111</f>
        <v>1</v>
      </c>
      <c r="DB111">
        <f>ROUND((ROUND(AT111*CZ111,2)*1.2),6)</f>
        <v>2.988</v>
      </c>
      <c r="DC111">
        <f>ROUND((ROUND(AT111*AG111,2)*1.2),6)</f>
        <v>0.45600000000000002</v>
      </c>
      <c r="DD111" t="s">
        <v>3</v>
      </c>
      <c r="DE111" t="s">
        <v>3</v>
      </c>
      <c r="DF111">
        <f t="shared" si="37"/>
        <v>0</v>
      </c>
      <c r="DG111">
        <f t="shared" si="36"/>
        <v>2.99</v>
      </c>
      <c r="DH111">
        <f t="shared" si="35"/>
        <v>0.45</v>
      </c>
      <c r="DI111">
        <f t="shared" si="25"/>
        <v>0</v>
      </c>
      <c r="DJ111">
        <f>DG111</f>
        <v>2.99</v>
      </c>
      <c r="DK111">
        <v>0</v>
      </c>
      <c r="DL111" t="s">
        <v>486</v>
      </c>
      <c r="DM111">
        <v>0</v>
      </c>
      <c r="DN111" t="s">
        <v>475</v>
      </c>
      <c r="DO111">
        <v>12.62</v>
      </c>
    </row>
    <row r="112" spans="1:119" x14ac:dyDescent="0.2">
      <c r="A112">
        <f>ROW(Source!A42)</f>
        <v>42</v>
      </c>
      <c r="B112">
        <v>55747649</v>
      </c>
      <c r="C112">
        <v>57261044</v>
      </c>
      <c r="D112">
        <v>54768415</v>
      </c>
      <c r="E112">
        <v>1</v>
      </c>
      <c r="F112">
        <v>1</v>
      </c>
      <c r="G112">
        <v>1081</v>
      </c>
      <c r="H112">
        <v>2</v>
      </c>
      <c r="I112" t="s">
        <v>559</v>
      </c>
      <c r="J112" t="s">
        <v>560</v>
      </c>
      <c r="K112" t="s">
        <v>561</v>
      </c>
      <c r="L112">
        <v>1368</v>
      </c>
      <c r="N112">
        <v>1011</v>
      </c>
      <c r="O112" t="s">
        <v>479</v>
      </c>
      <c r="P112" t="s">
        <v>479</v>
      </c>
      <c r="Q112">
        <v>1</v>
      </c>
      <c r="W112">
        <v>0</v>
      </c>
      <c r="X112">
        <v>722575015</v>
      </c>
      <c r="Y112">
        <f>(AT112*1.2)</f>
        <v>0.55200000000000005</v>
      </c>
      <c r="AA112">
        <v>0</v>
      </c>
      <c r="AB112">
        <v>0.82</v>
      </c>
      <c r="AC112">
        <v>0</v>
      </c>
      <c r="AD112">
        <v>0</v>
      </c>
      <c r="AE112">
        <v>0</v>
      </c>
      <c r="AF112">
        <v>0.78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0.46</v>
      </c>
      <c r="AU112" t="s">
        <v>49</v>
      </c>
      <c r="AV112">
        <v>0</v>
      </c>
      <c r="AW112">
        <v>2</v>
      </c>
      <c r="AX112">
        <v>57261048</v>
      </c>
      <c r="AY112">
        <v>1</v>
      </c>
      <c r="AZ112">
        <v>0</v>
      </c>
      <c r="BA112">
        <v>130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ROUND(Y112*Source!I42*DO112,9)</f>
        <v>0</v>
      </c>
      <c r="CX112">
        <f>ROUND(Y112*Source!I42,9)</f>
        <v>0.55200000000000005</v>
      </c>
      <c r="CY112">
        <f>AB112</f>
        <v>0.82</v>
      </c>
      <c r="CZ112">
        <f>AF112</f>
        <v>0.78</v>
      </c>
      <c r="DA112">
        <f>AJ112</f>
        <v>1</v>
      </c>
      <c r="DB112">
        <f>ROUND((ROUND(AT112*CZ112,2)*1.2),6)</f>
        <v>0.432</v>
      </c>
      <c r="DC112">
        <f>ROUND((ROUND(AT112*AG112,2)*1.2),6)</f>
        <v>0</v>
      </c>
      <c r="DD112" t="s">
        <v>3</v>
      </c>
      <c r="DE112" t="s">
        <v>3</v>
      </c>
      <c r="DF112">
        <f t="shared" si="37"/>
        <v>0</v>
      </c>
      <c r="DG112">
        <f t="shared" si="36"/>
        <v>0.43</v>
      </c>
      <c r="DH112">
        <f t="shared" si="35"/>
        <v>0</v>
      </c>
      <c r="DI112">
        <f t="shared" si="25"/>
        <v>0</v>
      </c>
      <c r="DJ112">
        <f>DG112</f>
        <v>0.43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ROW(Source!A42)</f>
        <v>42</v>
      </c>
      <c r="B113">
        <v>55747649</v>
      </c>
      <c r="C113">
        <v>57261044</v>
      </c>
      <c r="D113">
        <v>54738430</v>
      </c>
      <c r="E113">
        <v>1</v>
      </c>
      <c r="F113">
        <v>1</v>
      </c>
      <c r="G113">
        <v>1081</v>
      </c>
      <c r="H113">
        <v>3</v>
      </c>
      <c r="I113" t="s">
        <v>562</v>
      </c>
      <c r="J113" t="s">
        <v>563</v>
      </c>
      <c r="K113" t="s">
        <v>564</v>
      </c>
      <c r="L113">
        <v>1348</v>
      </c>
      <c r="N113">
        <v>1009</v>
      </c>
      <c r="O113" t="s">
        <v>282</v>
      </c>
      <c r="P113" t="s">
        <v>282</v>
      </c>
      <c r="Q113">
        <v>1000</v>
      </c>
      <c r="W113">
        <v>0</v>
      </c>
      <c r="X113">
        <v>63955816</v>
      </c>
      <c r="Y113">
        <f t="shared" ref="Y113:Y119" si="38">(AT113*1)</f>
        <v>1.21E-4</v>
      </c>
      <c r="AA113">
        <v>7185.82</v>
      </c>
      <c r="AB113">
        <v>0</v>
      </c>
      <c r="AC113">
        <v>0</v>
      </c>
      <c r="AD113">
        <v>0</v>
      </c>
      <c r="AE113">
        <v>7185.82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1.21E-4</v>
      </c>
      <c r="AU113" t="s">
        <v>48</v>
      </c>
      <c r="AV113">
        <v>0</v>
      </c>
      <c r="AW113">
        <v>2</v>
      </c>
      <c r="AX113">
        <v>57261049</v>
      </c>
      <c r="AY113">
        <v>1</v>
      </c>
      <c r="AZ113">
        <v>0</v>
      </c>
      <c r="BA113">
        <v>131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ROUND(Y113*Source!I42,9)</f>
        <v>1.21E-4</v>
      </c>
      <c r="CY113">
        <f t="shared" ref="CY113:CY119" si="39">AA113</f>
        <v>7185.82</v>
      </c>
      <c r="CZ113">
        <f t="shared" ref="CZ113:CZ119" si="40">AE113</f>
        <v>7185.82</v>
      </c>
      <c r="DA113">
        <f t="shared" ref="DA113:DA119" si="41">AI113</f>
        <v>1</v>
      </c>
      <c r="DB113">
        <f t="shared" ref="DB113:DB119" si="42">ROUND((ROUND(AT113*CZ113,2)*1),6)</f>
        <v>0.87</v>
      </c>
      <c r="DC113">
        <f t="shared" ref="DC113:DC119" si="43">ROUND((ROUND(AT113*AG113,2)*1),6)</f>
        <v>0</v>
      </c>
      <c r="DD113" t="s">
        <v>3</v>
      </c>
      <c r="DE113" t="s">
        <v>3</v>
      </c>
      <c r="DF113">
        <f t="shared" si="37"/>
        <v>0.87</v>
      </c>
      <c r="DG113">
        <f t="shared" si="36"/>
        <v>0</v>
      </c>
      <c r="DH113">
        <f t="shared" si="35"/>
        <v>0</v>
      </c>
      <c r="DI113">
        <f t="shared" si="25"/>
        <v>0</v>
      </c>
      <c r="DJ113">
        <f t="shared" ref="DJ113:DJ119" si="44">DF113</f>
        <v>0.87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ROW(Source!A42)</f>
        <v>42</v>
      </c>
      <c r="B114">
        <v>55747649</v>
      </c>
      <c r="C114">
        <v>57261044</v>
      </c>
      <c r="D114">
        <v>54738439</v>
      </c>
      <c r="E114">
        <v>1</v>
      </c>
      <c r="F114">
        <v>1</v>
      </c>
      <c r="G114">
        <v>1081</v>
      </c>
      <c r="H114">
        <v>3</v>
      </c>
      <c r="I114" t="s">
        <v>565</v>
      </c>
      <c r="J114" t="s">
        <v>566</v>
      </c>
      <c r="K114" t="s">
        <v>567</v>
      </c>
      <c r="L114">
        <v>1346</v>
      </c>
      <c r="N114">
        <v>1009</v>
      </c>
      <c r="O114" t="s">
        <v>503</v>
      </c>
      <c r="P114" t="s">
        <v>503</v>
      </c>
      <c r="Q114">
        <v>1</v>
      </c>
      <c r="W114">
        <v>0</v>
      </c>
      <c r="X114">
        <v>-734926838</v>
      </c>
      <c r="Y114">
        <f t="shared" si="38"/>
        <v>2.3E-2</v>
      </c>
      <c r="AA114">
        <v>29.82</v>
      </c>
      <c r="AB114">
        <v>0</v>
      </c>
      <c r="AC114">
        <v>0</v>
      </c>
      <c r="AD114">
        <v>0</v>
      </c>
      <c r="AE114">
        <v>29.82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2.3E-2</v>
      </c>
      <c r="AU114" t="s">
        <v>48</v>
      </c>
      <c r="AV114">
        <v>0</v>
      </c>
      <c r="AW114">
        <v>2</v>
      </c>
      <c r="AX114">
        <v>57261050</v>
      </c>
      <c r="AY114">
        <v>1</v>
      </c>
      <c r="AZ114">
        <v>0</v>
      </c>
      <c r="BA114">
        <v>132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ROUND(Y114*Source!I42,9)</f>
        <v>2.3E-2</v>
      </c>
      <c r="CY114">
        <f t="shared" si="39"/>
        <v>29.82</v>
      </c>
      <c r="CZ114">
        <f t="shared" si="40"/>
        <v>29.82</v>
      </c>
      <c r="DA114">
        <f t="shared" si="41"/>
        <v>1</v>
      </c>
      <c r="DB114">
        <f t="shared" si="42"/>
        <v>0.69</v>
      </c>
      <c r="DC114">
        <f t="shared" si="43"/>
        <v>0</v>
      </c>
      <c r="DD114" t="s">
        <v>3</v>
      </c>
      <c r="DE114" t="s">
        <v>3</v>
      </c>
      <c r="DF114">
        <f t="shared" si="37"/>
        <v>0.69</v>
      </c>
      <c r="DG114">
        <f t="shared" si="36"/>
        <v>0</v>
      </c>
      <c r="DH114">
        <f t="shared" si="35"/>
        <v>0</v>
      </c>
      <c r="DI114">
        <f t="shared" si="25"/>
        <v>0</v>
      </c>
      <c r="DJ114">
        <f t="shared" si="44"/>
        <v>0.69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ROW(Source!A42)</f>
        <v>42</v>
      </c>
      <c r="B115">
        <v>55747649</v>
      </c>
      <c r="C115">
        <v>57261044</v>
      </c>
      <c r="D115">
        <v>54737410</v>
      </c>
      <c r="E115">
        <v>1</v>
      </c>
      <c r="F115">
        <v>1</v>
      </c>
      <c r="G115">
        <v>1081</v>
      </c>
      <c r="H115">
        <v>3</v>
      </c>
      <c r="I115" t="s">
        <v>280</v>
      </c>
      <c r="J115" t="s">
        <v>283</v>
      </c>
      <c r="K115" t="s">
        <v>281</v>
      </c>
      <c r="L115">
        <v>1348</v>
      </c>
      <c r="N115">
        <v>1009</v>
      </c>
      <c r="O115" t="s">
        <v>282</v>
      </c>
      <c r="P115" t="s">
        <v>282</v>
      </c>
      <c r="Q115">
        <v>1000</v>
      </c>
      <c r="W115">
        <v>0</v>
      </c>
      <c r="X115">
        <v>650902129</v>
      </c>
      <c r="Y115">
        <f t="shared" si="38"/>
        <v>1.8E-5</v>
      </c>
      <c r="AA115">
        <v>18653.07</v>
      </c>
      <c r="AB115">
        <v>0</v>
      </c>
      <c r="AC115">
        <v>0</v>
      </c>
      <c r="AD115">
        <v>0</v>
      </c>
      <c r="AE115">
        <v>18653.07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1.8E-5</v>
      </c>
      <c r="AU115" t="s">
        <v>48</v>
      </c>
      <c r="AV115">
        <v>0</v>
      </c>
      <c r="AW115">
        <v>2</v>
      </c>
      <c r="AX115">
        <v>57261051</v>
      </c>
      <c r="AY115">
        <v>1</v>
      </c>
      <c r="AZ115">
        <v>0</v>
      </c>
      <c r="BA115">
        <v>133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ROUND(Y115*Source!I42,9)</f>
        <v>1.8E-5</v>
      </c>
      <c r="CY115">
        <f t="shared" si="39"/>
        <v>18653.07</v>
      </c>
      <c r="CZ115">
        <f t="shared" si="40"/>
        <v>18653.07</v>
      </c>
      <c r="DA115">
        <f t="shared" si="41"/>
        <v>1</v>
      </c>
      <c r="DB115">
        <f t="shared" si="42"/>
        <v>0.34</v>
      </c>
      <c r="DC115">
        <f t="shared" si="43"/>
        <v>0</v>
      </c>
      <c r="DD115" t="s">
        <v>3</v>
      </c>
      <c r="DE115" t="s">
        <v>3</v>
      </c>
      <c r="DF115">
        <f t="shared" si="37"/>
        <v>0.34</v>
      </c>
      <c r="DG115">
        <f t="shared" si="36"/>
        <v>0</v>
      </c>
      <c r="DH115">
        <f t="shared" si="35"/>
        <v>0</v>
      </c>
      <c r="DI115">
        <f t="shared" si="25"/>
        <v>0</v>
      </c>
      <c r="DJ115">
        <f t="shared" si="44"/>
        <v>0.34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ROW(Source!A42)</f>
        <v>42</v>
      </c>
      <c r="B116">
        <v>55747649</v>
      </c>
      <c r="C116">
        <v>57261044</v>
      </c>
      <c r="D116">
        <v>54739199</v>
      </c>
      <c r="E116">
        <v>1</v>
      </c>
      <c r="F116">
        <v>1</v>
      </c>
      <c r="G116">
        <v>1081</v>
      </c>
      <c r="H116">
        <v>3</v>
      </c>
      <c r="I116" t="s">
        <v>568</v>
      </c>
      <c r="J116" t="s">
        <v>569</v>
      </c>
      <c r="K116" t="s">
        <v>570</v>
      </c>
      <c r="L116">
        <v>1348</v>
      </c>
      <c r="N116">
        <v>1009</v>
      </c>
      <c r="O116" t="s">
        <v>282</v>
      </c>
      <c r="P116" t="s">
        <v>282</v>
      </c>
      <c r="Q116">
        <v>1000</v>
      </c>
      <c r="W116">
        <v>0</v>
      </c>
      <c r="X116">
        <v>-1438474524</v>
      </c>
      <c r="Y116">
        <f t="shared" si="38"/>
        <v>2.3780000000000001E-4</v>
      </c>
      <c r="AA116">
        <v>11487.92</v>
      </c>
      <c r="AB116">
        <v>0</v>
      </c>
      <c r="AC116">
        <v>0</v>
      </c>
      <c r="AD116">
        <v>0</v>
      </c>
      <c r="AE116">
        <v>11487.92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2.3780000000000001E-4</v>
      </c>
      <c r="AU116" t="s">
        <v>48</v>
      </c>
      <c r="AV116">
        <v>0</v>
      </c>
      <c r="AW116">
        <v>2</v>
      </c>
      <c r="AX116">
        <v>57261052</v>
      </c>
      <c r="AY116">
        <v>1</v>
      </c>
      <c r="AZ116">
        <v>0</v>
      </c>
      <c r="BA116">
        <v>134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ROUND(Y116*Source!I42,9)</f>
        <v>2.3780000000000001E-4</v>
      </c>
      <c r="CY116">
        <f t="shared" si="39"/>
        <v>11487.92</v>
      </c>
      <c r="CZ116">
        <f t="shared" si="40"/>
        <v>11487.92</v>
      </c>
      <c r="DA116">
        <f t="shared" si="41"/>
        <v>1</v>
      </c>
      <c r="DB116">
        <f t="shared" si="42"/>
        <v>2.73</v>
      </c>
      <c r="DC116">
        <f t="shared" si="43"/>
        <v>0</v>
      </c>
      <c r="DD116" t="s">
        <v>3</v>
      </c>
      <c r="DE116" t="s">
        <v>3</v>
      </c>
      <c r="DF116">
        <f t="shared" si="37"/>
        <v>2.73</v>
      </c>
      <c r="DG116">
        <f t="shared" si="36"/>
        <v>0</v>
      </c>
      <c r="DH116">
        <f t="shared" si="35"/>
        <v>0</v>
      </c>
      <c r="DI116">
        <f t="shared" si="25"/>
        <v>0</v>
      </c>
      <c r="DJ116">
        <f t="shared" si="44"/>
        <v>2.73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ROW(Source!A42)</f>
        <v>42</v>
      </c>
      <c r="B117">
        <v>55747649</v>
      </c>
      <c r="C117">
        <v>57261044</v>
      </c>
      <c r="D117">
        <v>54739762</v>
      </c>
      <c r="E117">
        <v>1</v>
      </c>
      <c r="F117">
        <v>1</v>
      </c>
      <c r="G117">
        <v>1081</v>
      </c>
      <c r="H117">
        <v>3</v>
      </c>
      <c r="I117" t="s">
        <v>571</v>
      </c>
      <c r="J117" t="s">
        <v>572</v>
      </c>
      <c r="K117" t="s">
        <v>573</v>
      </c>
      <c r="L117">
        <v>1348</v>
      </c>
      <c r="N117">
        <v>1009</v>
      </c>
      <c r="O117" t="s">
        <v>282</v>
      </c>
      <c r="P117" t="s">
        <v>282</v>
      </c>
      <c r="Q117">
        <v>1000</v>
      </c>
      <c r="W117">
        <v>0</v>
      </c>
      <c r="X117">
        <v>567151722</v>
      </c>
      <c r="Y117">
        <f t="shared" si="38"/>
        <v>7.0000000000000001E-3</v>
      </c>
      <c r="AA117">
        <v>12089.95</v>
      </c>
      <c r="AB117">
        <v>0</v>
      </c>
      <c r="AC117">
        <v>0</v>
      </c>
      <c r="AD117">
        <v>0</v>
      </c>
      <c r="AE117">
        <v>12089.95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7.0000000000000001E-3</v>
      </c>
      <c r="AU117" t="s">
        <v>48</v>
      </c>
      <c r="AV117">
        <v>0</v>
      </c>
      <c r="AW117">
        <v>2</v>
      </c>
      <c r="AX117">
        <v>57261053</v>
      </c>
      <c r="AY117">
        <v>1</v>
      </c>
      <c r="AZ117">
        <v>0</v>
      </c>
      <c r="BA117">
        <v>135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ROUND(Y117*Source!I42,9)</f>
        <v>7.0000000000000001E-3</v>
      </c>
      <c r="CY117">
        <f t="shared" si="39"/>
        <v>12089.95</v>
      </c>
      <c r="CZ117">
        <f t="shared" si="40"/>
        <v>12089.95</v>
      </c>
      <c r="DA117">
        <f t="shared" si="41"/>
        <v>1</v>
      </c>
      <c r="DB117">
        <f t="shared" si="42"/>
        <v>84.63</v>
      </c>
      <c r="DC117">
        <f t="shared" si="43"/>
        <v>0</v>
      </c>
      <c r="DD117" t="s">
        <v>3</v>
      </c>
      <c r="DE117" t="s">
        <v>3</v>
      </c>
      <c r="DF117">
        <f t="shared" si="37"/>
        <v>84.63</v>
      </c>
      <c r="DG117">
        <f t="shared" si="36"/>
        <v>0</v>
      </c>
      <c r="DH117">
        <f t="shared" si="35"/>
        <v>0</v>
      </c>
      <c r="DI117">
        <f t="shared" si="25"/>
        <v>0</v>
      </c>
      <c r="DJ117">
        <f t="shared" si="44"/>
        <v>84.63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ROW(Source!A42)</f>
        <v>42</v>
      </c>
      <c r="B118">
        <v>55747649</v>
      </c>
      <c r="C118">
        <v>57261044</v>
      </c>
      <c r="D118">
        <v>54737961</v>
      </c>
      <c r="E118">
        <v>1</v>
      </c>
      <c r="F118">
        <v>1</v>
      </c>
      <c r="G118">
        <v>1081</v>
      </c>
      <c r="H118">
        <v>3</v>
      </c>
      <c r="I118" t="s">
        <v>574</v>
      </c>
      <c r="J118" t="s">
        <v>575</v>
      </c>
      <c r="K118" t="s">
        <v>576</v>
      </c>
      <c r="L118">
        <v>1348</v>
      </c>
      <c r="N118">
        <v>1009</v>
      </c>
      <c r="O118" t="s">
        <v>282</v>
      </c>
      <c r="P118" t="s">
        <v>282</v>
      </c>
      <c r="Q118">
        <v>1000</v>
      </c>
      <c r="W118">
        <v>0</v>
      </c>
      <c r="X118">
        <v>-425904385</v>
      </c>
      <c r="Y118">
        <f t="shared" si="38"/>
        <v>1.0000000000000001E-5</v>
      </c>
      <c r="AA118">
        <v>8582.42</v>
      </c>
      <c r="AB118">
        <v>0</v>
      </c>
      <c r="AC118">
        <v>0</v>
      </c>
      <c r="AD118">
        <v>0</v>
      </c>
      <c r="AE118">
        <v>8582.42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1.0000000000000001E-5</v>
      </c>
      <c r="AU118" t="s">
        <v>48</v>
      </c>
      <c r="AV118">
        <v>0</v>
      </c>
      <c r="AW118">
        <v>2</v>
      </c>
      <c r="AX118">
        <v>57261054</v>
      </c>
      <c r="AY118">
        <v>1</v>
      </c>
      <c r="AZ118">
        <v>0</v>
      </c>
      <c r="BA118">
        <v>136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ROUND(Y118*Source!I42,9)</f>
        <v>1.0000000000000001E-5</v>
      </c>
      <c r="CY118">
        <f t="shared" si="39"/>
        <v>8582.42</v>
      </c>
      <c r="CZ118">
        <f t="shared" si="40"/>
        <v>8582.42</v>
      </c>
      <c r="DA118">
        <f t="shared" si="41"/>
        <v>1</v>
      </c>
      <c r="DB118">
        <f t="shared" si="42"/>
        <v>0.09</v>
      </c>
      <c r="DC118">
        <f t="shared" si="43"/>
        <v>0</v>
      </c>
      <c r="DD118" t="s">
        <v>3</v>
      </c>
      <c r="DE118" t="s">
        <v>3</v>
      </c>
      <c r="DF118">
        <f t="shared" si="37"/>
        <v>0.09</v>
      </c>
      <c r="DG118">
        <f t="shared" si="36"/>
        <v>0</v>
      </c>
      <c r="DH118">
        <f t="shared" si="35"/>
        <v>0</v>
      </c>
      <c r="DI118">
        <f t="shared" si="25"/>
        <v>0</v>
      </c>
      <c r="DJ118">
        <f t="shared" si="44"/>
        <v>0.09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ROW(Source!A42)</f>
        <v>42</v>
      </c>
      <c r="B119">
        <v>55747649</v>
      </c>
      <c r="C119">
        <v>57261044</v>
      </c>
      <c r="D119">
        <v>54737965</v>
      </c>
      <c r="E119">
        <v>1</v>
      </c>
      <c r="F119">
        <v>1</v>
      </c>
      <c r="G119">
        <v>1081</v>
      </c>
      <c r="H119">
        <v>3</v>
      </c>
      <c r="I119" t="s">
        <v>577</v>
      </c>
      <c r="J119" t="s">
        <v>578</v>
      </c>
      <c r="K119" t="s">
        <v>579</v>
      </c>
      <c r="L119">
        <v>1348</v>
      </c>
      <c r="N119">
        <v>1009</v>
      </c>
      <c r="O119" t="s">
        <v>282</v>
      </c>
      <c r="P119" t="s">
        <v>282</v>
      </c>
      <c r="Q119">
        <v>1000</v>
      </c>
      <c r="W119">
        <v>0</v>
      </c>
      <c r="X119">
        <v>-1860917919</v>
      </c>
      <c r="Y119">
        <f t="shared" si="38"/>
        <v>1.9999999999999999E-6</v>
      </c>
      <c r="AA119">
        <v>12521.99</v>
      </c>
      <c r="AB119">
        <v>0</v>
      </c>
      <c r="AC119">
        <v>0</v>
      </c>
      <c r="AD119">
        <v>0</v>
      </c>
      <c r="AE119">
        <v>12521.99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1.9999999999999999E-6</v>
      </c>
      <c r="AU119" t="s">
        <v>48</v>
      </c>
      <c r="AV119">
        <v>0</v>
      </c>
      <c r="AW119">
        <v>2</v>
      </c>
      <c r="AX119">
        <v>57261055</v>
      </c>
      <c r="AY119">
        <v>1</v>
      </c>
      <c r="AZ119">
        <v>0</v>
      </c>
      <c r="BA119">
        <v>137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ROUND(Y119*Source!I42,9)</f>
        <v>1.9999999999999999E-6</v>
      </c>
      <c r="CY119">
        <f t="shared" si="39"/>
        <v>12521.99</v>
      </c>
      <c r="CZ119">
        <f t="shared" si="40"/>
        <v>12521.99</v>
      </c>
      <c r="DA119">
        <f t="shared" si="41"/>
        <v>1</v>
      </c>
      <c r="DB119">
        <f t="shared" si="42"/>
        <v>0.03</v>
      </c>
      <c r="DC119">
        <f t="shared" si="43"/>
        <v>0</v>
      </c>
      <c r="DD119" t="s">
        <v>3</v>
      </c>
      <c r="DE119" t="s">
        <v>3</v>
      </c>
      <c r="DF119">
        <f t="shared" si="37"/>
        <v>0.03</v>
      </c>
      <c r="DG119">
        <f t="shared" si="36"/>
        <v>0</v>
      </c>
      <c r="DH119">
        <f t="shared" si="35"/>
        <v>0</v>
      </c>
      <c r="DI119">
        <f t="shared" si="25"/>
        <v>0</v>
      </c>
      <c r="DJ119">
        <f t="shared" si="44"/>
        <v>0.03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ROW(Source!A43)</f>
        <v>43</v>
      </c>
      <c r="B120">
        <v>55747651</v>
      </c>
      <c r="C120">
        <v>57261044</v>
      </c>
      <c r="D120">
        <v>54702434</v>
      </c>
      <c r="E120">
        <v>1081</v>
      </c>
      <c r="F120">
        <v>1</v>
      </c>
      <c r="G120">
        <v>1081</v>
      </c>
      <c r="H120">
        <v>1</v>
      </c>
      <c r="I120" t="s">
        <v>473</v>
      </c>
      <c r="J120" t="s">
        <v>3</v>
      </c>
      <c r="K120" t="s">
        <v>474</v>
      </c>
      <c r="L120">
        <v>1191</v>
      </c>
      <c r="N120">
        <v>1013</v>
      </c>
      <c r="O120" t="s">
        <v>475</v>
      </c>
      <c r="P120" t="s">
        <v>475</v>
      </c>
      <c r="Q120">
        <v>1</v>
      </c>
      <c r="W120">
        <v>0</v>
      </c>
      <c r="X120">
        <v>476480486</v>
      </c>
      <c r="Y120">
        <f>(AT120*1.2)</f>
        <v>6.1800000000000006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5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5.15</v>
      </c>
      <c r="AU120" t="s">
        <v>49</v>
      </c>
      <c r="AV120">
        <v>1</v>
      </c>
      <c r="AW120">
        <v>2</v>
      </c>
      <c r="AX120">
        <v>57261045</v>
      </c>
      <c r="AY120">
        <v>1</v>
      </c>
      <c r="AZ120">
        <v>0</v>
      </c>
      <c r="BA120">
        <v>139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ROUND(AT120*Source!I43*AH120*AL120,2)</f>
        <v>0</v>
      </c>
      <c r="CV120">
        <f>ROUND(Y120*Source!I43,9)</f>
        <v>6.18</v>
      </c>
      <c r="CW120">
        <v>0</v>
      </c>
      <c r="CX120">
        <f>ROUND(Y120*Source!I43,9)</f>
        <v>6.18</v>
      </c>
      <c r="CY120">
        <f>AD120</f>
        <v>0</v>
      </c>
      <c r="CZ120">
        <f>AH120</f>
        <v>0</v>
      </c>
      <c r="DA120">
        <f>AL120</f>
        <v>1</v>
      </c>
      <c r="DB120">
        <f>ROUND((ROUND(AT120*CZ120,2)*1.2),6)</f>
        <v>0</v>
      </c>
      <c r="DC120">
        <f>ROUND((ROUND(AT120*AG120,2)*1.2),6)</f>
        <v>0</v>
      </c>
      <c r="DD120" t="s">
        <v>3</v>
      </c>
      <c r="DE120" t="s">
        <v>3</v>
      </c>
      <c r="DF120">
        <f t="shared" si="37"/>
        <v>0</v>
      </c>
      <c r="DG120">
        <f t="shared" si="36"/>
        <v>0</v>
      </c>
      <c r="DH120">
        <f t="shared" si="35"/>
        <v>0</v>
      </c>
      <c r="DI120">
        <f t="shared" si="25"/>
        <v>0</v>
      </c>
      <c r="DJ120">
        <f>DI120</f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ROW(Source!A43)</f>
        <v>43</v>
      </c>
      <c r="B121">
        <v>55747651</v>
      </c>
      <c r="C121">
        <v>57261044</v>
      </c>
      <c r="D121">
        <v>54768040</v>
      </c>
      <c r="E121">
        <v>1</v>
      </c>
      <c r="F121">
        <v>1</v>
      </c>
      <c r="G121">
        <v>1081</v>
      </c>
      <c r="H121">
        <v>2</v>
      </c>
      <c r="I121" t="s">
        <v>476</v>
      </c>
      <c r="J121" t="s">
        <v>477</v>
      </c>
      <c r="K121" t="s">
        <v>478</v>
      </c>
      <c r="L121">
        <v>1368</v>
      </c>
      <c r="N121">
        <v>1011</v>
      </c>
      <c r="O121" t="s">
        <v>479</v>
      </c>
      <c r="P121" t="s">
        <v>479</v>
      </c>
      <c r="Q121">
        <v>1</v>
      </c>
      <c r="W121">
        <v>0</v>
      </c>
      <c r="X121">
        <v>1498588441</v>
      </c>
      <c r="Y121">
        <f>(AT121*1.2)</f>
        <v>0.24</v>
      </c>
      <c r="AA121">
        <v>0</v>
      </c>
      <c r="AB121">
        <v>100.2</v>
      </c>
      <c r="AC121">
        <v>0</v>
      </c>
      <c r="AD121">
        <v>0</v>
      </c>
      <c r="AE121">
        <v>0</v>
      </c>
      <c r="AF121">
        <v>7.11</v>
      </c>
      <c r="AG121">
        <v>0</v>
      </c>
      <c r="AH121">
        <v>0</v>
      </c>
      <c r="AI121">
        <v>1</v>
      </c>
      <c r="AJ121">
        <v>13.46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0.2</v>
      </c>
      <c r="AU121" t="s">
        <v>49</v>
      </c>
      <c r="AV121">
        <v>0</v>
      </c>
      <c r="AW121">
        <v>2</v>
      </c>
      <c r="AX121">
        <v>57261046</v>
      </c>
      <c r="AY121">
        <v>1</v>
      </c>
      <c r="AZ121">
        <v>0</v>
      </c>
      <c r="BA121">
        <v>140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ROUND(Y121*Source!I43*DO121,9)</f>
        <v>0</v>
      </c>
      <c r="CX121">
        <f>ROUND(Y121*Source!I43,9)</f>
        <v>0.24</v>
      </c>
      <c r="CY121">
        <f>AB121</f>
        <v>100.2</v>
      </c>
      <c r="CZ121">
        <f>AF121</f>
        <v>7.11</v>
      </c>
      <c r="DA121">
        <f>AJ121</f>
        <v>13.46</v>
      </c>
      <c r="DB121">
        <f>ROUND((ROUND(AT121*CZ121,2)*1.2),6)</f>
        <v>1.704</v>
      </c>
      <c r="DC121">
        <f>ROUND((ROUND(AT121*AG121,2)*1.2),6)</f>
        <v>0</v>
      </c>
      <c r="DD121" t="s">
        <v>3</v>
      </c>
      <c r="DE121" t="s">
        <v>3</v>
      </c>
      <c r="DF121">
        <f t="shared" si="37"/>
        <v>0</v>
      </c>
      <c r="DG121">
        <f>ROUND(ROUND(AF121*AJ121,2)*CX121,2)</f>
        <v>22.97</v>
      </c>
      <c r="DH121">
        <f t="shared" si="35"/>
        <v>0</v>
      </c>
      <c r="DI121">
        <f t="shared" si="25"/>
        <v>0</v>
      </c>
      <c r="DJ121">
        <f>DG121</f>
        <v>22.97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ROW(Source!A43)</f>
        <v>43</v>
      </c>
      <c r="B122">
        <v>55747651</v>
      </c>
      <c r="C122">
        <v>57261044</v>
      </c>
      <c r="D122">
        <v>54768339</v>
      </c>
      <c r="E122">
        <v>1</v>
      </c>
      <c r="F122">
        <v>1</v>
      </c>
      <c r="G122">
        <v>1081</v>
      </c>
      <c r="H122">
        <v>2</v>
      </c>
      <c r="I122" t="s">
        <v>483</v>
      </c>
      <c r="J122" t="s">
        <v>484</v>
      </c>
      <c r="K122" t="s">
        <v>485</v>
      </c>
      <c r="L122">
        <v>1368</v>
      </c>
      <c r="N122">
        <v>1011</v>
      </c>
      <c r="O122" t="s">
        <v>479</v>
      </c>
      <c r="P122" t="s">
        <v>479</v>
      </c>
      <c r="Q122">
        <v>1</v>
      </c>
      <c r="W122">
        <v>0</v>
      </c>
      <c r="X122">
        <v>874612079</v>
      </c>
      <c r="Y122">
        <f>(AT122*1.2)</f>
        <v>3.5999999999999997E-2</v>
      </c>
      <c r="AA122">
        <v>0</v>
      </c>
      <c r="AB122">
        <v>1485.19</v>
      </c>
      <c r="AC122">
        <v>744.56</v>
      </c>
      <c r="AD122">
        <v>0</v>
      </c>
      <c r="AE122">
        <v>0</v>
      </c>
      <c r="AF122">
        <v>83.1</v>
      </c>
      <c r="AG122">
        <v>12.62</v>
      </c>
      <c r="AH122">
        <v>0</v>
      </c>
      <c r="AI122">
        <v>1</v>
      </c>
      <c r="AJ122">
        <v>17.07</v>
      </c>
      <c r="AK122">
        <v>56.35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0.03</v>
      </c>
      <c r="AU122" t="s">
        <v>49</v>
      </c>
      <c r="AV122">
        <v>0</v>
      </c>
      <c r="AW122">
        <v>2</v>
      </c>
      <c r="AX122">
        <v>57261047</v>
      </c>
      <c r="AY122">
        <v>1</v>
      </c>
      <c r="AZ122">
        <v>0</v>
      </c>
      <c r="BA122">
        <v>141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ROUND(Y122*Source!I43*DO122,9)</f>
        <v>0.45432</v>
      </c>
      <c r="CX122">
        <f>ROUND(Y122*Source!I43,9)</f>
        <v>3.5999999999999997E-2</v>
      </c>
      <c r="CY122">
        <f>AB122</f>
        <v>1485.19</v>
      </c>
      <c r="CZ122">
        <f>AF122</f>
        <v>83.1</v>
      </c>
      <c r="DA122">
        <f>AJ122</f>
        <v>17.07</v>
      </c>
      <c r="DB122">
        <f>ROUND((ROUND(AT122*CZ122,2)*1.2),6)</f>
        <v>2.988</v>
      </c>
      <c r="DC122">
        <f>ROUND((ROUND(AT122*AG122,2)*1.2),6)</f>
        <v>0.45600000000000002</v>
      </c>
      <c r="DD122" t="s">
        <v>3</v>
      </c>
      <c r="DE122" t="s">
        <v>3</v>
      </c>
      <c r="DF122">
        <f t="shared" si="37"/>
        <v>0</v>
      </c>
      <c r="DG122">
        <f>ROUND(ROUND(AF122*AJ122,2)*CX122,2)</f>
        <v>51.07</v>
      </c>
      <c r="DH122">
        <f>ROUND(ROUND(AG122*AK122,2)*CX122,2)</f>
        <v>25.6</v>
      </c>
      <c r="DI122">
        <f t="shared" si="25"/>
        <v>0</v>
      </c>
      <c r="DJ122">
        <f>DG122</f>
        <v>51.07</v>
      </c>
      <c r="DK122">
        <v>0</v>
      </c>
      <c r="DL122" t="s">
        <v>486</v>
      </c>
      <c r="DM122">
        <v>0</v>
      </c>
      <c r="DN122" t="s">
        <v>475</v>
      </c>
      <c r="DO122">
        <v>12.62</v>
      </c>
    </row>
    <row r="123" spans="1:119" x14ac:dyDescent="0.2">
      <c r="A123">
        <f>ROW(Source!A43)</f>
        <v>43</v>
      </c>
      <c r="B123">
        <v>55747651</v>
      </c>
      <c r="C123">
        <v>57261044</v>
      </c>
      <c r="D123">
        <v>54768415</v>
      </c>
      <c r="E123">
        <v>1</v>
      </c>
      <c r="F123">
        <v>1</v>
      </c>
      <c r="G123">
        <v>1081</v>
      </c>
      <c r="H123">
        <v>2</v>
      </c>
      <c r="I123" t="s">
        <v>559</v>
      </c>
      <c r="J123" t="s">
        <v>560</v>
      </c>
      <c r="K123" t="s">
        <v>561</v>
      </c>
      <c r="L123">
        <v>1368</v>
      </c>
      <c r="N123">
        <v>1011</v>
      </c>
      <c r="O123" t="s">
        <v>479</v>
      </c>
      <c r="P123" t="s">
        <v>479</v>
      </c>
      <c r="Q123">
        <v>1</v>
      </c>
      <c r="W123">
        <v>0</v>
      </c>
      <c r="X123">
        <v>722575015</v>
      </c>
      <c r="Y123">
        <f>(AT123*1.2)</f>
        <v>0.55200000000000005</v>
      </c>
      <c r="AA123">
        <v>0</v>
      </c>
      <c r="AB123">
        <v>7.83</v>
      </c>
      <c r="AC123">
        <v>0</v>
      </c>
      <c r="AD123">
        <v>0</v>
      </c>
      <c r="AE123">
        <v>0</v>
      </c>
      <c r="AF123">
        <v>0.78</v>
      </c>
      <c r="AG123">
        <v>0</v>
      </c>
      <c r="AH123">
        <v>0</v>
      </c>
      <c r="AI123">
        <v>1</v>
      </c>
      <c r="AJ123">
        <v>9.59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0.46</v>
      </c>
      <c r="AU123" t="s">
        <v>49</v>
      </c>
      <c r="AV123">
        <v>0</v>
      </c>
      <c r="AW123">
        <v>2</v>
      </c>
      <c r="AX123">
        <v>57261048</v>
      </c>
      <c r="AY123">
        <v>1</v>
      </c>
      <c r="AZ123">
        <v>0</v>
      </c>
      <c r="BA123">
        <v>142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ROUND(Y123*Source!I43*DO123,9)</f>
        <v>0</v>
      </c>
      <c r="CX123">
        <f>ROUND(Y123*Source!I43,9)</f>
        <v>0.55200000000000005</v>
      </c>
      <c r="CY123">
        <f>AB123</f>
        <v>7.83</v>
      </c>
      <c r="CZ123">
        <f>AF123</f>
        <v>0.78</v>
      </c>
      <c r="DA123">
        <f>AJ123</f>
        <v>9.59</v>
      </c>
      <c r="DB123">
        <f>ROUND((ROUND(AT123*CZ123,2)*1.2),6)</f>
        <v>0.432</v>
      </c>
      <c r="DC123">
        <f>ROUND((ROUND(AT123*AG123,2)*1.2),6)</f>
        <v>0</v>
      </c>
      <c r="DD123" t="s">
        <v>3</v>
      </c>
      <c r="DE123" t="s">
        <v>3</v>
      </c>
      <c r="DF123">
        <f t="shared" si="37"/>
        <v>0</v>
      </c>
      <c r="DG123">
        <f>ROUND(ROUND(AF123*AJ123,2)*CX123,2)</f>
        <v>4.13</v>
      </c>
      <c r="DH123">
        <f t="shared" ref="DH123:DH136" si="45">ROUND(ROUND(AG123,2)*CX123,2)</f>
        <v>0</v>
      </c>
      <c r="DI123">
        <f t="shared" si="25"/>
        <v>0</v>
      </c>
      <c r="DJ123">
        <f>DG123</f>
        <v>4.13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ROW(Source!A43)</f>
        <v>43</v>
      </c>
      <c r="B124">
        <v>55747651</v>
      </c>
      <c r="C124">
        <v>57261044</v>
      </c>
      <c r="D124">
        <v>54738430</v>
      </c>
      <c r="E124">
        <v>1</v>
      </c>
      <c r="F124">
        <v>1</v>
      </c>
      <c r="G124">
        <v>1081</v>
      </c>
      <c r="H124">
        <v>3</v>
      </c>
      <c r="I124" t="s">
        <v>562</v>
      </c>
      <c r="J124" t="s">
        <v>563</v>
      </c>
      <c r="K124" t="s">
        <v>564</v>
      </c>
      <c r="L124">
        <v>1348</v>
      </c>
      <c r="N124">
        <v>1009</v>
      </c>
      <c r="O124" t="s">
        <v>282</v>
      </c>
      <c r="P124" t="s">
        <v>282</v>
      </c>
      <c r="Q124">
        <v>1000</v>
      </c>
      <c r="W124">
        <v>0</v>
      </c>
      <c r="X124">
        <v>63955816</v>
      </c>
      <c r="Y124">
        <f t="shared" ref="Y124:Y130" si="46">(AT124*1)</f>
        <v>1.21E-4</v>
      </c>
      <c r="AA124">
        <v>96793</v>
      </c>
      <c r="AB124">
        <v>0</v>
      </c>
      <c r="AC124">
        <v>0</v>
      </c>
      <c r="AD124">
        <v>0</v>
      </c>
      <c r="AE124">
        <v>7185.82</v>
      </c>
      <c r="AF124">
        <v>0</v>
      </c>
      <c r="AG124">
        <v>0</v>
      </c>
      <c r="AH124">
        <v>0</v>
      </c>
      <c r="AI124">
        <v>13.47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1.21E-4</v>
      </c>
      <c r="AU124" t="s">
        <v>48</v>
      </c>
      <c r="AV124">
        <v>0</v>
      </c>
      <c r="AW124">
        <v>2</v>
      </c>
      <c r="AX124">
        <v>57261049</v>
      </c>
      <c r="AY124">
        <v>1</v>
      </c>
      <c r="AZ124">
        <v>0</v>
      </c>
      <c r="BA124">
        <v>143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ROUND(Y124*Source!I43,9)</f>
        <v>1.21E-4</v>
      </c>
      <c r="CY124">
        <f t="shared" ref="CY124:CY130" si="47">AA124</f>
        <v>96793</v>
      </c>
      <c r="CZ124">
        <f t="shared" ref="CZ124:CZ130" si="48">AE124</f>
        <v>7185.82</v>
      </c>
      <c r="DA124">
        <f t="shared" ref="DA124:DA130" si="49">AI124</f>
        <v>13.47</v>
      </c>
      <c r="DB124">
        <f t="shared" ref="DB124:DB130" si="50">ROUND((ROUND(AT124*CZ124,2)*1),6)</f>
        <v>0.87</v>
      </c>
      <c r="DC124">
        <f t="shared" ref="DC124:DC130" si="51">ROUND((ROUND(AT124*AG124,2)*1),6)</f>
        <v>0</v>
      </c>
      <c r="DD124" t="s">
        <v>3</v>
      </c>
      <c r="DE124" t="s">
        <v>3</v>
      </c>
      <c r="DF124">
        <f t="shared" ref="DF124:DF130" si="52">ROUND(ROUND(AE124*AI124,2)*CX124,2)</f>
        <v>11.71</v>
      </c>
      <c r="DG124">
        <f t="shared" ref="DG124:DG136" si="53">ROUND(ROUND(AF124,2)*CX124,2)</f>
        <v>0</v>
      </c>
      <c r="DH124">
        <f t="shared" si="45"/>
        <v>0</v>
      </c>
      <c r="DI124">
        <f t="shared" si="25"/>
        <v>0</v>
      </c>
      <c r="DJ124">
        <f t="shared" ref="DJ124:DJ130" si="54">DF124</f>
        <v>11.71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ROW(Source!A43)</f>
        <v>43</v>
      </c>
      <c r="B125">
        <v>55747651</v>
      </c>
      <c r="C125">
        <v>57261044</v>
      </c>
      <c r="D125">
        <v>54738439</v>
      </c>
      <c r="E125">
        <v>1</v>
      </c>
      <c r="F125">
        <v>1</v>
      </c>
      <c r="G125">
        <v>1081</v>
      </c>
      <c r="H125">
        <v>3</v>
      </c>
      <c r="I125" t="s">
        <v>565</v>
      </c>
      <c r="J125" t="s">
        <v>566</v>
      </c>
      <c r="K125" t="s">
        <v>567</v>
      </c>
      <c r="L125">
        <v>1346</v>
      </c>
      <c r="N125">
        <v>1009</v>
      </c>
      <c r="O125" t="s">
        <v>503</v>
      </c>
      <c r="P125" t="s">
        <v>503</v>
      </c>
      <c r="Q125">
        <v>1</v>
      </c>
      <c r="W125">
        <v>0</v>
      </c>
      <c r="X125">
        <v>-734926838</v>
      </c>
      <c r="Y125">
        <f t="shared" si="46"/>
        <v>2.3E-2</v>
      </c>
      <c r="AA125">
        <v>78.430000000000007</v>
      </c>
      <c r="AB125">
        <v>0</v>
      </c>
      <c r="AC125">
        <v>0</v>
      </c>
      <c r="AD125">
        <v>0</v>
      </c>
      <c r="AE125">
        <v>29.82</v>
      </c>
      <c r="AF125">
        <v>0</v>
      </c>
      <c r="AG125">
        <v>0</v>
      </c>
      <c r="AH125">
        <v>0</v>
      </c>
      <c r="AI125">
        <v>2.63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2.3E-2</v>
      </c>
      <c r="AU125" t="s">
        <v>48</v>
      </c>
      <c r="AV125">
        <v>0</v>
      </c>
      <c r="AW125">
        <v>2</v>
      </c>
      <c r="AX125">
        <v>57261050</v>
      </c>
      <c r="AY125">
        <v>1</v>
      </c>
      <c r="AZ125">
        <v>0</v>
      </c>
      <c r="BA125">
        <v>144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ROUND(Y125*Source!I43,9)</f>
        <v>2.3E-2</v>
      </c>
      <c r="CY125">
        <f t="shared" si="47"/>
        <v>78.430000000000007</v>
      </c>
      <c r="CZ125">
        <f t="shared" si="48"/>
        <v>29.82</v>
      </c>
      <c r="DA125">
        <f t="shared" si="49"/>
        <v>2.63</v>
      </c>
      <c r="DB125">
        <f t="shared" si="50"/>
        <v>0.69</v>
      </c>
      <c r="DC125">
        <f t="shared" si="51"/>
        <v>0</v>
      </c>
      <c r="DD125" t="s">
        <v>3</v>
      </c>
      <c r="DE125" t="s">
        <v>3</v>
      </c>
      <c r="DF125">
        <f t="shared" si="52"/>
        <v>1.8</v>
      </c>
      <c r="DG125">
        <f t="shared" si="53"/>
        <v>0</v>
      </c>
      <c r="DH125">
        <f t="shared" si="45"/>
        <v>0</v>
      </c>
      <c r="DI125">
        <f t="shared" si="25"/>
        <v>0</v>
      </c>
      <c r="DJ125">
        <f t="shared" si="54"/>
        <v>1.8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ROW(Source!A43)</f>
        <v>43</v>
      </c>
      <c r="B126">
        <v>55747651</v>
      </c>
      <c r="C126">
        <v>57261044</v>
      </c>
      <c r="D126">
        <v>54737410</v>
      </c>
      <c r="E126">
        <v>1</v>
      </c>
      <c r="F126">
        <v>1</v>
      </c>
      <c r="G126">
        <v>1081</v>
      </c>
      <c r="H126">
        <v>3</v>
      </c>
      <c r="I126" t="s">
        <v>280</v>
      </c>
      <c r="J126" t="s">
        <v>283</v>
      </c>
      <c r="K126" t="s">
        <v>281</v>
      </c>
      <c r="L126">
        <v>1348</v>
      </c>
      <c r="N126">
        <v>1009</v>
      </c>
      <c r="O126" t="s">
        <v>282</v>
      </c>
      <c r="P126" t="s">
        <v>282</v>
      </c>
      <c r="Q126">
        <v>1000</v>
      </c>
      <c r="W126">
        <v>0</v>
      </c>
      <c r="X126">
        <v>650902129</v>
      </c>
      <c r="Y126">
        <f t="shared" si="46"/>
        <v>1.8E-5</v>
      </c>
      <c r="AA126">
        <v>66964.52</v>
      </c>
      <c r="AB126">
        <v>0</v>
      </c>
      <c r="AC126">
        <v>0</v>
      </c>
      <c r="AD126">
        <v>0</v>
      </c>
      <c r="AE126">
        <v>18653.07</v>
      </c>
      <c r="AF126">
        <v>0</v>
      </c>
      <c r="AG126">
        <v>0</v>
      </c>
      <c r="AH126">
        <v>0</v>
      </c>
      <c r="AI126">
        <v>3.59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1.8E-5</v>
      </c>
      <c r="AU126" t="s">
        <v>48</v>
      </c>
      <c r="AV126">
        <v>0</v>
      </c>
      <c r="AW126">
        <v>2</v>
      </c>
      <c r="AX126">
        <v>57261051</v>
      </c>
      <c r="AY126">
        <v>1</v>
      </c>
      <c r="AZ126">
        <v>0</v>
      </c>
      <c r="BA126">
        <v>145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ROUND(Y126*Source!I43,9)</f>
        <v>1.8E-5</v>
      </c>
      <c r="CY126">
        <f t="shared" si="47"/>
        <v>66964.52</v>
      </c>
      <c r="CZ126">
        <f t="shared" si="48"/>
        <v>18653.07</v>
      </c>
      <c r="DA126">
        <f t="shared" si="49"/>
        <v>3.59</v>
      </c>
      <c r="DB126">
        <f t="shared" si="50"/>
        <v>0.34</v>
      </c>
      <c r="DC126">
        <f t="shared" si="51"/>
        <v>0</v>
      </c>
      <c r="DD126" t="s">
        <v>3</v>
      </c>
      <c r="DE126" t="s">
        <v>3</v>
      </c>
      <c r="DF126">
        <f t="shared" si="52"/>
        <v>1.21</v>
      </c>
      <c r="DG126">
        <f t="shared" si="53"/>
        <v>0</v>
      </c>
      <c r="DH126">
        <f t="shared" si="45"/>
        <v>0</v>
      </c>
      <c r="DI126">
        <f t="shared" si="25"/>
        <v>0</v>
      </c>
      <c r="DJ126">
        <f t="shared" si="54"/>
        <v>1.21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ROW(Source!A43)</f>
        <v>43</v>
      </c>
      <c r="B127">
        <v>55747651</v>
      </c>
      <c r="C127">
        <v>57261044</v>
      </c>
      <c r="D127">
        <v>54739199</v>
      </c>
      <c r="E127">
        <v>1</v>
      </c>
      <c r="F127">
        <v>1</v>
      </c>
      <c r="G127">
        <v>1081</v>
      </c>
      <c r="H127">
        <v>3</v>
      </c>
      <c r="I127" t="s">
        <v>568</v>
      </c>
      <c r="J127" t="s">
        <v>569</v>
      </c>
      <c r="K127" t="s">
        <v>570</v>
      </c>
      <c r="L127">
        <v>1348</v>
      </c>
      <c r="N127">
        <v>1009</v>
      </c>
      <c r="O127" t="s">
        <v>282</v>
      </c>
      <c r="P127" t="s">
        <v>282</v>
      </c>
      <c r="Q127">
        <v>1000</v>
      </c>
      <c r="W127">
        <v>0</v>
      </c>
      <c r="X127">
        <v>-1438474524</v>
      </c>
      <c r="Y127">
        <f t="shared" si="46"/>
        <v>2.3780000000000001E-4</v>
      </c>
      <c r="AA127">
        <v>118670.21</v>
      </c>
      <c r="AB127">
        <v>0</v>
      </c>
      <c r="AC127">
        <v>0</v>
      </c>
      <c r="AD127">
        <v>0</v>
      </c>
      <c r="AE127">
        <v>11487.92</v>
      </c>
      <c r="AF127">
        <v>0</v>
      </c>
      <c r="AG127">
        <v>0</v>
      </c>
      <c r="AH127">
        <v>0</v>
      </c>
      <c r="AI127">
        <v>10.33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2.3780000000000001E-4</v>
      </c>
      <c r="AU127" t="s">
        <v>48</v>
      </c>
      <c r="AV127">
        <v>0</v>
      </c>
      <c r="AW127">
        <v>2</v>
      </c>
      <c r="AX127">
        <v>57261052</v>
      </c>
      <c r="AY127">
        <v>1</v>
      </c>
      <c r="AZ127">
        <v>0</v>
      </c>
      <c r="BA127">
        <v>146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ROUND(Y127*Source!I43,9)</f>
        <v>2.3780000000000001E-4</v>
      </c>
      <c r="CY127">
        <f t="shared" si="47"/>
        <v>118670.21</v>
      </c>
      <c r="CZ127">
        <f t="shared" si="48"/>
        <v>11487.92</v>
      </c>
      <c r="DA127">
        <f t="shared" si="49"/>
        <v>10.33</v>
      </c>
      <c r="DB127">
        <f t="shared" si="50"/>
        <v>2.73</v>
      </c>
      <c r="DC127">
        <f t="shared" si="51"/>
        <v>0</v>
      </c>
      <c r="DD127" t="s">
        <v>3</v>
      </c>
      <c r="DE127" t="s">
        <v>3</v>
      </c>
      <c r="DF127">
        <f t="shared" si="52"/>
        <v>28.22</v>
      </c>
      <c r="DG127">
        <f t="shared" si="53"/>
        <v>0</v>
      </c>
      <c r="DH127">
        <f t="shared" si="45"/>
        <v>0</v>
      </c>
      <c r="DI127">
        <f t="shared" si="25"/>
        <v>0</v>
      </c>
      <c r="DJ127">
        <f t="shared" si="54"/>
        <v>28.22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ROW(Source!A43)</f>
        <v>43</v>
      </c>
      <c r="B128">
        <v>55747651</v>
      </c>
      <c r="C128">
        <v>57261044</v>
      </c>
      <c r="D128">
        <v>54739762</v>
      </c>
      <c r="E128">
        <v>1</v>
      </c>
      <c r="F128">
        <v>1</v>
      </c>
      <c r="G128">
        <v>1081</v>
      </c>
      <c r="H128">
        <v>3</v>
      </c>
      <c r="I128" t="s">
        <v>571</v>
      </c>
      <c r="J128" t="s">
        <v>572</v>
      </c>
      <c r="K128" t="s">
        <v>573</v>
      </c>
      <c r="L128">
        <v>1348</v>
      </c>
      <c r="N128">
        <v>1009</v>
      </c>
      <c r="O128" t="s">
        <v>282</v>
      </c>
      <c r="P128" t="s">
        <v>282</v>
      </c>
      <c r="Q128">
        <v>1000</v>
      </c>
      <c r="W128">
        <v>0</v>
      </c>
      <c r="X128">
        <v>567151722</v>
      </c>
      <c r="Y128">
        <f t="shared" si="46"/>
        <v>7.0000000000000001E-3</v>
      </c>
      <c r="AA128">
        <v>51140.49</v>
      </c>
      <c r="AB128">
        <v>0</v>
      </c>
      <c r="AC128">
        <v>0</v>
      </c>
      <c r="AD128">
        <v>0</v>
      </c>
      <c r="AE128">
        <v>12089.95</v>
      </c>
      <c r="AF128">
        <v>0</v>
      </c>
      <c r="AG128">
        <v>0</v>
      </c>
      <c r="AH128">
        <v>0</v>
      </c>
      <c r="AI128">
        <v>4.2300000000000004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7.0000000000000001E-3</v>
      </c>
      <c r="AU128" t="s">
        <v>48</v>
      </c>
      <c r="AV128">
        <v>0</v>
      </c>
      <c r="AW128">
        <v>2</v>
      </c>
      <c r="AX128">
        <v>57261053</v>
      </c>
      <c r="AY128">
        <v>1</v>
      </c>
      <c r="AZ128">
        <v>0</v>
      </c>
      <c r="BA128">
        <v>147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ROUND(Y128*Source!I43,9)</f>
        <v>7.0000000000000001E-3</v>
      </c>
      <c r="CY128">
        <f t="shared" si="47"/>
        <v>51140.49</v>
      </c>
      <c r="CZ128">
        <f t="shared" si="48"/>
        <v>12089.95</v>
      </c>
      <c r="DA128">
        <f t="shared" si="49"/>
        <v>4.2300000000000004</v>
      </c>
      <c r="DB128">
        <f t="shared" si="50"/>
        <v>84.63</v>
      </c>
      <c r="DC128">
        <f t="shared" si="51"/>
        <v>0</v>
      </c>
      <c r="DD128" t="s">
        <v>3</v>
      </c>
      <c r="DE128" t="s">
        <v>3</v>
      </c>
      <c r="DF128">
        <f t="shared" si="52"/>
        <v>357.98</v>
      </c>
      <c r="DG128">
        <f t="shared" si="53"/>
        <v>0</v>
      </c>
      <c r="DH128">
        <f t="shared" si="45"/>
        <v>0</v>
      </c>
      <c r="DI128">
        <f t="shared" si="25"/>
        <v>0</v>
      </c>
      <c r="DJ128">
        <f t="shared" si="54"/>
        <v>357.98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ROW(Source!A43)</f>
        <v>43</v>
      </c>
      <c r="B129">
        <v>55747651</v>
      </c>
      <c r="C129">
        <v>57261044</v>
      </c>
      <c r="D129">
        <v>54737961</v>
      </c>
      <c r="E129">
        <v>1</v>
      </c>
      <c r="F129">
        <v>1</v>
      </c>
      <c r="G129">
        <v>1081</v>
      </c>
      <c r="H129">
        <v>3</v>
      </c>
      <c r="I129" t="s">
        <v>574</v>
      </c>
      <c r="J129" t="s">
        <v>575</v>
      </c>
      <c r="K129" t="s">
        <v>576</v>
      </c>
      <c r="L129">
        <v>1348</v>
      </c>
      <c r="N129">
        <v>1009</v>
      </c>
      <c r="O129" t="s">
        <v>282</v>
      </c>
      <c r="P129" t="s">
        <v>282</v>
      </c>
      <c r="Q129">
        <v>1000</v>
      </c>
      <c r="W129">
        <v>0</v>
      </c>
      <c r="X129">
        <v>-425904385</v>
      </c>
      <c r="Y129">
        <f t="shared" si="46"/>
        <v>1.0000000000000001E-5</v>
      </c>
      <c r="AA129">
        <v>134057.4</v>
      </c>
      <c r="AB129">
        <v>0</v>
      </c>
      <c r="AC129">
        <v>0</v>
      </c>
      <c r="AD129">
        <v>0</v>
      </c>
      <c r="AE129">
        <v>8582.42</v>
      </c>
      <c r="AF129">
        <v>0</v>
      </c>
      <c r="AG129">
        <v>0</v>
      </c>
      <c r="AH129">
        <v>0</v>
      </c>
      <c r="AI129">
        <v>15.62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1.0000000000000001E-5</v>
      </c>
      <c r="AU129" t="s">
        <v>48</v>
      </c>
      <c r="AV129">
        <v>0</v>
      </c>
      <c r="AW129">
        <v>2</v>
      </c>
      <c r="AX129">
        <v>57261054</v>
      </c>
      <c r="AY129">
        <v>1</v>
      </c>
      <c r="AZ129">
        <v>0</v>
      </c>
      <c r="BA129">
        <v>148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ROUND(Y129*Source!I43,9)</f>
        <v>1.0000000000000001E-5</v>
      </c>
      <c r="CY129">
        <f t="shared" si="47"/>
        <v>134057.4</v>
      </c>
      <c r="CZ129">
        <f t="shared" si="48"/>
        <v>8582.42</v>
      </c>
      <c r="DA129">
        <f t="shared" si="49"/>
        <v>15.62</v>
      </c>
      <c r="DB129">
        <f t="shared" si="50"/>
        <v>0.09</v>
      </c>
      <c r="DC129">
        <f t="shared" si="51"/>
        <v>0</v>
      </c>
      <c r="DD129" t="s">
        <v>3</v>
      </c>
      <c r="DE129" t="s">
        <v>3</v>
      </c>
      <c r="DF129">
        <f t="shared" si="52"/>
        <v>1.34</v>
      </c>
      <c r="DG129">
        <f t="shared" si="53"/>
        <v>0</v>
      </c>
      <c r="DH129">
        <f t="shared" si="45"/>
        <v>0</v>
      </c>
      <c r="DI129">
        <f t="shared" ref="DI129:DI192" si="55">ROUND(ROUND(AH129,2)*CX129,2)</f>
        <v>0</v>
      </c>
      <c r="DJ129">
        <f t="shared" si="54"/>
        <v>1.34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ROW(Source!A43)</f>
        <v>43</v>
      </c>
      <c r="B130">
        <v>55747651</v>
      </c>
      <c r="C130">
        <v>57261044</v>
      </c>
      <c r="D130">
        <v>54737965</v>
      </c>
      <c r="E130">
        <v>1</v>
      </c>
      <c r="F130">
        <v>1</v>
      </c>
      <c r="G130">
        <v>1081</v>
      </c>
      <c r="H130">
        <v>3</v>
      </c>
      <c r="I130" t="s">
        <v>577</v>
      </c>
      <c r="J130" t="s">
        <v>578</v>
      </c>
      <c r="K130" t="s">
        <v>579</v>
      </c>
      <c r="L130">
        <v>1348</v>
      </c>
      <c r="N130">
        <v>1009</v>
      </c>
      <c r="O130" t="s">
        <v>282</v>
      </c>
      <c r="P130" t="s">
        <v>282</v>
      </c>
      <c r="Q130">
        <v>1000</v>
      </c>
      <c r="W130">
        <v>0</v>
      </c>
      <c r="X130">
        <v>-1860917919</v>
      </c>
      <c r="Y130">
        <f t="shared" si="46"/>
        <v>1.9999999999999999E-6</v>
      </c>
      <c r="AA130">
        <v>56975.05</v>
      </c>
      <c r="AB130">
        <v>0</v>
      </c>
      <c r="AC130">
        <v>0</v>
      </c>
      <c r="AD130">
        <v>0</v>
      </c>
      <c r="AE130">
        <v>12521.99</v>
      </c>
      <c r="AF130">
        <v>0</v>
      </c>
      <c r="AG130">
        <v>0</v>
      </c>
      <c r="AH130">
        <v>0</v>
      </c>
      <c r="AI130">
        <v>4.55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1.9999999999999999E-6</v>
      </c>
      <c r="AU130" t="s">
        <v>48</v>
      </c>
      <c r="AV130">
        <v>0</v>
      </c>
      <c r="AW130">
        <v>2</v>
      </c>
      <c r="AX130">
        <v>57261055</v>
      </c>
      <c r="AY130">
        <v>1</v>
      </c>
      <c r="AZ130">
        <v>0</v>
      </c>
      <c r="BA130">
        <v>149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ROUND(Y130*Source!I43,9)</f>
        <v>1.9999999999999999E-6</v>
      </c>
      <c r="CY130">
        <f t="shared" si="47"/>
        <v>56975.05</v>
      </c>
      <c r="CZ130">
        <f t="shared" si="48"/>
        <v>12521.99</v>
      </c>
      <c r="DA130">
        <f t="shared" si="49"/>
        <v>4.55</v>
      </c>
      <c r="DB130">
        <f t="shared" si="50"/>
        <v>0.03</v>
      </c>
      <c r="DC130">
        <f t="shared" si="51"/>
        <v>0</v>
      </c>
      <c r="DD130" t="s">
        <v>3</v>
      </c>
      <c r="DE130" t="s">
        <v>3</v>
      </c>
      <c r="DF130">
        <f t="shared" si="52"/>
        <v>0.11</v>
      </c>
      <c r="DG130">
        <f t="shared" si="53"/>
        <v>0</v>
      </c>
      <c r="DH130">
        <f t="shared" si="45"/>
        <v>0</v>
      </c>
      <c r="DI130">
        <f t="shared" si="55"/>
        <v>0</v>
      </c>
      <c r="DJ130">
        <f t="shared" si="54"/>
        <v>0.11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ROW(Source!A44)</f>
        <v>44</v>
      </c>
      <c r="B131">
        <v>55747649</v>
      </c>
      <c r="C131">
        <v>57261058</v>
      </c>
      <c r="D131">
        <v>54702434</v>
      </c>
      <c r="E131">
        <v>1081</v>
      </c>
      <c r="F131">
        <v>1</v>
      </c>
      <c r="G131">
        <v>1081</v>
      </c>
      <c r="H131">
        <v>1</v>
      </c>
      <c r="I131" t="s">
        <v>473</v>
      </c>
      <c r="J131" t="s">
        <v>3</v>
      </c>
      <c r="K131" t="s">
        <v>474</v>
      </c>
      <c r="L131">
        <v>1191</v>
      </c>
      <c r="N131">
        <v>1013</v>
      </c>
      <c r="O131" t="s">
        <v>475</v>
      </c>
      <c r="P131" t="s">
        <v>475</v>
      </c>
      <c r="Q131">
        <v>1</v>
      </c>
      <c r="W131">
        <v>0</v>
      </c>
      <c r="X131">
        <v>476480486</v>
      </c>
      <c r="Y131">
        <f>(AT131*1.2)</f>
        <v>0.624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0.52</v>
      </c>
      <c r="AU131" t="s">
        <v>49</v>
      </c>
      <c r="AV131">
        <v>1</v>
      </c>
      <c r="AW131">
        <v>2</v>
      </c>
      <c r="AX131">
        <v>57261059</v>
      </c>
      <c r="AY131">
        <v>1</v>
      </c>
      <c r="AZ131">
        <v>0</v>
      </c>
      <c r="BA131">
        <v>151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ROUND(AT131*Source!I44*AH131*AL131,2)</f>
        <v>0</v>
      </c>
      <c r="CV131">
        <f>ROUND(Y131*Source!I44,9)</f>
        <v>0.624</v>
      </c>
      <c r="CW131">
        <v>0</v>
      </c>
      <c r="CX131">
        <f>ROUND(Y131*Source!I44,9)</f>
        <v>0.624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ROUND((ROUND(AT131*CZ131,2)*1.2),6)</f>
        <v>0</v>
      </c>
      <c r="DC131">
        <f>ROUND((ROUND(AT131*AG131,2)*1.2),6)</f>
        <v>0</v>
      </c>
      <c r="DD131" t="s">
        <v>3</v>
      </c>
      <c r="DE131" t="s">
        <v>3</v>
      </c>
      <c r="DF131">
        <f t="shared" ref="DF131:DF137" si="56">ROUND(ROUND(AE131,2)*CX131,2)</f>
        <v>0</v>
      </c>
      <c r="DG131">
        <f t="shared" si="53"/>
        <v>0</v>
      </c>
      <c r="DH131">
        <f t="shared" si="45"/>
        <v>0</v>
      </c>
      <c r="DI131">
        <f t="shared" si="55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ROW(Source!A45)</f>
        <v>45</v>
      </c>
      <c r="B132">
        <v>55747651</v>
      </c>
      <c r="C132">
        <v>57261058</v>
      </c>
      <c r="D132">
        <v>54702434</v>
      </c>
      <c r="E132">
        <v>1081</v>
      </c>
      <c r="F132">
        <v>1</v>
      </c>
      <c r="G132">
        <v>1081</v>
      </c>
      <c r="H132">
        <v>1</v>
      </c>
      <c r="I132" t="s">
        <v>473</v>
      </c>
      <c r="J132" t="s">
        <v>3</v>
      </c>
      <c r="K132" t="s">
        <v>474</v>
      </c>
      <c r="L132">
        <v>1191</v>
      </c>
      <c r="N132">
        <v>1013</v>
      </c>
      <c r="O132" t="s">
        <v>475</v>
      </c>
      <c r="P132" t="s">
        <v>475</v>
      </c>
      <c r="Q132">
        <v>1</v>
      </c>
      <c r="W132">
        <v>0</v>
      </c>
      <c r="X132">
        <v>476480486</v>
      </c>
      <c r="Y132">
        <f>(AT132*1.2)</f>
        <v>0.624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5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0.52</v>
      </c>
      <c r="AU132" t="s">
        <v>49</v>
      </c>
      <c r="AV132">
        <v>1</v>
      </c>
      <c r="AW132">
        <v>2</v>
      </c>
      <c r="AX132">
        <v>57261059</v>
      </c>
      <c r="AY132">
        <v>1</v>
      </c>
      <c r="AZ132">
        <v>0</v>
      </c>
      <c r="BA132">
        <v>154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U132">
        <f>ROUND(AT132*Source!I45*AH132*AL132,2)</f>
        <v>0</v>
      </c>
      <c r="CV132">
        <f>ROUND(Y132*Source!I45,9)</f>
        <v>0.624</v>
      </c>
      <c r="CW132">
        <v>0</v>
      </c>
      <c r="CX132">
        <f>ROUND(Y132*Source!I45,9)</f>
        <v>0.624</v>
      </c>
      <c r="CY132">
        <f>AD132</f>
        <v>0</v>
      </c>
      <c r="CZ132">
        <f>AH132</f>
        <v>0</v>
      </c>
      <c r="DA132">
        <f>AL132</f>
        <v>1</v>
      </c>
      <c r="DB132">
        <f>ROUND((ROUND(AT132*CZ132,2)*1.2),6)</f>
        <v>0</v>
      </c>
      <c r="DC132">
        <f>ROUND((ROUND(AT132*AG132,2)*1.2),6)</f>
        <v>0</v>
      </c>
      <c r="DD132" t="s">
        <v>3</v>
      </c>
      <c r="DE132" t="s">
        <v>3</v>
      </c>
      <c r="DF132">
        <f t="shared" si="56"/>
        <v>0</v>
      </c>
      <c r="DG132">
        <f t="shared" si="53"/>
        <v>0</v>
      </c>
      <c r="DH132">
        <f t="shared" si="45"/>
        <v>0</v>
      </c>
      <c r="DI132">
        <f t="shared" si="55"/>
        <v>0</v>
      </c>
      <c r="DJ132">
        <f>DI132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ROW(Source!A46)</f>
        <v>46</v>
      </c>
      <c r="B133">
        <v>55747649</v>
      </c>
      <c r="C133">
        <v>55747917</v>
      </c>
      <c r="D133">
        <v>54702434</v>
      </c>
      <c r="E133">
        <v>1081</v>
      </c>
      <c r="F133">
        <v>1</v>
      </c>
      <c r="G133">
        <v>1081</v>
      </c>
      <c r="H133">
        <v>1</v>
      </c>
      <c r="I133" t="s">
        <v>473</v>
      </c>
      <c r="J133" t="s">
        <v>3</v>
      </c>
      <c r="K133" t="s">
        <v>474</v>
      </c>
      <c r="L133">
        <v>1191</v>
      </c>
      <c r="N133">
        <v>1013</v>
      </c>
      <c r="O133" t="s">
        <v>475</v>
      </c>
      <c r="P133" t="s">
        <v>475</v>
      </c>
      <c r="Q133">
        <v>1</v>
      </c>
      <c r="W133">
        <v>0</v>
      </c>
      <c r="X133">
        <v>476480486</v>
      </c>
      <c r="Y133">
        <f>(AT133*1.2)</f>
        <v>4.8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4</v>
      </c>
      <c r="AU133" t="s">
        <v>49</v>
      </c>
      <c r="AV133">
        <v>1</v>
      </c>
      <c r="AW133">
        <v>2</v>
      </c>
      <c r="AX133">
        <v>55747921</v>
      </c>
      <c r="AY133">
        <v>1</v>
      </c>
      <c r="AZ133">
        <v>0</v>
      </c>
      <c r="BA133">
        <v>157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ROUND(AT133*Source!I46*AH133*AL133,2)</f>
        <v>0</v>
      </c>
      <c r="CV133">
        <f>ROUND(Y133*Source!I46,9)</f>
        <v>28.8</v>
      </c>
      <c r="CW133">
        <v>0</v>
      </c>
      <c r="CX133">
        <f>ROUND(Y133*Source!I46,9)</f>
        <v>28.8</v>
      </c>
      <c r="CY133">
        <f>AD133</f>
        <v>0</v>
      </c>
      <c r="CZ133">
        <f>AH133</f>
        <v>0</v>
      </c>
      <c r="DA133">
        <f>AL133</f>
        <v>1</v>
      </c>
      <c r="DB133">
        <f>ROUND((ROUND(AT133*CZ133,2)*1.2),6)</f>
        <v>0</v>
      </c>
      <c r="DC133">
        <f>ROUND((ROUND(AT133*AG133,2)*1.2),6)</f>
        <v>0</v>
      </c>
      <c r="DD133" t="s">
        <v>3</v>
      </c>
      <c r="DE133" t="s">
        <v>3</v>
      </c>
      <c r="DF133">
        <f t="shared" si="56"/>
        <v>0</v>
      </c>
      <c r="DG133">
        <f t="shared" si="53"/>
        <v>0</v>
      </c>
      <c r="DH133">
        <f t="shared" si="45"/>
        <v>0</v>
      </c>
      <c r="DI133">
        <f t="shared" si="55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ROW(Source!A46)</f>
        <v>46</v>
      </c>
      <c r="B134">
        <v>55747649</v>
      </c>
      <c r="C134">
        <v>55747917</v>
      </c>
      <c r="D134">
        <v>54768339</v>
      </c>
      <c r="E134">
        <v>1</v>
      </c>
      <c r="F134">
        <v>1</v>
      </c>
      <c r="G134">
        <v>1081</v>
      </c>
      <c r="H134">
        <v>2</v>
      </c>
      <c r="I134" t="s">
        <v>483</v>
      </c>
      <c r="J134" t="s">
        <v>484</v>
      </c>
      <c r="K134" t="s">
        <v>485</v>
      </c>
      <c r="L134">
        <v>1368</v>
      </c>
      <c r="N134">
        <v>1011</v>
      </c>
      <c r="O134" t="s">
        <v>479</v>
      </c>
      <c r="P134" t="s">
        <v>479</v>
      </c>
      <c r="Q134">
        <v>1</v>
      </c>
      <c r="W134">
        <v>0</v>
      </c>
      <c r="X134">
        <v>874612079</v>
      </c>
      <c r="Y134">
        <f>(AT134*1.2)</f>
        <v>2.4E-2</v>
      </c>
      <c r="AA134">
        <v>0</v>
      </c>
      <c r="AB134">
        <v>88.67</v>
      </c>
      <c r="AC134">
        <v>13.47</v>
      </c>
      <c r="AD134">
        <v>0</v>
      </c>
      <c r="AE134">
        <v>0</v>
      </c>
      <c r="AF134">
        <v>83.1</v>
      </c>
      <c r="AG134">
        <v>12.62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0.02</v>
      </c>
      <c r="AU134" t="s">
        <v>49</v>
      </c>
      <c r="AV134">
        <v>0</v>
      </c>
      <c r="AW134">
        <v>2</v>
      </c>
      <c r="AX134">
        <v>55747922</v>
      </c>
      <c r="AY134">
        <v>1</v>
      </c>
      <c r="AZ134">
        <v>0</v>
      </c>
      <c r="BA134">
        <v>158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ROUND(Y134*Source!I46*DO134,9)</f>
        <v>1.81728</v>
      </c>
      <c r="CX134">
        <f>ROUND(Y134*Source!I46,9)</f>
        <v>0.14399999999999999</v>
      </c>
      <c r="CY134">
        <f>AB134</f>
        <v>88.67</v>
      </c>
      <c r="CZ134">
        <f>AF134</f>
        <v>83.1</v>
      </c>
      <c r="DA134">
        <f>AJ134</f>
        <v>1</v>
      </c>
      <c r="DB134">
        <f>ROUND((ROUND(AT134*CZ134,2)*1.2),6)</f>
        <v>1.992</v>
      </c>
      <c r="DC134">
        <f>ROUND((ROUND(AT134*AG134,2)*1.2),6)</f>
        <v>0.3</v>
      </c>
      <c r="DD134" t="s">
        <v>3</v>
      </c>
      <c r="DE134" t="s">
        <v>3</v>
      </c>
      <c r="DF134">
        <f t="shared" si="56"/>
        <v>0</v>
      </c>
      <c r="DG134">
        <f t="shared" si="53"/>
        <v>11.97</v>
      </c>
      <c r="DH134">
        <f t="shared" si="45"/>
        <v>1.82</v>
      </c>
      <c r="DI134">
        <f t="shared" si="55"/>
        <v>0</v>
      </c>
      <c r="DJ134">
        <f>DG134</f>
        <v>11.97</v>
      </c>
      <c r="DK134">
        <v>0</v>
      </c>
      <c r="DL134" t="s">
        <v>486</v>
      </c>
      <c r="DM134">
        <v>0</v>
      </c>
      <c r="DN134" t="s">
        <v>475</v>
      </c>
      <c r="DO134">
        <v>12.62</v>
      </c>
    </row>
    <row r="135" spans="1:119" x14ac:dyDescent="0.2">
      <c r="A135">
        <f>ROW(Source!A46)</f>
        <v>46</v>
      </c>
      <c r="B135">
        <v>55747649</v>
      </c>
      <c r="C135">
        <v>55747917</v>
      </c>
      <c r="D135">
        <v>54737969</v>
      </c>
      <c r="E135">
        <v>1</v>
      </c>
      <c r="F135">
        <v>1</v>
      </c>
      <c r="G135">
        <v>1081</v>
      </c>
      <c r="H135">
        <v>3</v>
      </c>
      <c r="I135" t="s">
        <v>511</v>
      </c>
      <c r="J135" t="s">
        <v>512</v>
      </c>
      <c r="K135" t="s">
        <v>513</v>
      </c>
      <c r="L135">
        <v>1348</v>
      </c>
      <c r="N135">
        <v>1009</v>
      </c>
      <c r="O135" t="s">
        <v>282</v>
      </c>
      <c r="P135" t="s">
        <v>282</v>
      </c>
      <c r="Q135">
        <v>1000</v>
      </c>
      <c r="W135">
        <v>0</v>
      </c>
      <c r="X135">
        <v>-287838193</v>
      </c>
      <c r="Y135">
        <f>(AT135*1)</f>
        <v>1.2E-4</v>
      </c>
      <c r="AA135">
        <v>23761.63</v>
      </c>
      <c r="AB135">
        <v>0</v>
      </c>
      <c r="AC135">
        <v>0</v>
      </c>
      <c r="AD135">
        <v>0</v>
      </c>
      <c r="AE135">
        <v>23114.43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1.2E-4</v>
      </c>
      <c r="AU135" t="s">
        <v>48</v>
      </c>
      <c r="AV135">
        <v>0</v>
      </c>
      <c r="AW135">
        <v>2</v>
      </c>
      <c r="AX135">
        <v>55747923</v>
      </c>
      <c r="AY135">
        <v>1</v>
      </c>
      <c r="AZ135">
        <v>0</v>
      </c>
      <c r="BA135">
        <v>159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ROUND(Y135*Source!I46,9)</f>
        <v>7.2000000000000005E-4</v>
      </c>
      <c r="CY135">
        <f>AA135</f>
        <v>23761.63</v>
      </c>
      <c r="CZ135">
        <f>AE135</f>
        <v>23114.43</v>
      </c>
      <c r="DA135">
        <f>AI135</f>
        <v>1</v>
      </c>
      <c r="DB135">
        <f>ROUND((ROUND(AT135*CZ135,2)*1),6)</f>
        <v>2.77</v>
      </c>
      <c r="DC135">
        <f>ROUND((ROUND(AT135*AG135,2)*1),6)</f>
        <v>0</v>
      </c>
      <c r="DD135" t="s">
        <v>3</v>
      </c>
      <c r="DE135" t="s">
        <v>3</v>
      </c>
      <c r="DF135">
        <f t="shared" si="56"/>
        <v>16.64</v>
      </c>
      <c r="DG135">
        <f t="shared" si="53"/>
        <v>0</v>
      </c>
      <c r="DH135">
        <f t="shared" si="45"/>
        <v>0</v>
      </c>
      <c r="DI135">
        <f t="shared" si="55"/>
        <v>0</v>
      </c>
      <c r="DJ135">
        <f>DF135</f>
        <v>16.64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ROW(Source!A47)</f>
        <v>47</v>
      </c>
      <c r="B136">
        <v>55747651</v>
      </c>
      <c r="C136">
        <v>55747917</v>
      </c>
      <c r="D136">
        <v>54702434</v>
      </c>
      <c r="E136">
        <v>1081</v>
      </c>
      <c r="F136">
        <v>1</v>
      </c>
      <c r="G136">
        <v>1081</v>
      </c>
      <c r="H136">
        <v>1</v>
      </c>
      <c r="I136" t="s">
        <v>473</v>
      </c>
      <c r="J136" t="s">
        <v>3</v>
      </c>
      <c r="K136" t="s">
        <v>474</v>
      </c>
      <c r="L136">
        <v>1191</v>
      </c>
      <c r="N136">
        <v>1013</v>
      </c>
      <c r="O136" t="s">
        <v>475</v>
      </c>
      <c r="P136" t="s">
        <v>475</v>
      </c>
      <c r="Q136">
        <v>1</v>
      </c>
      <c r="W136">
        <v>0</v>
      </c>
      <c r="X136">
        <v>476480486</v>
      </c>
      <c r="Y136">
        <f>(AT136*1.2)</f>
        <v>4.8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5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4</v>
      </c>
      <c r="AU136" t="s">
        <v>49</v>
      </c>
      <c r="AV136">
        <v>1</v>
      </c>
      <c r="AW136">
        <v>2</v>
      </c>
      <c r="AX136">
        <v>55747921</v>
      </c>
      <c r="AY136">
        <v>1</v>
      </c>
      <c r="AZ136">
        <v>0</v>
      </c>
      <c r="BA136">
        <v>162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U136">
        <f>ROUND(AT136*Source!I47*AH136*AL136,2)</f>
        <v>0</v>
      </c>
      <c r="CV136">
        <f>ROUND(Y136*Source!I47,9)</f>
        <v>28.8</v>
      </c>
      <c r="CW136">
        <v>0</v>
      </c>
      <c r="CX136">
        <f>ROUND(Y136*Source!I47,9)</f>
        <v>28.8</v>
      </c>
      <c r="CY136">
        <f>AD136</f>
        <v>0</v>
      </c>
      <c r="CZ136">
        <f>AH136</f>
        <v>0</v>
      </c>
      <c r="DA136">
        <f>AL136</f>
        <v>1</v>
      </c>
      <c r="DB136">
        <f>ROUND((ROUND(AT136*CZ136,2)*1.2),6)</f>
        <v>0</v>
      </c>
      <c r="DC136">
        <f>ROUND((ROUND(AT136*AG136,2)*1.2),6)</f>
        <v>0</v>
      </c>
      <c r="DD136" t="s">
        <v>3</v>
      </c>
      <c r="DE136" t="s">
        <v>3</v>
      </c>
      <c r="DF136">
        <f t="shared" si="56"/>
        <v>0</v>
      </c>
      <c r="DG136">
        <f t="shared" si="53"/>
        <v>0</v>
      </c>
      <c r="DH136">
        <f t="shared" si="45"/>
        <v>0</v>
      </c>
      <c r="DI136">
        <f t="shared" si="55"/>
        <v>0</v>
      </c>
      <c r="DJ136">
        <f>DI136</f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ROW(Source!A47)</f>
        <v>47</v>
      </c>
      <c r="B137">
        <v>55747651</v>
      </c>
      <c r="C137">
        <v>55747917</v>
      </c>
      <c r="D137">
        <v>54768339</v>
      </c>
      <c r="E137">
        <v>1</v>
      </c>
      <c r="F137">
        <v>1</v>
      </c>
      <c r="G137">
        <v>1081</v>
      </c>
      <c r="H137">
        <v>2</v>
      </c>
      <c r="I137" t="s">
        <v>483</v>
      </c>
      <c r="J137" t="s">
        <v>484</v>
      </c>
      <c r="K137" t="s">
        <v>485</v>
      </c>
      <c r="L137">
        <v>1368</v>
      </c>
      <c r="N137">
        <v>1011</v>
      </c>
      <c r="O137" t="s">
        <v>479</v>
      </c>
      <c r="P137" t="s">
        <v>479</v>
      </c>
      <c r="Q137">
        <v>1</v>
      </c>
      <c r="W137">
        <v>0</v>
      </c>
      <c r="X137">
        <v>874612079</v>
      </c>
      <c r="Y137">
        <f>(AT137*1.2)</f>
        <v>2.4E-2</v>
      </c>
      <c r="AA137">
        <v>0</v>
      </c>
      <c r="AB137">
        <v>1513.56</v>
      </c>
      <c r="AC137">
        <v>758.78</v>
      </c>
      <c r="AD137">
        <v>0</v>
      </c>
      <c r="AE137">
        <v>0</v>
      </c>
      <c r="AF137">
        <v>83.1</v>
      </c>
      <c r="AG137">
        <v>12.62</v>
      </c>
      <c r="AH137">
        <v>0</v>
      </c>
      <c r="AI137">
        <v>1</v>
      </c>
      <c r="AJ137">
        <v>17.07</v>
      </c>
      <c r="AK137">
        <v>56.35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0.02</v>
      </c>
      <c r="AU137" t="s">
        <v>49</v>
      </c>
      <c r="AV137">
        <v>0</v>
      </c>
      <c r="AW137">
        <v>2</v>
      </c>
      <c r="AX137">
        <v>55747922</v>
      </c>
      <c r="AY137">
        <v>1</v>
      </c>
      <c r="AZ137">
        <v>0</v>
      </c>
      <c r="BA137">
        <v>163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ROUND(Y137*Source!I47*DO137,9)</f>
        <v>1.81728</v>
      </c>
      <c r="CX137">
        <f>ROUND(Y137*Source!I47,9)</f>
        <v>0.14399999999999999</v>
      </c>
      <c r="CY137">
        <f>AB137</f>
        <v>1513.56</v>
      </c>
      <c r="CZ137">
        <f>AF137</f>
        <v>83.1</v>
      </c>
      <c r="DA137">
        <f>AJ137</f>
        <v>17.07</v>
      </c>
      <c r="DB137">
        <f>ROUND((ROUND(AT137*CZ137,2)*1.2),6)</f>
        <v>1.992</v>
      </c>
      <c r="DC137">
        <f>ROUND((ROUND(AT137*AG137,2)*1.2),6)</f>
        <v>0.3</v>
      </c>
      <c r="DD137" t="s">
        <v>3</v>
      </c>
      <c r="DE137" t="s">
        <v>3</v>
      </c>
      <c r="DF137">
        <f t="shared" si="56"/>
        <v>0</v>
      </c>
      <c r="DG137">
        <f>ROUND(ROUND(AF137*AJ137,2)*CX137,2)</f>
        <v>204.27</v>
      </c>
      <c r="DH137">
        <f>ROUND(ROUND(AG137*AK137,2)*CX137,2)</f>
        <v>102.4</v>
      </c>
      <c r="DI137">
        <f t="shared" si="55"/>
        <v>0</v>
      </c>
      <c r="DJ137">
        <f>DG137</f>
        <v>204.27</v>
      </c>
      <c r="DK137">
        <v>0</v>
      </c>
      <c r="DL137" t="s">
        <v>486</v>
      </c>
      <c r="DM137">
        <v>0</v>
      </c>
      <c r="DN137" t="s">
        <v>475</v>
      </c>
      <c r="DO137">
        <v>12.62</v>
      </c>
    </row>
    <row r="138" spans="1:119" x14ac:dyDescent="0.2">
      <c r="A138">
        <f>ROW(Source!A47)</f>
        <v>47</v>
      </c>
      <c r="B138">
        <v>55747651</v>
      </c>
      <c r="C138">
        <v>55747917</v>
      </c>
      <c r="D138">
        <v>54737969</v>
      </c>
      <c r="E138">
        <v>1</v>
      </c>
      <c r="F138">
        <v>1</v>
      </c>
      <c r="G138">
        <v>1081</v>
      </c>
      <c r="H138">
        <v>3</v>
      </c>
      <c r="I138" t="s">
        <v>511</v>
      </c>
      <c r="J138" t="s">
        <v>512</v>
      </c>
      <c r="K138" t="s">
        <v>513</v>
      </c>
      <c r="L138">
        <v>1348</v>
      </c>
      <c r="N138">
        <v>1009</v>
      </c>
      <c r="O138" t="s">
        <v>282</v>
      </c>
      <c r="P138" t="s">
        <v>282</v>
      </c>
      <c r="Q138">
        <v>1000</v>
      </c>
      <c r="W138">
        <v>0</v>
      </c>
      <c r="X138">
        <v>-287838193</v>
      </c>
      <c r="Y138">
        <f>(AT138*1)</f>
        <v>1.2E-4</v>
      </c>
      <c r="AA138">
        <v>106689.74</v>
      </c>
      <c r="AB138">
        <v>0</v>
      </c>
      <c r="AC138">
        <v>0</v>
      </c>
      <c r="AD138">
        <v>0</v>
      </c>
      <c r="AE138">
        <v>23114.43</v>
      </c>
      <c r="AF138">
        <v>0</v>
      </c>
      <c r="AG138">
        <v>0</v>
      </c>
      <c r="AH138">
        <v>0</v>
      </c>
      <c r="AI138">
        <v>4.49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1.2E-4</v>
      </c>
      <c r="AU138" t="s">
        <v>48</v>
      </c>
      <c r="AV138">
        <v>0</v>
      </c>
      <c r="AW138">
        <v>2</v>
      </c>
      <c r="AX138">
        <v>55747923</v>
      </c>
      <c r="AY138">
        <v>1</v>
      </c>
      <c r="AZ138">
        <v>0</v>
      </c>
      <c r="BA138">
        <v>164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ROUND(Y138*Source!I47,9)</f>
        <v>7.2000000000000005E-4</v>
      </c>
      <c r="CY138">
        <f>AA138</f>
        <v>106689.74</v>
      </c>
      <c r="CZ138">
        <f>AE138</f>
        <v>23114.43</v>
      </c>
      <c r="DA138">
        <f>AI138</f>
        <v>4.49</v>
      </c>
      <c r="DB138">
        <f>ROUND((ROUND(AT138*CZ138,2)*1),6)</f>
        <v>2.77</v>
      </c>
      <c r="DC138">
        <f>ROUND((ROUND(AT138*AG138,2)*1),6)</f>
        <v>0</v>
      </c>
      <c r="DD138" t="s">
        <v>3</v>
      </c>
      <c r="DE138" t="s">
        <v>3</v>
      </c>
      <c r="DF138">
        <f>ROUND(ROUND(AE138*AI138,2)*CX138,2)</f>
        <v>74.72</v>
      </c>
      <c r="DG138">
        <f>ROUND(ROUND(AF138,2)*CX138,2)</f>
        <v>0</v>
      </c>
      <c r="DH138">
        <f>ROUND(ROUND(AG138,2)*CX138,2)</f>
        <v>0</v>
      </c>
      <c r="DI138">
        <f t="shared" si="55"/>
        <v>0</v>
      </c>
      <c r="DJ138">
        <f>DF138</f>
        <v>74.72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ROW(Source!A48)</f>
        <v>48</v>
      </c>
      <c r="B139">
        <v>55747649</v>
      </c>
      <c r="C139">
        <v>55747927</v>
      </c>
      <c r="D139">
        <v>54702434</v>
      </c>
      <c r="E139">
        <v>1081</v>
      </c>
      <c r="F139">
        <v>1</v>
      </c>
      <c r="G139">
        <v>1081</v>
      </c>
      <c r="H139">
        <v>1</v>
      </c>
      <c r="I139" t="s">
        <v>473</v>
      </c>
      <c r="J139" t="s">
        <v>3</v>
      </c>
      <c r="K139" t="s">
        <v>474</v>
      </c>
      <c r="L139">
        <v>1191</v>
      </c>
      <c r="N139">
        <v>1013</v>
      </c>
      <c r="O139" t="s">
        <v>475</v>
      </c>
      <c r="P139" t="s">
        <v>475</v>
      </c>
      <c r="Q139">
        <v>1</v>
      </c>
      <c r="W139">
        <v>0</v>
      </c>
      <c r="X139">
        <v>476480486</v>
      </c>
      <c r="Y139">
        <f>(AT139*1.2)</f>
        <v>6.48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5.4</v>
      </c>
      <c r="AU139" t="s">
        <v>49</v>
      </c>
      <c r="AV139">
        <v>1</v>
      </c>
      <c r="AW139">
        <v>2</v>
      </c>
      <c r="AX139">
        <v>55747931</v>
      </c>
      <c r="AY139">
        <v>1</v>
      </c>
      <c r="AZ139">
        <v>0</v>
      </c>
      <c r="BA139">
        <v>167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ROUND(AT139*Source!I48*AH139*AL139,2)</f>
        <v>0</v>
      </c>
      <c r="CV139">
        <f>ROUND(Y139*Source!I48,9)</f>
        <v>12.96</v>
      </c>
      <c r="CW139">
        <v>0</v>
      </c>
      <c r="CX139">
        <f>ROUND(Y139*Source!I48,9)</f>
        <v>12.96</v>
      </c>
      <c r="CY139">
        <f>AD139</f>
        <v>0</v>
      </c>
      <c r="CZ139">
        <f>AH139</f>
        <v>0</v>
      </c>
      <c r="DA139">
        <f>AL139</f>
        <v>1</v>
      </c>
      <c r="DB139">
        <f>ROUND((ROUND(AT139*CZ139,2)*1.2),6)</f>
        <v>0</v>
      </c>
      <c r="DC139">
        <f>ROUND((ROUND(AT139*AG139,2)*1.2),6)</f>
        <v>0</v>
      </c>
      <c r="DD139" t="s">
        <v>3</v>
      </c>
      <c r="DE139" t="s">
        <v>3</v>
      </c>
      <c r="DF139">
        <f>ROUND(ROUND(AE139,2)*CX139,2)</f>
        <v>0</v>
      </c>
      <c r="DG139">
        <f>ROUND(ROUND(AF139,2)*CX139,2)</f>
        <v>0</v>
      </c>
      <c r="DH139">
        <f>ROUND(ROUND(AG139,2)*CX139,2)</f>
        <v>0</v>
      </c>
      <c r="DI139">
        <f t="shared" si="55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ROW(Source!A48)</f>
        <v>48</v>
      </c>
      <c r="B140">
        <v>55747649</v>
      </c>
      <c r="C140">
        <v>55747927</v>
      </c>
      <c r="D140">
        <v>54768339</v>
      </c>
      <c r="E140">
        <v>1</v>
      </c>
      <c r="F140">
        <v>1</v>
      </c>
      <c r="G140">
        <v>1081</v>
      </c>
      <c r="H140">
        <v>2</v>
      </c>
      <c r="I140" t="s">
        <v>483</v>
      </c>
      <c r="J140" t="s">
        <v>484</v>
      </c>
      <c r="K140" t="s">
        <v>485</v>
      </c>
      <c r="L140">
        <v>1368</v>
      </c>
      <c r="N140">
        <v>1011</v>
      </c>
      <c r="O140" t="s">
        <v>479</v>
      </c>
      <c r="P140" t="s">
        <v>479</v>
      </c>
      <c r="Q140">
        <v>1</v>
      </c>
      <c r="W140">
        <v>0</v>
      </c>
      <c r="X140">
        <v>874612079</v>
      </c>
      <c r="Y140">
        <f>(AT140*1.2)</f>
        <v>4.8000000000000001E-2</v>
      </c>
      <c r="AA140">
        <v>0</v>
      </c>
      <c r="AB140">
        <v>88.67</v>
      </c>
      <c r="AC140">
        <v>13.47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0.04</v>
      </c>
      <c r="AU140" t="s">
        <v>49</v>
      </c>
      <c r="AV140">
        <v>0</v>
      </c>
      <c r="AW140">
        <v>2</v>
      </c>
      <c r="AX140">
        <v>55747932</v>
      </c>
      <c r="AY140">
        <v>1</v>
      </c>
      <c r="AZ140">
        <v>0</v>
      </c>
      <c r="BA140">
        <v>168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ROUND(Y140*Source!I48*DO140,9)</f>
        <v>1.2115199999999999</v>
      </c>
      <c r="CX140">
        <f>ROUND(Y140*Source!I48,9)</f>
        <v>9.6000000000000002E-2</v>
      </c>
      <c r="CY140">
        <f>AB140</f>
        <v>88.67</v>
      </c>
      <c r="CZ140">
        <f>AF140</f>
        <v>83.1</v>
      </c>
      <c r="DA140">
        <f>AJ140</f>
        <v>1</v>
      </c>
      <c r="DB140">
        <f>ROUND((ROUND(AT140*CZ140,2)*1.2),6)</f>
        <v>3.984</v>
      </c>
      <c r="DC140">
        <f>ROUND((ROUND(AT140*AG140,2)*1.2),6)</f>
        <v>0.6</v>
      </c>
      <c r="DD140" t="s">
        <v>3</v>
      </c>
      <c r="DE140" t="s">
        <v>3</v>
      </c>
      <c r="DF140">
        <f>ROUND(ROUND(AE140,2)*CX140,2)</f>
        <v>0</v>
      </c>
      <c r="DG140">
        <f>ROUND(ROUND(AF140,2)*CX140,2)</f>
        <v>7.98</v>
      </c>
      <c r="DH140">
        <f>ROUND(ROUND(AG140,2)*CX140,2)</f>
        <v>1.21</v>
      </c>
      <c r="DI140">
        <f t="shared" si="55"/>
        <v>0</v>
      </c>
      <c r="DJ140">
        <f>DG140</f>
        <v>7.98</v>
      </c>
      <c r="DK140">
        <v>0</v>
      </c>
      <c r="DL140" t="s">
        <v>486</v>
      </c>
      <c r="DM140">
        <v>0</v>
      </c>
      <c r="DN140" t="s">
        <v>475</v>
      </c>
      <c r="DO140">
        <v>12.62</v>
      </c>
    </row>
    <row r="141" spans="1:119" x14ac:dyDescent="0.2">
      <c r="A141">
        <f>ROW(Source!A48)</f>
        <v>48</v>
      </c>
      <c r="B141">
        <v>55747649</v>
      </c>
      <c r="C141">
        <v>55747927</v>
      </c>
      <c r="D141">
        <v>54737969</v>
      </c>
      <c r="E141">
        <v>1</v>
      </c>
      <c r="F141">
        <v>1</v>
      </c>
      <c r="G141">
        <v>1081</v>
      </c>
      <c r="H141">
        <v>3</v>
      </c>
      <c r="I141" t="s">
        <v>511</v>
      </c>
      <c r="J141" t="s">
        <v>512</v>
      </c>
      <c r="K141" t="s">
        <v>513</v>
      </c>
      <c r="L141">
        <v>1348</v>
      </c>
      <c r="N141">
        <v>1009</v>
      </c>
      <c r="O141" t="s">
        <v>282</v>
      </c>
      <c r="P141" t="s">
        <v>282</v>
      </c>
      <c r="Q141">
        <v>1000</v>
      </c>
      <c r="W141">
        <v>0</v>
      </c>
      <c r="X141">
        <v>-287838193</v>
      </c>
      <c r="Y141">
        <f>(AT141*1)</f>
        <v>1.7000000000000001E-4</v>
      </c>
      <c r="AA141">
        <v>23761.63</v>
      </c>
      <c r="AB141">
        <v>0</v>
      </c>
      <c r="AC141">
        <v>0</v>
      </c>
      <c r="AD141">
        <v>0</v>
      </c>
      <c r="AE141">
        <v>23114.43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1.7000000000000001E-4</v>
      </c>
      <c r="AU141" t="s">
        <v>48</v>
      </c>
      <c r="AV141">
        <v>0</v>
      </c>
      <c r="AW141">
        <v>2</v>
      </c>
      <c r="AX141">
        <v>55747933</v>
      </c>
      <c r="AY141">
        <v>1</v>
      </c>
      <c r="AZ141">
        <v>0</v>
      </c>
      <c r="BA141">
        <v>169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ROUND(Y141*Source!I48,9)</f>
        <v>3.4000000000000002E-4</v>
      </c>
      <c r="CY141">
        <f>AA141</f>
        <v>23761.63</v>
      </c>
      <c r="CZ141">
        <f>AE141</f>
        <v>23114.43</v>
      </c>
      <c r="DA141">
        <f>AI141</f>
        <v>1</v>
      </c>
      <c r="DB141">
        <f>ROUND((ROUND(AT141*CZ141,2)*1),6)</f>
        <v>3.93</v>
      </c>
      <c r="DC141">
        <f>ROUND((ROUND(AT141*AG141,2)*1),6)</f>
        <v>0</v>
      </c>
      <c r="DD141" t="s">
        <v>3</v>
      </c>
      <c r="DE141" t="s">
        <v>3</v>
      </c>
      <c r="DF141">
        <f>ROUND(ROUND(AE141,2)*CX141,2)</f>
        <v>7.86</v>
      </c>
      <c r="DG141">
        <f>ROUND(ROUND(AF141,2)*CX141,2)</f>
        <v>0</v>
      </c>
      <c r="DH141">
        <f>ROUND(ROUND(AG141,2)*CX141,2)</f>
        <v>0</v>
      </c>
      <c r="DI141">
        <f t="shared" si="55"/>
        <v>0</v>
      </c>
      <c r="DJ141">
        <f>DF141</f>
        <v>7.86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ROW(Source!A49)</f>
        <v>49</v>
      </c>
      <c r="B142">
        <v>55747651</v>
      </c>
      <c r="C142">
        <v>55747927</v>
      </c>
      <c r="D142">
        <v>54702434</v>
      </c>
      <c r="E142">
        <v>1081</v>
      </c>
      <c r="F142">
        <v>1</v>
      </c>
      <c r="G142">
        <v>1081</v>
      </c>
      <c r="H142">
        <v>1</v>
      </c>
      <c r="I142" t="s">
        <v>473</v>
      </c>
      <c r="J142" t="s">
        <v>3</v>
      </c>
      <c r="K142" t="s">
        <v>474</v>
      </c>
      <c r="L142">
        <v>1191</v>
      </c>
      <c r="N142">
        <v>1013</v>
      </c>
      <c r="O142" t="s">
        <v>475</v>
      </c>
      <c r="P142" t="s">
        <v>475</v>
      </c>
      <c r="Q142">
        <v>1</v>
      </c>
      <c r="W142">
        <v>0</v>
      </c>
      <c r="X142">
        <v>476480486</v>
      </c>
      <c r="Y142">
        <f>(AT142*1.2)</f>
        <v>6.48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5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5.4</v>
      </c>
      <c r="AU142" t="s">
        <v>49</v>
      </c>
      <c r="AV142">
        <v>1</v>
      </c>
      <c r="AW142">
        <v>2</v>
      </c>
      <c r="AX142">
        <v>55747931</v>
      </c>
      <c r="AY142">
        <v>1</v>
      </c>
      <c r="AZ142">
        <v>0</v>
      </c>
      <c r="BA142">
        <v>172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U142">
        <f>ROUND(AT142*Source!I49*AH142*AL142,2)</f>
        <v>0</v>
      </c>
      <c r="CV142">
        <f>ROUND(Y142*Source!I49,9)</f>
        <v>12.96</v>
      </c>
      <c r="CW142">
        <v>0</v>
      </c>
      <c r="CX142">
        <f>ROUND(Y142*Source!I49,9)</f>
        <v>12.96</v>
      </c>
      <c r="CY142">
        <f>AD142</f>
        <v>0</v>
      </c>
      <c r="CZ142">
        <f>AH142</f>
        <v>0</v>
      </c>
      <c r="DA142">
        <f>AL142</f>
        <v>1</v>
      </c>
      <c r="DB142">
        <f>ROUND((ROUND(AT142*CZ142,2)*1.2),6)</f>
        <v>0</v>
      </c>
      <c r="DC142">
        <f>ROUND((ROUND(AT142*AG142,2)*1.2),6)</f>
        <v>0</v>
      </c>
      <c r="DD142" t="s">
        <v>3</v>
      </c>
      <c r="DE142" t="s">
        <v>3</v>
      </c>
      <c r="DF142">
        <f>ROUND(ROUND(AE142,2)*CX142,2)</f>
        <v>0</v>
      </c>
      <c r="DG142">
        <f>ROUND(ROUND(AF142,2)*CX142,2)</f>
        <v>0</v>
      </c>
      <c r="DH142">
        <f>ROUND(ROUND(AG142,2)*CX142,2)</f>
        <v>0</v>
      </c>
      <c r="DI142">
        <f t="shared" si="55"/>
        <v>0</v>
      </c>
      <c r="DJ142">
        <f>DI142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ROW(Source!A49)</f>
        <v>49</v>
      </c>
      <c r="B143">
        <v>55747651</v>
      </c>
      <c r="C143">
        <v>55747927</v>
      </c>
      <c r="D143">
        <v>54768339</v>
      </c>
      <c r="E143">
        <v>1</v>
      </c>
      <c r="F143">
        <v>1</v>
      </c>
      <c r="G143">
        <v>1081</v>
      </c>
      <c r="H143">
        <v>2</v>
      </c>
      <c r="I143" t="s">
        <v>483</v>
      </c>
      <c r="J143" t="s">
        <v>484</v>
      </c>
      <c r="K143" t="s">
        <v>485</v>
      </c>
      <c r="L143">
        <v>1368</v>
      </c>
      <c r="N143">
        <v>1011</v>
      </c>
      <c r="O143" t="s">
        <v>479</v>
      </c>
      <c r="P143" t="s">
        <v>479</v>
      </c>
      <c r="Q143">
        <v>1</v>
      </c>
      <c r="W143">
        <v>0</v>
      </c>
      <c r="X143">
        <v>874612079</v>
      </c>
      <c r="Y143">
        <f>(AT143*1.2)</f>
        <v>4.8000000000000001E-2</v>
      </c>
      <c r="AA143">
        <v>0</v>
      </c>
      <c r="AB143">
        <v>1513.56</v>
      </c>
      <c r="AC143">
        <v>758.78</v>
      </c>
      <c r="AD143">
        <v>0</v>
      </c>
      <c r="AE143">
        <v>0</v>
      </c>
      <c r="AF143">
        <v>83.1</v>
      </c>
      <c r="AG143">
        <v>12.62</v>
      </c>
      <c r="AH143">
        <v>0</v>
      </c>
      <c r="AI143">
        <v>1</v>
      </c>
      <c r="AJ143">
        <v>17.07</v>
      </c>
      <c r="AK143">
        <v>56.35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0.04</v>
      </c>
      <c r="AU143" t="s">
        <v>49</v>
      </c>
      <c r="AV143">
        <v>0</v>
      </c>
      <c r="AW143">
        <v>2</v>
      </c>
      <c r="AX143">
        <v>55747932</v>
      </c>
      <c r="AY143">
        <v>1</v>
      </c>
      <c r="AZ143">
        <v>0</v>
      </c>
      <c r="BA143">
        <v>173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ROUND(Y143*Source!I49*DO143,9)</f>
        <v>1.2115199999999999</v>
      </c>
      <c r="CX143">
        <f>ROUND(Y143*Source!I49,9)</f>
        <v>9.6000000000000002E-2</v>
      </c>
      <c r="CY143">
        <f>AB143</f>
        <v>1513.56</v>
      </c>
      <c r="CZ143">
        <f>AF143</f>
        <v>83.1</v>
      </c>
      <c r="DA143">
        <f>AJ143</f>
        <v>17.07</v>
      </c>
      <c r="DB143">
        <f>ROUND((ROUND(AT143*CZ143,2)*1.2),6)</f>
        <v>3.984</v>
      </c>
      <c r="DC143">
        <f>ROUND((ROUND(AT143*AG143,2)*1.2),6)</f>
        <v>0.6</v>
      </c>
      <c r="DD143" t="s">
        <v>3</v>
      </c>
      <c r="DE143" t="s">
        <v>3</v>
      </c>
      <c r="DF143">
        <f>ROUND(ROUND(AE143,2)*CX143,2)</f>
        <v>0</v>
      </c>
      <c r="DG143">
        <f>ROUND(ROUND(AF143*AJ143,2)*CX143,2)</f>
        <v>136.18</v>
      </c>
      <c r="DH143">
        <f>ROUND(ROUND(AG143*AK143,2)*CX143,2)</f>
        <v>68.27</v>
      </c>
      <c r="DI143">
        <f t="shared" si="55"/>
        <v>0</v>
      </c>
      <c r="DJ143">
        <f>DG143</f>
        <v>136.18</v>
      </c>
      <c r="DK143">
        <v>0</v>
      </c>
      <c r="DL143" t="s">
        <v>486</v>
      </c>
      <c r="DM143">
        <v>0</v>
      </c>
      <c r="DN143" t="s">
        <v>475</v>
      </c>
      <c r="DO143">
        <v>12.62</v>
      </c>
    </row>
    <row r="144" spans="1:119" x14ac:dyDescent="0.2">
      <c r="A144">
        <f>ROW(Source!A49)</f>
        <v>49</v>
      </c>
      <c r="B144">
        <v>55747651</v>
      </c>
      <c r="C144">
        <v>55747927</v>
      </c>
      <c r="D144">
        <v>54737969</v>
      </c>
      <c r="E144">
        <v>1</v>
      </c>
      <c r="F144">
        <v>1</v>
      </c>
      <c r="G144">
        <v>1081</v>
      </c>
      <c r="H144">
        <v>3</v>
      </c>
      <c r="I144" t="s">
        <v>511</v>
      </c>
      <c r="J144" t="s">
        <v>512</v>
      </c>
      <c r="K144" t="s">
        <v>513</v>
      </c>
      <c r="L144">
        <v>1348</v>
      </c>
      <c r="N144">
        <v>1009</v>
      </c>
      <c r="O144" t="s">
        <v>282</v>
      </c>
      <c r="P144" t="s">
        <v>282</v>
      </c>
      <c r="Q144">
        <v>1000</v>
      </c>
      <c r="W144">
        <v>0</v>
      </c>
      <c r="X144">
        <v>-287838193</v>
      </c>
      <c r="Y144">
        <f>(AT144*1)</f>
        <v>1.7000000000000001E-4</v>
      </c>
      <c r="AA144">
        <v>106689.74</v>
      </c>
      <c r="AB144">
        <v>0</v>
      </c>
      <c r="AC144">
        <v>0</v>
      </c>
      <c r="AD144">
        <v>0</v>
      </c>
      <c r="AE144">
        <v>23114.43</v>
      </c>
      <c r="AF144">
        <v>0</v>
      </c>
      <c r="AG144">
        <v>0</v>
      </c>
      <c r="AH144">
        <v>0</v>
      </c>
      <c r="AI144">
        <v>4.49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1.7000000000000001E-4</v>
      </c>
      <c r="AU144" t="s">
        <v>48</v>
      </c>
      <c r="AV144">
        <v>0</v>
      </c>
      <c r="AW144">
        <v>2</v>
      </c>
      <c r="AX144">
        <v>55747933</v>
      </c>
      <c r="AY144">
        <v>1</v>
      </c>
      <c r="AZ144">
        <v>0</v>
      </c>
      <c r="BA144">
        <v>174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ROUND(Y144*Source!I49,9)</f>
        <v>3.4000000000000002E-4</v>
      </c>
      <c r="CY144">
        <f>AA144</f>
        <v>106689.74</v>
      </c>
      <c r="CZ144">
        <f>AE144</f>
        <v>23114.43</v>
      </c>
      <c r="DA144">
        <f>AI144</f>
        <v>4.49</v>
      </c>
      <c r="DB144">
        <f>ROUND((ROUND(AT144*CZ144,2)*1),6)</f>
        <v>3.93</v>
      </c>
      <c r="DC144">
        <f>ROUND((ROUND(AT144*AG144,2)*1),6)</f>
        <v>0</v>
      </c>
      <c r="DD144" t="s">
        <v>3</v>
      </c>
      <c r="DE144" t="s">
        <v>3</v>
      </c>
      <c r="DF144">
        <f>ROUND(ROUND(AE144*AI144,2)*CX144,2)</f>
        <v>35.29</v>
      </c>
      <c r="DG144">
        <f t="shared" ref="DG144:DG161" si="57">ROUND(ROUND(AF144,2)*CX144,2)</f>
        <v>0</v>
      </c>
      <c r="DH144">
        <f t="shared" ref="DH144:DH161" si="58">ROUND(ROUND(AG144,2)*CX144,2)</f>
        <v>0</v>
      </c>
      <c r="DI144">
        <f t="shared" si="55"/>
        <v>0</v>
      </c>
      <c r="DJ144">
        <f>DF144</f>
        <v>35.29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ROW(Source!A50)</f>
        <v>50</v>
      </c>
      <c r="B145">
        <v>55747649</v>
      </c>
      <c r="C145">
        <v>55747937</v>
      </c>
      <c r="D145">
        <v>54702434</v>
      </c>
      <c r="E145">
        <v>1081</v>
      </c>
      <c r="F145">
        <v>1</v>
      </c>
      <c r="G145">
        <v>1081</v>
      </c>
      <c r="H145">
        <v>1</v>
      </c>
      <c r="I145" t="s">
        <v>473</v>
      </c>
      <c r="J145" t="s">
        <v>3</v>
      </c>
      <c r="K145" t="s">
        <v>474</v>
      </c>
      <c r="L145">
        <v>1191</v>
      </c>
      <c r="N145">
        <v>1013</v>
      </c>
      <c r="O145" t="s">
        <v>475</v>
      </c>
      <c r="P145" t="s">
        <v>475</v>
      </c>
      <c r="Q145">
        <v>1</v>
      </c>
      <c r="W145">
        <v>0</v>
      </c>
      <c r="X145">
        <v>476480486</v>
      </c>
      <c r="Y145">
        <f>(AT145*1.2)</f>
        <v>3.5999999999999996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</v>
      </c>
      <c r="AU145" t="s">
        <v>49</v>
      </c>
      <c r="AV145">
        <v>1</v>
      </c>
      <c r="AW145">
        <v>2</v>
      </c>
      <c r="AX145">
        <v>55747940</v>
      </c>
      <c r="AY145">
        <v>1</v>
      </c>
      <c r="AZ145">
        <v>0</v>
      </c>
      <c r="BA145">
        <v>177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ROUND(AT145*Source!I50*AH145*AL145,2)</f>
        <v>0</v>
      </c>
      <c r="CV145">
        <f>ROUND(Y145*Source!I50,9)</f>
        <v>10.8</v>
      </c>
      <c r="CW145">
        <v>0</v>
      </c>
      <c r="CX145">
        <f>ROUND(Y145*Source!I50,9)</f>
        <v>10.8</v>
      </c>
      <c r="CY145">
        <f>AD145</f>
        <v>0</v>
      </c>
      <c r="CZ145">
        <f>AH145</f>
        <v>0</v>
      </c>
      <c r="DA145">
        <f>AL145</f>
        <v>1</v>
      </c>
      <c r="DB145">
        <f>ROUND((ROUND(AT145*CZ145,2)*1.2),6)</f>
        <v>0</v>
      </c>
      <c r="DC145">
        <f>ROUND((ROUND(AT145*AG145,2)*1.2),6)</f>
        <v>0</v>
      </c>
      <c r="DD145" t="s">
        <v>3</v>
      </c>
      <c r="DE145" t="s">
        <v>3</v>
      </c>
      <c r="DF145">
        <f>ROUND(ROUND(AE145,2)*CX145,2)</f>
        <v>0</v>
      </c>
      <c r="DG145">
        <f t="shared" si="57"/>
        <v>0</v>
      </c>
      <c r="DH145">
        <f t="shared" si="58"/>
        <v>0</v>
      </c>
      <c r="DI145">
        <f t="shared" si="55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ROW(Source!A50)</f>
        <v>50</v>
      </c>
      <c r="B146">
        <v>55747649</v>
      </c>
      <c r="C146">
        <v>55747937</v>
      </c>
      <c r="D146">
        <v>54737969</v>
      </c>
      <c r="E146">
        <v>1</v>
      </c>
      <c r="F146">
        <v>1</v>
      </c>
      <c r="G146">
        <v>1081</v>
      </c>
      <c r="H146">
        <v>3</v>
      </c>
      <c r="I146" t="s">
        <v>511</v>
      </c>
      <c r="J146" t="s">
        <v>512</v>
      </c>
      <c r="K146" t="s">
        <v>513</v>
      </c>
      <c r="L146">
        <v>1348</v>
      </c>
      <c r="N146">
        <v>1009</v>
      </c>
      <c r="O146" t="s">
        <v>282</v>
      </c>
      <c r="P146" t="s">
        <v>282</v>
      </c>
      <c r="Q146">
        <v>1000</v>
      </c>
      <c r="W146">
        <v>0</v>
      </c>
      <c r="X146">
        <v>-287838193</v>
      </c>
      <c r="Y146">
        <f>(AT146*1)</f>
        <v>3.0000000000000001E-5</v>
      </c>
      <c r="AA146">
        <v>23761.63</v>
      </c>
      <c r="AB146">
        <v>0</v>
      </c>
      <c r="AC146">
        <v>0</v>
      </c>
      <c r="AD146">
        <v>0</v>
      </c>
      <c r="AE146">
        <v>23114.43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3.0000000000000001E-5</v>
      </c>
      <c r="AU146" t="s">
        <v>48</v>
      </c>
      <c r="AV146">
        <v>0</v>
      </c>
      <c r="AW146">
        <v>2</v>
      </c>
      <c r="AX146">
        <v>55747941</v>
      </c>
      <c r="AY146">
        <v>1</v>
      </c>
      <c r="AZ146">
        <v>0</v>
      </c>
      <c r="BA146">
        <v>178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ROUND(Y146*Source!I50,9)</f>
        <v>9.0000000000000006E-5</v>
      </c>
      <c r="CY146">
        <f>AA146</f>
        <v>23761.63</v>
      </c>
      <c r="CZ146">
        <f>AE146</f>
        <v>23114.43</v>
      </c>
      <c r="DA146">
        <f>AI146</f>
        <v>1</v>
      </c>
      <c r="DB146">
        <f>ROUND((ROUND(AT146*CZ146,2)*1),6)</f>
        <v>0.69</v>
      </c>
      <c r="DC146">
        <f>ROUND((ROUND(AT146*AG146,2)*1),6)</f>
        <v>0</v>
      </c>
      <c r="DD146" t="s">
        <v>3</v>
      </c>
      <c r="DE146" t="s">
        <v>3</v>
      </c>
      <c r="DF146">
        <f>ROUND(ROUND(AE146,2)*CX146,2)</f>
        <v>2.08</v>
      </c>
      <c r="DG146">
        <f t="shared" si="57"/>
        <v>0</v>
      </c>
      <c r="DH146">
        <f t="shared" si="58"/>
        <v>0</v>
      </c>
      <c r="DI146">
        <f t="shared" si="55"/>
        <v>0</v>
      </c>
      <c r="DJ146">
        <f>DF146</f>
        <v>2.08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ROW(Source!A51)</f>
        <v>51</v>
      </c>
      <c r="B147">
        <v>55747651</v>
      </c>
      <c r="C147">
        <v>55747937</v>
      </c>
      <c r="D147">
        <v>54702434</v>
      </c>
      <c r="E147">
        <v>1081</v>
      </c>
      <c r="F147">
        <v>1</v>
      </c>
      <c r="G147">
        <v>1081</v>
      </c>
      <c r="H147">
        <v>1</v>
      </c>
      <c r="I147" t="s">
        <v>473</v>
      </c>
      <c r="J147" t="s">
        <v>3</v>
      </c>
      <c r="K147" t="s">
        <v>474</v>
      </c>
      <c r="L147">
        <v>1191</v>
      </c>
      <c r="N147">
        <v>1013</v>
      </c>
      <c r="O147" t="s">
        <v>475</v>
      </c>
      <c r="P147" t="s">
        <v>475</v>
      </c>
      <c r="Q147">
        <v>1</v>
      </c>
      <c r="W147">
        <v>0</v>
      </c>
      <c r="X147">
        <v>476480486</v>
      </c>
      <c r="Y147">
        <f>(AT147*1.2)</f>
        <v>3.5999999999999996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5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3</v>
      </c>
      <c r="AU147" t="s">
        <v>49</v>
      </c>
      <c r="AV147">
        <v>1</v>
      </c>
      <c r="AW147">
        <v>2</v>
      </c>
      <c r="AX147">
        <v>55747940</v>
      </c>
      <c r="AY147">
        <v>1</v>
      </c>
      <c r="AZ147">
        <v>0</v>
      </c>
      <c r="BA147">
        <v>181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ROUND(AT147*Source!I51*AH147*AL147,2)</f>
        <v>0</v>
      </c>
      <c r="CV147">
        <f>ROUND(Y147*Source!I51,9)</f>
        <v>10.8</v>
      </c>
      <c r="CW147">
        <v>0</v>
      </c>
      <c r="CX147">
        <f>ROUND(Y147*Source!I51,9)</f>
        <v>10.8</v>
      </c>
      <c r="CY147">
        <f>AD147</f>
        <v>0</v>
      </c>
      <c r="CZ147">
        <f>AH147</f>
        <v>0</v>
      </c>
      <c r="DA147">
        <f>AL147</f>
        <v>1</v>
      </c>
      <c r="DB147">
        <f>ROUND((ROUND(AT147*CZ147,2)*1.2),6)</f>
        <v>0</v>
      </c>
      <c r="DC147">
        <f>ROUND((ROUND(AT147*AG147,2)*1.2),6)</f>
        <v>0</v>
      </c>
      <c r="DD147" t="s">
        <v>3</v>
      </c>
      <c r="DE147" t="s">
        <v>3</v>
      </c>
      <c r="DF147">
        <f>ROUND(ROUND(AE147,2)*CX147,2)</f>
        <v>0</v>
      </c>
      <c r="DG147">
        <f t="shared" si="57"/>
        <v>0</v>
      </c>
      <c r="DH147">
        <f t="shared" si="58"/>
        <v>0</v>
      </c>
      <c r="DI147">
        <f t="shared" si="55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ROW(Source!A51)</f>
        <v>51</v>
      </c>
      <c r="B148">
        <v>55747651</v>
      </c>
      <c r="C148">
        <v>55747937</v>
      </c>
      <c r="D148">
        <v>54737969</v>
      </c>
      <c r="E148">
        <v>1</v>
      </c>
      <c r="F148">
        <v>1</v>
      </c>
      <c r="G148">
        <v>1081</v>
      </c>
      <c r="H148">
        <v>3</v>
      </c>
      <c r="I148" t="s">
        <v>511</v>
      </c>
      <c r="J148" t="s">
        <v>512</v>
      </c>
      <c r="K148" t="s">
        <v>513</v>
      </c>
      <c r="L148">
        <v>1348</v>
      </c>
      <c r="N148">
        <v>1009</v>
      </c>
      <c r="O148" t="s">
        <v>282</v>
      </c>
      <c r="P148" t="s">
        <v>282</v>
      </c>
      <c r="Q148">
        <v>1000</v>
      </c>
      <c r="W148">
        <v>0</v>
      </c>
      <c r="X148">
        <v>-287838193</v>
      </c>
      <c r="Y148">
        <f>(AT148*1)</f>
        <v>3.0000000000000001E-5</v>
      </c>
      <c r="AA148">
        <v>106689.74</v>
      </c>
      <c r="AB148">
        <v>0</v>
      </c>
      <c r="AC148">
        <v>0</v>
      </c>
      <c r="AD148">
        <v>0</v>
      </c>
      <c r="AE148">
        <v>23114.43</v>
      </c>
      <c r="AF148">
        <v>0</v>
      </c>
      <c r="AG148">
        <v>0</v>
      </c>
      <c r="AH148">
        <v>0</v>
      </c>
      <c r="AI148">
        <v>4.49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3.0000000000000001E-5</v>
      </c>
      <c r="AU148" t="s">
        <v>48</v>
      </c>
      <c r="AV148">
        <v>0</v>
      </c>
      <c r="AW148">
        <v>2</v>
      </c>
      <c r="AX148">
        <v>55747941</v>
      </c>
      <c r="AY148">
        <v>1</v>
      </c>
      <c r="AZ148">
        <v>0</v>
      </c>
      <c r="BA148">
        <v>182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ROUND(Y148*Source!I51,9)</f>
        <v>9.0000000000000006E-5</v>
      </c>
      <c r="CY148">
        <f>AA148</f>
        <v>106689.74</v>
      </c>
      <c r="CZ148">
        <f>AE148</f>
        <v>23114.43</v>
      </c>
      <c r="DA148">
        <f>AI148</f>
        <v>4.49</v>
      </c>
      <c r="DB148">
        <f>ROUND((ROUND(AT148*CZ148,2)*1),6)</f>
        <v>0.69</v>
      </c>
      <c r="DC148">
        <f>ROUND((ROUND(AT148*AG148,2)*1),6)</f>
        <v>0</v>
      </c>
      <c r="DD148" t="s">
        <v>3</v>
      </c>
      <c r="DE148" t="s">
        <v>3</v>
      </c>
      <c r="DF148">
        <f>ROUND(ROUND(AE148*AI148,2)*CX148,2)</f>
        <v>9.34</v>
      </c>
      <c r="DG148">
        <f t="shared" si="57"/>
        <v>0</v>
      </c>
      <c r="DH148">
        <f t="shared" si="58"/>
        <v>0</v>
      </c>
      <c r="DI148">
        <f t="shared" si="55"/>
        <v>0</v>
      </c>
      <c r="DJ148">
        <f>DF148</f>
        <v>9.34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ROW(Source!A52)</f>
        <v>52</v>
      </c>
      <c r="B149">
        <v>55747649</v>
      </c>
      <c r="C149">
        <v>55747945</v>
      </c>
      <c r="D149">
        <v>54702434</v>
      </c>
      <c r="E149">
        <v>1081</v>
      </c>
      <c r="F149">
        <v>1</v>
      </c>
      <c r="G149">
        <v>1081</v>
      </c>
      <c r="H149">
        <v>1</v>
      </c>
      <c r="I149" t="s">
        <v>473</v>
      </c>
      <c r="J149" t="s">
        <v>3</v>
      </c>
      <c r="K149" t="s">
        <v>474</v>
      </c>
      <c r="L149">
        <v>1191</v>
      </c>
      <c r="N149">
        <v>1013</v>
      </c>
      <c r="O149" t="s">
        <v>475</v>
      </c>
      <c r="P149" t="s">
        <v>475</v>
      </c>
      <c r="Q149">
        <v>1</v>
      </c>
      <c r="W149">
        <v>0</v>
      </c>
      <c r="X149">
        <v>476480486</v>
      </c>
      <c r="Y149">
        <f>((AT149*1.15)*1.2)</f>
        <v>0.30359999999999998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0.22</v>
      </c>
      <c r="AU149" t="s">
        <v>98</v>
      </c>
      <c r="AV149">
        <v>1</v>
      </c>
      <c r="AW149">
        <v>2</v>
      </c>
      <c r="AX149">
        <v>55747950</v>
      </c>
      <c r="AY149">
        <v>1</v>
      </c>
      <c r="AZ149">
        <v>0</v>
      </c>
      <c r="BA149">
        <v>185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ROUND(AT149*Source!I52*AH149*AL149,2)</f>
        <v>0</v>
      </c>
      <c r="CV149">
        <f>ROUND(Y149*Source!I52,9)</f>
        <v>2.4287999999999998</v>
      </c>
      <c r="CW149">
        <v>0</v>
      </c>
      <c r="CX149">
        <f>ROUND(Y149*Source!I52,9)</f>
        <v>2.4287999999999998</v>
      </c>
      <c r="CY149">
        <f>AD149</f>
        <v>0</v>
      </c>
      <c r="CZ149">
        <f>AH149</f>
        <v>0</v>
      </c>
      <c r="DA149">
        <f>AL149</f>
        <v>1</v>
      </c>
      <c r="DB149">
        <f>ROUND(((ROUND(AT149*CZ149,2)*1.15)*1.2),6)</f>
        <v>0</v>
      </c>
      <c r="DC149">
        <f>ROUND(((ROUND(AT149*AG149,2)*1.15)*1.2),6)</f>
        <v>0</v>
      </c>
      <c r="DD149" t="s">
        <v>3</v>
      </c>
      <c r="DE149" t="s">
        <v>3</v>
      </c>
      <c r="DF149">
        <f>ROUND(ROUND(AE149,2)*CX149,2)</f>
        <v>0</v>
      </c>
      <c r="DG149">
        <f t="shared" si="57"/>
        <v>0</v>
      </c>
      <c r="DH149">
        <f t="shared" si="58"/>
        <v>0</v>
      </c>
      <c r="DI149">
        <f t="shared" si="55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ROW(Source!A52)</f>
        <v>52</v>
      </c>
      <c r="B150">
        <v>55747649</v>
      </c>
      <c r="C150">
        <v>55747945</v>
      </c>
      <c r="D150">
        <v>54739078</v>
      </c>
      <c r="E150">
        <v>1</v>
      </c>
      <c r="F150">
        <v>1</v>
      </c>
      <c r="G150">
        <v>1081</v>
      </c>
      <c r="H150">
        <v>3</v>
      </c>
      <c r="I150" t="s">
        <v>541</v>
      </c>
      <c r="J150" t="s">
        <v>542</v>
      </c>
      <c r="K150" t="s">
        <v>543</v>
      </c>
      <c r="L150">
        <v>1346</v>
      </c>
      <c r="N150">
        <v>1009</v>
      </c>
      <c r="O150" t="s">
        <v>503</v>
      </c>
      <c r="P150" t="s">
        <v>503</v>
      </c>
      <c r="Q150">
        <v>1</v>
      </c>
      <c r="W150">
        <v>0</v>
      </c>
      <c r="X150">
        <v>1021383118</v>
      </c>
      <c r="Y150">
        <f>((AT150*1)*1)</f>
        <v>0.01</v>
      </c>
      <c r="AA150">
        <v>37.979999999999997</v>
      </c>
      <c r="AB150">
        <v>0</v>
      </c>
      <c r="AC150">
        <v>0</v>
      </c>
      <c r="AD150">
        <v>0</v>
      </c>
      <c r="AE150">
        <v>37.979999999999997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0.01</v>
      </c>
      <c r="AU150" t="s">
        <v>38</v>
      </c>
      <c r="AV150">
        <v>0</v>
      </c>
      <c r="AW150">
        <v>2</v>
      </c>
      <c r="AX150">
        <v>55747951</v>
      </c>
      <c r="AY150">
        <v>1</v>
      </c>
      <c r="AZ150">
        <v>0</v>
      </c>
      <c r="BA150">
        <v>186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ROUND(Y150*Source!I52,9)</f>
        <v>0.08</v>
      </c>
      <c r="CY150">
        <f>AA150</f>
        <v>37.979999999999997</v>
      </c>
      <c r="CZ150">
        <f>AE150</f>
        <v>37.979999999999997</v>
      </c>
      <c r="DA150">
        <f>AI150</f>
        <v>1</v>
      </c>
      <c r="DB150">
        <f>ROUND(((ROUND(AT150*CZ150,2)*1)*1),6)</f>
        <v>0.38</v>
      </c>
      <c r="DC150">
        <f>ROUND(((ROUND(AT150*AG150,2)*1)*1),6)</f>
        <v>0</v>
      </c>
      <c r="DD150" t="s">
        <v>3</v>
      </c>
      <c r="DE150" t="s">
        <v>3</v>
      </c>
      <c r="DF150">
        <f>ROUND(ROUND(AE150,2)*CX150,2)</f>
        <v>3.04</v>
      </c>
      <c r="DG150">
        <f t="shared" si="57"/>
        <v>0</v>
      </c>
      <c r="DH150">
        <f t="shared" si="58"/>
        <v>0</v>
      </c>
      <c r="DI150">
        <f t="shared" si="55"/>
        <v>0</v>
      </c>
      <c r="DJ150">
        <f>DF150</f>
        <v>3.04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ROW(Source!A52)</f>
        <v>52</v>
      </c>
      <c r="B151">
        <v>55747649</v>
      </c>
      <c r="C151">
        <v>55747945</v>
      </c>
      <c r="D151">
        <v>54737637</v>
      </c>
      <c r="E151">
        <v>1</v>
      </c>
      <c r="F151">
        <v>1</v>
      </c>
      <c r="G151">
        <v>1081</v>
      </c>
      <c r="H151">
        <v>3</v>
      </c>
      <c r="I151" t="s">
        <v>544</v>
      </c>
      <c r="J151" t="s">
        <v>545</v>
      </c>
      <c r="K151" t="s">
        <v>546</v>
      </c>
      <c r="L151">
        <v>1348</v>
      </c>
      <c r="N151">
        <v>1009</v>
      </c>
      <c r="O151" t="s">
        <v>282</v>
      </c>
      <c r="P151" t="s">
        <v>282</v>
      </c>
      <c r="Q151">
        <v>1000</v>
      </c>
      <c r="W151">
        <v>0</v>
      </c>
      <c r="X151">
        <v>1270042986</v>
      </c>
      <c r="Y151">
        <f>((AT151*1)*1)</f>
        <v>3.0000000000000001E-5</v>
      </c>
      <c r="AA151">
        <v>16214.84</v>
      </c>
      <c r="AB151">
        <v>0</v>
      </c>
      <c r="AC151">
        <v>0</v>
      </c>
      <c r="AD151">
        <v>0</v>
      </c>
      <c r="AE151">
        <v>16214.84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3.0000000000000001E-5</v>
      </c>
      <c r="AU151" t="s">
        <v>38</v>
      </c>
      <c r="AV151">
        <v>0</v>
      </c>
      <c r="AW151">
        <v>2</v>
      </c>
      <c r="AX151">
        <v>55747952</v>
      </c>
      <c r="AY151">
        <v>1</v>
      </c>
      <c r="AZ151">
        <v>0</v>
      </c>
      <c r="BA151">
        <v>187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ROUND(Y151*Source!I52,9)</f>
        <v>2.4000000000000001E-4</v>
      </c>
      <c r="CY151">
        <f>AA151</f>
        <v>16214.84</v>
      </c>
      <c r="CZ151">
        <f>AE151</f>
        <v>16214.84</v>
      </c>
      <c r="DA151">
        <f>AI151</f>
        <v>1</v>
      </c>
      <c r="DB151">
        <f>ROUND(((ROUND(AT151*CZ151,2)*1)*1),6)</f>
        <v>0.49</v>
      </c>
      <c r="DC151">
        <f>ROUND(((ROUND(AT151*AG151,2)*1)*1),6)</f>
        <v>0</v>
      </c>
      <c r="DD151" t="s">
        <v>3</v>
      </c>
      <c r="DE151" t="s">
        <v>3</v>
      </c>
      <c r="DF151">
        <f>ROUND(ROUND(AE151,2)*CX151,2)</f>
        <v>3.89</v>
      </c>
      <c r="DG151">
        <f t="shared" si="57"/>
        <v>0</v>
      </c>
      <c r="DH151">
        <f t="shared" si="58"/>
        <v>0</v>
      </c>
      <c r="DI151">
        <f t="shared" si="55"/>
        <v>0</v>
      </c>
      <c r="DJ151">
        <f>DF151</f>
        <v>3.89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ROW(Source!A52)</f>
        <v>52</v>
      </c>
      <c r="B152">
        <v>55747649</v>
      </c>
      <c r="C152">
        <v>55747945</v>
      </c>
      <c r="D152">
        <v>54737805</v>
      </c>
      <c r="E152">
        <v>1</v>
      </c>
      <c r="F152">
        <v>1</v>
      </c>
      <c r="G152">
        <v>1081</v>
      </c>
      <c r="H152">
        <v>3</v>
      </c>
      <c r="I152" t="s">
        <v>547</v>
      </c>
      <c r="J152" t="s">
        <v>548</v>
      </c>
      <c r="K152" t="s">
        <v>549</v>
      </c>
      <c r="L152">
        <v>1346</v>
      </c>
      <c r="N152">
        <v>1009</v>
      </c>
      <c r="O152" t="s">
        <v>503</v>
      </c>
      <c r="P152" t="s">
        <v>503</v>
      </c>
      <c r="Q152">
        <v>1</v>
      </c>
      <c r="W152">
        <v>0</v>
      </c>
      <c r="X152">
        <v>488689173</v>
      </c>
      <c r="Y152">
        <f>((AT152*1)*1)</f>
        <v>3.0000000000000001E-3</v>
      </c>
      <c r="AA152">
        <v>20.190000000000001</v>
      </c>
      <c r="AB152">
        <v>0</v>
      </c>
      <c r="AC152">
        <v>0</v>
      </c>
      <c r="AD152">
        <v>0</v>
      </c>
      <c r="AE152">
        <v>20.190000000000001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3.0000000000000001E-3</v>
      </c>
      <c r="AU152" t="s">
        <v>38</v>
      </c>
      <c r="AV152">
        <v>0</v>
      </c>
      <c r="AW152">
        <v>2</v>
      </c>
      <c r="AX152">
        <v>55747953</v>
      </c>
      <c r="AY152">
        <v>1</v>
      </c>
      <c r="AZ152">
        <v>0</v>
      </c>
      <c r="BA152">
        <v>188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ROUND(Y152*Source!I52,9)</f>
        <v>2.4E-2</v>
      </c>
      <c r="CY152">
        <f>AA152</f>
        <v>20.190000000000001</v>
      </c>
      <c r="CZ152">
        <f>AE152</f>
        <v>20.190000000000001</v>
      </c>
      <c r="DA152">
        <f>AI152</f>
        <v>1</v>
      </c>
      <c r="DB152">
        <f>ROUND(((ROUND(AT152*CZ152,2)*1)*1),6)</f>
        <v>0.06</v>
      </c>
      <c r="DC152">
        <f>ROUND(((ROUND(AT152*AG152,2)*1)*1),6)</f>
        <v>0</v>
      </c>
      <c r="DD152" t="s">
        <v>3</v>
      </c>
      <c r="DE152" t="s">
        <v>3</v>
      </c>
      <c r="DF152">
        <f>ROUND(ROUND(AE152,2)*CX152,2)</f>
        <v>0.48</v>
      </c>
      <c r="DG152">
        <f t="shared" si="57"/>
        <v>0</v>
      </c>
      <c r="DH152">
        <f t="shared" si="58"/>
        <v>0</v>
      </c>
      <c r="DI152">
        <f t="shared" si="55"/>
        <v>0</v>
      </c>
      <c r="DJ152">
        <f>DF152</f>
        <v>0.48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ROW(Source!A53)</f>
        <v>53</v>
      </c>
      <c r="B153">
        <v>55747651</v>
      </c>
      <c r="C153">
        <v>55747945</v>
      </c>
      <c r="D153">
        <v>54702434</v>
      </c>
      <c r="E153">
        <v>1081</v>
      </c>
      <c r="F153">
        <v>1</v>
      </c>
      <c r="G153">
        <v>1081</v>
      </c>
      <c r="H153">
        <v>1</v>
      </c>
      <c r="I153" t="s">
        <v>473</v>
      </c>
      <c r="J153" t="s">
        <v>3</v>
      </c>
      <c r="K153" t="s">
        <v>474</v>
      </c>
      <c r="L153">
        <v>1191</v>
      </c>
      <c r="N153">
        <v>1013</v>
      </c>
      <c r="O153" t="s">
        <v>475</v>
      </c>
      <c r="P153" t="s">
        <v>475</v>
      </c>
      <c r="Q153">
        <v>1</v>
      </c>
      <c r="W153">
        <v>0</v>
      </c>
      <c r="X153">
        <v>476480486</v>
      </c>
      <c r="Y153">
        <f>((AT153*1.15)*1.2)</f>
        <v>0.30359999999999998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5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0.22</v>
      </c>
      <c r="AU153" t="s">
        <v>98</v>
      </c>
      <c r="AV153">
        <v>1</v>
      </c>
      <c r="AW153">
        <v>2</v>
      </c>
      <c r="AX153">
        <v>55747950</v>
      </c>
      <c r="AY153">
        <v>1</v>
      </c>
      <c r="AZ153">
        <v>0</v>
      </c>
      <c r="BA153">
        <v>191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ROUND(AT153*Source!I53*AH153*AL153,2)</f>
        <v>0</v>
      </c>
      <c r="CV153">
        <f>ROUND(Y153*Source!I53,9)</f>
        <v>2.4287999999999998</v>
      </c>
      <c r="CW153">
        <v>0</v>
      </c>
      <c r="CX153">
        <f>ROUND(Y153*Source!I53,9)</f>
        <v>2.4287999999999998</v>
      </c>
      <c r="CY153">
        <f>AD153</f>
        <v>0</v>
      </c>
      <c r="CZ153">
        <f>AH153</f>
        <v>0</v>
      </c>
      <c r="DA153">
        <f>AL153</f>
        <v>1</v>
      </c>
      <c r="DB153">
        <f>ROUND(((ROUND(AT153*CZ153,2)*1.15)*1.2),6)</f>
        <v>0</v>
      </c>
      <c r="DC153">
        <f>ROUND(((ROUND(AT153*AG153,2)*1.15)*1.2),6)</f>
        <v>0</v>
      </c>
      <c r="DD153" t="s">
        <v>3</v>
      </c>
      <c r="DE153" t="s">
        <v>3</v>
      </c>
      <c r="DF153">
        <f>ROUND(ROUND(AE153,2)*CX153,2)</f>
        <v>0</v>
      </c>
      <c r="DG153">
        <f t="shared" si="57"/>
        <v>0</v>
      </c>
      <c r="DH153">
        <f t="shared" si="58"/>
        <v>0</v>
      </c>
      <c r="DI153">
        <f t="shared" si="55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ROW(Source!A53)</f>
        <v>53</v>
      </c>
      <c r="B154">
        <v>55747651</v>
      </c>
      <c r="C154">
        <v>55747945</v>
      </c>
      <c r="D154">
        <v>54739078</v>
      </c>
      <c r="E154">
        <v>1</v>
      </c>
      <c r="F154">
        <v>1</v>
      </c>
      <c r="G154">
        <v>1081</v>
      </c>
      <c r="H154">
        <v>3</v>
      </c>
      <c r="I154" t="s">
        <v>541</v>
      </c>
      <c r="J154" t="s">
        <v>542</v>
      </c>
      <c r="K154" t="s">
        <v>543</v>
      </c>
      <c r="L154">
        <v>1346</v>
      </c>
      <c r="N154">
        <v>1009</v>
      </c>
      <c r="O154" t="s">
        <v>503</v>
      </c>
      <c r="P154" t="s">
        <v>503</v>
      </c>
      <c r="Q154">
        <v>1</v>
      </c>
      <c r="W154">
        <v>0</v>
      </c>
      <c r="X154">
        <v>1021383118</v>
      </c>
      <c r="Y154">
        <f>((AT154*1)*1)</f>
        <v>0.01</v>
      </c>
      <c r="AA154">
        <v>315.23</v>
      </c>
      <c r="AB154">
        <v>0</v>
      </c>
      <c r="AC154">
        <v>0</v>
      </c>
      <c r="AD154">
        <v>0</v>
      </c>
      <c r="AE154">
        <v>37.979999999999997</v>
      </c>
      <c r="AF154">
        <v>0</v>
      </c>
      <c r="AG154">
        <v>0</v>
      </c>
      <c r="AH154">
        <v>0</v>
      </c>
      <c r="AI154">
        <v>8.3000000000000007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0.01</v>
      </c>
      <c r="AU154" t="s">
        <v>38</v>
      </c>
      <c r="AV154">
        <v>0</v>
      </c>
      <c r="AW154">
        <v>2</v>
      </c>
      <c r="AX154">
        <v>55747951</v>
      </c>
      <c r="AY154">
        <v>1</v>
      </c>
      <c r="AZ154">
        <v>0</v>
      </c>
      <c r="BA154">
        <v>192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ROUND(Y154*Source!I53,9)</f>
        <v>0.08</v>
      </c>
      <c r="CY154">
        <f>AA154</f>
        <v>315.23</v>
      </c>
      <c r="CZ154">
        <f>AE154</f>
        <v>37.979999999999997</v>
      </c>
      <c r="DA154">
        <f>AI154</f>
        <v>8.3000000000000007</v>
      </c>
      <c r="DB154">
        <f>ROUND(((ROUND(AT154*CZ154,2)*1)*1),6)</f>
        <v>0.38</v>
      </c>
      <c r="DC154">
        <f>ROUND(((ROUND(AT154*AG154,2)*1)*1),6)</f>
        <v>0</v>
      </c>
      <c r="DD154" t="s">
        <v>3</v>
      </c>
      <c r="DE154" t="s">
        <v>3</v>
      </c>
      <c r="DF154">
        <f>ROUND(ROUND(AE154*AI154,2)*CX154,2)</f>
        <v>25.22</v>
      </c>
      <c r="DG154">
        <f t="shared" si="57"/>
        <v>0</v>
      </c>
      <c r="DH154">
        <f t="shared" si="58"/>
        <v>0</v>
      </c>
      <c r="DI154">
        <f t="shared" si="55"/>
        <v>0</v>
      </c>
      <c r="DJ154">
        <f>DF154</f>
        <v>25.22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ROW(Source!A53)</f>
        <v>53</v>
      </c>
      <c r="B155">
        <v>55747651</v>
      </c>
      <c r="C155">
        <v>55747945</v>
      </c>
      <c r="D155">
        <v>54737637</v>
      </c>
      <c r="E155">
        <v>1</v>
      </c>
      <c r="F155">
        <v>1</v>
      </c>
      <c r="G155">
        <v>1081</v>
      </c>
      <c r="H155">
        <v>3</v>
      </c>
      <c r="I155" t="s">
        <v>544</v>
      </c>
      <c r="J155" t="s">
        <v>545</v>
      </c>
      <c r="K155" t="s">
        <v>546</v>
      </c>
      <c r="L155">
        <v>1348</v>
      </c>
      <c r="N155">
        <v>1009</v>
      </c>
      <c r="O155" t="s">
        <v>282</v>
      </c>
      <c r="P155" t="s">
        <v>282</v>
      </c>
      <c r="Q155">
        <v>1000</v>
      </c>
      <c r="W155">
        <v>0</v>
      </c>
      <c r="X155">
        <v>1270042986</v>
      </c>
      <c r="Y155">
        <f>((AT155*1)*1)</f>
        <v>3.0000000000000001E-5</v>
      </c>
      <c r="AA155">
        <v>55941.2</v>
      </c>
      <c r="AB155">
        <v>0</v>
      </c>
      <c r="AC155">
        <v>0</v>
      </c>
      <c r="AD155">
        <v>0</v>
      </c>
      <c r="AE155">
        <v>16214.84</v>
      </c>
      <c r="AF155">
        <v>0</v>
      </c>
      <c r="AG155">
        <v>0</v>
      </c>
      <c r="AH155">
        <v>0</v>
      </c>
      <c r="AI155">
        <v>3.45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3.0000000000000001E-5</v>
      </c>
      <c r="AU155" t="s">
        <v>38</v>
      </c>
      <c r="AV155">
        <v>0</v>
      </c>
      <c r="AW155">
        <v>2</v>
      </c>
      <c r="AX155">
        <v>55747952</v>
      </c>
      <c r="AY155">
        <v>1</v>
      </c>
      <c r="AZ155">
        <v>0</v>
      </c>
      <c r="BA155">
        <v>193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ROUND(Y155*Source!I53,9)</f>
        <v>2.4000000000000001E-4</v>
      </c>
      <c r="CY155">
        <f>AA155</f>
        <v>55941.2</v>
      </c>
      <c r="CZ155">
        <f>AE155</f>
        <v>16214.84</v>
      </c>
      <c r="DA155">
        <f>AI155</f>
        <v>3.45</v>
      </c>
      <c r="DB155">
        <f>ROUND(((ROUND(AT155*CZ155,2)*1)*1),6)</f>
        <v>0.49</v>
      </c>
      <c r="DC155">
        <f>ROUND(((ROUND(AT155*AG155,2)*1)*1),6)</f>
        <v>0</v>
      </c>
      <c r="DD155" t="s">
        <v>3</v>
      </c>
      <c r="DE155" t="s">
        <v>3</v>
      </c>
      <c r="DF155">
        <f>ROUND(ROUND(AE155*AI155,2)*CX155,2)</f>
        <v>13.43</v>
      </c>
      <c r="DG155">
        <f t="shared" si="57"/>
        <v>0</v>
      </c>
      <c r="DH155">
        <f t="shared" si="58"/>
        <v>0</v>
      </c>
      <c r="DI155">
        <f t="shared" si="55"/>
        <v>0</v>
      </c>
      <c r="DJ155">
        <f>DF155</f>
        <v>13.43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ROW(Source!A53)</f>
        <v>53</v>
      </c>
      <c r="B156">
        <v>55747651</v>
      </c>
      <c r="C156">
        <v>55747945</v>
      </c>
      <c r="D156">
        <v>54737805</v>
      </c>
      <c r="E156">
        <v>1</v>
      </c>
      <c r="F156">
        <v>1</v>
      </c>
      <c r="G156">
        <v>1081</v>
      </c>
      <c r="H156">
        <v>3</v>
      </c>
      <c r="I156" t="s">
        <v>547</v>
      </c>
      <c r="J156" t="s">
        <v>548</v>
      </c>
      <c r="K156" t="s">
        <v>549</v>
      </c>
      <c r="L156">
        <v>1346</v>
      </c>
      <c r="N156">
        <v>1009</v>
      </c>
      <c r="O156" t="s">
        <v>503</v>
      </c>
      <c r="P156" t="s">
        <v>503</v>
      </c>
      <c r="Q156">
        <v>1</v>
      </c>
      <c r="W156">
        <v>0</v>
      </c>
      <c r="X156">
        <v>488689173</v>
      </c>
      <c r="Y156">
        <f>((AT156*1)*1)</f>
        <v>3.0000000000000001E-3</v>
      </c>
      <c r="AA156">
        <v>85.81</v>
      </c>
      <c r="AB156">
        <v>0</v>
      </c>
      <c r="AC156">
        <v>0</v>
      </c>
      <c r="AD156">
        <v>0</v>
      </c>
      <c r="AE156">
        <v>20.190000000000001</v>
      </c>
      <c r="AF156">
        <v>0</v>
      </c>
      <c r="AG156">
        <v>0</v>
      </c>
      <c r="AH156">
        <v>0</v>
      </c>
      <c r="AI156">
        <v>4.25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3.0000000000000001E-3</v>
      </c>
      <c r="AU156" t="s">
        <v>38</v>
      </c>
      <c r="AV156">
        <v>0</v>
      </c>
      <c r="AW156">
        <v>2</v>
      </c>
      <c r="AX156">
        <v>55747953</v>
      </c>
      <c r="AY156">
        <v>1</v>
      </c>
      <c r="AZ156">
        <v>0</v>
      </c>
      <c r="BA156">
        <v>194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ROUND(Y156*Source!I53,9)</f>
        <v>2.4E-2</v>
      </c>
      <c r="CY156">
        <f>AA156</f>
        <v>85.81</v>
      </c>
      <c r="CZ156">
        <f>AE156</f>
        <v>20.190000000000001</v>
      </c>
      <c r="DA156">
        <f>AI156</f>
        <v>4.25</v>
      </c>
      <c r="DB156">
        <f>ROUND(((ROUND(AT156*CZ156,2)*1)*1),6)</f>
        <v>0.06</v>
      </c>
      <c r="DC156">
        <f>ROUND(((ROUND(AT156*AG156,2)*1)*1),6)</f>
        <v>0</v>
      </c>
      <c r="DD156" t="s">
        <v>3</v>
      </c>
      <c r="DE156" t="s">
        <v>3</v>
      </c>
      <c r="DF156">
        <f>ROUND(ROUND(AE156*AI156,2)*CX156,2)</f>
        <v>2.06</v>
      </c>
      <c r="DG156">
        <f t="shared" si="57"/>
        <v>0</v>
      </c>
      <c r="DH156">
        <f t="shared" si="58"/>
        <v>0</v>
      </c>
      <c r="DI156">
        <f t="shared" si="55"/>
        <v>0</v>
      </c>
      <c r="DJ156">
        <f>DF156</f>
        <v>2.06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ROW(Source!A56)</f>
        <v>56</v>
      </c>
      <c r="B157">
        <v>55747649</v>
      </c>
      <c r="C157">
        <v>55747958</v>
      </c>
      <c r="D157">
        <v>54702434</v>
      </c>
      <c r="E157">
        <v>1081</v>
      </c>
      <c r="F157">
        <v>1</v>
      </c>
      <c r="G157">
        <v>1081</v>
      </c>
      <c r="H157">
        <v>1</v>
      </c>
      <c r="I157" t="s">
        <v>473</v>
      </c>
      <c r="J157" t="s">
        <v>3</v>
      </c>
      <c r="K157" t="s">
        <v>474</v>
      </c>
      <c r="L157">
        <v>1191</v>
      </c>
      <c r="N157">
        <v>1013</v>
      </c>
      <c r="O157" t="s">
        <v>475</v>
      </c>
      <c r="P157" t="s">
        <v>475</v>
      </c>
      <c r="Q157">
        <v>1</v>
      </c>
      <c r="W157">
        <v>0</v>
      </c>
      <c r="X157">
        <v>476480486</v>
      </c>
      <c r="Y157">
        <f>(AT157*1.2)</f>
        <v>6.6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5.5</v>
      </c>
      <c r="AU157" t="s">
        <v>49</v>
      </c>
      <c r="AV157">
        <v>1</v>
      </c>
      <c r="AW157">
        <v>2</v>
      </c>
      <c r="AX157">
        <v>55747964</v>
      </c>
      <c r="AY157">
        <v>1</v>
      </c>
      <c r="AZ157">
        <v>0</v>
      </c>
      <c r="BA157">
        <v>197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ROUND(AT157*Source!I56*AH157*AL157,2)</f>
        <v>0</v>
      </c>
      <c r="CV157">
        <f>ROUND(Y157*Source!I56,9)</f>
        <v>6.6</v>
      </c>
      <c r="CW157">
        <v>0</v>
      </c>
      <c r="CX157">
        <f>ROUND(Y157*Source!I56,9)</f>
        <v>6.6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 t="shared" ref="DF157:DF162" si="59">ROUND(ROUND(AE157,2)*CX157,2)</f>
        <v>0</v>
      </c>
      <c r="DG157">
        <f t="shared" si="57"/>
        <v>0</v>
      </c>
      <c r="DH157">
        <f t="shared" si="58"/>
        <v>0</v>
      </c>
      <c r="DI157">
        <f t="shared" si="55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ROW(Source!A56)</f>
        <v>56</v>
      </c>
      <c r="B158">
        <v>55747649</v>
      </c>
      <c r="C158">
        <v>55747958</v>
      </c>
      <c r="D158">
        <v>54768339</v>
      </c>
      <c r="E158">
        <v>1</v>
      </c>
      <c r="F158">
        <v>1</v>
      </c>
      <c r="G158">
        <v>1081</v>
      </c>
      <c r="H158">
        <v>2</v>
      </c>
      <c r="I158" t="s">
        <v>483</v>
      </c>
      <c r="J158" t="s">
        <v>484</v>
      </c>
      <c r="K158" t="s">
        <v>485</v>
      </c>
      <c r="L158">
        <v>1368</v>
      </c>
      <c r="N158">
        <v>1011</v>
      </c>
      <c r="O158" t="s">
        <v>479</v>
      </c>
      <c r="P158" t="s">
        <v>479</v>
      </c>
      <c r="Q158">
        <v>1</v>
      </c>
      <c r="W158">
        <v>0</v>
      </c>
      <c r="X158">
        <v>874612079</v>
      </c>
      <c r="Y158">
        <f>(AT158*1.2)</f>
        <v>0.108</v>
      </c>
      <c r="AA158">
        <v>0</v>
      </c>
      <c r="AB158">
        <v>88.67</v>
      </c>
      <c r="AC158">
        <v>13.47</v>
      </c>
      <c r="AD158">
        <v>0</v>
      </c>
      <c r="AE158">
        <v>0</v>
      </c>
      <c r="AF158">
        <v>83.1</v>
      </c>
      <c r="AG158">
        <v>12.62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0.09</v>
      </c>
      <c r="AU158" t="s">
        <v>49</v>
      </c>
      <c r="AV158">
        <v>0</v>
      </c>
      <c r="AW158">
        <v>2</v>
      </c>
      <c r="AX158">
        <v>55747965</v>
      </c>
      <c r="AY158">
        <v>1</v>
      </c>
      <c r="AZ158">
        <v>0</v>
      </c>
      <c r="BA158">
        <v>198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ROUND(Y158*Source!I56*DO158,9)</f>
        <v>1.3629599999999999</v>
      </c>
      <c r="CX158">
        <f>ROUND(Y158*Source!I56,9)</f>
        <v>0.108</v>
      </c>
      <c r="CY158">
        <f>AB158</f>
        <v>88.67</v>
      </c>
      <c r="CZ158">
        <f>AF158</f>
        <v>83.1</v>
      </c>
      <c r="DA158">
        <f>AJ158</f>
        <v>1</v>
      </c>
      <c r="DB158">
        <f>ROUND((ROUND(AT158*CZ158,2)*1.2),6)</f>
        <v>8.9760000000000009</v>
      </c>
      <c r="DC158">
        <f>ROUND((ROUND(AT158*AG158,2)*1.2),6)</f>
        <v>1.3680000000000001</v>
      </c>
      <c r="DD158" t="s">
        <v>3</v>
      </c>
      <c r="DE158" t="s">
        <v>3</v>
      </c>
      <c r="DF158">
        <f t="shared" si="59"/>
        <v>0</v>
      </c>
      <c r="DG158">
        <f t="shared" si="57"/>
        <v>8.9700000000000006</v>
      </c>
      <c r="DH158">
        <f t="shared" si="58"/>
        <v>1.36</v>
      </c>
      <c r="DI158">
        <f t="shared" si="55"/>
        <v>0</v>
      </c>
      <c r="DJ158">
        <f>DG158</f>
        <v>8.9700000000000006</v>
      </c>
      <c r="DK158">
        <v>0</v>
      </c>
      <c r="DL158" t="s">
        <v>486</v>
      </c>
      <c r="DM158">
        <v>0</v>
      </c>
      <c r="DN158" t="s">
        <v>475</v>
      </c>
      <c r="DO158">
        <v>12.62</v>
      </c>
    </row>
    <row r="159" spans="1:119" x14ac:dyDescent="0.2">
      <c r="A159">
        <f>ROW(Source!A56)</f>
        <v>56</v>
      </c>
      <c r="B159">
        <v>55747649</v>
      </c>
      <c r="C159">
        <v>55747958</v>
      </c>
      <c r="D159">
        <v>54737969</v>
      </c>
      <c r="E159">
        <v>1</v>
      </c>
      <c r="F159">
        <v>1</v>
      </c>
      <c r="G159">
        <v>1081</v>
      </c>
      <c r="H159">
        <v>3</v>
      </c>
      <c r="I159" t="s">
        <v>511</v>
      </c>
      <c r="J159" t="s">
        <v>512</v>
      </c>
      <c r="K159" t="s">
        <v>513</v>
      </c>
      <c r="L159">
        <v>1348</v>
      </c>
      <c r="N159">
        <v>1009</v>
      </c>
      <c r="O159" t="s">
        <v>282</v>
      </c>
      <c r="P159" t="s">
        <v>282</v>
      </c>
      <c r="Q159">
        <v>1000</v>
      </c>
      <c r="W159">
        <v>0</v>
      </c>
      <c r="X159">
        <v>-287838193</v>
      </c>
      <c r="Y159">
        <f>(AT159*1)</f>
        <v>1.7000000000000001E-4</v>
      </c>
      <c r="AA159">
        <v>23761.63</v>
      </c>
      <c r="AB159">
        <v>0</v>
      </c>
      <c r="AC159">
        <v>0</v>
      </c>
      <c r="AD159">
        <v>0</v>
      </c>
      <c r="AE159">
        <v>23114.43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1.7000000000000001E-4</v>
      </c>
      <c r="AU159" t="s">
        <v>48</v>
      </c>
      <c r="AV159">
        <v>0</v>
      </c>
      <c r="AW159">
        <v>2</v>
      </c>
      <c r="AX159">
        <v>55747966</v>
      </c>
      <c r="AY159">
        <v>1</v>
      </c>
      <c r="AZ159">
        <v>0</v>
      </c>
      <c r="BA159">
        <v>199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ROUND(Y159*Source!I56,9)</f>
        <v>1.7000000000000001E-4</v>
      </c>
      <c r="CY159">
        <f>AA159</f>
        <v>23761.63</v>
      </c>
      <c r="CZ159">
        <f>AE159</f>
        <v>23114.43</v>
      </c>
      <c r="DA159">
        <f>AI159</f>
        <v>1</v>
      </c>
      <c r="DB159">
        <f>ROUND((ROUND(AT159*CZ159,2)*1),6)</f>
        <v>3.93</v>
      </c>
      <c r="DC159">
        <f>ROUND((ROUND(AT159*AG159,2)*1),6)</f>
        <v>0</v>
      </c>
      <c r="DD159" t="s">
        <v>3</v>
      </c>
      <c r="DE159" t="s">
        <v>3</v>
      </c>
      <c r="DF159">
        <f t="shared" si="59"/>
        <v>3.93</v>
      </c>
      <c r="DG159">
        <f t="shared" si="57"/>
        <v>0</v>
      </c>
      <c r="DH159">
        <f t="shared" si="58"/>
        <v>0</v>
      </c>
      <c r="DI159">
        <f t="shared" si="55"/>
        <v>0</v>
      </c>
      <c r="DJ159">
        <f>DF159</f>
        <v>3.93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ROW(Source!A56)</f>
        <v>56</v>
      </c>
      <c r="B160">
        <v>55747649</v>
      </c>
      <c r="C160">
        <v>55747958</v>
      </c>
      <c r="D160">
        <v>0</v>
      </c>
      <c r="E160">
        <v>0</v>
      </c>
      <c r="F160">
        <v>1</v>
      </c>
      <c r="G160">
        <v>1081</v>
      </c>
      <c r="H160">
        <v>3</v>
      </c>
      <c r="I160" t="s">
        <v>116</v>
      </c>
      <c r="J160" t="s">
        <v>3</v>
      </c>
      <c r="K160" t="s">
        <v>117</v>
      </c>
      <c r="L160">
        <v>1354</v>
      </c>
      <c r="N160">
        <v>1010</v>
      </c>
      <c r="O160" t="s">
        <v>118</v>
      </c>
      <c r="P160" t="s">
        <v>118</v>
      </c>
      <c r="Q160">
        <v>1</v>
      </c>
      <c r="W160">
        <v>0</v>
      </c>
      <c r="X160">
        <v>1774211457</v>
      </c>
      <c r="Y160">
        <f>AT160</f>
        <v>1</v>
      </c>
      <c r="AA160">
        <v>7821.6</v>
      </c>
      <c r="AB160">
        <v>0</v>
      </c>
      <c r="AC160">
        <v>0</v>
      </c>
      <c r="AD160">
        <v>0</v>
      </c>
      <c r="AE160">
        <v>7821.5999999999995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ROUND(Y160*Source!I56,9)</f>
        <v>1</v>
      </c>
      <c r="CY160">
        <f>AA160</f>
        <v>7821.6</v>
      </c>
      <c r="CZ160">
        <f>AE160</f>
        <v>7821.5999999999995</v>
      </c>
      <c r="DA160">
        <f>AI160</f>
        <v>1</v>
      </c>
      <c r="DB160">
        <f>ROUND(ROUND(AT160*CZ160,2),6)</f>
        <v>7821.6</v>
      </c>
      <c r="DC160">
        <f>ROUND(ROUND(AT160*AG160,2),6)</f>
        <v>0</v>
      </c>
      <c r="DD160" t="s">
        <v>3</v>
      </c>
      <c r="DE160" t="s">
        <v>3</v>
      </c>
      <c r="DF160">
        <f t="shared" si="59"/>
        <v>7821.6</v>
      </c>
      <c r="DG160">
        <f t="shared" si="57"/>
        <v>0</v>
      </c>
      <c r="DH160">
        <f t="shared" si="58"/>
        <v>0</v>
      </c>
      <c r="DI160">
        <f t="shared" si="55"/>
        <v>0</v>
      </c>
      <c r="DJ160">
        <f>DF160</f>
        <v>7821.6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ROW(Source!A57)</f>
        <v>57</v>
      </c>
      <c r="B161">
        <v>55747651</v>
      </c>
      <c r="C161">
        <v>55747958</v>
      </c>
      <c r="D161">
        <v>54702434</v>
      </c>
      <c r="E161">
        <v>1081</v>
      </c>
      <c r="F161">
        <v>1</v>
      </c>
      <c r="G161">
        <v>1081</v>
      </c>
      <c r="H161">
        <v>1</v>
      </c>
      <c r="I161" t="s">
        <v>473</v>
      </c>
      <c r="J161" t="s">
        <v>3</v>
      </c>
      <c r="K161" t="s">
        <v>474</v>
      </c>
      <c r="L161">
        <v>1191</v>
      </c>
      <c r="N161">
        <v>1013</v>
      </c>
      <c r="O161" t="s">
        <v>475</v>
      </c>
      <c r="P161" t="s">
        <v>475</v>
      </c>
      <c r="Q161">
        <v>1</v>
      </c>
      <c r="W161">
        <v>0</v>
      </c>
      <c r="X161">
        <v>476480486</v>
      </c>
      <c r="Y161">
        <f>(AT161*1.2)</f>
        <v>6.6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5.5</v>
      </c>
      <c r="AU161" t="s">
        <v>49</v>
      </c>
      <c r="AV161">
        <v>1</v>
      </c>
      <c r="AW161">
        <v>2</v>
      </c>
      <c r="AX161">
        <v>55747964</v>
      </c>
      <c r="AY161">
        <v>1</v>
      </c>
      <c r="AZ161">
        <v>0</v>
      </c>
      <c r="BA161">
        <v>202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ROUND(AT161*Source!I57*AH161*AL161,2)</f>
        <v>0</v>
      </c>
      <c r="CV161">
        <f>ROUND(Y161*Source!I57,9)</f>
        <v>6.6</v>
      </c>
      <c r="CW161">
        <v>0</v>
      </c>
      <c r="CX161">
        <f>ROUND(Y161*Source!I57,9)</f>
        <v>6.6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 t="shared" si="59"/>
        <v>0</v>
      </c>
      <c r="DG161">
        <f t="shared" si="57"/>
        <v>0</v>
      </c>
      <c r="DH161">
        <f t="shared" si="58"/>
        <v>0</v>
      </c>
      <c r="DI161">
        <f t="shared" si="55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ROW(Source!A57)</f>
        <v>57</v>
      </c>
      <c r="B162">
        <v>55747651</v>
      </c>
      <c r="C162">
        <v>55747958</v>
      </c>
      <c r="D162">
        <v>54768339</v>
      </c>
      <c r="E162">
        <v>1</v>
      </c>
      <c r="F162">
        <v>1</v>
      </c>
      <c r="G162">
        <v>1081</v>
      </c>
      <c r="H162">
        <v>2</v>
      </c>
      <c r="I162" t="s">
        <v>483</v>
      </c>
      <c r="J162" t="s">
        <v>484</v>
      </c>
      <c r="K162" t="s">
        <v>485</v>
      </c>
      <c r="L162">
        <v>1368</v>
      </c>
      <c r="N162">
        <v>1011</v>
      </c>
      <c r="O162" t="s">
        <v>479</v>
      </c>
      <c r="P162" t="s">
        <v>479</v>
      </c>
      <c r="Q162">
        <v>1</v>
      </c>
      <c r="W162">
        <v>0</v>
      </c>
      <c r="X162">
        <v>874612079</v>
      </c>
      <c r="Y162">
        <f>(AT162*1.2)</f>
        <v>0.108</v>
      </c>
      <c r="AA162">
        <v>0</v>
      </c>
      <c r="AB162">
        <v>1513.56</v>
      </c>
      <c r="AC162">
        <v>758.78</v>
      </c>
      <c r="AD162">
        <v>0</v>
      </c>
      <c r="AE162">
        <v>0</v>
      </c>
      <c r="AF162">
        <v>83.1</v>
      </c>
      <c r="AG162">
        <v>12.62</v>
      </c>
      <c r="AH162">
        <v>0</v>
      </c>
      <c r="AI162">
        <v>1</v>
      </c>
      <c r="AJ162">
        <v>17.07</v>
      </c>
      <c r="AK162">
        <v>56.35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0.09</v>
      </c>
      <c r="AU162" t="s">
        <v>49</v>
      </c>
      <c r="AV162">
        <v>0</v>
      </c>
      <c r="AW162">
        <v>2</v>
      </c>
      <c r="AX162">
        <v>55747965</v>
      </c>
      <c r="AY162">
        <v>1</v>
      </c>
      <c r="AZ162">
        <v>0</v>
      </c>
      <c r="BA162">
        <v>203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ROUND(Y162*Source!I57*DO162,9)</f>
        <v>1.3629599999999999</v>
      </c>
      <c r="CX162">
        <f>ROUND(Y162*Source!I57,9)</f>
        <v>0.108</v>
      </c>
      <c r="CY162">
        <f>AB162</f>
        <v>1513.56</v>
      </c>
      <c r="CZ162">
        <f>AF162</f>
        <v>83.1</v>
      </c>
      <c r="DA162">
        <f>AJ162</f>
        <v>17.07</v>
      </c>
      <c r="DB162">
        <f>ROUND((ROUND(AT162*CZ162,2)*1.2),6)</f>
        <v>8.9760000000000009</v>
      </c>
      <c r="DC162">
        <f>ROUND((ROUND(AT162*AG162,2)*1.2),6)</f>
        <v>1.3680000000000001</v>
      </c>
      <c r="DD162" t="s">
        <v>3</v>
      </c>
      <c r="DE162" t="s">
        <v>3</v>
      </c>
      <c r="DF162">
        <f t="shared" si="59"/>
        <v>0</v>
      </c>
      <c r="DG162">
        <f>ROUND(ROUND(AF162*AJ162,2)*CX162,2)</f>
        <v>153.19999999999999</v>
      </c>
      <c r="DH162">
        <f>ROUND(ROUND(AG162*AK162,2)*CX162,2)</f>
        <v>76.8</v>
      </c>
      <c r="DI162">
        <f t="shared" si="55"/>
        <v>0</v>
      </c>
      <c r="DJ162">
        <f>DG162</f>
        <v>153.19999999999999</v>
      </c>
      <c r="DK162">
        <v>0</v>
      </c>
      <c r="DL162" t="s">
        <v>486</v>
      </c>
      <c r="DM162">
        <v>0</v>
      </c>
      <c r="DN162" t="s">
        <v>475</v>
      </c>
      <c r="DO162">
        <v>12.62</v>
      </c>
    </row>
    <row r="163" spans="1:119" x14ac:dyDescent="0.2">
      <c r="A163">
        <f>ROW(Source!A57)</f>
        <v>57</v>
      </c>
      <c r="B163">
        <v>55747651</v>
      </c>
      <c r="C163">
        <v>55747958</v>
      </c>
      <c r="D163">
        <v>54737969</v>
      </c>
      <c r="E163">
        <v>1</v>
      </c>
      <c r="F163">
        <v>1</v>
      </c>
      <c r="G163">
        <v>1081</v>
      </c>
      <c r="H163">
        <v>3</v>
      </c>
      <c r="I163" t="s">
        <v>511</v>
      </c>
      <c r="J163" t="s">
        <v>512</v>
      </c>
      <c r="K163" t="s">
        <v>513</v>
      </c>
      <c r="L163">
        <v>1348</v>
      </c>
      <c r="N163">
        <v>1009</v>
      </c>
      <c r="O163" t="s">
        <v>282</v>
      </c>
      <c r="P163" t="s">
        <v>282</v>
      </c>
      <c r="Q163">
        <v>1000</v>
      </c>
      <c r="W163">
        <v>0</v>
      </c>
      <c r="X163">
        <v>-287838193</v>
      </c>
      <c r="Y163">
        <f>(AT163*1)</f>
        <v>1.7000000000000001E-4</v>
      </c>
      <c r="AA163">
        <v>106689.74</v>
      </c>
      <c r="AB163">
        <v>0</v>
      </c>
      <c r="AC163">
        <v>0</v>
      </c>
      <c r="AD163">
        <v>0</v>
      </c>
      <c r="AE163">
        <v>23114.43</v>
      </c>
      <c r="AF163">
        <v>0</v>
      </c>
      <c r="AG163">
        <v>0</v>
      </c>
      <c r="AH163">
        <v>0</v>
      </c>
      <c r="AI163">
        <v>4.49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1.7000000000000001E-4</v>
      </c>
      <c r="AU163" t="s">
        <v>48</v>
      </c>
      <c r="AV163">
        <v>0</v>
      </c>
      <c r="AW163">
        <v>2</v>
      </c>
      <c r="AX163">
        <v>55747966</v>
      </c>
      <c r="AY163">
        <v>1</v>
      </c>
      <c r="AZ163">
        <v>0</v>
      </c>
      <c r="BA163">
        <v>204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ROUND(Y163*Source!I57,9)</f>
        <v>1.7000000000000001E-4</v>
      </c>
      <c r="CY163">
        <f>AA163</f>
        <v>106689.74</v>
      </c>
      <c r="CZ163">
        <f>AE163</f>
        <v>23114.43</v>
      </c>
      <c r="DA163">
        <f>AI163</f>
        <v>4.49</v>
      </c>
      <c r="DB163">
        <f>ROUND((ROUND(AT163*CZ163,2)*1),6)</f>
        <v>3.93</v>
      </c>
      <c r="DC163">
        <f>ROUND((ROUND(AT163*AG163,2)*1),6)</f>
        <v>0</v>
      </c>
      <c r="DD163" t="s">
        <v>3</v>
      </c>
      <c r="DE163" t="s">
        <v>3</v>
      </c>
      <c r="DF163">
        <f>ROUND(ROUND(AE163*AI163,2)*CX163,2)</f>
        <v>17.64</v>
      </c>
      <c r="DG163">
        <f t="shared" ref="DG163:DG169" si="60">ROUND(ROUND(AF163,2)*CX163,2)</f>
        <v>0</v>
      </c>
      <c r="DH163">
        <f t="shared" ref="DH163:DH169" si="61">ROUND(ROUND(AG163,2)*CX163,2)</f>
        <v>0</v>
      </c>
      <c r="DI163">
        <f t="shared" si="55"/>
        <v>0</v>
      </c>
      <c r="DJ163">
        <f>DF163</f>
        <v>17.64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ROW(Source!A57)</f>
        <v>57</v>
      </c>
      <c r="B164">
        <v>55747651</v>
      </c>
      <c r="C164">
        <v>55747958</v>
      </c>
      <c r="D164">
        <v>0</v>
      </c>
      <c r="E164">
        <v>0</v>
      </c>
      <c r="F164">
        <v>1</v>
      </c>
      <c r="G164">
        <v>1081</v>
      </c>
      <c r="H164">
        <v>3</v>
      </c>
      <c r="I164" t="s">
        <v>116</v>
      </c>
      <c r="J164" t="s">
        <v>3</v>
      </c>
      <c r="K164" t="s">
        <v>117</v>
      </c>
      <c r="L164">
        <v>1354</v>
      </c>
      <c r="N164">
        <v>1010</v>
      </c>
      <c r="O164" t="s">
        <v>118</v>
      </c>
      <c r="P164" t="s">
        <v>118</v>
      </c>
      <c r="Q164">
        <v>1</v>
      </c>
      <c r="W164">
        <v>0</v>
      </c>
      <c r="X164">
        <v>1774211457</v>
      </c>
      <c r="Y164">
        <f>AT164</f>
        <v>1</v>
      </c>
      <c r="AA164">
        <v>59209.51</v>
      </c>
      <c r="AB164">
        <v>0</v>
      </c>
      <c r="AC164">
        <v>0</v>
      </c>
      <c r="AD164">
        <v>0</v>
      </c>
      <c r="AE164">
        <v>7821.5999999999995</v>
      </c>
      <c r="AF164">
        <v>0</v>
      </c>
      <c r="AG164">
        <v>0</v>
      </c>
      <c r="AH164">
        <v>0</v>
      </c>
      <c r="AI164">
        <v>7.57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 t="s">
        <v>3</v>
      </c>
      <c r="AT164">
        <v>1</v>
      </c>
      <c r="AU164" t="s">
        <v>3</v>
      </c>
      <c r="AV164">
        <v>0</v>
      </c>
      <c r="AW164">
        <v>1</v>
      </c>
      <c r="AX164">
        <v>-1</v>
      </c>
      <c r="AY164">
        <v>0</v>
      </c>
      <c r="AZ164">
        <v>0</v>
      </c>
      <c r="BA164" t="s">
        <v>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ROUND(Y164*Source!I57,9)</f>
        <v>1</v>
      </c>
      <c r="CY164">
        <f>AA164</f>
        <v>59209.51</v>
      </c>
      <c r="CZ164">
        <f>AE164</f>
        <v>7821.5999999999995</v>
      </c>
      <c r="DA164">
        <f>AI164</f>
        <v>7.57</v>
      </c>
      <c r="DB164">
        <f>ROUND(ROUND(AT164*CZ164,2),6)</f>
        <v>7821.6</v>
      </c>
      <c r="DC164">
        <f>ROUND(ROUND(AT164*AG164,2),6)</f>
        <v>0</v>
      </c>
      <c r="DD164" t="s">
        <v>3</v>
      </c>
      <c r="DE164" t="s">
        <v>3</v>
      </c>
      <c r="DF164">
        <f>ROUND(ROUND(AE164*AI164,2)*CX164,2)</f>
        <v>59209.51</v>
      </c>
      <c r="DG164">
        <f t="shared" si="60"/>
        <v>0</v>
      </c>
      <c r="DH164">
        <f t="shared" si="61"/>
        <v>0</v>
      </c>
      <c r="DI164">
        <f t="shared" si="55"/>
        <v>0</v>
      </c>
      <c r="DJ164">
        <f>DF164</f>
        <v>59209.51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ROW(Source!A60)</f>
        <v>60</v>
      </c>
      <c r="B165">
        <v>55747649</v>
      </c>
      <c r="C165">
        <v>55747970</v>
      </c>
      <c r="D165">
        <v>54702434</v>
      </c>
      <c r="E165">
        <v>1081</v>
      </c>
      <c r="F165">
        <v>1</v>
      </c>
      <c r="G165">
        <v>1081</v>
      </c>
      <c r="H165">
        <v>1</v>
      </c>
      <c r="I165" t="s">
        <v>473</v>
      </c>
      <c r="J165" t="s">
        <v>3</v>
      </c>
      <c r="K165" t="s">
        <v>474</v>
      </c>
      <c r="L165">
        <v>1191</v>
      </c>
      <c r="N165">
        <v>1013</v>
      </c>
      <c r="O165" t="s">
        <v>475</v>
      </c>
      <c r="P165" t="s">
        <v>475</v>
      </c>
      <c r="Q165">
        <v>1</v>
      </c>
      <c r="W165">
        <v>0</v>
      </c>
      <c r="X165">
        <v>476480486</v>
      </c>
      <c r="Y165">
        <f>(AT165*1.2)</f>
        <v>4.919999999999999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4.0999999999999996</v>
      </c>
      <c r="AU165" t="s">
        <v>49</v>
      </c>
      <c r="AV165">
        <v>1</v>
      </c>
      <c r="AW165">
        <v>2</v>
      </c>
      <c r="AX165">
        <v>55747975</v>
      </c>
      <c r="AY165">
        <v>1</v>
      </c>
      <c r="AZ165">
        <v>0</v>
      </c>
      <c r="BA165">
        <v>207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ROUND(AT165*Source!I60*AH165*AL165,2)</f>
        <v>0</v>
      </c>
      <c r="CV165">
        <f>ROUND(Y165*Source!I60,9)</f>
        <v>44.28</v>
      </c>
      <c r="CW165">
        <v>0</v>
      </c>
      <c r="CX165">
        <f>ROUND(Y165*Source!I60,9)</f>
        <v>44.28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ROUND((ROUND(AT165*CZ165,2)*1.2),6)</f>
        <v>0</v>
      </c>
      <c r="DC165">
        <f>ROUND((ROUND(AT165*AG165,2)*1.2),6)</f>
        <v>0</v>
      </c>
      <c r="DD165" t="s">
        <v>3</v>
      </c>
      <c r="DE165" t="s">
        <v>3</v>
      </c>
      <c r="DF165">
        <f t="shared" ref="DF165:DF170" si="62">ROUND(ROUND(AE165,2)*CX165,2)</f>
        <v>0</v>
      </c>
      <c r="DG165">
        <f t="shared" si="60"/>
        <v>0</v>
      </c>
      <c r="DH165">
        <f t="shared" si="61"/>
        <v>0</v>
      </c>
      <c r="DI165">
        <f t="shared" si="55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ROW(Source!A60)</f>
        <v>60</v>
      </c>
      <c r="B166">
        <v>55747649</v>
      </c>
      <c r="C166">
        <v>55747970</v>
      </c>
      <c r="D166">
        <v>54768339</v>
      </c>
      <c r="E166">
        <v>1</v>
      </c>
      <c r="F166">
        <v>1</v>
      </c>
      <c r="G166">
        <v>1081</v>
      </c>
      <c r="H166">
        <v>2</v>
      </c>
      <c r="I166" t="s">
        <v>483</v>
      </c>
      <c r="J166" t="s">
        <v>484</v>
      </c>
      <c r="K166" t="s">
        <v>485</v>
      </c>
      <c r="L166">
        <v>1368</v>
      </c>
      <c r="N166">
        <v>1011</v>
      </c>
      <c r="O166" t="s">
        <v>479</v>
      </c>
      <c r="P166" t="s">
        <v>479</v>
      </c>
      <c r="Q166">
        <v>1</v>
      </c>
      <c r="W166">
        <v>0</v>
      </c>
      <c r="X166">
        <v>874612079</v>
      </c>
      <c r="Y166">
        <f>(AT166*1.2)</f>
        <v>3.5999999999999997E-2</v>
      </c>
      <c r="AA166">
        <v>0</v>
      </c>
      <c r="AB166">
        <v>88.67</v>
      </c>
      <c r="AC166">
        <v>13.47</v>
      </c>
      <c r="AD166">
        <v>0</v>
      </c>
      <c r="AE166">
        <v>0</v>
      </c>
      <c r="AF166">
        <v>83.1</v>
      </c>
      <c r="AG166">
        <v>12.62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0.03</v>
      </c>
      <c r="AU166" t="s">
        <v>49</v>
      </c>
      <c r="AV166">
        <v>0</v>
      </c>
      <c r="AW166">
        <v>2</v>
      </c>
      <c r="AX166">
        <v>55747976</v>
      </c>
      <c r="AY166">
        <v>1</v>
      </c>
      <c r="AZ166">
        <v>0</v>
      </c>
      <c r="BA166">
        <v>208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ROUND(Y166*Source!I60*DO166,9)</f>
        <v>4.0888799999999996</v>
      </c>
      <c r="CX166">
        <f>ROUND(Y166*Source!I60,9)</f>
        <v>0.32400000000000001</v>
      </c>
      <c r="CY166">
        <f>AB166</f>
        <v>88.67</v>
      </c>
      <c r="CZ166">
        <f>AF166</f>
        <v>83.1</v>
      </c>
      <c r="DA166">
        <f>AJ166</f>
        <v>1</v>
      </c>
      <c r="DB166">
        <f>ROUND((ROUND(AT166*CZ166,2)*1.2),6)</f>
        <v>2.988</v>
      </c>
      <c r="DC166">
        <f>ROUND((ROUND(AT166*AG166,2)*1.2),6)</f>
        <v>0.45600000000000002</v>
      </c>
      <c r="DD166" t="s">
        <v>3</v>
      </c>
      <c r="DE166" t="s">
        <v>3</v>
      </c>
      <c r="DF166">
        <f t="shared" si="62"/>
        <v>0</v>
      </c>
      <c r="DG166">
        <f t="shared" si="60"/>
        <v>26.92</v>
      </c>
      <c r="DH166">
        <f t="shared" si="61"/>
        <v>4.09</v>
      </c>
      <c r="DI166">
        <f t="shared" si="55"/>
        <v>0</v>
      </c>
      <c r="DJ166">
        <f>DG166</f>
        <v>26.92</v>
      </c>
      <c r="DK166">
        <v>0</v>
      </c>
      <c r="DL166" t="s">
        <v>486</v>
      </c>
      <c r="DM166">
        <v>0</v>
      </c>
      <c r="DN166" t="s">
        <v>475</v>
      </c>
      <c r="DO166">
        <v>12.62</v>
      </c>
    </row>
    <row r="167" spans="1:119" x14ac:dyDescent="0.2">
      <c r="A167">
        <f>ROW(Source!A60)</f>
        <v>60</v>
      </c>
      <c r="B167">
        <v>55747649</v>
      </c>
      <c r="C167">
        <v>55747970</v>
      </c>
      <c r="D167">
        <v>54737969</v>
      </c>
      <c r="E167">
        <v>1</v>
      </c>
      <c r="F167">
        <v>1</v>
      </c>
      <c r="G167">
        <v>1081</v>
      </c>
      <c r="H167">
        <v>3</v>
      </c>
      <c r="I167" t="s">
        <v>511</v>
      </c>
      <c r="J167" t="s">
        <v>512</v>
      </c>
      <c r="K167" t="s">
        <v>513</v>
      </c>
      <c r="L167">
        <v>1348</v>
      </c>
      <c r="N167">
        <v>1009</v>
      </c>
      <c r="O167" t="s">
        <v>282</v>
      </c>
      <c r="P167" t="s">
        <v>282</v>
      </c>
      <c r="Q167">
        <v>1000</v>
      </c>
      <c r="W167">
        <v>0</v>
      </c>
      <c r="X167">
        <v>-287838193</v>
      </c>
      <c r="Y167">
        <f>(AT167*1)</f>
        <v>1.7000000000000001E-4</v>
      </c>
      <c r="AA167">
        <v>23761.63</v>
      </c>
      <c r="AB167">
        <v>0</v>
      </c>
      <c r="AC167">
        <v>0</v>
      </c>
      <c r="AD167">
        <v>0</v>
      </c>
      <c r="AE167">
        <v>23114.43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1.7000000000000001E-4</v>
      </c>
      <c r="AU167" t="s">
        <v>48</v>
      </c>
      <c r="AV167">
        <v>0</v>
      </c>
      <c r="AW167">
        <v>2</v>
      </c>
      <c r="AX167">
        <v>55747977</v>
      </c>
      <c r="AY167">
        <v>1</v>
      </c>
      <c r="AZ167">
        <v>0</v>
      </c>
      <c r="BA167">
        <v>209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ROUND(Y167*Source!I60,9)</f>
        <v>1.5299999999999999E-3</v>
      </c>
      <c r="CY167">
        <f>AA167</f>
        <v>23761.63</v>
      </c>
      <c r="CZ167">
        <f>AE167</f>
        <v>23114.43</v>
      </c>
      <c r="DA167">
        <f>AI167</f>
        <v>1</v>
      </c>
      <c r="DB167">
        <f>ROUND((ROUND(AT167*CZ167,2)*1),6)</f>
        <v>3.93</v>
      </c>
      <c r="DC167">
        <f>ROUND((ROUND(AT167*AG167,2)*1),6)</f>
        <v>0</v>
      </c>
      <c r="DD167" t="s">
        <v>3</v>
      </c>
      <c r="DE167" t="s">
        <v>3</v>
      </c>
      <c r="DF167">
        <f t="shared" si="62"/>
        <v>35.369999999999997</v>
      </c>
      <c r="DG167">
        <f t="shared" si="60"/>
        <v>0</v>
      </c>
      <c r="DH167">
        <f t="shared" si="61"/>
        <v>0</v>
      </c>
      <c r="DI167">
        <f t="shared" si="55"/>
        <v>0</v>
      </c>
      <c r="DJ167">
        <f>DF167</f>
        <v>35.369999999999997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ROW(Source!A60)</f>
        <v>60</v>
      </c>
      <c r="B168">
        <v>55747649</v>
      </c>
      <c r="C168">
        <v>55747970</v>
      </c>
      <c r="D168">
        <v>54755407</v>
      </c>
      <c r="E168">
        <v>1</v>
      </c>
      <c r="F168">
        <v>1</v>
      </c>
      <c r="G168">
        <v>1081</v>
      </c>
      <c r="H168">
        <v>3</v>
      </c>
      <c r="I168" t="s">
        <v>125</v>
      </c>
      <c r="J168" t="s">
        <v>127</v>
      </c>
      <c r="K168" t="s">
        <v>126</v>
      </c>
      <c r="L168">
        <v>1354</v>
      </c>
      <c r="N168">
        <v>1010</v>
      </c>
      <c r="O168" t="s">
        <v>118</v>
      </c>
      <c r="P168" t="s">
        <v>118</v>
      </c>
      <c r="Q168">
        <v>1</v>
      </c>
      <c r="W168">
        <v>0</v>
      </c>
      <c r="X168">
        <v>873960273</v>
      </c>
      <c r="Y168">
        <f>AT168</f>
        <v>1</v>
      </c>
      <c r="AA168">
        <v>2177.9299999999998</v>
      </c>
      <c r="AB168">
        <v>0</v>
      </c>
      <c r="AC168">
        <v>0</v>
      </c>
      <c r="AD168">
        <v>0</v>
      </c>
      <c r="AE168">
        <v>2177.9299999999998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ROUND(Y168*Source!I60,9)</f>
        <v>9</v>
      </c>
      <c r="CY168">
        <f>AA168</f>
        <v>2177.9299999999998</v>
      </c>
      <c r="CZ168">
        <f>AE168</f>
        <v>2177.9299999999998</v>
      </c>
      <c r="DA168">
        <f>AI168</f>
        <v>1</v>
      </c>
      <c r="DB168">
        <f>ROUND(ROUND(AT168*CZ168,2),6)</f>
        <v>2177.9299999999998</v>
      </c>
      <c r="DC168">
        <f>ROUND(ROUND(AT168*AG168,2),6)</f>
        <v>0</v>
      </c>
      <c r="DD168" t="s">
        <v>3</v>
      </c>
      <c r="DE168" t="s">
        <v>3</v>
      </c>
      <c r="DF168">
        <f t="shared" si="62"/>
        <v>19601.37</v>
      </c>
      <c r="DG168">
        <f t="shared" si="60"/>
        <v>0</v>
      </c>
      <c r="DH168">
        <f t="shared" si="61"/>
        <v>0</v>
      </c>
      <c r="DI168">
        <f t="shared" si="55"/>
        <v>0</v>
      </c>
      <c r="DJ168">
        <f>DF168</f>
        <v>19601.37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ROW(Source!A61)</f>
        <v>61</v>
      </c>
      <c r="B169">
        <v>55747651</v>
      </c>
      <c r="C169">
        <v>55747970</v>
      </c>
      <c r="D169">
        <v>54702434</v>
      </c>
      <c r="E169">
        <v>1081</v>
      </c>
      <c r="F169">
        <v>1</v>
      </c>
      <c r="G169">
        <v>1081</v>
      </c>
      <c r="H169">
        <v>1</v>
      </c>
      <c r="I169" t="s">
        <v>473</v>
      </c>
      <c r="J169" t="s">
        <v>3</v>
      </c>
      <c r="K169" t="s">
        <v>474</v>
      </c>
      <c r="L169">
        <v>1191</v>
      </c>
      <c r="N169">
        <v>1013</v>
      </c>
      <c r="O169" t="s">
        <v>475</v>
      </c>
      <c r="P169" t="s">
        <v>475</v>
      </c>
      <c r="Q169">
        <v>1</v>
      </c>
      <c r="W169">
        <v>0</v>
      </c>
      <c r="X169">
        <v>476480486</v>
      </c>
      <c r="Y169">
        <f>(AT169*1.2)</f>
        <v>4.919999999999999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5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4.0999999999999996</v>
      </c>
      <c r="AU169" t="s">
        <v>49</v>
      </c>
      <c r="AV169">
        <v>1</v>
      </c>
      <c r="AW169">
        <v>2</v>
      </c>
      <c r="AX169">
        <v>55747975</v>
      </c>
      <c r="AY169">
        <v>1</v>
      </c>
      <c r="AZ169">
        <v>0</v>
      </c>
      <c r="BA169">
        <v>212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ROUND(AT169*Source!I61*AH169*AL169,2)</f>
        <v>0</v>
      </c>
      <c r="CV169">
        <f>ROUND(Y169*Source!I61,9)</f>
        <v>44.28</v>
      </c>
      <c r="CW169">
        <v>0</v>
      </c>
      <c r="CX169">
        <f>ROUND(Y169*Source!I61,9)</f>
        <v>44.28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 t="shared" si="62"/>
        <v>0</v>
      </c>
      <c r="DG169">
        <f t="shared" si="60"/>
        <v>0</v>
      </c>
      <c r="DH169">
        <f t="shared" si="61"/>
        <v>0</v>
      </c>
      <c r="DI169">
        <f t="shared" si="55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ROW(Source!A61)</f>
        <v>61</v>
      </c>
      <c r="B170">
        <v>55747651</v>
      </c>
      <c r="C170">
        <v>55747970</v>
      </c>
      <c r="D170">
        <v>54768339</v>
      </c>
      <c r="E170">
        <v>1</v>
      </c>
      <c r="F170">
        <v>1</v>
      </c>
      <c r="G170">
        <v>1081</v>
      </c>
      <c r="H170">
        <v>2</v>
      </c>
      <c r="I170" t="s">
        <v>483</v>
      </c>
      <c r="J170" t="s">
        <v>484</v>
      </c>
      <c r="K170" t="s">
        <v>485</v>
      </c>
      <c r="L170">
        <v>1368</v>
      </c>
      <c r="N170">
        <v>1011</v>
      </c>
      <c r="O170" t="s">
        <v>479</v>
      </c>
      <c r="P170" t="s">
        <v>479</v>
      </c>
      <c r="Q170">
        <v>1</v>
      </c>
      <c r="W170">
        <v>0</v>
      </c>
      <c r="X170">
        <v>874612079</v>
      </c>
      <c r="Y170">
        <f>(AT170*1.2)</f>
        <v>3.5999999999999997E-2</v>
      </c>
      <c r="AA170">
        <v>0</v>
      </c>
      <c r="AB170">
        <v>1513.56</v>
      </c>
      <c r="AC170">
        <v>758.78</v>
      </c>
      <c r="AD170">
        <v>0</v>
      </c>
      <c r="AE170">
        <v>0</v>
      </c>
      <c r="AF170">
        <v>83.1</v>
      </c>
      <c r="AG170">
        <v>12.62</v>
      </c>
      <c r="AH170">
        <v>0</v>
      </c>
      <c r="AI170">
        <v>1</v>
      </c>
      <c r="AJ170">
        <v>17.07</v>
      </c>
      <c r="AK170">
        <v>56.35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0.03</v>
      </c>
      <c r="AU170" t="s">
        <v>49</v>
      </c>
      <c r="AV170">
        <v>0</v>
      </c>
      <c r="AW170">
        <v>2</v>
      </c>
      <c r="AX170">
        <v>55747976</v>
      </c>
      <c r="AY170">
        <v>1</v>
      </c>
      <c r="AZ170">
        <v>0</v>
      </c>
      <c r="BA170">
        <v>213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ROUND(Y170*Source!I61*DO170,9)</f>
        <v>4.0888799999999996</v>
      </c>
      <c r="CX170">
        <f>ROUND(Y170*Source!I61,9)</f>
        <v>0.32400000000000001</v>
      </c>
      <c r="CY170">
        <f>AB170</f>
        <v>1513.56</v>
      </c>
      <c r="CZ170">
        <f>AF170</f>
        <v>83.1</v>
      </c>
      <c r="DA170">
        <f>AJ170</f>
        <v>17.07</v>
      </c>
      <c r="DB170">
        <f>ROUND((ROUND(AT170*CZ170,2)*1.2),6)</f>
        <v>2.988</v>
      </c>
      <c r="DC170">
        <f>ROUND((ROUND(AT170*AG170,2)*1.2),6)</f>
        <v>0.45600000000000002</v>
      </c>
      <c r="DD170" t="s">
        <v>3</v>
      </c>
      <c r="DE170" t="s">
        <v>3</v>
      </c>
      <c r="DF170">
        <f t="shared" si="62"/>
        <v>0</v>
      </c>
      <c r="DG170">
        <f>ROUND(ROUND(AF170*AJ170,2)*CX170,2)</f>
        <v>459.6</v>
      </c>
      <c r="DH170">
        <f>ROUND(ROUND(AG170*AK170,2)*CX170,2)</f>
        <v>230.41</v>
      </c>
      <c r="DI170">
        <f t="shared" si="55"/>
        <v>0</v>
      </c>
      <c r="DJ170">
        <f>DG170</f>
        <v>459.6</v>
      </c>
      <c r="DK170">
        <v>0</v>
      </c>
      <c r="DL170" t="s">
        <v>486</v>
      </c>
      <c r="DM170">
        <v>0</v>
      </c>
      <c r="DN170" t="s">
        <v>475</v>
      </c>
      <c r="DO170">
        <v>12.62</v>
      </c>
    </row>
    <row r="171" spans="1:119" x14ac:dyDescent="0.2">
      <c r="A171">
        <f>ROW(Source!A61)</f>
        <v>61</v>
      </c>
      <c r="B171">
        <v>55747651</v>
      </c>
      <c r="C171">
        <v>55747970</v>
      </c>
      <c r="D171">
        <v>54737969</v>
      </c>
      <c r="E171">
        <v>1</v>
      </c>
      <c r="F171">
        <v>1</v>
      </c>
      <c r="G171">
        <v>1081</v>
      </c>
      <c r="H171">
        <v>3</v>
      </c>
      <c r="I171" t="s">
        <v>511</v>
      </c>
      <c r="J171" t="s">
        <v>512</v>
      </c>
      <c r="K171" t="s">
        <v>513</v>
      </c>
      <c r="L171">
        <v>1348</v>
      </c>
      <c r="N171">
        <v>1009</v>
      </c>
      <c r="O171" t="s">
        <v>282</v>
      </c>
      <c r="P171" t="s">
        <v>282</v>
      </c>
      <c r="Q171">
        <v>1000</v>
      </c>
      <c r="W171">
        <v>0</v>
      </c>
      <c r="X171">
        <v>-287838193</v>
      </c>
      <c r="Y171">
        <f>(AT171*1)</f>
        <v>1.7000000000000001E-4</v>
      </c>
      <c r="AA171">
        <v>106689.74</v>
      </c>
      <c r="AB171">
        <v>0</v>
      </c>
      <c r="AC171">
        <v>0</v>
      </c>
      <c r="AD171">
        <v>0</v>
      </c>
      <c r="AE171">
        <v>23114.43</v>
      </c>
      <c r="AF171">
        <v>0</v>
      </c>
      <c r="AG171">
        <v>0</v>
      </c>
      <c r="AH171">
        <v>0</v>
      </c>
      <c r="AI171">
        <v>4.49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1.7000000000000001E-4</v>
      </c>
      <c r="AU171" t="s">
        <v>48</v>
      </c>
      <c r="AV171">
        <v>0</v>
      </c>
      <c r="AW171">
        <v>2</v>
      </c>
      <c r="AX171">
        <v>55747977</v>
      </c>
      <c r="AY171">
        <v>1</v>
      </c>
      <c r="AZ171">
        <v>0</v>
      </c>
      <c r="BA171">
        <v>214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ROUND(Y171*Source!I61,9)</f>
        <v>1.5299999999999999E-3</v>
      </c>
      <c r="CY171">
        <f>AA171</f>
        <v>106689.74</v>
      </c>
      <c r="CZ171">
        <f>AE171</f>
        <v>23114.43</v>
      </c>
      <c r="DA171">
        <f>AI171</f>
        <v>4.49</v>
      </c>
      <c r="DB171">
        <f>ROUND((ROUND(AT171*CZ171,2)*1),6)</f>
        <v>3.93</v>
      </c>
      <c r="DC171">
        <f>ROUND((ROUND(AT171*AG171,2)*1),6)</f>
        <v>0</v>
      </c>
      <c r="DD171" t="s">
        <v>3</v>
      </c>
      <c r="DE171" t="s">
        <v>3</v>
      </c>
      <c r="DF171">
        <f>ROUND(ROUND(AE171*AI171,2)*CX171,2)</f>
        <v>158.79</v>
      </c>
      <c r="DG171">
        <f t="shared" ref="DG171:DG178" si="63">ROUND(ROUND(AF171,2)*CX171,2)</f>
        <v>0</v>
      </c>
      <c r="DH171">
        <f t="shared" ref="DH171:DH178" si="64">ROUND(ROUND(AG171,2)*CX171,2)</f>
        <v>0</v>
      </c>
      <c r="DI171">
        <f t="shared" si="55"/>
        <v>0</v>
      </c>
      <c r="DJ171">
        <f>DF171</f>
        <v>158.79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ROW(Source!A61)</f>
        <v>61</v>
      </c>
      <c r="B172">
        <v>55747651</v>
      </c>
      <c r="C172">
        <v>55747970</v>
      </c>
      <c r="D172">
        <v>54755407</v>
      </c>
      <c r="E172">
        <v>1</v>
      </c>
      <c r="F172">
        <v>1</v>
      </c>
      <c r="G172">
        <v>1081</v>
      </c>
      <c r="H172">
        <v>3</v>
      </c>
      <c r="I172" t="s">
        <v>125</v>
      </c>
      <c r="J172" t="s">
        <v>127</v>
      </c>
      <c r="K172" t="s">
        <v>126</v>
      </c>
      <c r="L172">
        <v>1354</v>
      </c>
      <c r="N172">
        <v>1010</v>
      </c>
      <c r="O172" t="s">
        <v>118</v>
      </c>
      <c r="P172" t="s">
        <v>118</v>
      </c>
      <c r="Q172">
        <v>1</v>
      </c>
      <c r="W172">
        <v>0</v>
      </c>
      <c r="X172">
        <v>873960273</v>
      </c>
      <c r="Y172">
        <f>AT172</f>
        <v>1</v>
      </c>
      <c r="AA172">
        <v>6773.36</v>
      </c>
      <c r="AB172">
        <v>0</v>
      </c>
      <c r="AC172">
        <v>0</v>
      </c>
      <c r="AD172">
        <v>0</v>
      </c>
      <c r="AE172">
        <v>2177.9299999999998</v>
      </c>
      <c r="AF172">
        <v>0</v>
      </c>
      <c r="AG172">
        <v>0</v>
      </c>
      <c r="AH172">
        <v>0</v>
      </c>
      <c r="AI172">
        <v>3.11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ROUND(Y172*Source!I61,9)</f>
        <v>9</v>
      </c>
      <c r="CY172">
        <f>AA172</f>
        <v>6773.36</v>
      </c>
      <c r="CZ172">
        <f>AE172</f>
        <v>2177.9299999999998</v>
      </c>
      <c r="DA172">
        <f>AI172</f>
        <v>3.11</v>
      </c>
      <c r="DB172">
        <f>ROUND(ROUND(AT172*CZ172,2),6)</f>
        <v>2177.9299999999998</v>
      </c>
      <c r="DC172">
        <f>ROUND(ROUND(AT172*AG172,2),6)</f>
        <v>0</v>
      </c>
      <c r="DD172" t="s">
        <v>3</v>
      </c>
      <c r="DE172" t="s">
        <v>3</v>
      </c>
      <c r="DF172">
        <f>ROUND(ROUND(AE172*AI172,2)*CX172,2)</f>
        <v>60960.24</v>
      </c>
      <c r="DG172">
        <f t="shared" si="63"/>
        <v>0</v>
      </c>
      <c r="DH172">
        <f t="shared" si="64"/>
        <v>0</v>
      </c>
      <c r="DI172">
        <f t="shared" si="55"/>
        <v>0</v>
      </c>
      <c r="DJ172">
        <f>DF172</f>
        <v>60960.24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ROW(Source!A66)</f>
        <v>66</v>
      </c>
      <c r="B173">
        <v>55747649</v>
      </c>
      <c r="C173">
        <v>55747981</v>
      </c>
      <c r="D173">
        <v>54702434</v>
      </c>
      <c r="E173">
        <v>1081</v>
      </c>
      <c r="F173">
        <v>1</v>
      </c>
      <c r="G173">
        <v>1081</v>
      </c>
      <c r="H173">
        <v>1</v>
      </c>
      <c r="I173" t="s">
        <v>473</v>
      </c>
      <c r="J173" t="s">
        <v>3</v>
      </c>
      <c r="K173" t="s">
        <v>474</v>
      </c>
      <c r="L173">
        <v>1191</v>
      </c>
      <c r="N173">
        <v>1013</v>
      </c>
      <c r="O173" t="s">
        <v>475</v>
      </c>
      <c r="P173" t="s">
        <v>475</v>
      </c>
      <c r="Q173">
        <v>1</v>
      </c>
      <c r="W173">
        <v>0</v>
      </c>
      <c r="X173">
        <v>476480486</v>
      </c>
      <c r="Y173">
        <f>(AT173*1.2)</f>
        <v>4.8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4</v>
      </c>
      <c r="AU173" t="s">
        <v>49</v>
      </c>
      <c r="AV173">
        <v>1</v>
      </c>
      <c r="AW173">
        <v>2</v>
      </c>
      <c r="AX173">
        <v>55747987</v>
      </c>
      <c r="AY173">
        <v>1</v>
      </c>
      <c r="AZ173">
        <v>0</v>
      </c>
      <c r="BA173">
        <v>217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ROUND(AT173*Source!I66*AH173*AL173,2)</f>
        <v>0</v>
      </c>
      <c r="CV173">
        <f>ROUND(Y173*Source!I66,9)</f>
        <v>38.4</v>
      </c>
      <c r="CW173">
        <v>0</v>
      </c>
      <c r="CX173">
        <f>ROUND(Y173*Source!I66,9)</f>
        <v>38.4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ROUND((ROUND(AT173*CZ173,2)*1.2),6)</f>
        <v>0</v>
      </c>
      <c r="DC173">
        <f>ROUND((ROUND(AT173*AG173,2)*1.2),6)</f>
        <v>0</v>
      </c>
      <c r="DD173" t="s">
        <v>3</v>
      </c>
      <c r="DE173" t="s">
        <v>3</v>
      </c>
      <c r="DF173">
        <f t="shared" ref="DF173:DF179" si="65">ROUND(ROUND(AE173,2)*CX173,2)</f>
        <v>0</v>
      </c>
      <c r="DG173">
        <f t="shared" si="63"/>
        <v>0</v>
      </c>
      <c r="DH173">
        <f t="shared" si="64"/>
        <v>0</v>
      </c>
      <c r="DI173">
        <f t="shared" si="55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ROW(Source!A66)</f>
        <v>66</v>
      </c>
      <c r="B174">
        <v>55747649</v>
      </c>
      <c r="C174">
        <v>55747981</v>
      </c>
      <c r="D174">
        <v>54768339</v>
      </c>
      <c r="E174">
        <v>1</v>
      </c>
      <c r="F174">
        <v>1</v>
      </c>
      <c r="G174">
        <v>1081</v>
      </c>
      <c r="H174">
        <v>2</v>
      </c>
      <c r="I174" t="s">
        <v>483</v>
      </c>
      <c r="J174" t="s">
        <v>484</v>
      </c>
      <c r="K174" t="s">
        <v>485</v>
      </c>
      <c r="L174">
        <v>1368</v>
      </c>
      <c r="N174">
        <v>1011</v>
      </c>
      <c r="O174" t="s">
        <v>479</v>
      </c>
      <c r="P174" t="s">
        <v>479</v>
      </c>
      <c r="Q174">
        <v>1</v>
      </c>
      <c r="W174">
        <v>0</v>
      </c>
      <c r="X174">
        <v>874612079</v>
      </c>
      <c r="Y174">
        <f>(AT174*1.2)</f>
        <v>2.4E-2</v>
      </c>
      <c r="AA174">
        <v>0</v>
      </c>
      <c r="AB174">
        <v>88.67</v>
      </c>
      <c r="AC174">
        <v>13.47</v>
      </c>
      <c r="AD174">
        <v>0</v>
      </c>
      <c r="AE174">
        <v>0</v>
      </c>
      <c r="AF174">
        <v>83.1</v>
      </c>
      <c r="AG174">
        <v>12.62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0.02</v>
      </c>
      <c r="AU174" t="s">
        <v>49</v>
      </c>
      <c r="AV174">
        <v>0</v>
      </c>
      <c r="AW174">
        <v>2</v>
      </c>
      <c r="AX174">
        <v>55747988</v>
      </c>
      <c r="AY174">
        <v>1</v>
      </c>
      <c r="AZ174">
        <v>0</v>
      </c>
      <c r="BA174">
        <v>218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ROUND(Y174*Source!I66*DO174,9)</f>
        <v>2.4230399999999999</v>
      </c>
      <c r="CX174">
        <f>ROUND(Y174*Source!I66,9)</f>
        <v>0.192</v>
      </c>
      <c r="CY174">
        <f>AB174</f>
        <v>88.67</v>
      </c>
      <c r="CZ174">
        <f>AF174</f>
        <v>83.1</v>
      </c>
      <c r="DA174">
        <f>AJ174</f>
        <v>1</v>
      </c>
      <c r="DB174">
        <f>ROUND((ROUND(AT174*CZ174,2)*1.2),6)</f>
        <v>1.992</v>
      </c>
      <c r="DC174">
        <f>ROUND((ROUND(AT174*AG174,2)*1.2),6)</f>
        <v>0.3</v>
      </c>
      <c r="DD174" t="s">
        <v>3</v>
      </c>
      <c r="DE174" t="s">
        <v>3</v>
      </c>
      <c r="DF174">
        <f t="shared" si="65"/>
        <v>0</v>
      </c>
      <c r="DG174">
        <f t="shared" si="63"/>
        <v>15.96</v>
      </c>
      <c r="DH174">
        <f t="shared" si="64"/>
        <v>2.42</v>
      </c>
      <c r="DI174">
        <f t="shared" si="55"/>
        <v>0</v>
      </c>
      <c r="DJ174">
        <f>DG174</f>
        <v>15.96</v>
      </c>
      <c r="DK174">
        <v>0</v>
      </c>
      <c r="DL174" t="s">
        <v>486</v>
      </c>
      <c r="DM174">
        <v>0</v>
      </c>
      <c r="DN174" t="s">
        <v>475</v>
      </c>
      <c r="DO174">
        <v>12.62</v>
      </c>
    </row>
    <row r="175" spans="1:119" x14ac:dyDescent="0.2">
      <c r="A175">
        <f>ROW(Source!A66)</f>
        <v>66</v>
      </c>
      <c r="B175">
        <v>55747649</v>
      </c>
      <c r="C175">
        <v>55747981</v>
      </c>
      <c r="D175">
        <v>54737969</v>
      </c>
      <c r="E175">
        <v>1</v>
      </c>
      <c r="F175">
        <v>1</v>
      </c>
      <c r="G175">
        <v>1081</v>
      </c>
      <c r="H175">
        <v>3</v>
      </c>
      <c r="I175" t="s">
        <v>511</v>
      </c>
      <c r="J175" t="s">
        <v>512</v>
      </c>
      <c r="K175" t="s">
        <v>513</v>
      </c>
      <c r="L175">
        <v>1348</v>
      </c>
      <c r="N175">
        <v>1009</v>
      </c>
      <c r="O175" t="s">
        <v>282</v>
      </c>
      <c r="P175" t="s">
        <v>282</v>
      </c>
      <c r="Q175">
        <v>1000</v>
      </c>
      <c r="W175">
        <v>0</v>
      </c>
      <c r="X175">
        <v>-287838193</v>
      </c>
      <c r="Y175">
        <f>(AT175*1)</f>
        <v>1.2E-4</v>
      </c>
      <c r="AA175">
        <v>23761.63</v>
      </c>
      <c r="AB175">
        <v>0</v>
      </c>
      <c r="AC175">
        <v>0</v>
      </c>
      <c r="AD175">
        <v>0</v>
      </c>
      <c r="AE175">
        <v>23114.43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1.2E-4</v>
      </c>
      <c r="AU175" t="s">
        <v>48</v>
      </c>
      <c r="AV175">
        <v>0</v>
      </c>
      <c r="AW175">
        <v>2</v>
      </c>
      <c r="AX175">
        <v>55747989</v>
      </c>
      <c r="AY175">
        <v>1</v>
      </c>
      <c r="AZ175">
        <v>0</v>
      </c>
      <c r="BA175">
        <v>219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ROUND(Y175*Source!I66,9)</f>
        <v>9.6000000000000002E-4</v>
      </c>
      <c r="CY175">
        <f>AA175</f>
        <v>23761.63</v>
      </c>
      <c r="CZ175">
        <f>AE175</f>
        <v>23114.43</v>
      </c>
      <c r="DA175">
        <f>AI175</f>
        <v>1</v>
      </c>
      <c r="DB175">
        <f>ROUND((ROUND(AT175*CZ175,2)*1),6)</f>
        <v>2.77</v>
      </c>
      <c r="DC175">
        <f>ROUND((ROUND(AT175*AG175,2)*1),6)</f>
        <v>0</v>
      </c>
      <c r="DD175" t="s">
        <v>3</v>
      </c>
      <c r="DE175" t="s">
        <v>3</v>
      </c>
      <c r="DF175">
        <f t="shared" si="65"/>
        <v>22.19</v>
      </c>
      <c r="DG175">
        <f t="shared" si="63"/>
        <v>0</v>
      </c>
      <c r="DH175">
        <f t="shared" si="64"/>
        <v>0</v>
      </c>
      <c r="DI175">
        <f t="shared" si="55"/>
        <v>0</v>
      </c>
      <c r="DJ175">
        <f>DF175</f>
        <v>22.19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ROW(Source!A66)</f>
        <v>66</v>
      </c>
      <c r="B176">
        <v>55747649</v>
      </c>
      <c r="C176">
        <v>55747981</v>
      </c>
      <c r="D176">
        <v>54754989</v>
      </c>
      <c r="E176">
        <v>1</v>
      </c>
      <c r="F176">
        <v>1</v>
      </c>
      <c r="G176">
        <v>1081</v>
      </c>
      <c r="H176">
        <v>3</v>
      </c>
      <c r="I176" t="s">
        <v>138</v>
      </c>
      <c r="J176" t="s">
        <v>140</v>
      </c>
      <c r="K176" t="s">
        <v>139</v>
      </c>
      <c r="L176">
        <v>1354</v>
      </c>
      <c r="N176">
        <v>1010</v>
      </c>
      <c r="O176" t="s">
        <v>118</v>
      </c>
      <c r="P176" t="s">
        <v>118</v>
      </c>
      <c r="Q176">
        <v>1</v>
      </c>
      <c r="W176">
        <v>0</v>
      </c>
      <c r="X176">
        <v>-1962529768</v>
      </c>
      <c r="Y176">
        <f>AT176</f>
        <v>0.5</v>
      </c>
      <c r="AA176">
        <v>3030.49</v>
      </c>
      <c r="AB176">
        <v>0</v>
      </c>
      <c r="AC176">
        <v>0</v>
      </c>
      <c r="AD176">
        <v>0</v>
      </c>
      <c r="AE176">
        <v>3030.49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 t="s">
        <v>3</v>
      </c>
      <c r="AT176">
        <v>0.5</v>
      </c>
      <c r="AU176" t="s">
        <v>3</v>
      </c>
      <c r="AV176">
        <v>0</v>
      </c>
      <c r="AW176">
        <v>1</v>
      </c>
      <c r="AX176">
        <v>-1</v>
      </c>
      <c r="AY176">
        <v>0</v>
      </c>
      <c r="AZ176">
        <v>0</v>
      </c>
      <c r="BA176" t="s">
        <v>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ROUND(Y176*Source!I66,9)</f>
        <v>4</v>
      </c>
      <c r="CY176">
        <f>AA176</f>
        <v>3030.49</v>
      </c>
      <c r="CZ176">
        <f>AE176</f>
        <v>3030.49</v>
      </c>
      <c r="DA176">
        <f>AI176</f>
        <v>1</v>
      </c>
      <c r="DB176">
        <f>ROUND(ROUND(AT176*CZ176,2),6)</f>
        <v>1515.25</v>
      </c>
      <c r="DC176">
        <f>ROUND(ROUND(AT176*AG176,2),6)</f>
        <v>0</v>
      </c>
      <c r="DD176" t="s">
        <v>3</v>
      </c>
      <c r="DE176" t="s">
        <v>3</v>
      </c>
      <c r="DF176">
        <f t="shared" si="65"/>
        <v>12121.96</v>
      </c>
      <c r="DG176">
        <f t="shared" si="63"/>
        <v>0</v>
      </c>
      <c r="DH176">
        <f t="shared" si="64"/>
        <v>0</v>
      </c>
      <c r="DI176">
        <f t="shared" si="55"/>
        <v>0</v>
      </c>
      <c r="DJ176">
        <f>DF176</f>
        <v>12121.96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ROW(Source!A66)</f>
        <v>66</v>
      </c>
      <c r="B177">
        <v>55747649</v>
      </c>
      <c r="C177">
        <v>55747981</v>
      </c>
      <c r="D177">
        <v>54755406</v>
      </c>
      <c r="E177">
        <v>1</v>
      </c>
      <c r="F177">
        <v>1</v>
      </c>
      <c r="G177">
        <v>1081</v>
      </c>
      <c r="H177">
        <v>3</v>
      </c>
      <c r="I177" t="s">
        <v>142</v>
      </c>
      <c r="J177" t="s">
        <v>144</v>
      </c>
      <c r="K177" t="s">
        <v>143</v>
      </c>
      <c r="L177">
        <v>1354</v>
      </c>
      <c r="N177">
        <v>1010</v>
      </c>
      <c r="O177" t="s">
        <v>118</v>
      </c>
      <c r="P177" t="s">
        <v>118</v>
      </c>
      <c r="Q177">
        <v>1</v>
      </c>
      <c r="W177">
        <v>0</v>
      </c>
      <c r="X177">
        <v>-2105799508</v>
      </c>
      <c r="Y177">
        <f>AT177</f>
        <v>0.5</v>
      </c>
      <c r="AA177">
        <v>1974.43</v>
      </c>
      <c r="AB177">
        <v>0</v>
      </c>
      <c r="AC177">
        <v>0</v>
      </c>
      <c r="AD177">
        <v>0</v>
      </c>
      <c r="AE177">
        <v>1974.43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 t="s">
        <v>3</v>
      </c>
      <c r="AT177">
        <v>0.5</v>
      </c>
      <c r="AU177" t="s">
        <v>3</v>
      </c>
      <c r="AV177">
        <v>0</v>
      </c>
      <c r="AW177">
        <v>1</v>
      </c>
      <c r="AX177">
        <v>-1</v>
      </c>
      <c r="AY177">
        <v>0</v>
      </c>
      <c r="AZ177">
        <v>0</v>
      </c>
      <c r="BA177" t="s">
        <v>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ROUND(Y177*Source!I66,9)</f>
        <v>4</v>
      </c>
      <c r="CY177">
        <f>AA177</f>
        <v>1974.43</v>
      </c>
      <c r="CZ177">
        <f>AE177</f>
        <v>1974.43</v>
      </c>
      <c r="DA177">
        <f>AI177</f>
        <v>1</v>
      </c>
      <c r="DB177">
        <f>ROUND(ROUND(AT177*CZ177,2),6)</f>
        <v>987.22</v>
      </c>
      <c r="DC177">
        <f>ROUND(ROUND(AT177*AG177,2),6)</f>
        <v>0</v>
      </c>
      <c r="DD177" t="s">
        <v>3</v>
      </c>
      <c r="DE177" t="s">
        <v>3</v>
      </c>
      <c r="DF177">
        <f t="shared" si="65"/>
        <v>7897.72</v>
      </c>
      <c r="DG177">
        <f t="shared" si="63"/>
        <v>0</v>
      </c>
      <c r="DH177">
        <f t="shared" si="64"/>
        <v>0</v>
      </c>
      <c r="DI177">
        <f t="shared" si="55"/>
        <v>0</v>
      </c>
      <c r="DJ177">
        <f>DF177</f>
        <v>7897.72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ROW(Source!A67)</f>
        <v>67</v>
      </c>
      <c r="B178">
        <v>55747651</v>
      </c>
      <c r="C178">
        <v>55747981</v>
      </c>
      <c r="D178">
        <v>54702434</v>
      </c>
      <c r="E178">
        <v>1081</v>
      </c>
      <c r="F178">
        <v>1</v>
      </c>
      <c r="G178">
        <v>1081</v>
      </c>
      <c r="H178">
        <v>1</v>
      </c>
      <c r="I178" t="s">
        <v>473</v>
      </c>
      <c r="J178" t="s">
        <v>3</v>
      </c>
      <c r="K178" t="s">
        <v>474</v>
      </c>
      <c r="L178">
        <v>1191</v>
      </c>
      <c r="N178">
        <v>1013</v>
      </c>
      <c r="O178" t="s">
        <v>475</v>
      </c>
      <c r="P178" t="s">
        <v>475</v>
      </c>
      <c r="Q178">
        <v>1</v>
      </c>
      <c r="W178">
        <v>0</v>
      </c>
      <c r="X178">
        <v>476480486</v>
      </c>
      <c r="Y178">
        <f>(AT178*1.2)</f>
        <v>4.8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5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4</v>
      </c>
      <c r="AU178" t="s">
        <v>49</v>
      </c>
      <c r="AV178">
        <v>1</v>
      </c>
      <c r="AW178">
        <v>2</v>
      </c>
      <c r="AX178">
        <v>55747987</v>
      </c>
      <c r="AY178">
        <v>1</v>
      </c>
      <c r="AZ178">
        <v>0</v>
      </c>
      <c r="BA178">
        <v>222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U178">
        <f>ROUND(AT178*Source!I67*AH178*AL178,2)</f>
        <v>0</v>
      </c>
      <c r="CV178">
        <f>ROUND(Y178*Source!I67,9)</f>
        <v>38.4</v>
      </c>
      <c r="CW178">
        <v>0</v>
      </c>
      <c r="CX178">
        <f>ROUND(Y178*Source!I67,9)</f>
        <v>38.4</v>
      </c>
      <c r="CY178">
        <f>AD178</f>
        <v>0</v>
      </c>
      <c r="CZ178">
        <f>AH178</f>
        <v>0</v>
      </c>
      <c r="DA178">
        <f>AL178</f>
        <v>1</v>
      </c>
      <c r="DB178">
        <f>ROUND((ROUND(AT178*CZ178,2)*1.2),6)</f>
        <v>0</v>
      </c>
      <c r="DC178">
        <f>ROUND((ROUND(AT178*AG178,2)*1.2),6)</f>
        <v>0</v>
      </c>
      <c r="DD178" t="s">
        <v>3</v>
      </c>
      <c r="DE178" t="s">
        <v>3</v>
      </c>
      <c r="DF178">
        <f t="shared" si="65"/>
        <v>0</v>
      </c>
      <c r="DG178">
        <f t="shared" si="63"/>
        <v>0</v>
      </c>
      <c r="DH178">
        <f t="shared" si="64"/>
        <v>0</v>
      </c>
      <c r="DI178">
        <f t="shared" si="55"/>
        <v>0</v>
      </c>
      <c r="DJ178">
        <f>DI178</f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ROW(Source!A67)</f>
        <v>67</v>
      </c>
      <c r="B179">
        <v>55747651</v>
      </c>
      <c r="C179">
        <v>55747981</v>
      </c>
      <c r="D179">
        <v>54768339</v>
      </c>
      <c r="E179">
        <v>1</v>
      </c>
      <c r="F179">
        <v>1</v>
      </c>
      <c r="G179">
        <v>1081</v>
      </c>
      <c r="H179">
        <v>2</v>
      </c>
      <c r="I179" t="s">
        <v>483</v>
      </c>
      <c r="J179" t="s">
        <v>484</v>
      </c>
      <c r="K179" t="s">
        <v>485</v>
      </c>
      <c r="L179">
        <v>1368</v>
      </c>
      <c r="N179">
        <v>1011</v>
      </c>
      <c r="O179" t="s">
        <v>479</v>
      </c>
      <c r="P179" t="s">
        <v>479</v>
      </c>
      <c r="Q179">
        <v>1</v>
      </c>
      <c r="W179">
        <v>0</v>
      </c>
      <c r="X179">
        <v>874612079</v>
      </c>
      <c r="Y179">
        <f>(AT179*1.2)</f>
        <v>2.4E-2</v>
      </c>
      <c r="AA179">
        <v>0</v>
      </c>
      <c r="AB179">
        <v>1513.56</v>
      </c>
      <c r="AC179">
        <v>758.78</v>
      </c>
      <c r="AD179">
        <v>0</v>
      </c>
      <c r="AE179">
        <v>0</v>
      </c>
      <c r="AF179">
        <v>83.1</v>
      </c>
      <c r="AG179">
        <v>12.62</v>
      </c>
      <c r="AH179">
        <v>0</v>
      </c>
      <c r="AI179">
        <v>1</v>
      </c>
      <c r="AJ179">
        <v>17.07</v>
      </c>
      <c r="AK179">
        <v>56.35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0.02</v>
      </c>
      <c r="AU179" t="s">
        <v>49</v>
      </c>
      <c r="AV179">
        <v>0</v>
      </c>
      <c r="AW179">
        <v>2</v>
      </c>
      <c r="AX179">
        <v>55747988</v>
      </c>
      <c r="AY179">
        <v>1</v>
      </c>
      <c r="AZ179">
        <v>0</v>
      </c>
      <c r="BA179">
        <v>223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f>ROUND(Y179*Source!I67*DO179,9)</f>
        <v>2.4230399999999999</v>
      </c>
      <c r="CX179">
        <f>ROUND(Y179*Source!I67,9)</f>
        <v>0.192</v>
      </c>
      <c r="CY179">
        <f>AB179</f>
        <v>1513.56</v>
      </c>
      <c r="CZ179">
        <f>AF179</f>
        <v>83.1</v>
      </c>
      <c r="DA179">
        <f>AJ179</f>
        <v>17.07</v>
      </c>
      <c r="DB179">
        <f>ROUND((ROUND(AT179*CZ179,2)*1.2),6)</f>
        <v>1.992</v>
      </c>
      <c r="DC179">
        <f>ROUND((ROUND(AT179*AG179,2)*1.2),6)</f>
        <v>0.3</v>
      </c>
      <c r="DD179" t="s">
        <v>3</v>
      </c>
      <c r="DE179" t="s">
        <v>3</v>
      </c>
      <c r="DF179">
        <f t="shared" si="65"/>
        <v>0</v>
      </c>
      <c r="DG179">
        <f>ROUND(ROUND(AF179*AJ179,2)*CX179,2)</f>
        <v>272.36</v>
      </c>
      <c r="DH179">
        <f>ROUND(ROUND(AG179*AK179,2)*CX179,2)</f>
        <v>136.54</v>
      </c>
      <c r="DI179">
        <f t="shared" si="55"/>
        <v>0</v>
      </c>
      <c r="DJ179">
        <f>DG179</f>
        <v>272.36</v>
      </c>
      <c r="DK179">
        <v>0</v>
      </c>
      <c r="DL179" t="s">
        <v>486</v>
      </c>
      <c r="DM179">
        <v>0</v>
      </c>
      <c r="DN179" t="s">
        <v>475</v>
      </c>
      <c r="DO179">
        <v>12.62</v>
      </c>
    </row>
    <row r="180" spans="1:119" x14ac:dyDescent="0.2">
      <c r="A180">
        <f>ROW(Source!A67)</f>
        <v>67</v>
      </c>
      <c r="B180">
        <v>55747651</v>
      </c>
      <c r="C180">
        <v>55747981</v>
      </c>
      <c r="D180">
        <v>54737969</v>
      </c>
      <c r="E180">
        <v>1</v>
      </c>
      <c r="F180">
        <v>1</v>
      </c>
      <c r="G180">
        <v>1081</v>
      </c>
      <c r="H180">
        <v>3</v>
      </c>
      <c r="I180" t="s">
        <v>511</v>
      </c>
      <c r="J180" t="s">
        <v>512</v>
      </c>
      <c r="K180" t="s">
        <v>513</v>
      </c>
      <c r="L180">
        <v>1348</v>
      </c>
      <c r="N180">
        <v>1009</v>
      </c>
      <c r="O180" t="s">
        <v>282</v>
      </c>
      <c r="P180" t="s">
        <v>282</v>
      </c>
      <c r="Q180">
        <v>1000</v>
      </c>
      <c r="W180">
        <v>0</v>
      </c>
      <c r="X180">
        <v>-287838193</v>
      </c>
      <c r="Y180">
        <f>(AT180*1)</f>
        <v>1.2E-4</v>
      </c>
      <c r="AA180">
        <v>106689.74</v>
      </c>
      <c r="AB180">
        <v>0</v>
      </c>
      <c r="AC180">
        <v>0</v>
      </c>
      <c r="AD180">
        <v>0</v>
      </c>
      <c r="AE180">
        <v>23114.43</v>
      </c>
      <c r="AF180">
        <v>0</v>
      </c>
      <c r="AG180">
        <v>0</v>
      </c>
      <c r="AH180">
        <v>0</v>
      </c>
      <c r="AI180">
        <v>4.49</v>
      </c>
      <c r="AJ180">
        <v>1</v>
      </c>
      <c r="AK180">
        <v>1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1.2E-4</v>
      </c>
      <c r="AU180" t="s">
        <v>48</v>
      </c>
      <c r="AV180">
        <v>0</v>
      </c>
      <c r="AW180">
        <v>2</v>
      </c>
      <c r="AX180">
        <v>55747989</v>
      </c>
      <c r="AY180">
        <v>1</v>
      </c>
      <c r="AZ180">
        <v>0</v>
      </c>
      <c r="BA180">
        <v>224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ROUND(Y180*Source!I67,9)</f>
        <v>9.6000000000000002E-4</v>
      </c>
      <c r="CY180">
        <f>AA180</f>
        <v>106689.74</v>
      </c>
      <c r="CZ180">
        <f>AE180</f>
        <v>23114.43</v>
      </c>
      <c r="DA180">
        <f>AI180</f>
        <v>4.49</v>
      </c>
      <c r="DB180">
        <f>ROUND((ROUND(AT180*CZ180,2)*1),6)</f>
        <v>2.77</v>
      </c>
      <c r="DC180">
        <f>ROUND((ROUND(AT180*AG180,2)*1),6)</f>
        <v>0</v>
      </c>
      <c r="DD180" t="s">
        <v>3</v>
      </c>
      <c r="DE180" t="s">
        <v>3</v>
      </c>
      <c r="DF180">
        <f>ROUND(ROUND(AE180*AI180,2)*CX180,2)</f>
        <v>99.63</v>
      </c>
      <c r="DG180">
        <f t="shared" ref="DG180:DG190" si="66">ROUND(ROUND(AF180,2)*CX180,2)</f>
        <v>0</v>
      </c>
      <c r="DH180">
        <f t="shared" ref="DH180:DH191" si="67">ROUND(ROUND(AG180,2)*CX180,2)</f>
        <v>0</v>
      </c>
      <c r="DI180">
        <f t="shared" si="55"/>
        <v>0</v>
      </c>
      <c r="DJ180">
        <f>DF180</f>
        <v>99.63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ROW(Source!A67)</f>
        <v>67</v>
      </c>
      <c r="B181">
        <v>55747651</v>
      </c>
      <c r="C181">
        <v>55747981</v>
      </c>
      <c r="D181">
        <v>54754989</v>
      </c>
      <c r="E181">
        <v>1</v>
      </c>
      <c r="F181">
        <v>1</v>
      </c>
      <c r="G181">
        <v>1081</v>
      </c>
      <c r="H181">
        <v>3</v>
      </c>
      <c r="I181" t="s">
        <v>138</v>
      </c>
      <c r="J181" t="s">
        <v>140</v>
      </c>
      <c r="K181" t="s">
        <v>139</v>
      </c>
      <c r="L181">
        <v>1354</v>
      </c>
      <c r="N181">
        <v>1010</v>
      </c>
      <c r="O181" t="s">
        <v>118</v>
      </c>
      <c r="P181" t="s">
        <v>118</v>
      </c>
      <c r="Q181">
        <v>1</v>
      </c>
      <c r="W181">
        <v>0</v>
      </c>
      <c r="X181">
        <v>-1962529768</v>
      </c>
      <c r="Y181">
        <f>AT181</f>
        <v>0.5</v>
      </c>
      <c r="AA181">
        <v>18940.560000000001</v>
      </c>
      <c r="AB181">
        <v>0</v>
      </c>
      <c r="AC181">
        <v>0</v>
      </c>
      <c r="AD181">
        <v>0</v>
      </c>
      <c r="AE181">
        <v>3030.49</v>
      </c>
      <c r="AF181">
        <v>0</v>
      </c>
      <c r="AG181">
        <v>0</v>
      </c>
      <c r="AH181">
        <v>0</v>
      </c>
      <c r="AI181">
        <v>6.25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 t="s">
        <v>3</v>
      </c>
      <c r="AT181">
        <v>0.5</v>
      </c>
      <c r="AU181" t="s">
        <v>3</v>
      </c>
      <c r="AV181">
        <v>0</v>
      </c>
      <c r="AW181">
        <v>1</v>
      </c>
      <c r="AX181">
        <v>-1</v>
      </c>
      <c r="AY181">
        <v>0</v>
      </c>
      <c r="AZ181">
        <v>0</v>
      </c>
      <c r="BA181" t="s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ROUND(Y181*Source!I67,9)</f>
        <v>4</v>
      </c>
      <c r="CY181">
        <f>AA181</f>
        <v>18940.560000000001</v>
      </c>
      <c r="CZ181">
        <f>AE181</f>
        <v>3030.49</v>
      </c>
      <c r="DA181">
        <f>AI181</f>
        <v>6.25</v>
      </c>
      <c r="DB181">
        <f>ROUND(ROUND(AT181*CZ181,2),6)</f>
        <v>1515.25</v>
      </c>
      <c r="DC181">
        <f>ROUND(ROUND(AT181*AG181,2),6)</f>
        <v>0</v>
      </c>
      <c r="DD181" t="s">
        <v>3</v>
      </c>
      <c r="DE181" t="s">
        <v>3</v>
      </c>
      <c r="DF181">
        <f>ROUND(ROUND(AE181*AI181,2)*CX181,2)</f>
        <v>75762.240000000005</v>
      </c>
      <c r="DG181">
        <f t="shared" si="66"/>
        <v>0</v>
      </c>
      <c r="DH181">
        <f t="shared" si="67"/>
        <v>0</v>
      </c>
      <c r="DI181">
        <f t="shared" si="55"/>
        <v>0</v>
      </c>
      <c r="DJ181">
        <f>DF181</f>
        <v>75762.240000000005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ROW(Source!A67)</f>
        <v>67</v>
      </c>
      <c r="B182">
        <v>55747651</v>
      </c>
      <c r="C182">
        <v>55747981</v>
      </c>
      <c r="D182">
        <v>54755406</v>
      </c>
      <c r="E182">
        <v>1</v>
      </c>
      <c r="F182">
        <v>1</v>
      </c>
      <c r="G182">
        <v>1081</v>
      </c>
      <c r="H182">
        <v>3</v>
      </c>
      <c r="I182" t="s">
        <v>142</v>
      </c>
      <c r="J182" t="s">
        <v>144</v>
      </c>
      <c r="K182" t="s">
        <v>143</v>
      </c>
      <c r="L182">
        <v>1354</v>
      </c>
      <c r="N182">
        <v>1010</v>
      </c>
      <c r="O182" t="s">
        <v>118</v>
      </c>
      <c r="P182" t="s">
        <v>118</v>
      </c>
      <c r="Q182">
        <v>1</v>
      </c>
      <c r="W182">
        <v>0</v>
      </c>
      <c r="X182">
        <v>-2105799508</v>
      </c>
      <c r="Y182">
        <f>AT182</f>
        <v>0.5</v>
      </c>
      <c r="AA182">
        <v>3514.49</v>
      </c>
      <c r="AB182">
        <v>0</v>
      </c>
      <c r="AC182">
        <v>0</v>
      </c>
      <c r="AD182">
        <v>0</v>
      </c>
      <c r="AE182">
        <v>1974.43</v>
      </c>
      <c r="AF182">
        <v>0</v>
      </c>
      <c r="AG182">
        <v>0</v>
      </c>
      <c r="AH182">
        <v>0</v>
      </c>
      <c r="AI182">
        <v>1.78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3</v>
      </c>
      <c r="AT182">
        <v>0.5</v>
      </c>
      <c r="AU182" t="s">
        <v>3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ROUND(Y182*Source!I67,9)</f>
        <v>4</v>
      </c>
      <c r="CY182">
        <f>AA182</f>
        <v>3514.49</v>
      </c>
      <c r="CZ182">
        <f>AE182</f>
        <v>1974.43</v>
      </c>
      <c r="DA182">
        <f>AI182</f>
        <v>1.78</v>
      </c>
      <c r="DB182">
        <f>ROUND(ROUND(AT182*CZ182,2),6)</f>
        <v>987.22</v>
      </c>
      <c r="DC182">
        <f>ROUND(ROUND(AT182*AG182,2),6)</f>
        <v>0</v>
      </c>
      <c r="DD182" t="s">
        <v>3</v>
      </c>
      <c r="DE182" t="s">
        <v>3</v>
      </c>
      <c r="DF182">
        <f>ROUND(ROUND(AE182*AI182,2)*CX182,2)</f>
        <v>14057.96</v>
      </c>
      <c r="DG182">
        <f t="shared" si="66"/>
        <v>0</v>
      </c>
      <c r="DH182">
        <f t="shared" si="67"/>
        <v>0</v>
      </c>
      <c r="DI182">
        <f t="shared" si="55"/>
        <v>0</v>
      </c>
      <c r="DJ182">
        <f>DF182</f>
        <v>14057.96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ROW(Source!A74)</f>
        <v>74</v>
      </c>
      <c r="B183">
        <v>55747649</v>
      </c>
      <c r="C183">
        <v>55747994</v>
      </c>
      <c r="D183">
        <v>54702434</v>
      </c>
      <c r="E183">
        <v>1081</v>
      </c>
      <c r="F183">
        <v>1</v>
      </c>
      <c r="G183">
        <v>1081</v>
      </c>
      <c r="H183">
        <v>1</v>
      </c>
      <c r="I183" t="s">
        <v>473</v>
      </c>
      <c r="J183" t="s">
        <v>3</v>
      </c>
      <c r="K183" t="s">
        <v>474</v>
      </c>
      <c r="L183">
        <v>1191</v>
      </c>
      <c r="N183">
        <v>1013</v>
      </c>
      <c r="O183" t="s">
        <v>475</v>
      </c>
      <c r="P183" t="s">
        <v>475</v>
      </c>
      <c r="Q183">
        <v>1</v>
      </c>
      <c r="W183">
        <v>0</v>
      </c>
      <c r="X183">
        <v>476480486</v>
      </c>
      <c r="Y183">
        <f>(AT183*1.2)</f>
        <v>9.1199999999999992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7.6</v>
      </c>
      <c r="AU183" t="s">
        <v>49</v>
      </c>
      <c r="AV183">
        <v>1</v>
      </c>
      <c r="AW183">
        <v>2</v>
      </c>
      <c r="AX183">
        <v>55748002</v>
      </c>
      <c r="AY183">
        <v>1</v>
      </c>
      <c r="AZ183">
        <v>0</v>
      </c>
      <c r="BA183">
        <v>227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ROUND(AT183*Source!I74*AH183*AL183,2)</f>
        <v>0</v>
      </c>
      <c r="CV183">
        <f>ROUND(Y183*Source!I74,9)</f>
        <v>36.479999999999997</v>
      </c>
      <c r="CW183">
        <v>0</v>
      </c>
      <c r="CX183">
        <f>ROUND(Y183*Source!I74,9)</f>
        <v>36.479999999999997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ref="DF183:DF192" si="68">ROUND(ROUND(AE183,2)*CX183,2)</f>
        <v>0</v>
      </c>
      <c r="DG183">
        <f t="shared" si="66"/>
        <v>0</v>
      </c>
      <c r="DH183">
        <f t="shared" si="67"/>
        <v>0</v>
      </c>
      <c r="DI183">
        <f t="shared" si="55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ROW(Source!A74)</f>
        <v>74</v>
      </c>
      <c r="B184">
        <v>55747649</v>
      </c>
      <c r="C184">
        <v>55747994</v>
      </c>
      <c r="D184">
        <v>54768040</v>
      </c>
      <c r="E184">
        <v>1</v>
      </c>
      <c r="F184">
        <v>1</v>
      </c>
      <c r="G184">
        <v>1081</v>
      </c>
      <c r="H184">
        <v>2</v>
      </c>
      <c r="I184" t="s">
        <v>476</v>
      </c>
      <c r="J184" t="s">
        <v>477</v>
      </c>
      <c r="K184" t="s">
        <v>478</v>
      </c>
      <c r="L184">
        <v>1368</v>
      </c>
      <c r="N184">
        <v>1011</v>
      </c>
      <c r="O184" t="s">
        <v>479</v>
      </c>
      <c r="P184" t="s">
        <v>479</v>
      </c>
      <c r="Q184">
        <v>1</v>
      </c>
      <c r="W184">
        <v>0</v>
      </c>
      <c r="X184">
        <v>1498588441</v>
      </c>
      <c r="Y184">
        <f>(AT184*1.2)</f>
        <v>2.04</v>
      </c>
      <c r="AA184">
        <v>0</v>
      </c>
      <c r="AB184">
        <v>7.59</v>
      </c>
      <c r="AC184">
        <v>0</v>
      </c>
      <c r="AD184">
        <v>0</v>
      </c>
      <c r="AE184">
        <v>0</v>
      </c>
      <c r="AF184">
        <v>7.11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1.7</v>
      </c>
      <c r="AU184" t="s">
        <v>49</v>
      </c>
      <c r="AV184">
        <v>0</v>
      </c>
      <c r="AW184">
        <v>2</v>
      </c>
      <c r="AX184">
        <v>55748003</v>
      </c>
      <c r="AY184">
        <v>1</v>
      </c>
      <c r="AZ184">
        <v>0</v>
      </c>
      <c r="BA184">
        <v>228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ROUND(Y184*Source!I74*DO184,9)</f>
        <v>0</v>
      </c>
      <c r="CX184">
        <f>ROUND(Y184*Source!I74,9)</f>
        <v>8.16</v>
      </c>
      <c r="CY184">
        <f>AB184</f>
        <v>7.59</v>
      </c>
      <c r="CZ184">
        <f>AF184</f>
        <v>7.11</v>
      </c>
      <c r="DA184">
        <f>AJ184</f>
        <v>1</v>
      </c>
      <c r="DB184">
        <f>ROUND((ROUND(AT184*CZ184,2)*1.2),6)</f>
        <v>14.507999999999999</v>
      </c>
      <c r="DC184">
        <f>ROUND((ROUND(AT184*AG184,2)*1.2),6)</f>
        <v>0</v>
      </c>
      <c r="DD184" t="s">
        <v>3</v>
      </c>
      <c r="DE184" t="s">
        <v>3</v>
      </c>
      <c r="DF184">
        <f t="shared" si="68"/>
        <v>0</v>
      </c>
      <c r="DG184">
        <f t="shared" si="66"/>
        <v>58.02</v>
      </c>
      <c r="DH184">
        <f t="shared" si="67"/>
        <v>0</v>
      </c>
      <c r="DI184">
        <f t="shared" si="55"/>
        <v>0</v>
      </c>
      <c r="DJ184">
        <f>DG184</f>
        <v>58.02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ROW(Source!A74)</f>
        <v>74</v>
      </c>
      <c r="B185">
        <v>55747649</v>
      </c>
      <c r="C185">
        <v>55747994</v>
      </c>
      <c r="D185">
        <v>54768339</v>
      </c>
      <c r="E185">
        <v>1</v>
      </c>
      <c r="F185">
        <v>1</v>
      </c>
      <c r="G185">
        <v>1081</v>
      </c>
      <c r="H185">
        <v>2</v>
      </c>
      <c r="I185" t="s">
        <v>483</v>
      </c>
      <c r="J185" t="s">
        <v>484</v>
      </c>
      <c r="K185" t="s">
        <v>485</v>
      </c>
      <c r="L185">
        <v>1368</v>
      </c>
      <c r="N185">
        <v>1011</v>
      </c>
      <c r="O185" t="s">
        <v>479</v>
      </c>
      <c r="P185" t="s">
        <v>479</v>
      </c>
      <c r="Q185">
        <v>1</v>
      </c>
      <c r="W185">
        <v>0</v>
      </c>
      <c r="X185">
        <v>874612079</v>
      </c>
      <c r="Y185">
        <f>(AT185*1.2)</f>
        <v>3.5999999999999997E-2</v>
      </c>
      <c r="AA185">
        <v>0</v>
      </c>
      <c r="AB185">
        <v>88.67</v>
      </c>
      <c r="AC185">
        <v>13.47</v>
      </c>
      <c r="AD185">
        <v>0</v>
      </c>
      <c r="AE185">
        <v>0</v>
      </c>
      <c r="AF185">
        <v>83.1</v>
      </c>
      <c r="AG185">
        <v>12.62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0.03</v>
      </c>
      <c r="AU185" t="s">
        <v>49</v>
      </c>
      <c r="AV185">
        <v>0</v>
      </c>
      <c r="AW185">
        <v>2</v>
      </c>
      <c r="AX185">
        <v>55748004</v>
      </c>
      <c r="AY185">
        <v>1</v>
      </c>
      <c r="AZ185">
        <v>0</v>
      </c>
      <c r="BA185">
        <v>229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ROUND(Y185*Source!I74*DO185,9)</f>
        <v>1.81728</v>
      </c>
      <c r="CX185">
        <f>ROUND(Y185*Source!I74,9)</f>
        <v>0.14399999999999999</v>
      </c>
      <c r="CY185">
        <f>AB185</f>
        <v>88.67</v>
      </c>
      <c r="CZ185">
        <f>AF185</f>
        <v>83.1</v>
      </c>
      <c r="DA185">
        <f>AJ185</f>
        <v>1</v>
      </c>
      <c r="DB185">
        <f>ROUND((ROUND(AT185*CZ185,2)*1.2),6)</f>
        <v>2.988</v>
      </c>
      <c r="DC185">
        <f>ROUND((ROUND(AT185*AG185,2)*1.2),6)</f>
        <v>0.45600000000000002</v>
      </c>
      <c r="DD185" t="s">
        <v>3</v>
      </c>
      <c r="DE185" t="s">
        <v>3</v>
      </c>
      <c r="DF185">
        <f t="shared" si="68"/>
        <v>0</v>
      </c>
      <c r="DG185">
        <f t="shared" si="66"/>
        <v>11.97</v>
      </c>
      <c r="DH185">
        <f t="shared" si="67"/>
        <v>1.82</v>
      </c>
      <c r="DI185">
        <f t="shared" si="55"/>
        <v>0</v>
      </c>
      <c r="DJ185">
        <f>DG185</f>
        <v>11.97</v>
      </c>
      <c r="DK185">
        <v>0</v>
      </c>
      <c r="DL185" t="s">
        <v>486</v>
      </c>
      <c r="DM185">
        <v>0</v>
      </c>
      <c r="DN185" t="s">
        <v>475</v>
      </c>
      <c r="DO185">
        <v>12.62</v>
      </c>
    </row>
    <row r="186" spans="1:119" x14ac:dyDescent="0.2">
      <c r="A186">
        <f>ROW(Source!A74)</f>
        <v>74</v>
      </c>
      <c r="B186">
        <v>55747649</v>
      </c>
      <c r="C186">
        <v>55747994</v>
      </c>
      <c r="D186">
        <v>54738518</v>
      </c>
      <c r="E186">
        <v>1</v>
      </c>
      <c r="F186">
        <v>1</v>
      </c>
      <c r="G186">
        <v>1081</v>
      </c>
      <c r="H186">
        <v>3</v>
      </c>
      <c r="I186" t="s">
        <v>493</v>
      </c>
      <c r="J186" t="s">
        <v>494</v>
      </c>
      <c r="K186" t="s">
        <v>495</v>
      </c>
      <c r="L186">
        <v>1348</v>
      </c>
      <c r="N186">
        <v>1009</v>
      </c>
      <c r="O186" t="s">
        <v>282</v>
      </c>
      <c r="P186" t="s">
        <v>282</v>
      </c>
      <c r="Q186">
        <v>1000</v>
      </c>
      <c r="W186">
        <v>0</v>
      </c>
      <c r="X186">
        <v>205566664</v>
      </c>
      <c r="Y186">
        <f>(AT186*1)</f>
        <v>6.6E-4</v>
      </c>
      <c r="AA186">
        <v>9367.64</v>
      </c>
      <c r="AB186">
        <v>0</v>
      </c>
      <c r="AC186">
        <v>0</v>
      </c>
      <c r="AD186">
        <v>0</v>
      </c>
      <c r="AE186">
        <v>9112.49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6.6E-4</v>
      </c>
      <c r="AU186" t="s">
        <v>48</v>
      </c>
      <c r="AV186">
        <v>0</v>
      </c>
      <c r="AW186">
        <v>2</v>
      </c>
      <c r="AX186">
        <v>55748005</v>
      </c>
      <c r="AY186">
        <v>1</v>
      </c>
      <c r="AZ186">
        <v>0</v>
      </c>
      <c r="BA186">
        <v>230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ROUND(Y186*Source!I74,9)</f>
        <v>2.64E-3</v>
      </c>
      <c r="CY186">
        <f>AA186</f>
        <v>9367.64</v>
      </c>
      <c r="CZ186">
        <f>AE186</f>
        <v>9112.49</v>
      </c>
      <c r="DA186">
        <f>AI186</f>
        <v>1</v>
      </c>
      <c r="DB186">
        <f>ROUND((ROUND(AT186*CZ186,2)*1),6)</f>
        <v>6.01</v>
      </c>
      <c r="DC186">
        <f>ROUND((ROUND(AT186*AG186,2)*1),6)</f>
        <v>0</v>
      </c>
      <c r="DD186" t="s">
        <v>3</v>
      </c>
      <c r="DE186" t="s">
        <v>3</v>
      </c>
      <c r="DF186">
        <f t="shared" si="68"/>
        <v>24.06</v>
      </c>
      <c r="DG186">
        <f t="shared" si="66"/>
        <v>0</v>
      </c>
      <c r="DH186">
        <f t="shared" si="67"/>
        <v>0</v>
      </c>
      <c r="DI186">
        <f t="shared" si="55"/>
        <v>0</v>
      </c>
      <c r="DJ186">
        <f>DF186</f>
        <v>24.06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ROW(Source!A74)</f>
        <v>74</v>
      </c>
      <c r="B187">
        <v>55747649</v>
      </c>
      <c r="C187">
        <v>55747994</v>
      </c>
      <c r="D187">
        <v>54739191</v>
      </c>
      <c r="E187">
        <v>1</v>
      </c>
      <c r="F187">
        <v>1</v>
      </c>
      <c r="G187">
        <v>1081</v>
      </c>
      <c r="H187">
        <v>3</v>
      </c>
      <c r="I187" t="s">
        <v>500</v>
      </c>
      <c r="J187" t="s">
        <v>501</v>
      </c>
      <c r="K187" t="s">
        <v>502</v>
      </c>
      <c r="L187">
        <v>1346</v>
      </c>
      <c r="N187">
        <v>1009</v>
      </c>
      <c r="O187" t="s">
        <v>503</v>
      </c>
      <c r="P187" t="s">
        <v>503</v>
      </c>
      <c r="Q187">
        <v>1</v>
      </c>
      <c r="W187">
        <v>0</v>
      </c>
      <c r="X187">
        <v>-2132327540</v>
      </c>
      <c r="Y187">
        <f>(AT187*1)</f>
        <v>2.1000000000000001E-2</v>
      </c>
      <c r="AA187">
        <v>6.43</v>
      </c>
      <c r="AB187">
        <v>0</v>
      </c>
      <c r="AC187">
        <v>0</v>
      </c>
      <c r="AD187">
        <v>0</v>
      </c>
      <c r="AE187">
        <v>6.25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2.1000000000000001E-2</v>
      </c>
      <c r="AU187" t="s">
        <v>48</v>
      </c>
      <c r="AV187">
        <v>0</v>
      </c>
      <c r="AW187">
        <v>2</v>
      </c>
      <c r="AX187">
        <v>55748006</v>
      </c>
      <c r="AY187">
        <v>1</v>
      </c>
      <c r="AZ187">
        <v>0</v>
      </c>
      <c r="BA187">
        <v>231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ROUND(Y187*Source!I74,9)</f>
        <v>8.4000000000000005E-2</v>
      </c>
      <c r="CY187">
        <f>AA187</f>
        <v>6.43</v>
      </c>
      <c r="CZ187">
        <f>AE187</f>
        <v>6.25</v>
      </c>
      <c r="DA187">
        <f>AI187</f>
        <v>1</v>
      </c>
      <c r="DB187">
        <f>ROUND((ROUND(AT187*CZ187,2)*1),6)</f>
        <v>0.13</v>
      </c>
      <c r="DC187">
        <f>ROUND((ROUND(AT187*AG187,2)*1),6)</f>
        <v>0</v>
      </c>
      <c r="DD187" t="s">
        <v>3</v>
      </c>
      <c r="DE187" t="s">
        <v>3</v>
      </c>
      <c r="DF187">
        <f t="shared" si="68"/>
        <v>0.53</v>
      </c>
      <c r="DG187">
        <f t="shared" si="66"/>
        <v>0</v>
      </c>
      <c r="DH187">
        <f t="shared" si="67"/>
        <v>0</v>
      </c>
      <c r="DI187">
        <f t="shared" si="55"/>
        <v>0</v>
      </c>
      <c r="DJ187">
        <f>DF187</f>
        <v>0.53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ROW(Source!A74)</f>
        <v>74</v>
      </c>
      <c r="B188">
        <v>55747649</v>
      </c>
      <c r="C188">
        <v>55747994</v>
      </c>
      <c r="D188">
        <v>54737565</v>
      </c>
      <c r="E188">
        <v>1</v>
      </c>
      <c r="F188">
        <v>1</v>
      </c>
      <c r="G188">
        <v>1081</v>
      </c>
      <c r="H188">
        <v>3</v>
      </c>
      <c r="I188" t="s">
        <v>504</v>
      </c>
      <c r="J188" t="s">
        <v>505</v>
      </c>
      <c r="K188" t="s">
        <v>506</v>
      </c>
      <c r="L188">
        <v>1339</v>
      </c>
      <c r="N188">
        <v>1007</v>
      </c>
      <c r="O188" t="s">
        <v>507</v>
      </c>
      <c r="P188" t="s">
        <v>507</v>
      </c>
      <c r="Q188">
        <v>1</v>
      </c>
      <c r="W188">
        <v>0</v>
      </c>
      <c r="X188">
        <v>-1235260082</v>
      </c>
      <c r="Y188">
        <f>(AT188*1)</f>
        <v>8.6999999999999994E-2</v>
      </c>
      <c r="AA188">
        <v>5.98</v>
      </c>
      <c r="AB188">
        <v>0</v>
      </c>
      <c r="AC188">
        <v>0</v>
      </c>
      <c r="AD188">
        <v>0</v>
      </c>
      <c r="AE188">
        <v>5.82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8.6999999999999994E-2</v>
      </c>
      <c r="AU188" t="s">
        <v>48</v>
      </c>
      <c r="AV188">
        <v>0</v>
      </c>
      <c r="AW188">
        <v>2</v>
      </c>
      <c r="AX188">
        <v>55748007</v>
      </c>
      <c r="AY188">
        <v>1</v>
      </c>
      <c r="AZ188">
        <v>0</v>
      </c>
      <c r="BA188">
        <v>232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ROUND(Y188*Source!I74,9)</f>
        <v>0.34799999999999998</v>
      </c>
      <c r="CY188">
        <f>AA188</f>
        <v>5.98</v>
      </c>
      <c r="CZ188">
        <f>AE188</f>
        <v>5.82</v>
      </c>
      <c r="DA188">
        <f>AI188</f>
        <v>1</v>
      </c>
      <c r="DB188">
        <f>ROUND((ROUND(AT188*CZ188,2)*1),6)</f>
        <v>0.51</v>
      </c>
      <c r="DC188">
        <f>ROUND((ROUND(AT188*AG188,2)*1),6)</f>
        <v>0</v>
      </c>
      <c r="DD188" t="s">
        <v>3</v>
      </c>
      <c r="DE188" t="s">
        <v>3</v>
      </c>
      <c r="DF188">
        <f t="shared" si="68"/>
        <v>2.0299999999999998</v>
      </c>
      <c r="DG188">
        <f t="shared" si="66"/>
        <v>0</v>
      </c>
      <c r="DH188">
        <f t="shared" si="67"/>
        <v>0</v>
      </c>
      <c r="DI188">
        <f t="shared" si="55"/>
        <v>0</v>
      </c>
      <c r="DJ188">
        <f>DF188</f>
        <v>2.0299999999999998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ROW(Source!A74)</f>
        <v>74</v>
      </c>
      <c r="B189">
        <v>55747649</v>
      </c>
      <c r="C189">
        <v>55747994</v>
      </c>
      <c r="D189">
        <v>54754027</v>
      </c>
      <c r="E189">
        <v>1</v>
      </c>
      <c r="F189">
        <v>1</v>
      </c>
      <c r="G189">
        <v>1081</v>
      </c>
      <c r="H189">
        <v>3</v>
      </c>
      <c r="I189" t="s">
        <v>152</v>
      </c>
      <c r="J189" t="s">
        <v>154</v>
      </c>
      <c r="K189" t="s">
        <v>153</v>
      </c>
      <c r="L189">
        <v>1354</v>
      </c>
      <c r="N189">
        <v>1010</v>
      </c>
      <c r="O189" t="s">
        <v>118</v>
      </c>
      <c r="P189" t="s">
        <v>118</v>
      </c>
      <c r="Q189">
        <v>1</v>
      </c>
      <c r="W189">
        <v>0</v>
      </c>
      <c r="X189">
        <v>774186860</v>
      </c>
      <c r="Y189">
        <f>(AT189*1)</f>
        <v>1</v>
      </c>
      <c r="AA189">
        <v>340.41</v>
      </c>
      <c r="AB189">
        <v>0</v>
      </c>
      <c r="AC189">
        <v>0</v>
      </c>
      <c r="AD189">
        <v>0</v>
      </c>
      <c r="AE189">
        <v>340.41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1</v>
      </c>
      <c r="AU189" t="s">
        <v>48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ROUND(Y189*Source!I74,9)</f>
        <v>4</v>
      </c>
      <c r="CY189">
        <f>AA189</f>
        <v>340.41</v>
      </c>
      <c r="CZ189">
        <f>AE189</f>
        <v>340.41</v>
      </c>
      <c r="DA189">
        <f>AI189</f>
        <v>1</v>
      </c>
      <c r="DB189">
        <f>ROUND((ROUND(AT189*CZ189,2)*1),6)</f>
        <v>340.41</v>
      </c>
      <c r="DC189">
        <f>ROUND((ROUND(AT189*AG189,2)*1),6)</f>
        <v>0</v>
      </c>
      <c r="DD189" t="s">
        <v>3</v>
      </c>
      <c r="DE189" t="s">
        <v>3</v>
      </c>
      <c r="DF189">
        <f t="shared" si="68"/>
        <v>1361.64</v>
      </c>
      <c r="DG189">
        <f t="shared" si="66"/>
        <v>0</v>
      </c>
      <c r="DH189">
        <f t="shared" si="67"/>
        <v>0</v>
      </c>
      <c r="DI189">
        <f t="shared" si="55"/>
        <v>0</v>
      </c>
      <c r="DJ189">
        <f>DF189</f>
        <v>1361.64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ROW(Source!A75)</f>
        <v>75</v>
      </c>
      <c r="B190">
        <v>55747651</v>
      </c>
      <c r="C190">
        <v>55747994</v>
      </c>
      <c r="D190">
        <v>54702434</v>
      </c>
      <c r="E190">
        <v>1081</v>
      </c>
      <c r="F190">
        <v>1</v>
      </c>
      <c r="G190">
        <v>1081</v>
      </c>
      <c r="H190">
        <v>1</v>
      </c>
      <c r="I190" t="s">
        <v>473</v>
      </c>
      <c r="J190" t="s">
        <v>3</v>
      </c>
      <c r="K190" t="s">
        <v>474</v>
      </c>
      <c r="L190">
        <v>1191</v>
      </c>
      <c r="N190">
        <v>1013</v>
      </c>
      <c r="O190" t="s">
        <v>475</v>
      </c>
      <c r="P190" t="s">
        <v>475</v>
      </c>
      <c r="Q190">
        <v>1</v>
      </c>
      <c r="W190">
        <v>0</v>
      </c>
      <c r="X190">
        <v>476480486</v>
      </c>
      <c r="Y190">
        <f>(AT190*1.2)</f>
        <v>9.1199999999999992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5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7.6</v>
      </c>
      <c r="AU190" t="s">
        <v>49</v>
      </c>
      <c r="AV190">
        <v>1</v>
      </c>
      <c r="AW190">
        <v>2</v>
      </c>
      <c r="AX190">
        <v>55748002</v>
      </c>
      <c r="AY190">
        <v>1</v>
      </c>
      <c r="AZ190">
        <v>0</v>
      </c>
      <c r="BA190">
        <v>234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U190">
        <f>ROUND(AT190*Source!I75*AH190*AL190,2)</f>
        <v>0</v>
      </c>
      <c r="CV190">
        <f>ROUND(Y190*Source!I75,9)</f>
        <v>36.479999999999997</v>
      </c>
      <c r="CW190">
        <v>0</v>
      </c>
      <c r="CX190">
        <f>ROUND(Y190*Source!I75,9)</f>
        <v>36.479999999999997</v>
      </c>
      <c r="CY190">
        <f>AD190</f>
        <v>0</v>
      </c>
      <c r="CZ190">
        <f>AH190</f>
        <v>0</v>
      </c>
      <c r="DA190">
        <f>AL190</f>
        <v>1</v>
      </c>
      <c r="DB190">
        <f>ROUND((ROUND(AT190*CZ190,2)*1.2),6)</f>
        <v>0</v>
      </c>
      <c r="DC190">
        <f>ROUND((ROUND(AT190*AG190,2)*1.2),6)</f>
        <v>0</v>
      </c>
      <c r="DD190" t="s">
        <v>3</v>
      </c>
      <c r="DE190" t="s">
        <v>3</v>
      </c>
      <c r="DF190">
        <f t="shared" si="68"/>
        <v>0</v>
      </c>
      <c r="DG190">
        <f t="shared" si="66"/>
        <v>0</v>
      </c>
      <c r="DH190">
        <f t="shared" si="67"/>
        <v>0</v>
      </c>
      <c r="DI190">
        <f t="shared" si="55"/>
        <v>0</v>
      </c>
      <c r="DJ190">
        <f>DI190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ROW(Source!A75)</f>
        <v>75</v>
      </c>
      <c r="B191">
        <v>55747651</v>
      </c>
      <c r="C191">
        <v>55747994</v>
      </c>
      <c r="D191">
        <v>54768040</v>
      </c>
      <c r="E191">
        <v>1</v>
      </c>
      <c r="F191">
        <v>1</v>
      </c>
      <c r="G191">
        <v>1081</v>
      </c>
      <c r="H191">
        <v>2</v>
      </c>
      <c r="I191" t="s">
        <v>476</v>
      </c>
      <c r="J191" t="s">
        <v>477</v>
      </c>
      <c r="K191" t="s">
        <v>478</v>
      </c>
      <c r="L191">
        <v>1368</v>
      </c>
      <c r="N191">
        <v>1011</v>
      </c>
      <c r="O191" t="s">
        <v>479</v>
      </c>
      <c r="P191" t="s">
        <v>479</v>
      </c>
      <c r="Q191">
        <v>1</v>
      </c>
      <c r="W191">
        <v>0</v>
      </c>
      <c r="X191">
        <v>1498588441</v>
      </c>
      <c r="Y191">
        <f>(AT191*1.2)</f>
        <v>2.04</v>
      </c>
      <c r="AA191">
        <v>0</v>
      </c>
      <c r="AB191">
        <v>102.11</v>
      </c>
      <c r="AC191">
        <v>0</v>
      </c>
      <c r="AD191">
        <v>0</v>
      </c>
      <c r="AE191">
        <v>0</v>
      </c>
      <c r="AF191">
        <v>7.11</v>
      </c>
      <c r="AG191">
        <v>0</v>
      </c>
      <c r="AH191">
        <v>0</v>
      </c>
      <c r="AI191">
        <v>1</v>
      </c>
      <c r="AJ191">
        <v>13.46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1.7</v>
      </c>
      <c r="AU191" t="s">
        <v>49</v>
      </c>
      <c r="AV191">
        <v>0</v>
      </c>
      <c r="AW191">
        <v>2</v>
      </c>
      <c r="AX191">
        <v>55748003</v>
      </c>
      <c r="AY191">
        <v>1</v>
      </c>
      <c r="AZ191">
        <v>0</v>
      </c>
      <c r="BA191">
        <v>235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f>ROUND(Y191*Source!I75*DO191,9)</f>
        <v>0</v>
      </c>
      <c r="CX191">
        <f>ROUND(Y191*Source!I75,9)</f>
        <v>8.16</v>
      </c>
      <c r="CY191">
        <f>AB191</f>
        <v>102.11</v>
      </c>
      <c r="CZ191">
        <f>AF191</f>
        <v>7.11</v>
      </c>
      <c r="DA191">
        <f>AJ191</f>
        <v>13.46</v>
      </c>
      <c r="DB191">
        <f>ROUND((ROUND(AT191*CZ191,2)*1.2),6)</f>
        <v>14.507999999999999</v>
      </c>
      <c r="DC191">
        <f>ROUND((ROUND(AT191*AG191,2)*1.2),6)</f>
        <v>0</v>
      </c>
      <c r="DD191" t="s">
        <v>3</v>
      </c>
      <c r="DE191" t="s">
        <v>3</v>
      </c>
      <c r="DF191">
        <f t="shared" si="68"/>
        <v>0</v>
      </c>
      <c r="DG191">
        <f>ROUND(ROUND(AF191*AJ191,2)*CX191,2)</f>
        <v>780.91</v>
      </c>
      <c r="DH191">
        <f t="shared" si="67"/>
        <v>0</v>
      </c>
      <c r="DI191">
        <f t="shared" si="55"/>
        <v>0</v>
      </c>
      <c r="DJ191">
        <f>DG191</f>
        <v>780.91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ROW(Source!A75)</f>
        <v>75</v>
      </c>
      <c r="B192">
        <v>55747651</v>
      </c>
      <c r="C192">
        <v>55747994</v>
      </c>
      <c r="D192">
        <v>54768339</v>
      </c>
      <c r="E192">
        <v>1</v>
      </c>
      <c r="F192">
        <v>1</v>
      </c>
      <c r="G192">
        <v>1081</v>
      </c>
      <c r="H192">
        <v>2</v>
      </c>
      <c r="I192" t="s">
        <v>483</v>
      </c>
      <c r="J192" t="s">
        <v>484</v>
      </c>
      <c r="K192" t="s">
        <v>485</v>
      </c>
      <c r="L192">
        <v>1368</v>
      </c>
      <c r="N192">
        <v>1011</v>
      </c>
      <c r="O192" t="s">
        <v>479</v>
      </c>
      <c r="P192" t="s">
        <v>479</v>
      </c>
      <c r="Q192">
        <v>1</v>
      </c>
      <c r="W192">
        <v>0</v>
      </c>
      <c r="X192">
        <v>874612079</v>
      </c>
      <c r="Y192">
        <f>(AT192*1.2)</f>
        <v>3.5999999999999997E-2</v>
      </c>
      <c r="AA192">
        <v>0</v>
      </c>
      <c r="AB192">
        <v>1513.56</v>
      </c>
      <c r="AC192">
        <v>758.78</v>
      </c>
      <c r="AD192">
        <v>0</v>
      </c>
      <c r="AE192">
        <v>0</v>
      </c>
      <c r="AF192">
        <v>83.1</v>
      </c>
      <c r="AG192">
        <v>12.62</v>
      </c>
      <c r="AH192">
        <v>0</v>
      </c>
      <c r="AI192">
        <v>1</v>
      </c>
      <c r="AJ192">
        <v>17.07</v>
      </c>
      <c r="AK192">
        <v>56.35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0.03</v>
      </c>
      <c r="AU192" t="s">
        <v>49</v>
      </c>
      <c r="AV192">
        <v>0</v>
      </c>
      <c r="AW192">
        <v>2</v>
      </c>
      <c r="AX192">
        <v>55748004</v>
      </c>
      <c r="AY192">
        <v>1</v>
      </c>
      <c r="AZ192">
        <v>0</v>
      </c>
      <c r="BA192">
        <v>236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ROUND(Y192*Source!I75*DO192,9)</f>
        <v>1.81728</v>
      </c>
      <c r="CX192">
        <f>ROUND(Y192*Source!I75,9)</f>
        <v>0.14399999999999999</v>
      </c>
      <c r="CY192">
        <f>AB192</f>
        <v>1513.56</v>
      </c>
      <c r="CZ192">
        <f>AF192</f>
        <v>83.1</v>
      </c>
      <c r="DA192">
        <f>AJ192</f>
        <v>17.07</v>
      </c>
      <c r="DB192">
        <f>ROUND((ROUND(AT192*CZ192,2)*1.2),6)</f>
        <v>2.988</v>
      </c>
      <c r="DC192">
        <f>ROUND((ROUND(AT192*AG192,2)*1.2),6)</f>
        <v>0.45600000000000002</v>
      </c>
      <c r="DD192" t="s">
        <v>3</v>
      </c>
      <c r="DE192" t="s">
        <v>3</v>
      </c>
      <c r="DF192">
        <f t="shared" si="68"/>
        <v>0</v>
      </c>
      <c r="DG192">
        <f>ROUND(ROUND(AF192*AJ192,2)*CX192,2)</f>
        <v>204.27</v>
      </c>
      <c r="DH192">
        <f>ROUND(ROUND(AG192*AK192,2)*CX192,2)</f>
        <v>102.4</v>
      </c>
      <c r="DI192">
        <f t="shared" si="55"/>
        <v>0</v>
      </c>
      <c r="DJ192">
        <f>DG192</f>
        <v>204.27</v>
      </c>
      <c r="DK192">
        <v>0</v>
      </c>
      <c r="DL192" t="s">
        <v>486</v>
      </c>
      <c r="DM192">
        <v>0</v>
      </c>
      <c r="DN192" t="s">
        <v>475</v>
      </c>
      <c r="DO192">
        <v>12.62</v>
      </c>
    </row>
    <row r="193" spans="1:119" x14ac:dyDescent="0.2">
      <c r="A193">
        <f>ROW(Source!A75)</f>
        <v>75</v>
      </c>
      <c r="B193">
        <v>55747651</v>
      </c>
      <c r="C193">
        <v>55747994</v>
      </c>
      <c r="D193">
        <v>54738518</v>
      </c>
      <c r="E193">
        <v>1</v>
      </c>
      <c r="F193">
        <v>1</v>
      </c>
      <c r="G193">
        <v>1081</v>
      </c>
      <c r="H193">
        <v>3</v>
      </c>
      <c r="I193" t="s">
        <v>493</v>
      </c>
      <c r="J193" t="s">
        <v>494</v>
      </c>
      <c r="K193" t="s">
        <v>495</v>
      </c>
      <c r="L193">
        <v>1348</v>
      </c>
      <c r="N193">
        <v>1009</v>
      </c>
      <c r="O193" t="s">
        <v>282</v>
      </c>
      <c r="P193" t="s">
        <v>282</v>
      </c>
      <c r="Q193">
        <v>1000</v>
      </c>
      <c r="W193">
        <v>0</v>
      </c>
      <c r="X193">
        <v>205566664</v>
      </c>
      <c r="Y193">
        <f>(AT193*1)</f>
        <v>6.6E-4</v>
      </c>
      <c r="AA193">
        <v>95081.54</v>
      </c>
      <c r="AB193">
        <v>0</v>
      </c>
      <c r="AC193">
        <v>0</v>
      </c>
      <c r="AD193">
        <v>0</v>
      </c>
      <c r="AE193">
        <v>9112.49</v>
      </c>
      <c r="AF193">
        <v>0</v>
      </c>
      <c r="AG193">
        <v>0</v>
      </c>
      <c r="AH193">
        <v>0</v>
      </c>
      <c r="AI193">
        <v>10.15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6.6E-4</v>
      </c>
      <c r="AU193" t="s">
        <v>48</v>
      </c>
      <c r="AV193">
        <v>0</v>
      </c>
      <c r="AW193">
        <v>2</v>
      </c>
      <c r="AX193">
        <v>55748005</v>
      </c>
      <c r="AY193">
        <v>1</v>
      </c>
      <c r="AZ193">
        <v>0</v>
      </c>
      <c r="BA193">
        <v>237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ROUND(Y193*Source!I75,9)</f>
        <v>2.64E-3</v>
      </c>
      <c r="CY193">
        <f>AA193</f>
        <v>95081.54</v>
      </c>
      <c r="CZ193">
        <f>AE193</f>
        <v>9112.49</v>
      </c>
      <c r="DA193">
        <f>AI193</f>
        <v>10.15</v>
      </c>
      <c r="DB193">
        <f>ROUND((ROUND(AT193*CZ193,2)*1),6)</f>
        <v>6.01</v>
      </c>
      <c r="DC193">
        <f>ROUND((ROUND(AT193*AG193,2)*1),6)</f>
        <v>0</v>
      </c>
      <c r="DD193" t="s">
        <v>3</v>
      </c>
      <c r="DE193" t="s">
        <v>3</v>
      </c>
      <c r="DF193">
        <f>ROUND(ROUND(AE193*AI193,2)*CX193,2)</f>
        <v>244.18</v>
      </c>
      <c r="DG193">
        <f t="shared" ref="DG193:DG205" si="69">ROUND(ROUND(AF193,2)*CX193,2)</f>
        <v>0</v>
      </c>
      <c r="DH193">
        <f t="shared" ref="DH193:DH206" si="70">ROUND(ROUND(AG193,2)*CX193,2)</f>
        <v>0</v>
      </c>
      <c r="DI193">
        <f t="shared" ref="DI193:DI256" si="71">ROUND(ROUND(AH193,2)*CX193,2)</f>
        <v>0</v>
      </c>
      <c r="DJ193">
        <f>DF193</f>
        <v>244.18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ROW(Source!A75)</f>
        <v>75</v>
      </c>
      <c r="B194">
        <v>55747651</v>
      </c>
      <c r="C194">
        <v>55747994</v>
      </c>
      <c r="D194">
        <v>54739191</v>
      </c>
      <c r="E194">
        <v>1</v>
      </c>
      <c r="F194">
        <v>1</v>
      </c>
      <c r="G194">
        <v>1081</v>
      </c>
      <c r="H194">
        <v>3</v>
      </c>
      <c r="I194" t="s">
        <v>500</v>
      </c>
      <c r="J194" t="s">
        <v>501</v>
      </c>
      <c r="K194" t="s">
        <v>502</v>
      </c>
      <c r="L194">
        <v>1346</v>
      </c>
      <c r="N194">
        <v>1009</v>
      </c>
      <c r="O194" t="s">
        <v>503</v>
      </c>
      <c r="P194" t="s">
        <v>503</v>
      </c>
      <c r="Q194">
        <v>1</v>
      </c>
      <c r="W194">
        <v>0</v>
      </c>
      <c r="X194">
        <v>-2132327540</v>
      </c>
      <c r="Y194">
        <f>(AT194*1)</f>
        <v>2.1000000000000001E-2</v>
      </c>
      <c r="AA194">
        <v>64.760000000000005</v>
      </c>
      <c r="AB194">
        <v>0</v>
      </c>
      <c r="AC194">
        <v>0</v>
      </c>
      <c r="AD194">
        <v>0</v>
      </c>
      <c r="AE194">
        <v>6.25</v>
      </c>
      <c r="AF194">
        <v>0</v>
      </c>
      <c r="AG194">
        <v>0</v>
      </c>
      <c r="AH194">
        <v>0</v>
      </c>
      <c r="AI194">
        <v>10.08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2.1000000000000001E-2</v>
      </c>
      <c r="AU194" t="s">
        <v>48</v>
      </c>
      <c r="AV194">
        <v>0</v>
      </c>
      <c r="AW194">
        <v>2</v>
      </c>
      <c r="AX194">
        <v>55748006</v>
      </c>
      <c r="AY194">
        <v>1</v>
      </c>
      <c r="AZ194">
        <v>0</v>
      </c>
      <c r="BA194">
        <v>238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ROUND(Y194*Source!I75,9)</f>
        <v>8.4000000000000005E-2</v>
      </c>
      <c r="CY194">
        <f>AA194</f>
        <v>64.760000000000005</v>
      </c>
      <c r="CZ194">
        <f>AE194</f>
        <v>6.25</v>
      </c>
      <c r="DA194">
        <f>AI194</f>
        <v>10.08</v>
      </c>
      <c r="DB194">
        <f>ROUND((ROUND(AT194*CZ194,2)*1),6)</f>
        <v>0.13</v>
      </c>
      <c r="DC194">
        <f>ROUND((ROUND(AT194*AG194,2)*1),6)</f>
        <v>0</v>
      </c>
      <c r="DD194" t="s">
        <v>3</v>
      </c>
      <c r="DE194" t="s">
        <v>3</v>
      </c>
      <c r="DF194">
        <f>ROUND(ROUND(AE194*AI194,2)*CX194,2)</f>
        <v>5.29</v>
      </c>
      <c r="DG194">
        <f t="shared" si="69"/>
        <v>0</v>
      </c>
      <c r="DH194">
        <f t="shared" si="70"/>
        <v>0</v>
      </c>
      <c r="DI194">
        <f t="shared" si="71"/>
        <v>0</v>
      </c>
      <c r="DJ194">
        <f>DF194</f>
        <v>5.29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ROW(Source!A75)</f>
        <v>75</v>
      </c>
      <c r="B195">
        <v>55747651</v>
      </c>
      <c r="C195">
        <v>55747994</v>
      </c>
      <c r="D195">
        <v>54737565</v>
      </c>
      <c r="E195">
        <v>1</v>
      </c>
      <c r="F195">
        <v>1</v>
      </c>
      <c r="G195">
        <v>1081</v>
      </c>
      <c r="H195">
        <v>3</v>
      </c>
      <c r="I195" t="s">
        <v>504</v>
      </c>
      <c r="J195" t="s">
        <v>505</v>
      </c>
      <c r="K195" t="s">
        <v>506</v>
      </c>
      <c r="L195">
        <v>1339</v>
      </c>
      <c r="N195">
        <v>1007</v>
      </c>
      <c r="O195" t="s">
        <v>507</v>
      </c>
      <c r="P195" t="s">
        <v>507</v>
      </c>
      <c r="Q195">
        <v>1</v>
      </c>
      <c r="W195">
        <v>0</v>
      </c>
      <c r="X195">
        <v>-1235260082</v>
      </c>
      <c r="Y195">
        <f>(AT195*1)</f>
        <v>8.6999999999999994E-2</v>
      </c>
      <c r="AA195">
        <v>104.16</v>
      </c>
      <c r="AB195">
        <v>0</v>
      </c>
      <c r="AC195">
        <v>0</v>
      </c>
      <c r="AD195">
        <v>0</v>
      </c>
      <c r="AE195">
        <v>5.82</v>
      </c>
      <c r="AF195">
        <v>0</v>
      </c>
      <c r="AG195">
        <v>0</v>
      </c>
      <c r="AH195">
        <v>0</v>
      </c>
      <c r="AI195">
        <v>17.41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8.6999999999999994E-2</v>
      </c>
      <c r="AU195" t="s">
        <v>48</v>
      </c>
      <c r="AV195">
        <v>0</v>
      </c>
      <c r="AW195">
        <v>2</v>
      </c>
      <c r="AX195">
        <v>55748007</v>
      </c>
      <c r="AY195">
        <v>1</v>
      </c>
      <c r="AZ195">
        <v>0</v>
      </c>
      <c r="BA195">
        <v>239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ROUND(Y195*Source!I75,9)</f>
        <v>0.34799999999999998</v>
      </c>
      <c r="CY195">
        <f>AA195</f>
        <v>104.16</v>
      </c>
      <c r="CZ195">
        <f>AE195</f>
        <v>5.82</v>
      </c>
      <c r="DA195">
        <f>AI195</f>
        <v>17.41</v>
      </c>
      <c r="DB195">
        <f>ROUND((ROUND(AT195*CZ195,2)*1),6)</f>
        <v>0.51</v>
      </c>
      <c r="DC195">
        <f>ROUND((ROUND(AT195*AG195,2)*1),6)</f>
        <v>0</v>
      </c>
      <c r="DD195" t="s">
        <v>3</v>
      </c>
      <c r="DE195" t="s">
        <v>3</v>
      </c>
      <c r="DF195">
        <f>ROUND(ROUND(AE195*AI195,2)*CX195,2)</f>
        <v>35.26</v>
      </c>
      <c r="DG195">
        <f t="shared" si="69"/>
        <v>0</v>
      </c>
      <c r="DH195">
        <f t="shared" si="70"/>
        <v>0</v>
      </c>
      <c r="DI195">
        <f t="shared" si="71"/>
        <v>0</v>
      </c>
      <c r="DJ195">
        <f>DF195</f>
        <v>35.26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ROW(Source!A75)</f>
        <v>75</v>
      </c>
      <c r="B196">
        <v>55747651</v>
      </c>
      <c r="C196">
        <v>55747994</v>
      </c>
      <c r="D196">
        <v>54754027</v>
      </c>
      <c r="E196">
        <v>1</v>
      </c>
      <c r="F196">
        <v>1</v>
      </c>
      <c r="G196">
        <v>1081</v>
      </c>
      <c r="H196">
        <v>3</v>
      </c>
      <c r="I196" t="s">
        <v>152</v>
      </c>
      <c r="J196" t="s">
        <v>154</v>
      </c>
      <c r="K196" t="s">
        <v>153</v>
      </c>
      <c r="L196">
        <v>1354</v>
      </c>
      <c r="N196">
        <v>1010</v>
      </c>
      <c r="O196" t="s">
        <v>118</v>
      </c>
      <c r="P196" t="s">
        <v>118</v>
      </c>
      <c r="Q196">
        <v>1</v>
      </c>
      <c r="W196">
        <v>0</v>
      </c>
      <c r="X196">
        <v>774186860</v>
      </c>
      <c r="Y196">
        <f>(AT196*1)</f>
        <v>1</v>
      </c>
      <c r="AA196">
        <v>1531.85</v>
      </c>
      <c r="AB196">
        <v>0</v>
      </c>
      <c r="AC196">
        <v>0</v>
      </c>
      <c r="AD196">
        <v>0</v>
      </c>
      <c r="AE196">
        <v>340.41</v>
      </c>
      <c r="AF196">
        <v>0</v>
      </c>
      <c r="AG196">
        <v>0</v>
      </c>
      <c r="AH196">
        <v>0</v>
      </c>
      <c r="AI196">
        <v>4.5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 t="s">
        <v>3</v>
      </c>
      <c r="AT196">
        <v>1</v>
      </c>
      <c r="AU196" t="s">
        <v>48</v>
      </c>
      <c r="AV196">
        <v>0</v>
      </c>
      <c r="AW196">
        <v>1</v>
      </c>
      <c r="AX196">
        <v>-1</v>
      </c>
      <c r="AY196">
        <v>0</v>
      </c>
      <c r="AZ196">
        <v>0</v>
      </c>
      <c r="BA196" t="s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ROUND(Y196*Source!I75,9)</f>
        <v>4</v>
      </c>
      <c r="CY196">
        <f>AA196</f>
        <v>1531.85</v>
      </c>
      <c r="CZ196">
        <f>AE196</f>
        <v>340.41</v>
      </c>
      <c r="DA196">
        <f>AI196</f>
        <v>4.5</v>
      </c>
      <c r="DB196">
        <f>ROUND((ROUND(AT196*CZ196,2)*1),6)</f>
        <v>340.41</v>
      </c>
      <c r="DC196">
        <f>ROUND((ROUND(AT196*AG196,2)*1),6)</f>
        <v>0</v>
      </c>
      <c r="DD196" t="s">
        <v>3</v>
      </c>
      <c r="DE196" t="s">
        <v>3</v>
      </c>
      <c r="DF196">
        <f>ROUND(ROUND(AE196*AI196,2)*CX196,2)</f>
        <v>6127.4</v>
      </c>
      <c r="DG196">
        <f t="shared" si="69"/>
        <v>0</v>
      </c>
      <c r="DH196">
        <f t="shared" si="70"/>
        <v>0</v>
      </c>
      <c r="DI196">
        <f t="shared" si="71"/>
        <v>0</v>
      </c>
      <c r="DJ196">
        <f>DF196</f>
        <v>6127.4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ROW(Source!A78)</f>
        <v>78</v>
      </c>
      <c r="B197">
        <v>55747649</v>
      </c>
      <c r="C197">
        <v>55748010</v>
      </c>
      <c r="D197">
        <v>54702434</v>
      </c>
      <c r="E197">
        <v>1081</v>
      </c>
      <c r="F197">
        <v>1</v>
      </c>
      <c r="G197">
        <v>1081</v>
      </c>
      <c r="H197">
        <v>1</v>
      </c>
      <c r="I197" t="s">
        <v>473</v>
      </c>
      <c r="J197" t="s">
        <v>3</v>
      </c>
      <c r="K197" t="s">
        <v>474</v>
      </c>
      <c r="L197">
        <v>1191</v>
      </c>
      <c r="N197">
        <v>1013</v>
      </c>
      <c r="O197" t="s">
        <v>475</v>
      </c>
      <c r="P197" t="s">
        <v>475</v>
      </c>
      <c r="Q197">
        <v>1</v>
      </c>
      <c r="W197">
        <v>0</v>
      </c>
      <c r="X197">
        <v>476480486</v>
      </c>
      <c r="Y197">
        <f>(AT197*1.2)</f>
        <v>6.48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5.4</v>
      </c>
      <c r="AU197" t="s">
        <v>49</v>
      </c>
      <c r="AV197">
        <v>1</v>
      </c>
      <c r="AW197">
        <v>2</v>
      </c>
      <c r="AX197">
        <v>55748019</v>
      </c>
      <c r="AY197">
        <v>1</v>
      </c>
      <c r="AZ197">
        <v>0</v>
      </c>
      <c r="BA197">
        <v>241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U197">
        <f>ROUND(AT197*Source!I78*AH197*AL197,2)</f>
        <v>0</v>
      </c>
      <c r="CV197">
        <f>ROUND(Y197*Source!I78,9)</f>
        <v>103.68</v>
      </c>
      <c r="CW197">
        <v>0</v>
      </c>
      <c r="CX197">
        <f>ROUND(Y197*Source!I78,9)</f>
        <v>103.68</v>
      </c>
      <c r="CY197">
        <f>AD197</f>
        <v>0</v>
      </c>
      <c r="CZ197">
        <f>AH197</f>
        <v>0</v>
      </c>
      <c r="DA197">
        <f>AL197</f>
        <v>1</v>
      </c>
      <c r="DB197">
        <f>ROUND((ROUND(AT197*CZ197,2)*1.2),6)</f>
        <v>0</v>
      </c>
      <c r="DC197">
        <f>ROUND((ROUND(AT197*AG197,2)*1.2),6)</f>
        <v>0</v>
      </c>
      <c r="DD197" t="s">
        <v>3</v>
      </c>
      <c r="DE197" t="s">
        <v>3</v>
      </c>
      <c r="DF197">
        <f t="shared" ref="DF197:DF207" si="72">ROUND(ROUND(AE197,2)*CX197,2)</f>
        <v>0</v>
      </c>
      <c r="DG197">
        <f t="shared" si="69"/>
        <v>0</v>
      </c>
      <c r="DH197">
        <f t="shared" si="70"/>
        <v>0</v>
      </c>
      <c r="DI197">
        <f t="shared" si="71"/>
        <v>0</v>
      </c>
      <c r="DJ197">
        <f>DI197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ROW(Source!A78)</f>
        <v>78</v>
      </c>
      <c r="B198">
        <v>55747649</v>
      </c>
      <c r="C198">
        <v>55748010</v>
      </c>
      <c r="D198">
        <v>54768040</v>
      </c>
      <c r="E198">
        <v>1</v>
      </c>
      <c r="F198">
        <v>1</v>
      </c>
      <c r="G198">
        <v>1081</v>
      </c>
      <c r="H198">
        <v>2</v>
      </c>
      <c r="I198" t="s">
        <v>476</v>
      </c>
      <c r="J198" t="s">
        <v>477</v>
      </c>
      <c r="K198" t="s">
        <v>478</v>
      </c>
      <c r="L198">
        <v>1368</v>
      </c>
      <c r="N198">
        <v>1011</v>
      </c>
      <c r="O198" t="s">
        <v>479</v>
      </c>
      <c r="P198" t="s">
        <v>479</v>
      </c>
      <c r="Q198">
        <v>1</v>
      </c>
      <c r="W198">
        <v>0</v>
      </c>
      <c r="X198">
        <v>1498588441</v>
      </c>
      <c r="Y198">
        <f>(AT198*1.2)</f>
        <v>1.08</v>
      </c>
      <c r="AA198">
        <v>0</v>
      </c>
      <c r="AB198">
        <v>7.59</v>
      </c>
      <c r="AC198">
        <v>0</v>
      </c>
      <c r="AD198">
        <v>0</v>
      </c>
      <c r="AE198">
        <v>0</v>
      </c>
      <c r="AF198">
        <v>7.11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0.9</v>
      </c>
      <c r="AU198" t="s">
        <v>49</v>
      </c>
      <c r="AV198">
        <v>0</v>
      </c>
      <c r="AW198">
        <v>2</v>
      </c>
      <c r="AX198">
        <v>55748020</v>
      </c>
      <c r="AY198">
        <v>1</v>
      </c>
      <c r="AZ198">
        <v>0</v>
      </c>
      <c r="BA198">
        <v>242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ROUND(Y198*Source!I78*DO198,9)</f>
        <v>0</v>
      </c>
      <c r="CX198">
        <f>ROUND(Y198*Source!I78,9)</f>
        <v>17.28</v>
      </c>
      <c r="CY198">
        <f>AB198</f>
        <v>7.59</v>
      </c>
      <c r="CZ198">
        <f>AF198</f>
        <v>7.11</v>
      </c>
      <c r="DA198">
        <f>AJ198</f>
        <v>1</v>
      </c>
      <c r="DB198">
        <f>ROUND((ROUND(AT198*CZ198,2)*1.2),6)</f>
        <v>7.68</v>
      </c>
      <c r="DC198">
        <f>ROUND((ROUND(AT198*AG198,2)*1.2),6)</f>
        <v>0</v>
      </c>
      <c r="DD198" t="s">
        <v>3</v>
      </c>
      <c r="DE198" t="s">
        <v>3</v>
      </c>
      <c r="DF198">
        <f t="shared" si="72"/>
        <v>0</v>
      </c>
      <c r="DG198">
        <f t="shared" si="69"/>
        <v>122.86</v>
      </c>
      <c r="DH198">
        <f t="shared" si="70"/>
        <v>0</v>
      </c>
      <c r="DI198">
        <f t="shared" si="71"/>
        <v>0</v>
      </c>
      <c r="DJ198">
        <f>DG198</f>
        <v>122.86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ROW(Source!A78)</f>
        <v>78</v>
      </c>
      <c r="B199">
        <v>55747649</v>
      </c>
      <c r="C199">
        <v>55748010</v>
      </c>
      <c r="D199">
        <v>54768339</v>
      </c>
      <c r="E199">
        <v>1</v>
      </c>
      <c r="F199">
        <v>1</v>
      </c>
      <c r="G199">
        <v>1081</v>
      </c>
      <c r="H199">
        <v>2</v>
      </c>
      <c r="I199" t="s">
        <v>483</v>
      </c>
      <c r="J199" t="s">
        <v>484</v>
      </c>
      <c r="K199" t="s">
        <v>485</v>
      </c>
      <c r="L199">
        <v>1368</v>
      </c>
      <c r="N199">
        <v>1011</v>
      </c>
      <c r="O199" t="s">
        <v>479</v>
      </c>
      <c r="P199" t="s">
        <v>479</v>
      </c>
      <c r="Q199">
        <v>1</v>
      </c>
      <c r="W199">
        <v>0</v>
      </c>
      <c r="X199">
        <v>874612079</v>
      </c>
      <c r="Y199">
        <f>(AT199*1.2)</f>
        <v>2.4E-2</v>
      </c>
      <c r="AA199">
        <v>0</v>
      </c>
      <c r="AB199">
        <v>88.67</v>
      </c>
      <c r="AC199">
        <v>13.47</v>
      </c>
      <c r="AD199">
        <v>0</v>
      </c>
      <c r="AE199">
        <v>0</v>
      </c>
      <c r="AF199">
        <v>83.1</v>
      </c>
      <c r="AG199">
        <v>12.62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0.02</v>
      </c>
      <c r="AU199" t="s">
        <v>49</v>
      </c>
      <c r="AV199">
        <v>0</v>
      </c>
      <c r="AW199">
        <v>2</v>
      </c>
      <c r="AX199">
        <v>55748021</v>
      </c>
      <c r="AY199">
        <v>1</v>
      </c>
      <c r="AZ199">
        <v>0</v>
      </c>
      <c r="BA199">
        <v>243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f>ROUND(Y199*Source!I78*DO199,9)</f>
        <v>4.8460799999999997</v>
      </c>
      <c r="CX199">
        <f>ROUND(Y199*Source!I78,9)</f>
        <v>0.38400000000000001</v>
      </c>
      <c r="CY199">
        <f>AB199</f>
        <v>88.67</v>
      </c>
      <c r="CZ199">
        <f>AF199</f>
        <v>83.1</v>
      </c>
      <c r="DA199">
        <f>AJ199</f>
        <v>1</v>
      </c>
      <c r="DB199">
        <f>ROUND((ROUND(AT199*CZ199,2)*1.2),6)</f>
        <v>1.992</v>
      </c>
      <c r="DC199">
        <f>ROUND((ROUND(AT199*AG199,2)*1.2),6)</f>
        <v>0.3</v>
      </c>
      <c r="DD199" t="s">
        <v>3</v>
      </c>
      <c r="DE199" t="s">
        <v>3</v>
      </c>
      <c r="DF199">
        <f t="shared" si="72"/>
        <v>0</v>
      </c>
      <c r="DG199">
        <f t="shared" si="69"/>
        <v>31.91</v>
      </c>
      <c r="DH199">
        <f t="shared" si="70"/>
        <v>4.8499999999999996</v>
      </c>
      <c r="DI199">
        <f t="shared" si="71"/>
        <v>0</v>
      </c>
      <c r="DJ199">
        <f>DG199</f>
        <v>31.91</v>
      </c>
      <c r="DK199">
        <v>0</v>
      </c>
      <c r="DL199" t="s">
        <v>486</v>
      </c>
      <c r="DM199">
        <v>0</v>
      </c>
      <c r="DN199" t="s">
        <v>475</v>
      </c>
      <c r="DO199">
        <v>12.62</v>
      </c>
    </row>
    <row r="200" spans="1:119" x14ac:dyDescent="0.2">
      <c r="A200">
        <f>ROW(Source!A78)</f>
        <v>78</v>
      </c>
      <c r="B200">
        <v>55747649</v>
      </c>
      <c r="C200">
        <v>55748010</v>
      </c>
      <c r="D200">
        <v>54738518</v>
      </c>
      <c r="E200">
        <v>1</v>
      </c>
      <c r="F200">
        <v>1</v>
      </c>
      <c r="G200">
        <v>1081</v>
      </c>
      <c r="H200">
        <v>3</v>
      </c>
      <c r="I200" t="s">
        <v>493</v>
      </c>
      <c r="J200" t="s">
        <v>494</v>
      </c>
      <c r="K200" t="s">
        <v>495</v>
      </c>
      <c r="L200">
        <v>1348</v>
      </c>
      <c r="N200">
        <v>1009</v>
      </c>
      <c r="O200" t="s">
        <v>282</v>
      </c>
      <c r="P200" t="s">
        <v>282</v>
      </c>
      <c r="Q200">
        <v>1000</v>
      </c>
      <c r="W200">
        <v>0</v>
      </c>
      <c r="X200">
        <v>205566664</v>
      </c>
      <c r="Y200">
        <f>(AT200*1)</f>
        <v>4.4000000000000002E-4</v>
      </c>
      <c r="AA200">
        <v>9367.64</v>
      </c>
      <c r="AB200">
        <v>0</v>
      </c>
      <c r="AC200">
        <v>0</v>
      </c>
      <c r="AD200">
        <v>0</v>
      </c>
      <c r="AE200">
        <v>9112.49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4.4000000000000002E-4</v>
      </c>
      <c r="AU200" t="s">
        <v>48</v>
      </c>
      <c r="AV200">
        <v>0</v>
      </c>
      <c r="AW200">
        <v>2</v>
      </c>
      <c r="AX200">
        <v>55748022</v>
      </c>
      <c r="AY200">
        <v>1</v>
      </c>
      <c r="AZ200">
        <v>0</v>
      </c>
      <c r="BA200">
        <v>244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ROUND(Y200*Source!I78,9)</f>
        <v>7.0400000000000003E-3</v>
      </c>
      <c r="CY200">
        <f>AA200</f>
        <v>9367.64</v>
      </c>
      <c r="CZ200">
        <f>AE200</f>
        <v>9112.49</v>
      </c>
      <c r="DA200">
        <f>AI200</f>
        <v>1</v>
      </c>
      <c r="DB200">
        <f>ROUND((ROUND(AT200*CZ200,2)*1),6)</f>
        <v>4.01</v>
      </c>
      <c r="DC200">
        <f>ROUND((ROUND(AT200*AG200,2)*1),6)</f>
        <v>0</v>
      </c>
      <c r="DD200" t="s">
        <v>3</v>
      </c>
      <c r="DE200" t="s">
        <v>3</v>
      </c>
      <c r="DF200">
        <f t="shared" si="72"/>
        <v>64.150000000000006</v>
      </c>
      <c r="DG200">
        <f t="shared" si="69"/>
        <v>0</v>
      </c>
      <c r="DH200">
        <f t="shared" si="70"/>
        <v>0</v>
      </c>
      <c r="DI200">
        <f t="shared" si="71"/>
        <v>0</v>
      </c>
      <c r="DJ200">
        <f>DF200</f>
        <v>64.150000000000006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ROW(Source!A78)</f>
        <v>78</v>
      </c>
      <c r="B201">
        <v>55747649</v>
      </c>
      <c r="C201">
        <v>55748010</v>
      </c>
      <c r="D201">
        <v>54739191</v>
      </c>
      <c r="E201">
        <v>1</v>
      </c>
      <c r="F201">
        <v>1</v>
      </c>
      <c r="G201">
        <v>1081</v>
      </c>
      <c r="H201">
        <v>3</v>
      </c>
      <c r="I201" t="s">
        <v>500</v>
      </c>
      <c r="J201" t="s">
        <v>501</v>
      </c>
      <c r="K201" t="s">
        <v>502</v>
      </c>
      <c r="L201">
        <v>1346</v>
      </c>
      <c r="N201">
        <v>1009</v>
      </c>
      <c r="O201" t="s">
        <v>503</v>
      </c>
      <c r="P201" t="s">
        <v>503</v>
      </c>
      <c r="Q201">
        <v>1</v>
      </c>
      <c r="W201">
        <v>0</v>
      </c>
      <c r="X201">
        <v>-2132327540</v>
      </c>
      <c r="Y201">
        <f>(AT201*1)</f>
        <v>1.0999999999999999E-2</v>
      </c>
      <c r="AA201">
        <v>6.43</v>
      </c>
      <c r="AB201">
        <v>0</v>
      </c>
      <c r="AC201">
        <v>0</v>
      </c>
      <c r="AD201">
        <v>0</v>
      </c>
      <c r="AE201">
        <v>6.25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1.0999999999999999E-2</v>
      </c>
      <c r="AU201" t="s">
        <v>48</v>
      </c>
      <c r="AV201">
        <v>0</v>
      </c>
      <c r="AW201">
        <v>2</v>
      </c>
      <c r="AX201">
        <v>55748023</v>
      </c>
      <c r="AY201">
        <v>1</v>
      </c>
      <c r="AZ201">
        <v>0</v>
      </c>
      <c r="BA201">
        <v>245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ROUND(Y201*Source!I78,9)</f>
        <v>0.17599999999999999</v>
      </c>
      <c r="CY201">
        <f>AA201</f>
        <v>6.43</v>
      </c>
      <c r="CZ201">
        <f>AE201</f>
        <v>6.25</v>
      </c>
      <c r="DA201">
        <f>AI201</f>
        <v>1</v>
      </c>
      <c r="DB201">
        <f>ROUND((ROUND(AT201*CZ201,2)*1),6)</f>
        <v>7.0000000000000007E-2</v>
      </c>
      <c r="DC201">
        <f>ROUND((ROUND(AT201*AG201,2)*1),6)</f>
        <v>0</v>
      </c>
      <c r="DD201" t="s">
        <v>3</v>
      </c>
      <c r="DE201" t="s">
        <v>3</v>
      </c>
      <c r="DF201">
        <f t="shared" si="72"/>
        <v>1.1000000000000001</v>
      </c>
      <c r="DG201">
        <f t="shared" si="69"/>
        <v>0</v>
      </c>
      <c r="DH201">
        <f t="shared" si="70"/>
        <v>0</v>
      </c>
      <c r="DI201">
        <f t="shared" si="71"/>
        <v>0</v>
      </c>
      <c r="DJ201">
        <f>DF201</f>
        <v>1.1000000000000001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ROW(Source!A78)</f>
        <v>78</v>
      </c>
      <c r="B202">
        <v>55747649</v>
      </c>
      <c r="C202">
        <v>55748010</v>
      </c>
      <c r="D202">
        <v>54737565</v>
      </c>
      <c r="E202">
        <v>1</v>
      </c>
      <c r="F202">
        <v>1</v>
      </c>
      <c r="G202">
        <v>1081</v>
      </c>
      <c r="H202">
        <v>3</v>
      </c>
      <c r="I202" t="s">
        <v>504</v>
      </c>
      <c r="J202" t="s">
        <v>505</v>
      </c>
      <c r="K202" t="s">
        <v>506</v>
      </c>
      <c r="L202">
        <v>1339</v>
      </c>
      <c r="N202">
        <v>1007</v>
      </c>
      <c r="O202" t="s">
        <v>507</v>
      </c>
      <c r="P202" t="s">
        <v>507</v>
      </c>
      <c r="Q202">
        <v>1</v>
      </c>
      <c r="W202">
        <v>0</v>
      </c>
      <c r="X202">
        <v>-1235260082</v>
      </c>
      <c r="Y202">
        <f>(AT202*1)</f>
        <v>4.3999999999999997E-2</v>
      </c>
      <c r="AA202">
        <v>5.98</v>
      </c>
      <c r="AB202">
        <v>0</v>
      </c>
      <c r="AC202">
        <v>0</v>
      </c>
      <c r="AD202">
        <v>0</v>
      </c>
      <c r="AE202">
        <v>5.82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4.3999999999999997E-2</v>
      </c>
      <c r="AU202" t="s">
        <v>48</v>
      </c>
      <c r="AV202">
        <v>0</v>
      </c>
      <c r="AW202">
        <v>2</v>
      </c>
      <c r="AX202">
        <v>55748024</v>
      </c>
      <c r="AY202">
        <v>1</v>
      </c>
      <c r="AZ202">
        <v>0</v>
      </c>
      <c r="BA202">
        <v>246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ROUND(Y202*Source!I78,9)</f>
        <v>0.70399999999999996</v>
      </c>
      <c r="CY202">
        <f>AA202</f>
        <v>5.98</v>
      </c>
      <c r="CZ202">
        <f>AE202</f>
        <v>5.82</v>
      </c>
      <c r="DA202">
        <f>AI202</f>
        <v>1</v>
      </c>
      <c r="DB202">
        <f>ROUND((ROUND(AT202*CZ202,2)*1),6)</f>
        <v>0.26</v>
      </c>
      <c r="DC202">
        <f>ROUND((ROUND(AT202*AG202,2)*1),6)</f>
        <v>0</v>
      </c>
      <c r="DD202" t="s">
        <v>3</v>
      </c>
      <c r="DE202" t="s">
        <v>3</v>
      </c>
      <c r="DF202">
        <f t="shared" si="72"/>
        <v>4.0999999999999996</v>
      </c>
      <c r="DG202">
        <f t="shared" si="69"/>
        <v>0</v>
      </c>
      <c r="DH202">
        <f t="shared" si="70"/>
        <v>0</v>
      </c>
      <c r="DI202">
        <f t="shared" si="71"/>
        <v>0</v>
      </c>
      <c r="DJ202">
        <f>DF202</f>
        <v>4.0999999999999996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ROW(Source!A78)</f>
        <v>78</v>
      </c>
      <c r="B203">
        <v>55747649</v>
      </c>
      <c r="C203">
        <v>55748010</v>
      </c>
      <c r="D203">
        <v>54754024</v>
      </c>
      <c r="E203">
        <v>1</v>
      </c>
      <c r="F203">
        <v>1</v>
      </c>
      <c r="G203">
        <v>1081</v>
      </c>
      <c r="H203">
        <v>3</v>
      </c>
      <c r="I203" t="s">
        <v>158</v>
      </c>
      <c r="J203" t="s">
        <v>160</v>
      </c>
      <c r="K203" t="s">
        <v>159</v>
      </c>
      <c r="L203">
        <v>1354</v>
      </c>
      <c r="N203">
        <v>1010</v>
      </c>
      <c r="O203" t="s">
        <v>118</v>
      </c>
      <c r="P203" t="s">
        <v>118</v>
      </c>
      <c r="Q203">
        <v>1</v>
      </c>
      <c r="W203">
        <v>0</v>
      </c>
      <c r="X203">
        <v>-1214401210</v>
      </c>
      <c r="Y203">
        <f>(AT203*1)</f>
        <v>0.375</v>
      </c>
      <c r="AA203">
        <v>130.07</v>
      </c>
      <c r="AB203">
        <v>0</v>
      </c>
      <c r="AC203">
        <v>0</v>
      </c>
      <c r="AD203">
        <v>0</v>
      </c>
      <c r="AE203">
        <v>130.07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0.375</v>
      </c>
      <c r="AU203" t="s">
        <v>48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ROUND(Y203*Source!I78,9)</f>
        <v>6</v>
      </c>
      <c r="CY203">
        <f>AA203</f>
        <v>130.07</v>
      </c>
      <c r="CZ203">
        <f>AE203</f>
        <v>130.07</v>
      </c>
      <c r="DA203">
        <f>AI203</f>
        <v>1</v>
      </c>
      <c r="DB203">
        <f>ROUND((ROUND(AT203*CZ203,2)*1),6)</f>
        <v>48.78</v>
      </c>
      <c r="DC203">
        <f>ROUND((ROUND(AT203*AG203,2)*1),6)</f>
        <v>0</v>
      </c>
      <c r="DD203" t="s">
        <v>3</v>
      </c>
      <c r="DE203" t="s">
        <v>3</v>
      </c>
      <c r="DF203">
        <f t="shared" si="72"/>
        <v>780.42</v>
      </c>
      <c r="DG203">
        <f t="shared" si="69"/>
        <v>0</v>
      </c>
      <c r="DH203">
        <f t="shared" si="70"/>
        <v>0</v>
      </c>
      <c r="DI203">
        <f t="shared" si="71"/>
        <v>0</v>
      </c>
      <c r="DJ203">
        <f>DF203</f>
        <v>780.42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ROW(Source!A78)</f>
        <v>78</v>
      </c>
      <c r="B204">
        <v>55747649</v>
      </c>
      <c r="C204">
        <v>55748010</v>
      </c>
      <c r="D204">
        <v>54753597</v>
      </c>
      <c r="E204">
        <v>1</v>
      </c>
      <c r="F204">
        <v>1</v>
      </c>
      <c r="G204">
        <v>1081</v>
      </c>
      <c r="H204">
        <v>3</v>
      </c>
      <c r="I204" t="s">
        <v>129</v>
      </c>
      <c r="J204" t="s">
        <v>131</v>
      </c>
      <c r="K204" t="s">
        <v>130</v>
      </c>
      <c r="L204">
        <v>1354</v>
      </c>
      <c r="N204">
        <v>1010</v>
      </c>
      <c r="O204" t="s">
        <v>118</v>
      </c>
      <c r="P204" t="s">
        <v>118</v>
      </c>
      <c r="Q204">
        <v>1</v>
      </c>
      <c r="W204">
        <v>0</v>
      </c>
      <c r="X204">
        <v>235948314</v>
      </c>
      <c r="Y204">
        <f>(AT204*1)</f>
        <v>1.25</v>
      </c>
      <c r="AA204">
        <v>107.23</v>
      </c>
      <c r="AB204">
        <v>0</v>
      </c>
      <c r="AC204">
        <v>0</v>
      </c>
      <c r="AD204">
        <v>0</v>
      </c>
      <c r="AE204">
        <v>107.23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1.25</v>
      </c>
      <c r="AU204" t="s">
        <v>48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ROUND(Y204*Source!I78,9)</f>
        <v>20</v>
      </c>
      <c r="CY204">
        <f>AA204</f>
        <v>107.23</v>
      </c>
      <c r="CZ204">
        <f>AE204</f>
        <v>107.23</v>
      </c>
      <c r="DA204">
        <f>AI204</f>
        <v>1</v>
      </c>
      <c r="DB204">
        <f>ROUND((ROUND(AT204*CZ204,2)*1),6)</f>
        <v>134.04</v>
      </c>
      <c r="DC204">
        <f>ROUND((ROUND(AT204*AG204,2)*1),6)</f>
        <v>0</v>
      </c>
      <c r="DD204" t="s">
        <v>3</v>
      </c>
      <c r="DE204" t="s">
        <v>3</v>
      </c>
      <c r="DF204">
        <f t="shared" si="72"/>
        <v>2144.6</v>
      </c>
      <c r="DG204">
        <f t="shared" si="69"/>
        <v>0</v>
      </c>
      <c r="DH204">
        <f t="shared" si="70"/>
        <v>0</v>
      </c>
      <c r="DI204">
        <f t="shared" si="71"/>
        <v>0</v>
      </c>
      <c r="DJ204">
        <f>DF204</f>
        <v>2144.6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ROW(Source!A79)</f>
        <v>79</v>
      </c>
      <c r="B205">
        <v>55747651</v>
      </c>
      <c r="C205">
        <v>55748010</v>
      </c>
      <c r="D205">
        <v>54702434</v>
      </c>
      <c r="E205">
        <v>1081</v>
      </c>
      <c r="F205">
        <v>1</v>
      </c>
      <c r="G205">
        <v>1081</v>
      </c>
      <c r="H205">
        <v>1</v>
      </c>
      <c r="I205" t="s">
        <v>473</v>
      </c>
      <c r="J205" t="s">
        <v>3</v>
      </c>
      <c r="K205" t="s">
        <v>474</v>
      </c>
      <c r="L205">
        <v>1191</v>
      </c>
      <c r="N205">
        <v>1013</v>
      </c>
      <c r="O205" t="s">
        <v>475</v>
      </c>
      <c r="P205" t="s">
        <v>475</v>
      </c>
      <c r="Q205">
        <v>1</v>
      </c>
      <c r="W205">
        <v>0</v>
      </c>
      <c r="X205">
        <v>476480486</v>
      </c>
      <c r="Y205">
        <f>(AT205*1.2)</f>
        <v>6.48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5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5.4</v>
      </c>
      <c r="AU205" t="s">
        <v>49</v>
      </c>
      <c r="AV205">
        <v>1</v>
      </c>
      <c r="AW205">
        <v>2</v>
      </c>
      <c r="AX205">
        <v>55748019</v>
      </c>
      <c r="AY205">
        <v>1</v>
      </c>
      <c r="AZ205">
        <v>0</v>
      </c>
      <c r="BA205">
        <v>248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U205">
        <f>ROUND(AT205*Source!I79*AH205*AL205,2)</f>
        <v>0</v>
      </c>
      <c r="CV205">
        <f>ROUND(Y205*Source!I79,9)</f>
        <v>103.68</v>
      </c>
      <c r="CW205">
        <v>0</v>
      </c>
      <c r="CX205">
        <f>ROUND(Y205*Source!I79,9)</f>
        <v>103.68</v>
      </c>
      <c r="CY205">
        <f>AD205</f>
        <v>0</v>
      </c>
      <c r="CZ205">
        <f>AH205</f>
        <v>0</v>
      </c>
      <c r="DA205">
        <f>AL205</f>
        <v>1</v>
      </c>
      <c r="DB205">
        <f>ROUND((ROUND(AT205*CZ205,2)*1.2),6)</f>
        <v>0</v>
      </c>
      <c r="DC205">
        <f>ROUND((ROUND(AT205*AG205,2)*1.2),6)</f>
        <v>0</v>
      </c>
      <c r="DD205" t="s">
        <v>3</v>
      </c>
      <c r="DE205" t="s">
        <v>3</v>
      </c>
      <c r="DF205">
        <f t="shared" si="72"/>
        <v>0</v>
      </c>
      <c r="DG205">
        <f t="shared" si="69"/>
        <v>0</v>
      </c>
      <c r="DH205">
        <f t="shared" si="70"/>
        <v>0</v>
      </c>
      <c r="DI205">
        <f t="shared" si="71"/>
        <v>0</v>
      </c>
      <c r="DJ205">
        <f>DI205</f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ROW(Source!A79)</f>
        <v>79</v>
      </c>
      <c r="B206">
        <v>55747651</v>
      </c>
      <c r="C206">
        <v>55748010</v>
      </c>
      <c r="D206">
        <v>54768040</v>
      </c>
      <c r="E206">
        <v>1</v>
      </c>
      <c r="F206">
        <v>1</v>
      </c>
      <c r="G206">
        <v>1081</v>
      </c>
      <c r="H206">
        <v>2</v>
      </c>
      <c r="I206" t="s">
        <v>476</v>
      </c>
      <c r="J206" t="s">
        <v>477</v>
      </c>
      <c r="K206" t="s">
        <v>478</v>
      </c>
      <c r="L206">
        <v>1368</v>
      </c>
      <c r="N206">
        <v>1011</v>
      </c>
      <c r="O206" t="s">
        <v>479</v>
      </c>
      <c r="P206" t="s">
        <v>479</v>
      </c>
      <c r="Q206">
        <v>1</v>
      </c>
      <c r="W206">
        <v>0</v>
      </c>
      <c r="X206">
        <v>1498588441</v>
      </c>
      <c r="Y206">
        <f>(AT206*1.2)</f>
        <v>1.08</v>
      </c>
      <c r="AA206">
        <v>0</v>
      </c>
      <c r="AB206">
        <v>102.11</v>
      </c>
      <c r="AC206">
        <v>0</v>
      </c>
      <c r="AD206">
        <v>0</v>
      </c>
      <c r="AE206">
        <v>0</v>
      </c>
      <c r="AF206">
        <v>7.11</v>
      </c>
      <c r="AG206">
        <v>0</v>
      </c>
      <c r="AH206">
        <v>0</v>
      </c>
      <c r="AI206">
        <v>1</v>
      </c>
      <c r="AJ206">
        <v>13.46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0.9</v>
      </c>
      <c r="AU206" t="s">
        <v>49</v>
      </c>
      <c r="AV206">
        <v>0</v>
      </c>
      <c r="AW206">
        <v>2</v>
      </c>
      <c r="AX206">
        <v>55748020</v>
      </c>
      <c r="AY206">
        <v>1</v>
      </c>
      <c r="AZ206">
        <v>0</v>
      </c>
      <c r="BA206">
        <v>249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ROUND(Y206*Source!I79*DO206,9)</f>
        <v>0</v>
      </c>
      <c r="CX206">
        <f>ROUND(Y206*Source!I79,9)</f>
        <v>17.28</v>
      </c>
      <c r="CY206">
        <f>AB206</f>
        <v>102.11</v>
      </c>
      <c r="CZ206">
        <f>AF206</f>
        <v>7.11</v>
      </c>
      <c r="DA206">
        <f>AJ206</f>
        <v>13.46</v>
      </c>
      <c r="DB206">
        <f>ROUND((ROUND(AT206*CZ206,2)*1.2),6)</f>
        <v>7.68</v>
      </c>
      <c r="DC206">
        <f>ROUND((ROUND(AT206*AG206,2)*1.2),6)</f>
        <v>0</v>
      </c>
      <c r="DD206" t="s">
        <v>3</v>
      </c>
      <c r="DE206" t="s">
        <v>3</v>
      </c>
      <c r="DF206">
        <f t="shared" si="72"/>
        <v>0</v>
      </c>
      <c r="DG206">
        <f>ROUND(ROUND(AF206*AJ206,2)*CX206,2)</f>
        <v>1653.7</v>
      </c>
      <c r="DH206">
        <f t="shared" si="70"/>
        <v>0</v>
      </c>
      <c r="DI206">
        <f t="shared" si="71"/>
        <v>0</v>
      </c>
      <c r="DJ206">
        <f>DG206</f>
        <v>1653.7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ROW(Source!A79)</f>
        <v>79</v>
      </c>
      <c r="B207">
        <v>55747651</v>
      </c>
      <c r="C207">
        <v>55748010</v>
      </c>
      <c r="D207">
        <v>54768339</v>
      </c>
      <c r="E207">
        <v>1</v>
      </c>
      <c r="F207">
        <v>1</v>
      </c>
      <c r="G207">
        <v>1081</v>
      </c>
      <c r="H207">
        <v>2</v>
      </c>
      <c r="I207" t="s">
        <v>483</v>
      </c>
      <c r="J207" t="s">
        <v>484</v>
      </c>
      <c r="K207" t="s">
        <v>485</v>
      </c>
      <c r="L207">
        <v>1368</v>
      </c>
      <c r="N207">
        <v>1011</v>
      </c>
      <c r="O207" t="s">
        <v>479</v>
      </c>
      <c r="P207" t="s">
        <v>479</v>
      </c>
      <c r="Q207">
        <v>1</v>
      </c>
      <c r="W207">
        <v>0</v>
      </c>
      <c r="X207">
        <v>874612079</v>
      </c>
      <c r="Y207">
        <f>(AT207*1.2)</f>
        <v>2.4E-2</v>
      </c>
      <c r="AA207">
        <v>0</v>
      </c>
      <c r="AB207">
        <v>1513.56</v>
      </c>
      <c r="AC207">
        <v>758.78</v>
      </c>
      <c r="AD207">
        <v>0</v>
      </c>
      <c r="AE207">
        <v>0</v>
      </c>
      <c r="AF207">
        <v>83.1</v>
      </c>
      <c r="AG207">
        <v>12.62</v>
      </c>
      <c r="AH207">
        <v>0</v>
      </c>
      <c r="AI207">
        <v>1</v>
      </c>
      <c r="AJ207">
        <v>17.07</v>
      </c>
      <c r="AK207">
        <v>56.35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0.02</v>
      </c>
      <c r="AU207" t="s">
        <v>49</v>
      </c>
      <c r="AV207">
        <v>0</v>
      </c>
      <c r="AW207">
        <v>2</v>
      </c>
      <c r="AX207">
        <v>55748021</v>
      </c>
      <c r="AY207">
        <v>1</v>
      </c>
      <c r="AZ207">
        <v>0</v>
      </c>
      <c r="BA207">
        <v>250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f>ROUND(Y207*Source!I79*DO207,9)</f>
        <v>4.8460799999999997</v>
      </c>
      <c r="CX207">
        <f>ROUND(Y207*Source!I79,9)</f>
        <v>0.38400000000000001</v>
      </c>
      <c r="CY207">
        <f>AB207</f>
        <v>1513.56</v>
      </c>
      <c r="CZ207">
        <f>AF207</f>
        <v>83.1</v>
      </c>
      <c r="DA207">
        <f>AJ207</f>
        <v>17.07</v>
      </c>
      <c r="DB207">
        <f>ROUND((ROUND(AT207*CZ207,2)*1.2),6)</f>
        <v>1.992</v>
      </c>
      <c r="DC207">
        <f>ROUND((ROUND(AT207*AG207,2)*1.2),6)</f>
        <v>0.3</v>
      </c>
      <c r="DD207" t="s">
        <v>3</v>
      </c>
      <c r="DE207" t="s">
        <v>3</v>
      </c>
      <c r="DF207">
        <f t="shared" si="72"/>
        <v>0</v>
      </c>
      <c r="DG207">
        <f>ROUND(ROUND(AF207*AJ207,2)*CX207,2)</f>
        <v>544.71</v>
      </c>
      <c r="DH207">
        <f>ROUND(ROUND(AG207*AK207,2)*CX207,2)</f>
        <v>273.08</v>
      </c>
      <c r="DI207">
        <f t="shared" si="71"/>
        <v>0</v>
      </c>
      <c r="DJ207">
        <f>DG207</f>
        <v>544.71</v>
      </c>
      <c r="DK207">
        <v>0</v>
      </c>
      <c r="DL207" t="s">
        <v>486</v>
      </c>
      <c r="DM207">
        <v>0</v>
      </c>
      <c r="DN207" t="s">
        <v>475</v>
      </c>
      <c r="DO207">
        <v>12.62</v>
      </c>
    </row>
    <row r="208" spans="1:119" x14ac:dyDescent="0.2">
      <c r="A208">
        <f>ROW(Source!A79)</f>
        <v>79</v>
      </c>
      <c r="B208">
        <v>55747651</v>
      </c>
      <c r="C208">
        <v>55748010</v>
      </c>
      <c r="D208">
        <v>54738518</v>
      </c>
      <c r="E208">
        <v>1</v>
      </c>
      <c r="F208">
        <v>1</v>
      </c>
      <c r="G208">
        <v>1081</v>
      </c>
      <c r="H208">
        <v>3</v>
      </c>
      <c r="I208" t="s">
        <v>493</v>
      </c>
      <c r="J208" t="s">
        <v>494</v>
      </c>
      <c r="K208" t="s">
        <v>495</v>
      </c>
      <c r="L208">
        <v>1348</v>
      </c>
      <c r="N208">
        <v>1009</v>
      </c>
      <c r="O208" t="s">
        <v>282</v>
      </c>
      <c r="P208" t="s">
        <v>282</v>
      </c>
      <c r="Q208">
        <v>1000</v>
      </c>
      <c r="W208">
        <v>0</v>
      </c>
      <c r="X208">
        <v>205566664</v>
      </c>
      <c r="Y208">
        <f>(AT208*1)</f>
        <v>4.4000000000000002E-4</v>
      </c>
      <c r="AA208">
        <v>95081.54</v>
      </c>
      <c r="AB208">
        <v>0</v>
      </c>
      <c r="AC208">
        <v>0</v>
      </c>
      <c r="AD208">
        <v>0</v>
      </c>
      <c r="AE208">
        <v>9112.49</v>
      </c>
      <c r="AF208">
        <v>0</v>
      </c>
      <c r="AG208">
        <v>0</v>
      </c>
      <c r="AH208">
        <v>0</v>
      </c>
      <c r="AI208">
        <v>10.15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4.4000000000000002E-4</v>
      </c>
      <c r="AU208" t="s">
        <v>48</v>
      </c>
      <c r="AV208">
        <v>0</v>
      </c>
      <c r="AW208">
        <v>2</v>
      </c>
      <c r="AX208">
        <v>55748022</v>
      </c>
      <c r="AY208">
        <v>1</v>
      </c>
      <c r="AZ208">
        <v>0</v>
      </c>
      <c r="BA208">
        <v>251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ROUND(Y208*Source!I79,9)</f>
        <v>7.0400000000000003E-3</v>
      </c>
      <c r="CY208">
        <f>AA208</f>
        <v>95081.54</v>
      </c>
      <c r="CZ208">
        <f>AE208</f>
        <v>9112.49</v>
      </c>
      <c r="DA208">
        <f>AI208</f>
        <v>10.15</v>
      </c>
      <c r="DB208">
        <f>ROUND((ROUND(AT208*CZ208,2)*1),6)</f>
        <v>4.01</v>
      </c>
      <c r="DC208">
        <f>ROUND((ROUND(AT208*AG208,2)*1),6)</f>
        <v>0</v>
      </c>
      <c r="DD208" t="s">
        <v>3</v>
      </c>
      <c r="DE208" t="s">
        <v>3</v>
      </c>
      <c r="DF208">
        <f>ROUND(ROUND(AE208*AI208,2)*CX208,2)</f>
        <v>651.14</v>
      </c>
      <c r="DG208">
        <f t="shared" ref="DG208:DG220" si="73">ROUND(ROUND(AF208,2)*CX208,2)</f>
        <v>0</v>
      </c>
      <c r="DH208">
        <f t="shared" ref="DH208:DH221" si="74">ROUND(ROUND(AG208,2)*CX208,2)</f>
        <v>0</v>
      </c>
      <c r="DI208">
        <f t="shared" si="71"/>
        <v>0</v>
      </c>
      <c r="DJ208">
        <f>DF208</f>
        <v>651.14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ROW(Source!A79)</f>
        <v>79</v>
      </c>
      <c r="B209">
        <v>55747651</v>
      </c>
      <c r="C209">
        <v>55748010</v>
      </c>
      <c r="D209">
        <v>54739191</v>
      </c>
      <c r="E209">
        <v>1</v>
      </c>
      <c r="F209">
        <v>1</v>
      </c>
      <c r="G209">
        <v>1081</v>
      </c>
      <c r="H209">
        <v>3</v>
      </c>
      <c r="I209" t="s">
        <v>500</v>
      </c>
      <c r="J209" t="s">
        <v>501</v>
      </c>
      <c r="K209" t="s">
        <v>502</v>
      </c>
      <c r="L209">
        <v>1346</v>
      </c>
      <c r="N209">
        <v>1009</v>
      </c>
      <c r="O209" t="s">
        <v>503</v>
      </c>
      <c r="P209" t="s">
        <v>503</v>
      </c>
      <c r="Q209">
        <v>1</v>
      </c>
      <c r="W209">
        <v>0</v>
      </c>
      <c r="X209">
        <v>-2132327540</v>
      </c>
      <c r="Y209">
        <f>(AT209*1)</f>
        <v>1.0999999999999999E-2</v>
      </c>
      <c r="AA209">
        <v>64.760000000000005</v>
      </c>
      <c r="AB209">
        <v>0</v>
      </c>
      <c r="AC209">
        <v>0</v>
      </c>
      <c r="AD209">
        <v>0</v>
      </c>
      <c r="AE209">
        <v>6.25</v>
      </c>
      <c r="AF209">
        <v>0</v>
      </c>
      <c r="AG209">
        <v>0</v>
      </c>
      <c r="AH209">
        <v>0</v>
      </c>
      <c r="AI209">
        <v>10.08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1.0999999999999999E-2</v>
      </c>
      <c r="AU209" t="s">
        <v>48</v>
      </c>
      <c r="AV209">
        <v>0</v>
      </c>
      <c r="AW209">
        <v>2</v>
      </c>
      <c r="AX209">
        <v>55748023</v>
      </c>
      <c r="AY209">
        <v>1</v>
      </c>
      <c r="AZ209">
        <v>0</v>
      </c>
      <c r="BA209">
        <v>252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ROUND(Y209*Source!I79,9)</f>
        <v>0.17599999999999999</v>
      </c>
      <c r="CY209">
        <f>AA209</f>
        <v>64.760000000000005</v>
      </c>
      <c r="CZ209">
        <f>AE209</f>
        <v>6.25</v>
      </c>
      <c r="DA209">
        <f>AI209</f>
        <v>10.08</v>
      </c>
      <c r="DB209">
        <f>ROUND((ROUND(AT209*CZ209,2)*1),6)</f>
        <v>7.0000000000000007E-2</v>
      </c>
      <c r="DC209">
        <f>ROUND((ROUND(AT209*AG209,2)*1),6)</f>
        <v>0</v>
      </c>
      <c r="DD209" t="s">
        <v>3</v>
      </c>
      <c r="DE209" t="s">
        <v>3</v>
      </c>
      <c r="DF209">
        <f>ROUND(ROUND(AE209*AI209,2)*CX209,2)</f>
        <v>11.09</v>
      </c>
      <c r="DG209">
        <f t="shared" si="73"/>
        <v>0</v>
      </c>
      <c r="DH209">
        <f t="shared" si="74"/>
        <v>0</v>
      </c>
      <c r="DI209">
        <f t="shared" si="71"/>
        <v>0</v>
      </c>
      <c r="DJ209">
        <f>DF209</f>
        <v>11.09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ROW(Source!A79)</f>
        <v>79</v>
      </c>
      <c r="B210">
        <v>55747651</v>
      </c>
      <c r="C210">
        <v>55748010</v>
      </c>
      <c r="D210">
        <v>54737565</v>
      </c>
      <c r="E210">
        <v>1</v>
      </c>
      <c r="F210">
        <v>1</v>
      </c>
      <c r="G210">
        <v>1081</v>
      </c>
      <c r="H210">
        <v>3</v>
      </c>
      <c r="I210" t="s">
        <v>504</v>
      </c>
      <c r="J210" t="s">
        <v>505</v>
      </c>
      <c r="K210" t="s">
        <v>506</v>
      </c>
      <c r="L210">
        <v>1339</v>
      </c>
      <c r="N210">
        <v>1007</v>
      </c>
      <c r="O210" t="s">
        <v>507</v>
      </c>
      <c r="P210" t="s">
        <v>507</v>
      </c>
      <c r="Q210">
        <v>1</v>
      </c>
      <c r="W210">
        <v>0</v>
      </c>
      <c r="X210">
        <v>-1235260082</v>
      </c>
      <c r="Y210">
        <f>(AT210*1)</f>
        <v>4.3999999999999997E-2</v>
      </c>
      <c r="AA210">
        <v>104.16</v>
      </c>
      <c r="AB210">
        <v>0</v>
      </c>
      <c r="AC210">
        <v>0</v>
      </c>
      <c r="AD210">
        <v>0</v>
      </c>
      <c r="AE210">
        <v>5.82</v>
      </c>
      <c r="AF210">
        <v>0</v>
      </c>
      <c r="AG210">
        <v>0</v>
      </c>
      <c r="AH210">
        <v>0</v>
      </c>
      <c r="AI210">
        <v>17.41</v>
      </c>
      <c r="AJ210">
        <v>1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4.3999999999999997E-2</v>
      </c>
      <c r="AU210" t="s">
        <v>48</v>
      </c>
      <c r="AV210">
        <v>0</v>
      </c>
      <c r="AW210">
        <v>2</v>
      </c>
      <c r="AX210">
        <v>55748024</v>
      </c>
      <c r="AY210">
        <v>1</v>
      </c>
      <c r="AZ210">
        <v>0</v>
      </c>
      <c r="BA210">
        <v>253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ROUND(Y210*Source!I79,9)</f>
        <v>0.70399999999999996</v>
      </c>
      <c r="CY210">
        <f>AA210</f>
        <v>104.16</v>
      </c>
      <c r="CZ210">
        <f>AE210</f>
        <v>5.82</v>
      </c>
      <c r="DA210">
        <f>AI210</f>
        <v>17.41</v>
      </c>
      <c r="DB210">
        <f>ROUND((ROUND(AT210*CZ210,2)*1),6)</f>
        <v>0.26</v>
      </c>
      <c r="DC210">
        <f>ROUND((ROUND(AT210*AG210,2)*1),6)</f>
        <v>0</v>
      </c>
      <c r="DD210" t="s">
        <v>3</v>
      </c>
      <c r="DE210" t="s">
        <v>3</v>
      </c>
      <c r="DF210">
        <f>ROUND(ROUND(AE210*AI210,2)*CX210,2)</f>
        <v>71.34</v>
      </c>
      <c r="DG210">
        <f t="shared" si="73"/>
        <v>0</v>
      </c>
      <c r="DH210">
        <f t="shared" si="74"/>
        <v>0</v>
      </c>
      <c r="DI210">
        <f t="shared" si="71"/>
        <v>0</v>
      </c>
      <c r="DJ210">
        <f>DF210</f>
        <v>71.34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ROW(Source!A79)</f>
        <v>79</v>
      </c>
      <c r="B211">
        <v>55747651</v>
      </c>
      <c r="C211">
        <v>55748010</v>
      </c>
      <c r="D211">
        <v>54754024</v>
      </c>
      <c r="E211">
        <v>1</v>
      </c>
      <c r="F211">
        <v>1</v>
      </c>
      <c r="G211">
        <v>1081</v>
      </c>
      <c r="H211">
        <v>3</v>
      </c>
      <c r="I211" t="s">
        <v>158</v>
      </c>
      <c r="J211" t="s">
        <v>160</v>
      </c>
      <c r="K211" t="s">
        <v>159</v>
      </c>
      <c r="L211">
        <v>1354</v>
      </c>
      <c r="N211">
        <v>1010</v>
      </c>
      <c r="O211" t="s">
        <v>118</v>
      </c>
      <c r="P211" t="s">
        <v>118</v>
      </c>
      <c r="Q211">
        <v>1</v>
      </c>
      <c r="W211">
        <v>0</v>
      </c>
      <c r="X211">
        <v>-1214401210</v>
      </c>
      <c r="Y211">
        <f>(AT211*1)</f>
        <v>0.375</v>
      </c>
      <c r="AA211">
        <v>626.94000000000005</v>
      </c>
      <c r="AB211">
        <v>0</v>
      </c>
      <c r="AC211">
        <v>0</v>
      </c>
      <c r="AD211">
        <v>0</v>
      </c>
      <c r="AE211">
        <v>130.07</v>
      </c>
      <c r="AF211">
        <v>0</v>
      </c>
      <c r="AG211">
        <v>0</v>
      </c>
      <c r="AH211">
        <v>0</v>
      </c>
      <c r="AI211">
        <v>4.82</v>
      </c>
      <c r="AJ211">
        <v>1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 t="s">
        <v>3</v>
      </c>
      <c r="AT211">
        <v>0.375</v>
      </c>
      <c r="AU211" t="s">
        <v>48</v>
      </c>
      <c r="AV211">
        <v>0</v>
      </c>
      <c r="AW211">
        <v>1</v>
      </c>
      <c r="AX211">
        <v>-1</v>
      </c>
      <c r="AY211">
        <v>0</v>
      </c>
      <c r="AZ211">
        <v>0</v>
      </c>
      <c r="BA211" t="s">
        <v>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ROUND(Y211*Source!I79,9)</f>
        <v>6</v>
      </c>
      <c r="CY211">
        <f>AA211</f>
        <v>626.94000000000005</v>
      </c>
      <c r="CZ211">
        <f>AE211</f>
        <v>130.07</v>
      </c>
      <c r="DA211">
        <f>AI211</f>
        <v>4.82</v>
      </c>
      <c r="DB211">
        <f>ROUND((ROUND(AT211*CZ211,2)*1),6)</f>
        <v>48.78</v>
      </c>
      <c r="DC211">
        <f>ROUND((ROUND(AT211*AG211,2)*1),6)</f>
        <v>0</v>
      </c>
      <c r="DD211" t="s">
        <v>3</v>
      </c>
      <c r="DE211" t="s">
        <v>3</v>
      </c>
      <c r="DF211">
        <f>ROUND(ROUND(AE211*AI211,2)*CX211,2)</f>
        <v>3761.64</v>
      </c>
      <c r="DG211">
        <f t="shared" si="73"/>
        <v>0</v>
      </c>
      <c r="DH211">
        <f t="shared" si="74"/>
        <v>0</v>
      </c>
      <c r="DI211">
        <f t="shared" si="71"/>
        <v>0</v>
      </c>
      <c r="DJ211">
        <f>DF211</f>
        <v>3761.64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ROW(Source!A79)</f>
        <v>79</v>
      </c>
      <c r="B212">
        <v>55747651</v>
      </c>
      <c r="C212">
        <v>55748010</v>
      </c>
      <c r="D212">
        <v>54753597</v>
      </c>
      <c r="E212">
        <v>1</v>
      </c>
      <c r="F212">
        <v>1</v>
      </c>
      <c r="G212">
        <v>1081</v>
      </c>
      <c r="H212">
        <v>3</v>
      </c>
      <c r="I212" t="s">
        <v>129</v>
      </c>
      <c r="J212" t="s">
        <v>131</v>
      </c>
      <c r="K212" t="s">
        <v>130</v>
      </c>
      <c r="L212">
        <v>1354</v>
      </c>
      <c r="N212">
        <v>1010</v>
      </c>
      <c r="O212" t="s">
        <v>118</v>
      </c>
      <c r="P212" t="s">
        <v>118</v>
      </c>
      <c r="Q212">
        <v>1</v>
      </c>
      <c r="W212">
        <v>0</v>
      </c>
      <c r="X212">
        <v>235948314</v>
      </c>
      <c r="Y212">
        <f>(AT212*1)</f>
        <v>1.25</v>
      </c>
      <c r="AA212">
        <v>744.18</v>
      </c>
      <c r="AB212">
        <v>0</v>
      </c>
      <c r="AC212">
        <v>0</v>
      </c>
      <c r="AD212">
        <v>0</v>
      </c>
      <c r="AE212">
        <v>107.23</v>
      </c>
      <c r="AF212">
        <v>0</v>
      </c>
      <c r="AG212">
        <v>0</v>
      </c>
      <c r="AH212">
        <v>0</v>
      </c>
      <c r="AI212">
        <v>6.94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1.25</v>
      </c>
      <c r="AU212" t="s">
        <v>48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ROUND(Y212*Source!I79,9)</f>
        <v>20</v>
      </c>
      <c r="CY212">
        <f>AA212</f>
        <v>744.18</v>
      </c>
      <c r="CZ212">
        <f>AE212</f>
        <v>107.23</v>
      </c>
      <c r="DA212">
        <f>AI212</f>
        <v>6.94</v>
      </c>
      <c r="DB212">
        <f>ROUND((ROUND(AT212*CZ212,2)*1),6)</f>
        <v>134.04</v>
      </c>
      <c r="DC212">
        <f>ROUND((ROUND(AT212*AG212,2)*1),6)</f>
        <v>0</v>
      </c>
      <c r="DD212" t="s">
        <v>3</v>
      </c>
      <c r="DE212" t="s">
        <v>3</v>
      </c>
      <c r="DF212">
        <f>ROUND(ROUND(AE212*AI212,2)*CX212,2)</f>
        <v>14883.6</v>
      </c>
      <c r="DG212">
        <f t="shared" si="73"/>
        <v>0</v>
      </c>
      <c r="DH212">
        <f t="shared" si="74"/>
        <v>0</v>
      </c>
      <c r="DI212">
        <f t="shared" si="71"/>
        <v>0</v>
      </c>
      <c r="DJ212">
        <f>DF212</f>
        <v>14883.6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ROW(Source!A84)</f>
        <v>84</v>
      </c>
      <c r="B213">
        <v>55747649</v>
      </c>
      <c r="C213">
        <v>55748028</v>
      </c>
      <c r="D213">
        <v>54702434</v>
      </c>
      <c r="E213">
        <v>1081</v>
      </c>
      <c r="F213">
        <v>1</v>
      </c>
      <c r="G213">
        <v>1081</v>
      </c>
      <c r="H213">
        <v>1</v>
      </c>
      <c r="I213" t="s">
        <v>473</v>
      </c>
      <c r="J213" t="s">
        <v>3</v>
      </c>
      <c r="K213" t="s">
        <v>474</v>
      </c>
      <c r="L213">
        <v>1191</v>
      </c>
      <c r="N213">
        <v>1013</v>
      </c>
      <c r="O213" t="s">
        <v>475</v>
      </c>
      <c r="P213" t="s">
        <v>475</v>
      </c>
      <c r="Q213">
        <v>1</v>
      </c>
      <c r="W213">
        <v>0</v>
      </c>
      <c r="X213">
        <v>476480486</v>
      </c>
      <c r="Y213">
        <f>(AT213*1.2)</f>
        <v>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5</v>
      </c>
      <c r="AU213" t="s">
        <v>49</v>
      </c>
      <c r="AV213">
        <v>1</v>
      </c>
      <c r="AW213">
        <v>2</v>
      </c>
      <c r="AX213">
        <v>55748037</v>
      </c>
      <c r="AY213">
        <v>1</v>
      </c>
      <c r="AZ213">
        <v>0</v>
      </c>
      <c r="BA213">
        <v>255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ROUND(AT213*Source!I84*AH213*AL213,2)</f>
        <v>0</v>
      </c>
      <c r="CV213">
        <f>ROUND(Y213*Source!I84,9)</f>
        <v>96</v>
      </c>
      <c r="CW213">
        <v>0</v>
      </c>
      <c r="CX213">
        <f>ROUND(Y213*Source!I84,9)</f>
        <v>96</v>
      </c>
      <c r="CY213">
        <f>AD213</f>
        <v>0</v>
      </c>
      <c r="CZ213">
        <f>AH213</f>
        <v>0</v>
      </c>
      <c r="DA213">
        <f>AL213</f>
        <v>1</v>
      </c>
      <c r="DB213">
        <f>ROUND((ROUND(AT213*CZ213,2)*1.2),6)</f>
        <v>0</v>
      </c>
      <c r="DC213">
        <f>ROUND((ROUND(AT213*AG213,2)*1.2),6)</f>
        <v>0</v>
      </c>
      <c r="DD213" t="s">
        <v>3</v>
      </c>
      <c r="DE213" t="s">
        <v>3</v>
      </c>
      <c r="DF213">
        <f t="shared" ref="DF213:DF222" si="75">ROUND(ROUND(AE213,2)*CX213,2)</f>
        <v>0</v>
      </c>
      <c r="DG213">
        <f t="shared" si="73"/>
        <v>0</v>
      </c>
      <c r="DH213">
        <f t="shared" si="74"/>
        <v>0</v>
      </c>
      <c r="DI213">
        <f t="shared" si="71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ROW(Source!A84)</f>
        <v>84</v>
      </c>
      <c r="B214">
        <v>55747649</v>
      </c>
      <c r="C214">
        <v>55748028</v>
      </c>
      <c r="D214">
        <v>54768040</v>
      </c>
      <c r="E214">
        <v>1</v>
      </c>
      <c r="F214">
        <v>1</v>
      </c>
      <c r="G214">
        <v>1081</v>
      </c>
      <c r="H214">
        <v>2</v>
      </c>
      <c r="I214" t="s">
        <v>476</v>
      </c>
      <c r="J214" t="s">
        <v>477</v>
      </c>
      <c r="K214" t="s">
        <v>478</v>
      </c>
      <c r="L214">
        <v>1368</v>
      </c>
      <c r="N214">
        <v>1011</v>
      </c>
      <c r="O214" t="s">
        <v>479</v>
      </c>
      <c r="P214" t="s">
        <v>479</v>
      </c>
      <c r="Q214">
        <v>1</v>
      </c>
      <c r="W214">
        <v>0</v>
      </c>
      <c r="X214">
        <v>1498588441</v>
      </c>
      <c r="Y214">
        <f>(AT214*1.2)</f>
        <v>0.72</v>
      </c>
      <c r="AA214">
        <v>0</v>
      </c>
      <c r="AB214">
        <v>7.59</v>
      </c>
      <c r="AC214">
        <v>0</v>
      </c>
      <c r="AD214">
        <v>0</v>
      </c>
      <c r="AE214">
        <v>0</v>
      </c>
      <c r="AF214">
        <v>7.11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0.6</v>
      </c>
      <c r="AU214" t="s">
        <v>49</v>
      </c>
      <c r="AV214">
        <v>0</v>
      </c>
      <c r="AW214">
        <v>2</v>
      </c>
      <c r="AX214">
        <v>55748038</v>
      </c>
      <c r="AY214">
        <v>1</v>
      </c>
      <c r="AZ214">
        <v>0</v>
      </c>
      <c r="BA214">
        <v>256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ROUND(Y214*Source!I84*DO214,9)</f>
        <v>0</v>
      </c>
      <c r="CX214">
        <f>ROUND(Y214*Source!I84,9)</f>
        <v>11.52</v>
      </c>
      <c r="CY214">
        <f>AB214</f>
        <v>7.59</v>
      </c>
      <c r="CZ214">
        <f>AF214</f>
        <v>7.11</v>
      </c>
      <c r="DA214">
        <f>AJ214</f>
        <v>1</v>
      </c>
      <c r="DB214">
        <f>ROUND((ROUND(AT214*CZ214,2)*1.2),6)</f>
        <v>5.1239999999999997</v>
      </c>
      <c r="DC214">
        <f>ROUND((ROUND(AT214*AG214,2)*1.2),6)</f>
        <v>0</v>
      </c>
      <c r="DD214" t="s">
        <v>3</v>
      </c>
      <c r="DE214" t="s">
        <v>3</v>
      </c>
      <c r="DF214">
        <f t="shared" si="75"/>
        <v>0</v>
      </c>
      <c r="DG214">
        <f t="shared" si="73"/>
        <v>81.91</v>
      </c>
      <c r="DH214">
        <f t="shared" si="74"/>
        <v>0</v>
      </c>
      <c r="DI214">
        <f t="shared" si="71"/>
        <v>0</v>
      </c>
      <c r="DJ214">
        <f>DG214</f>
        <v>81.91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ROW(Source!A84)</f>
        <v>84</v>
      </c>
      <c r="B215">
        <v>55747649</v>
      </c>
      <c r="C215">
        <v>55748028</v>
      </c>
      <c r="D215">
        <v>54768339</v>
      </c>
      <c r="E215">
        <v>1</v>
      </c>
      <c r="F215">
        <v>1</v>
      </c>
      <c r="G215">
        <v>1081</v>
      </c>
      <c r="H215">
        <v>2</v>
      </c>
      <c r="I215" t="s">
        <v>483</v>
      </c>
      <c r="J215" t="s">
        <v>484</v>
      </c>
      <c r="K215" t="s">
        <v>485</v>
      </c>
      <c r="L215">
        <v>1368</v>
      </c>
      <c r="N215">
        <v>1011</v>
      </c>
      <c r="O215" t="s">
        <v>479</v>
      </c>
      <c r="P215" t="s">
        <v>479</v>
      </c>
      <c r="Q215">
        <v>1</v>
      </c>
      <c r="W215">
        <v>0</v>
      </c>
      <c r="X215">
        <v>874612079</v>
      </c>
      <c r="Y215">
        <f>(AT215*1.2)</f>
        <v>2.4E-2</v>
      </c>
      <c r="AA215">
        <v>0</v>
      </c>
      <c r="AB215">
        <v>88.67</v>
      </c>
      <c r="AC215">
        <v>13.47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0.02</v>
      </c>
      <c r="AU215" t="s">
        <v>49</v>
      </c>
      <c r="AV215">
        <v>0</v>
      </c>
      <c r="AW215">
        <v>2</v>
      </c>
      <c r="AX215">
        <v>55748039</v>
      </c>
      <c r="AY215">
        <v>1</v>
      </c>
      <c r="AZ215">
        <v>0</v>
      </c>
      <c r="BA215">
        <v>257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ROUND(Y215*Source!I84*DO215,9)</f>
        <v>4.8460799999999997</v>
      </c>
      <c r="CX215">
        <f>ROUND(Y215*Source!I84,9)</f>
        <v>0.38400000000000001</v>
      </c>
      <c r="CY215">
        <f>AB215</f>
        <v>88.67</v>
      </c>
      <c r="CZ215">
        <f>AF215</f>
        <v>83.1</v>
      </c>
      <c r="DA215">
        <f>AJ215</f>
        <v>1</v>
      </c>
      <c r="DB215">
        <f>ROUND((ROUND(AT215*CZ215,2)*1.2),6)</f>
        <v>1.992</v>
      </c>
      <c r="DC215">
        <f>ROUND((ROUND(AT215*AG215,2)*1.2),6)</f>
        <v>0.3</v>
      </c>
      <c r="DD215" t="s">
        <v>3</v>
      </c>
      <c r="DE215" t="s">
        <v>3</v>
      </c>
      <c r="DF215">
        <f t="shared" si="75"/>
        <v>0</v>
      </c>
      <c r="DG215">
        <f t="shared" si="73"/>
        <v>31.91</v>
      </c>
      <c r="DH215">
        <f t="shared" si="74"/>
        <v>4.8499999999999996</v>
      </c>
      <c r="DI215">
        <f t="shared" si="71"/>
        <v>0</v>
      </c>
      <c r="DJ215">
        <f>DG215</f>
        <v>31.91</v>
      </c>
      <c r="DK215">
        <v>0</v>
      </c>
      <c r="DL215" t="s">
        <v>486</v>
      </c>
      <c r="DM215">
        <v>0</v>
      </c>
      <c r="DN215" t="s">
        <v>475</v>
      </c>
      <c r="DO215">
        <v>12.62</v>
      </c>
    </row>
    <row r="216" spans="1:119" x14ac:dyDescent="0.2">
      <c r="A216">
        <f>ROW(Source!A84)</f>
        <v>84</v>
      </c>
      <c r="B216">
        <v>55747649</v>
      </c>
      <c r="C216">
        <v>55748028</v>
      </c>
      <c r="D216">
        <v>54738518</v>
      </c>
      <c r="E216">
        <v>1</v>
      </c>
      <c r="F216">
        <v>1</v>
      </c>
      <c r="G216">
        <v>1081</v>
      </c>
      <c r="H216">
        <v>3</v>
      </c>
      <c r="I216" t="s">
        <v>493</v>
      </c>
      <c r="J216" t="s">
        <v>494</v>
      </c>
      <c r="K216" t="s">
        <v>495</v>
      </c>
      <c r="L216">
        <v>1348</v>
      </c>
      <c r="N216">
        <v>1009</v>
      </c>
      <c r="O216" t="s">
        <v>282</v>
      </c>
      <c r="P216" t="s">
        <v>282</v>
      </c>
      <c r="Q216">
        <v>1000</v>
      </c>
      <c r="W216">
        <v>0</v>
      </c>
      <c r="X216">
        <v>205566664</v>
      </c>
      <c r="Y216">
        <f>(AT216*1)</f>
        <v>3.6000000000000002E-4</v>
      </c>
      <c r="AA216">
        <v>9367.64</v>
      </c>
      <c r="AB216">
        <v>0</v>
      </c>
      <c r="AC216">
        <v>0</v>
      </c>
      <c r="AD216">
        <v>0</v>
      </c>
      <c r="AE216">
        <v>9112.49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-2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3.6000000000000002E-4</v>
      </c>
      <c r="AU216" t="s">
        <v>48</v>
      </c>
      <c r="AV216">
        <v>0</v>
      </c>
      <c r="AW216">
        <v>2</v>
      </c>
      <c r="AX216">
        <v>55748040</v>
      </c>
      <c r="AY216">
        <v>1</v>
      </c>
      <c r="AZ216">
        <v>0</v>
      </c>
      <c r="BA216">
        <v>258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ROUND(Y216*Source!I84,9)</f>
        <v>5.7600000000000004E-3</v>
      </c>
      <c r="CY216">
        <f>AA216</f>
        <v>9367.64</v>
      </c>
      <c r="CZ216">
        <f>AE216</f>
        <v>9112.49</v>
      </c>
      <c r="DA216">
        <f>AI216</f>
        <v>1</v>
      </c>
      <c r="DB216">
        <f>ROUND((ROUND(AT216*CZ216,2)*1),6)</f>
        <v>3.28</v>
      </c>
      <c r="DC216">
        <f>ROUND((ROUND(AT216*AG216,2)*1),6)</f>
        <v>0</v>
      </c>
      <c r="DD216" t="s">
        <v>3</v>
      </c>
      <c r="DE216" t="s">
        <v>3</v>
      </c>
      <c r="DF216">
        <f t="shared" si="75"/>
        <v>52.49</v>
      </c>
      <c r="DG216">
        <f t="shared" si="73"/>
        <v>0</v>
      </c>
      <c r="DH216">
        <f t="shared" si="74"/>
        <v>0</v>
      </c>
      <c r="DI216">
        <f t="shared" si="71"/>
        <v>0</v>
      </c>
      <c r="DJ216">
        <f>DF216</f>
        <v>52.49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ROW(Source!A84)</f>
        <v>84</v>
      </c>
      <c r="B217">
        <v>55747649</v>
      </c>
      <c r="C217">
        <v>55748028</v>
      </c>
      <c r="D217">
        <v>54739191</v>
      </c>
      <c r="E217">
        <v>1</v>
      </c>
      <c r="F217">
        <v>1</v>
      </c>
      <c r="G217">
        <v>1081</v>
      </c>
      <c r="H217">
        <v>3</v>
      </c>
      <c r="I217" t="s">
        <v>500</v>
      </c>
      <c r="J217" t="s">
        <v>501</v>
      </c>
      <c r="K217" t="s">
        <v>502</v>
      </c>
      <c r="L217">
        <v>1346</v>
      </c>
      <c r="N217">
        <v>1009</v>
      </c>
      <c r="O217" t="s">
        <v>503</v>
      </c>
      <c r="P217" t="s">
        <v>503</v>
      </c>
      <c r="Q217">
        <v>1</v>
      </c>
      <c r="W217">
        <v>0</v>
      </c>
      <c r="X217">
        <v>-2132327540</v>
      </c>
      <c r="Y217">
        <f>(AT217*1)</f>
        <v>7.0000000000000001E-3</v>
      </c>
      <c r="AA217">
        <v>6.43</v>
      </c>
      <c r="AB217">
        <v>0</v>
      </c>
      <c r="AC217">
        <v>0</v>
      </c>
      <c r="AD217">
        <v>0</v>
      </c>
      <c r="AE217">
        <v>6.25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7.0000000000000001E-3</v>
      </c>
      <c r="AU217" t="s">
        <v>48</v>
      </c>
      <c r="AV217">
        <v>0</v>
      </c>
      <c r="AW217">
        <v>2</v>
      </c>
      <c r="AX217">
        <v>55748041</v>
      </c>
      <c r="AY217">
        <v>1</v>
      </c>
      <c r="AZ217">
        <v>0</v>
      </c>
      <c r="BA217">
        <v>259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ROUND(Y217*Source!I84,9)</f>
        <v>0.112</v>
      </c>
      <c r="CY217">
        <f>AA217</f>
        <v>6.43</v>
      </c>
      <c r="CZ217">
        <f>AE217</f>
        <v>6.25</v>
      </c>
      <c r="DA217">
        <f>AI217</f>
        <v>1</v>
      </c>
      <c r="DB217">
        <f>ROUND((ROUND(AT217*CZ217,2)*1),6)</f>
        <v>0.04</v>
      </c>
      <c r="DC217">
        <f>ROUND((ROUND(AT217*AG217,2)*1),6)</f>
        <v>0</v>
      </c>
      <c r="DD217" t="s">
        <v>3</v>
      </c>
      <c r="DE217" t="s">
        <v>3</v>
      </c>
      <c r="DF217">
        <f t="shared" si="75"/>
        <v>0.7</v>
      </c>
      <c r="DG217">
        <f t="shared" si="73"/>
        <v>0</v>
      </c>
      <c r="DH217">
        <f t="shared" si="74"/>
        <v>0</v>
      </c>
      <c r="DI217">
        <f t="shared" si="71"/>
        <v>0</v>
      </c>
      <c r="DJ217">
        <f>DF217</f>
        <v>0.7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ROW(Source!A84)</f>
        <v>84</v>
      </c>
      <c r="B218">
        <v>55747649</v>
      </c>
      <c r="C218">
        <v>55748028</v>
      </c>
      <c r="D218">
        <v>54737565</v>
      </c>
      <c r="E218">
        <v>1</v>
      </c>
      <c r="F218">
        <v>1</v>
      </c>
      <c r="G218">
        <v>1081</v>
      </c>
      <c r="H218">
        <v>3</v>
      </c>
      <c r="I218" t="s">
        <v>504</v>
      </c>
      <c r="J218" t="s">
        <v>505</v>
      </c>
      <c r="K218" t="s">
        <v>506</v>
      </c>
      <c r="L218">
        <v>1339</v>
      </c>
      <c r="N218">
        <v>1007</v>
      </c>
      <c r="O218" t="s">
        <v>507</v>
      </c>
      <c r="P218" t="s">
        <v>507</v>
      </c>
      <c r="Q218">
        <v>1</v>
      </c>
      <c r="W218">
        <v>0</v>
      </c>
      <c r="X218">
        <v>-1235260082</v>
      </c>
      <c r="Y218">
        <f>(AT218*1)</f>
        <v>0.03</v>
      </c>
      <c r="AA218">
        <v>5.98</v>
      </c>
      <c r="AB218">
        <v>0</v>
      </c>
      <c r="AC218">
        <v>0</v>
      </c>
      <c r="AD218">
        <v>0</v>
      </c>
      <c r="AE218">
        <v>5.82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0.03</v>
      </c>
      <c r="AU218" t="s">
        <v>48</v>
      </c>
      <c r="AV218">
        <v>0</v>
      </c>
      <c r="AW218">
        <v>2</v>
      </c>
      <c r="AX218">
        <v>55748042</v>
      </c>
      <c r="AY218">
        <v>1</v>
      </c>
      <c r="AZ218">
        <v>0</v>
      </c>
      <c r="BA218">
        <v>260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ROUND(Y218*Source!I84,9)</f>
        <v>0.48</v>
      </c>
      <c r="CY218">
        <f>AA218</f>
        <v>5.98</v>
      </c>
      <c r="CZ218">
        <f>AE218</f>
        <v>5.82</v>
      </c>
      <c r="DA218">
        <f>AI218</f>
        <v>1</v>
      </c>
      <c r="DB218">
        <f>ROUND((ROUND(AT218*CZ218,2)*1),6)</f>
        <v>0.17</v>
      </c>
      <c r="DC218">
        <f>ROUND((ROUND(AT218*AG218,2)*1),6)</f>
        <v>0</v>
      </c>
      <c r="DD218" t="s">
        <v>3</v>
      </c>
      <c r="DE218" t="s">
        <v>3</v>
      </c>
      <c r="DF218">
        <f t="shared" si="75"/>
        <v>2.79</v>
      </c>
      <c r="DG218">
        <f t="shared" si="73"/>
        <v>0</v>
      </c>
      <c r="DH218">
        <f t="shared" si="74"/>
        <v>0</v>
      </c>
      <c r="DI218">
        <f t="shared" si="71"/>
        <v>0</v>
      </c>
      <c r="DJ218">
        <f>DF218</f>
        <v>2.79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ROW(Source!A84)</f>
        <v>84</v>
      </c>
      <c r="B219">
        <v>55747649</v>
      </c>
      <c r="C219">
        <v>55748028</v>
      </c>
      <c r="D219">
        <v>54753596</v>
      </c>
      <c r="E219">
        <v>1</v>
      </c>
      <c r="F219">
        <v>1</v>
      </c>
      <c r="G219">
        <v>1081</v>
      </c>
      <c r="H219">
        <v>3</v>
      </c>
      <c r="I219" t="s">
        <v>146</v>
      </c>
      <c r="J219" t="s">
        <v>148</v>
      </c>
      <c r="K219" t="s">
        <v>147</v>
      </c>
      <c r="L219">
        <v>1354</v>
      </c>
      <c r="N219">
        <v>1010</v>
      </c>
      <c r="O219" t="s">
        <v>118</v>
      </c>
      <c r="P219" t="s">
        <v>118</v>
      </c>
      <c r="Q219">
        <v>1</v>
      </c>
      <c r="W219">
        <v>0</v>
      </c>
      <c r="X219">
        <v>-2120180224</v>
      </c>
      <c r="Y219">
        <f>(AT219*1)</f>
        <v>1</v>
      </c>
      <c r="AA219">
        <v>79.92</v>
      </c>
      <c r="AB219">
        <v>0</v>
      </c>
      <c r="AC219">
        <v>0</v>
      </c>
      <c r="AD219">
        <v>0</v>
      </c>
      <c r="AE219">
        <v>79.92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 t="s">
        <v>3</v>
      </c>
      <c r="AT219">
        <v>1</v>
      </c>
      <c r="AU219" t="s">
        <v>48</v>
      </c>
      <c r="AV219">
        <v>0</v>
      </c>
      <c r="AW219">
        <v>1</v>
      </c>
      <c r="AX219">
        <v>-1</v>
      </c>
      <c r="AY219">
        <v>0</v>
      </c>
      <c r="AZ219">
        <v>0</v>
      </c>
      <c r="BA219" t="s">
        <v>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ROUND(Y219*Source!I84,9)</f>
        <v>16</v>
      </c>
      <c r="CY219">
        <f>AA219</f>
        <v>79.92</v>
      </c>
      <c r="CZ219">
        <f>AE219</f>
        <v>79.92</v>
      </c>
      <c r="DA219">
        <f>AI219</f>
        <v>1</v>
      </c>
      <c r="DB219">
        <f>ROUND((ROUND(AT219*CZ219,2)*1),6)</f>
        <v>79.92</v>
      </c>
      <c r="DC219">
        <f>ROUND((ROUND(AT219*AG219,2)*1),6)</f>
        <v>0</v>
      </c>
      <c r="DD219" t="s">
        <v>3</v>
      </c>
      <c r="DE219" t="s">
        <v>3</v>
      </c>
      <c r="DF219">
        <f t="shared" si="75"/>
        <v>1278.72</v>
      </c>
      <c r="DG219">
        <f t="shared" si="73"/>
        <v>0</v>
      </c>
      <c r="DH219">
        <f t="shared" si="74"/>
        <v>0</v>
      </c>
      <c r="DI219">
        <f t="shared" si="71"/>
        <v>0</v>
      </c>
      <c r="DJ219">
        <f>DF219</f>
        <v>1278.72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ROW(Source!A85)</f>
        <v>85</v>
      </c>
      <c r="B220">
        <v>55747651</v>
      </c>
      <c r="C220">
        <v>55748028</v>
      </c>
      <c r="D220">
        <v>54702434</v>
      </c>
      <c r="E220">
        <v>1081</v>
      </c>
      <c r="F220">
        <v>1</v>
      </c>
      <c r="G220">
        <v>1081</v>
      </c>
      <c r="H220">
        <v>1</v>
      </c>
      <c r="I220" t="s">
        <v>473</v>
      </c>
      <c r="J220" t="s">
        <v>3</v>
      </c>
      <c r="K220" t="s">
        <v>474</v>
      </c>
      <c r="L220">
        <v>1191</v>
      </c>
      <c r="N220">
        <v>1013</v>
      </c>
      <c r="O220" t="s">
        <v>475</v>
      </c>
      <c r="P220" t="s">
        <v>475</v>
      </c>
      <c r="Q220">
        <v>1</v>
      </c>
      <c r="W220">
        <v>0</v>
      </c>
      <c r="X220">
        <v>476480486</v>
      </c>
      <c r="Y220">
        <f>(AT220*1.2)</f>
        <v>6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5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5</v>
      </c>
      <c r="AU220" t="s">
        <v>49</v>
      </c>
      <c r="AV220">
        <v>1</v>
      </c>
      <c r="AW220">
        <v>2</v>
      </c>
      <c r="AX220">
        <v>55748037</v>
      </c>
      <c r="AY220">
        <v>1</v>
      </c>
      <c r="AZ220">
        <v>0</v>
      </c>
      <c r="BA220">
        <v>262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U220">
        <f>ROUND(AT220*Source!I85*AH220*AL220,2)</f>
        <v>0</v>
      </c>
      <c r="CV220">
        <f>ROUND(Y220*Source!I85,9)</f>
        <v>96</v>
      </c>
      <c r="CW220">
        <v>0</v>
      </c>
      <c r="CX220">
        <f>ROUND(Y220*Source!I85,9)</f>
        <v>96</v>
      </c>
      <c r="CY220">
        <f>AD220</f>
        <v>0</v>
      </c>
      <c r="CZ220">
        <f>AH220</f>
        <v>0</v>
      </c>
      <c r="DA220">
        <f>AL220</f>
        <v>1</v>
      </c>
      <c r="DB220">
        <f>ROUND((ROUND(AT220*CZ220,2)*1.2),6)</f>
        <v>0</v>
      </c>
      <c r="DC220">
        <f>ROUND((ROUND(AT220*AG220,2)*1.2),6)</f>
        <v>0</v>
      </c>
      <c r="DD220" t="s">
        <v>3</v>
      </c>
      <c r="DE220" t="s">
        <v>3</v>
      </c>
      <c r="DF220">
        <f t="shared" si="75"/>
        <v>0</v>
      </c>
      <c r="DG220">
        <f t="shared" si="73"/>
        <v>0</v>
      </c>
      <c r="DH220">
        <f t="shared" si="74"/>
        <v>0</v>
      </c>
      <c r="DI220">
        <f t="shared" si="71"/>
        <v>0</v>
      </c>
      <c r="DJ220">
        <f>DI220</f>
        <v>0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ROW(Source!A85)</f>
        <v>85</v>
      </c>
      <c r="B221">
        <v>55747651</v>
      </c>
      <c r="C221">
        <v>55748028</v>
      </c>
      <c r="D221">
        <v>54768040</v>
      </c>
      <c r="E221">
        <v>1</v>
      </c>
      <c r="F221">
        <v>1</v>
      </c>
      <c r="G221">
        <v>1081</v>
      </c>
      <c r="H221">
        <v>2</v>
      </c>
      <c r="I221" t="s">
        <v>476</v>
      </c>
      <c r="J221" t="s">
        <v>477</v>
      </c>
      <c r="K221" t="s">
        <v>478</v>
      </c>
      <c r="L221">
        <v>1368</v>
      </c>
      <c r="N221">
        <v>1011</v>
      </c>
      <c r="O221" t="s">
        <v>479</v>
      </c>
      <c r="P221" t="s">
        <v>479</v>
      </c>
      <c r="Q221">
        <v>1</v>
      </c>
      <c r="W221">
        <v>0</v>
      </c>
      <c r="X221">
        <v>1498588441</v>
      </c>
      <c r="Y221">
        <f>(AT221*1.2)</f>
        <v>0.72</v>
      </c>
      <c r="AA221">
        <v>0</v>
      </c>
      <c r="AB221">
        <v>102.11</v>
      </c>
      <c r="AC221">
        <v>0</v>
      </c>
      <c r="AD221">
        <v>0</v>
      </c>
      <c r="AE221">
        <v>0</v>
      </c>
      <c r="AF221">
        <v>7.11</v>
      </c>
      <c r="AG221">
        <v>0</v>
      </c>
      <c r="AH221">
        <v>0</v>
      </c>
      <c r="AI221">
        <v>1</v>
      </c>
      <c r="AJ221">
        <v>13.46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0.6</v>
      </c>
      <c r="AU221" t="s">
        <v>49</v>
      </c>
      <c r="AV221">
        <v>0</v>
      </c>
      <c r="AW221">
        <v>2</v>
      </c>
      <c r="AX221">
        <v>55748038</v>
      </c>
      <c r="AY221">
        <v>1</v>
      </c>
      <c r="AZ221">
        <v>0</v>
      </c>
      <c r="BA221">
        <v>263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f>ROUND(Y221*Source!I85*DO221,9)</f>
        <v>0</v>
      </c>
      <c r="CX221">
        <f>ROUND(Y221*Source!I85,9)</f>
        <v>11.52</v>
      </c>
      <c r="CY221">
        <f>AB221</f>
        <v>102.11</v>
      </c>
      <c r="CZ221">
        <f>AF221</f>
        <v>7.11</v>
      </c>
      <c r="DA221">
        <f>AJ221</f>
        <v>13.46</v>
      </c>
      <c r="DB221">
        <f>ROUND((ROUND(AT221*CZ221,2)*1.2),6)</f>
        <v>5.1239999999999997</v>
      </c>
      <c r="DC221">
        <f>ROUND((ROUND(AT221*AG221,2)*1.2),6)</f>
        <v>0</v>
      </c>
      <c r="DD221" t="s">
        <v>3</v>
      </c>
      <c r="DE221" t="s">
        <v>3</v>
      </c>
      <c r="DF221">
        <f t="shared" si="75"/>
        <v>0</v>
      </c>
      <c r="DG221">
        <f>ROUND(ROUND(AF221*AJ221,2)*CX221,2)</f>
        <v>1102.46</v>
      </c>
      <c r="DH221">
        <f t="shared" si="74"/>
        <v>0</v>
      </c>
      <c r="DI221">
        <f t="shared" si="71"/>
        <v>0</v>
      </c>
      <c r="DJ221">
        <f>DG221</f>
        <v>1102.46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ROW(Source!A85)</f>
        <v>85</v>
      </c>
      <c r="B222">
        <v>55747651</v>
      </c>
      <c r="C222">
        <v>55748028</v>
      </c>
      <c r="D222">
        <v>54768339</v>
      </c>
      <c r="E222">
        <v>1</v>
      </c>
      <c r="F222">
        <v>1</v>
      </c>
      <c r="G222">
        <v>1081</v>
      </c>
      <c r="H222">
        <v>2</v>
      </c>
      <c r="I222" t="s">
        <v>483</v>
      </c>
      <c r="J222" t="s">
        <v>484</v>
      </c>
      <c r="K222" t="s">
        <v>485</v>
      </c>
      <c r="L222">
        <v>1368</v>
      </c>
      <c r="N222">
        <v>1011</v>
      </c>
      <c r="O222" t="s">
        <v>479</v>
      </c>
      <c r="P222" t="s">
        <v>479</v>
      </c>
      <c r="Q222">
        <v>1</v>
      </c>
      <c r="W222">
        <v>0</v>
      </c>
      <c r="X222">
        <v>874612079</v>
      </c>
      <c r="Y222">
        <f>(AT222*1.2)</f>
        <v>2.4E-2</v>
      </c>
      <c r="AA222">
        <v>0</v>
      </c>
      <c r="AB222">
        <v>1513.56</v>
      </c>
      <c r="AC222">
        <v>758.78</v>
      </c>
      <c r="AD222">
        <v>0</v>
      </c>
      <c r="AE222">
        <v>0</v>
      </c>
      <c r="AF222">
        <v>83.1</v>
      </c>
      <c r="AG222">
        <v>12.62</v>
      </c>
      <c r="AH222">
        <v>0</v>
      </c>
      <c r="AI222">
        <v>1</v>
      </c>
      <c r="AJ222">
        <v>17.07</v>
      </c>
      <c r="AK222">
        <v>56.35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0.02</v>
      </c>
      <c r="AU222" t="s">
        <v>49</v>
      </c>
      <c r="AV222">
        <v>0</v>
      </c>
      <c r="AW222">
        <v>2</v>
      </c>
      <c r="AX222">
        <v>55748039</v>
      </c>
      <c r="AY222">
        <v>1</v>
      </c>
      <c r="AZ222">
        <v>0</v>
      </c>
      <c r="BA222">
        <v>264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ROUND(Y222*Source!I85*DO222,9)</f>
        <v>4.8460799999999997</v>
      </c>
      <c r="CX222">
        <f>ROUND(Y222*Source!I85,9)</f>
        <v>0.38400000000000001</v>
      </c>
      <c r="CY222">
        <f>AB222</f>
        <v>1513.56</v>
      </c>
      <c r="CZ222">
        <f>AF222</f>
        <v>83.1</v>
      </c>
      <c r="DA222">
        <f>AJ222</f>
        <v>17.07</v>
      </c>
      <c r="DB222">
        <f>ROUND((ROUND(AT222*CZ222,2)*1.2),6)</f>
        <v>1.992</v>
      </c>
      <c r="DC222">
        <f>ROUND((ROUND(AT222*AG222,2)*1.2),6)</f>
        <v>0.3</v>
      </c>
      <c r="DD222" t="s">
        <v>3</v>
      </c>
      <c r="DE222" t="s">
        <v>3</v>
      </c>
      <c r="DF222">
        <f t="shared" si="75"/>
        <v>0</v>
      </c>
      <c r="DG222">
        <f>ROUND(ROUND(AF222*AJ222,2)*CX222,2)</f>
        <v>544.71</v>
      </c>
      <c r="DH222">
        <f>ROUND(ROUND(AG222*AK222,2)*CX222,2)</f>
        <v>273.08</v>
      </c>
      <c r="DI222">
        <f t="shared" si="71"/>
        <v>0</v>
      </c>
      <c r="DJ222">
        <f>DG222</f>
        <v>544.71</v>
      </c>
      <c r="DK222">
        <v>0</v>
      </c>
      <c r="DL222" t="s">
        <v>486</v>
      </c>
      <c r="DM222">
        <v>0</v>
      </c>
      <c r="DN222" t="s">
        <v>475</v>
      </c>
      <c r="DO222">
        <v>12.62</v>
      </c>
    </row>
    <row r="223" spans="1:119" x14ac:dyDescent="0.2">
      <c r="A223">
        <f>ROW(Source!A85)</f>
        <v>85</v>
      </c>
      <c r="B223">
        <v>55747651</v>
      </c>
      <c r="C223">
        <v>55748028</v>
      </c>
      <c r="D223">
        <v>54738518</v>
      </c>
      <c r="E223">
        <v>1</v>
      </c>
      <c r="F223">
        <v>1</v>
      </c>
      <c r="G223">
        <v>1081</v>
      </c>
      <c r="H223">
        <v>3</v>
      </c>
      <c r="I223" t="s">
        <v>493</v>
      </c>
      <c r="J223" t="s">
        <v>494</v>
      </c>
      <c r="K223" t="s">
        <v>495</v>
      </c>
      <c r="L223">
        <v>1348</v>
      </c>
      <c r="N223">
        <v>1009</v>
      </c>
      <c r="O223" t="s">
        <v>282</v>
      </c>
      <c r="P223" t="s">
        <v>282</v>
      </c>
      <c r="Q223">
        <v>1000</v>
      </c>
      <c r="W223">
        <v>0</v>
      </c>
      <c r="X223">
        <v>205566664</v>
      </c>
      <c r="Y223">
        <f>(AT223*1)</f>
        <v>3.6000000000000002E-4</v>
      </c>
      <c r="AA223">
        <v>95081.54</v>
      </c>
      <c r="AB223">
        <v>0</v>
      </c>
      <c r="AC223">
        <v>0</v>
      </c>
      <c r="AD223">
        <v>0</v>
      </c>
      <c r="AE223">
        <v>9112.49</v>
      </c>
      <c r="AF223">
        <v>0</v>
      </c>
      <c r="AG223">
        <v>0</v>
      </c>
      <c r="AH223">
        <v>0</v>
      </c>
      <c r="AI223">
        <v>10.15</v>
      </c>
      <c r="AJ223">
        <v>1</v>
      </c>
      <c r="AK223">
        <v>1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3.6000000000000002E-4</v>
      </c>
      <c r="AU223" t="s">
        <v>48</v>
      </c>
      <c r="AV223">
        <v>0</v>
      </c>
      <c r="AW223">
        <v>2</v>
      </c>
      <c r="AX223">
        <v>55748040</v>
      </c>
      <c r="AY223">
        <v>1</v>
      </c>
      <c r="AZ223">
        <v>0</v>
      </c>
      <c r="BA223">
        <v>265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ROUND(Y223*Source!I85,9)</f>
        <v>5.7600000000000004E-3</v>
      </c>
      <c r="CY223">
        <f>AA223</f>
        <v>95081.54</v>
      </c>
      <c r="CZ223">
        <f>AE223</f>
        <v>9112.49</v>
      </c>
      <c r="DA223">
        <f>AI223</f>
        <v>10.15</v>
      </c>
      <c r="DB223">
        <f>ROUND((ROUND(AT223*CZ223,2)*1),6)</f>
        <v>3.28</v>
      </c>
      <c r="DC223">
        <f>ROUND((ROUND(AT223*AG223,2)*1),6)</f>
        <v>0</v>
      </c>
      <c r="DD223" t="s">
        <v>3</v>
      </c>
      <c r="DE223" t="s">
        <v>3</v>
      </c>
      <c r="DF223">
        <f>ROUND(ROUND(AE223*AI223,2)*CX223,2)</f>
        <v>532.75</v>
      </c>
      <c r="DG223">
        <f t="shared" ref="DG223:DG234" si="76">ROUND(ROUND(AF223,2)*CX223,2)</f>
        <v>0</v>
      </c>
      <c r="DH223">
        <f t="shared" ref="DH223:DH235" si="77">ROUND(ROUND(AG223,2)*CX223,2)</f>
        <v>0</v>
      </c>
      <c r="DI223">
        <f t="shared" si="71"/>
        <v>0</v>
      </c>
      <c r="DJ223">
        <f>DF223</f>
        <v>532.75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ROW(Source!A85)</f>
        <v>85</v>
      </c>
      <c r="B224">
        <v>55747651</v>
      </c>
      <c r="C224">
        <v>55748028</v>
      </c>
      <c r="D224">
        <v>54739191</v>
      </c>
      <c r="E224">
        <v>1</v>
      </c>
      <c r="F224">
        <v>1</v>
      </c>
      <c r="G224">
        <v>1081</v>
      </c>
      <c r="H224">
        <v>3</v>
      </c>
      <c r="I224" t="s">
        <v>500</v>
      </c>
      <c r="J224" t="s">
        <v>501</v>
      </c>
      <c r="K224" t="s">
        <v>502</v>
      </c>
      <c r="L224">
        <v>1346</v>
      </c>
      <c r="N224">
        <v>1009</v>
      </c>
      <c r="O224" t="s">
        <v>503</v>
      </c>
      <c r="P224" t="s">
        <v>503</v>
      </c>
      <c r="Q224">
        <v>1</v>
      </c>
      <c r="W224">
        <v>0</v>
      </c>
      <c r="X224">
        <v>-2132327540</v>
      </c>
      <c r="Y224">
        <f>(AT224*1)</f>
        <v>7.0000000000000001E-3</v>
      </c>
      <c r="AA224">
        <v>64.760000000000005</v>
      </c>
      <c r="AB224">
        <v>0</v>
      </c>
      <c r="AC224">
        <v>0</v>
      </c>
      <c r="AD224">
        <v>0</v>
      </c>
      <c r="AE224">
        <v>6.25</v>
      </c>
      <c r="AF224">
        <v>0</v>
      </c>
      <c r="AG224">
        <v>0</v>
      </c>
      <c r="AH224">
        <v>0</v>
      </c>
      <c r="AI224">
        <v>10.08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7.0000000000000001E-3</v>
      </c>
      <c r="AU224" t="s">
        <v>48</v>
      </c>
      <c r="AV224">
        <v>0</v>
      </c>
      <c r="AW224">
        <v>2</v>
      </c>
      <c r="AX224">
        <v>55748041</v>
      </c>
      <c r="AY224">
        <v>1</v>
      </c>
      <c r="AZ224">
        <v>0</v>
      </c>
      <c r="BA224">
        <v>266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ROUND(Y224*Source!I85,9)</f>
        <v>0.112</v>
      </c>
      <c r="CY224">
        <f>AA224</f>
        <v>64.760000000000005</v>
      </c>
      <c r="CZ224">
        <f>AE224</f>
        <v>6.25</v>
      </c>
      <c r="DA224">
        <f>AI224</f>
        <v>10.08</v>
      </c>
      <c r="DB224">
        <f>ROUND((ROUND(AT224*CZ224,2)*1),6)</f>
        <v>0.04</v>
      </c>
      <c r="DC224">
        <f>ROUND((ROUND(AT224*AG224,2)*1),6)</f>
        <v>0</v>
      </c>
      <c r="DD224" t="s">
        <v>3</v>
      </c>
      <c r="DE224" t="s">
        <v>3</v>
      </c>
      <c r="DF224">
        <f>ROUND(ROUND(AE224*AI224,2)*CX224,2)</f>
        <v>7.06</v>
      </c>
      <c r="DG224">
        <f t="shared" si="76"/>
        <v>0</v>
      </c>
      <c r="DH224">
        <f t="shared" si="77"/>
        <v>0</v>
      </c>
      <c r="DI224">
        <f t="shared" si="71"/>
        <v>0</v>
      </c>
      <c r="DJ224">
        <f>DF224</f>
        <v>7.06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ROW(Source!A85)</f>
        <v>85</v>
      </c>
      <c r="B225">
        <v>55747651</v>
      </c>
      <c r="C225">
        <v>55748028</v>
      </c>
      <c r="D225">
        <v>54737565</v>
      </c>
      <c r="E225">
        <v>1</v>
      </c>
      <c r="F225">
        <v>1</v>
      </c>
      <c r="G225">
        <v>1081</v>
      </c>
      <c r="H225">
        <v>3</v>
      </c>
      <c r="I225" t="s">
        <v>504</v>
      </c>
      <c r="J225" t="s">
        <v>505</v>
      </c>
      <c r="K225" t="s">
        <v>506</v>
      </c>
      <c r="L225">
        <v>1339</v>
      </c>
      <c r="N225">
        <v>1007</v>
      </c>
      <c r="O225" t="s">
        <v>507</v>
      </c>
      <c r="P225" t="s">
        <v>507</v>
      </c>
      <c r="Q225">
        <v>1</v>
      </c>
      <c r="W225">
        <v>0</v>
      </c>
      <c r="X225">
        <v>-1235260082</v>
      </c>
      <c r="Y225">
        <f>(AT225*1)</f>
        <v>0.03</v>
      </c>
      <c r="AA225">
        <v>104.16</v>
      </c>
      <c r="AB225">
        <v>0</v>
      </c>
      <c r="AC225">
        <v>0</v>
      </c>
      <c r="AD225">
        <v>0</v>
      </c>
      <c r="AE225">
        <v>5.82</v>
      </c>
      <c r="AF225">
        <v>0</v>
      </c>
      <c r="AG225">
        <v>0</v>
      </c>
      <c r="AH225">
        <v>0</v>
      </c>
      <c r="AI225">
        <v>17.41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0.03</v>
      </c>
      <c r="AU225" t="s">
        <v>48</v>
      </c>
      <c r="AV225">
        <v>0</v>
      </c>
      <c r="AW225">
        <v>2</v>
      </c>
      <c r="AX225">
        <v>55748042</v>
      </c>
      <c r="AY225">
        <v>1</v>
      </c>
      <c r="AZ225">
        <v>0</v>
      </c>
      <c r="BA225">
        <v>267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ROUND(Y225*Source!I85,9)</f>
        <v>0.48</v>
      </c>
      <c r="CY225">
        <f>AA225</f>
        <v>104.16</v>
      </c>
      <c r="CZ225">
        <f>AE225</f>
        <v>5.82</v>
      </c>
      <c r="DA225">
        <f>AI225</f>
        <v>17.41</v>
      </c>
      <c r="DB225">
        <f>ROUND((ROUND(AT225*CZ225,2)*1),6)</f>
        <v>0.17</v>
      </c>
      <c r="DC225">
        <f>ROUND((ROUND(AT225*AG225,2)*1),6)</f>
        <v>0</v>
      </c>
      <c r="DD225" t="s">
        <v>3</v>
      </c>
      <c r="DE225" t="s">
        <v>3</v>
      </c>
      <c r="DF225">
        <f>ROUND(ROUND(AE225*AI225,2)*CX225,2)</f>
        <v>48.64</v>
      </c>
      <c r="DG225">
        <f t="shared" si="76"/>
        <v>0</v>
      </c>
      <c r="DH225">
        <f t="shared" si="77"/>
        <v>0</v>
      </c>
      <c r="DI225">
        <f t="shared" si="71"/>
        <v>0</v>
      </c>
      <c r="DJ225">
        <f>DF225</f>
        <v>48.64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ROW(Source!A85)</f>
        <v>85</v>
      </c>
      <c r="B226">
        <v>55747651</v>
      </c>
      <c r="C226">
        <v>55748028</v>
      </c>
      <c r="D226">
        <v>54753596</v>
      </c>
      <c r="E226">
        <v>1</v>
      </c>
      <c r="F226">
        <v>1</v>
      </c>
      <c r="G226">
        <v>1081</v>
      </c>
      <c r="H226">
        <v>3</v>
      </c>
      <c r="I226" t="s">
        <v>146</v>
      </c>
      <c r="J226" t="s">
        <v>148</v>
      </c>
      <c r="K226" t="s">
        <v>147</v>
      </c>
      <c r="L226">
        <v>1354</v>
      </c>
      <c r="N226">
        <v>1010</v>
      </c>
      <c r="O226" t="s">
        <v>118</v>
      </c>
      <c r="P226" t="s">
        <v>118</v>
      </c>
      <c r="Q226">
        <v>1</v>
      </c>
      <c r="W226">
        <v>0</v>
      </c>
      <c r="X226">
        <v>-2120180224</v>
      </c>
      <c r="Y226">
        <f>(AT226*1)</f>
        <v>1</v>
      </c>
      <c r="AA226">
        <v>609.79</v>
      </c>
      <c r="AB226">
        <v>0</v>
      </c>
      <c r="AC226">
        <v>0</v>
      </c>
      <c r="AD226">
        <v>0</v>
      </c>
      <c r="AE226">
        <v>79.92</v>
      </c>
      <c r="AF226">
        <v>0</v>
      </c>
      <c r="AG226">
        <v>0</v>
      </c>
      <c r="AH226">
        <v>0</v>
      </c>
      <c r="AI226">
        <v>7.63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3</v>
      </c>
      <c r="AT226">
        <v>1</v>
      </c>
      <c r="AU226" t="s">
        <v>48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ROUND(Y226*Source!I85,9)</f>
        <v>16</v>
      </c>
      <c r="CY226">
        <f>AA226</f>
        <v>609.79</v>
      </c>
      <c r="CZ226">
        <f>AE226</f>
        <v>79.92</v>
      </c>
      <c r="DA226">
        <f>AI226</f>
        <v>7.63</v>
      </c>
      <c r="DB226">
        <f>ROUND((ROUND(AT226*CZ226,2)*1),6)</f>
        <v>79.92</v>
      </c>
      <c r="DC226">
        <f>ROUND((ROUND(AT226*AG226,2)*1),6)</f>
        <v>0</v>
      </c>
      <c r="DD226" t="s">
        <v>3</v>
      </c>
      <c r="DE226" t="s">
        <v>3</v>
      </c>
      <c r="DF226">
        <f>ROUND(ROUND(AE226*AI226,2)*CX226,2)</f>
        <v>9756.64</v>
      </c>
      <c r="DG226">
        <f t="shared" si="76"/>
        <v>0</v>
      </c>
      <c r="DH226">
        <f t="shared" si="77"/>
        <v>0</v>
      </c>
      <c r="DI226">
        <f t="shared" si="71"/>
        <v>0</v>
      </c>
      <c r="DJ226">
        <f>DF226</f>
        <v>9756.64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ROW(Source!A88)</f>
        <v>88</v>
      </c>
      <c r="B227">
        <v>55747649</v>
      </c>
      <c r="C227">
        <v>55748046</v>
      </c>
      <c r="D227">
        <v>54702434</v>
      </c>
      <c r="E227">
        <v>1081</v>
      </c>
      <c r="F227">
        <v>1</v>
      </c>
      <c r="G227">
        <v>1081</v>
      </c>
      <c r="H227">
        <v>1</v>
      </c>
      <c r="I227" t="s">
        <v>473</v>
      </c>
      <c r="J227" t="s">
        <v>3</v>
      </c>
      <c r="K227" t="s">
        <v>474</v>
      </c>
      <c r="L227">
        <v>1191</v>
      </c>
      <c r="N227">
        <v>1013</v>
      </c>
      <c r="O227" t="s">
        <v>475</v>
      </c>
      <c r="P227" t="s">
        <v>475</v>
      </c>
      <c r="Q227">
        <v>1</v>
      </c>
      <c r="W227">
        <v>0</v>
      </c>
      <c r="X227">
        <v>476480486</v>
      </c>
      <c r="Y227">
        <f>(AT227*1.2)</f>
        <v>9.1199999999999992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7.6</v>
      </c>
      <c r="AU227" t="s">
        <v>49</v>
      </c>
      <c r="AV227">
        <v>1</v>
      </c>
      <c r="AW227">
        <v>2</v>
      </c>
      <c r="AX227">
        <v>55748054</v>
      </c>
      <c r="AY227">
        <v>1</v>
      </c>
      <c r="AZ227">
        <v>0</v>
      </c>
      <c r="BA227">
        <v>269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ROUND(AT227*Source!I88*AH227*AL227,2)</f>
        <v>0</v>
      </c>
      <c r="CV227">
        <f>ROUND(Y227*Source!I88,9)</f>
        <v>18.239999999999998</v>
      </c>
      <c r="CW227">
        <v>0</v>
      </c>
      <c r="CX227">
        <f>ROUND(Y227*Source!I88,9)</f>
        <v>18.239999999999998</v>
      </c>
      <c r="CY227">
        <f>AD227</f>
        <v>0</v>
      </c>
      <c r="CZ227">
        <f>AH227</f>
        <v>0</v>
      </c>
      <c r="DA227">
        <f>AL227</f>
        <v>1</v>
      </c>
      <c r="DB227">
        <f>ROUND((ROUND(AT227*CZ227,2)*1.2),6)</f>
        <v>0</v>
      </c>
      <c r="DC227">
        <f>ROUND((ROUND(AT227*AG227,2)*1.2),6)</f>
        <v>0</v>
      </c>
      <c r="DD227" t="s">
        <v>3</v>
      </c>
      <c r="DE227" t="s">
        <v>3</v>
      </c>
      <c r="DF227">
        <f t="shared" ref="DF227:DF236" si="78">ROUND(ROUND(AE227,2)*CX227,2)</f>
        <v>0</v>
      </c>
      <c r="DG227">
        <f t="shared" si="76"/>
        <v>0</v>
      </c>
      <c r="DH227">
        <f t="shared" si="77"/>
        <v>0</v>
      </c>
      <c r="DI227">
        <f t="shared" si="71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ROW(Source!A88)</f>
        <v>88</v>
      </c>
      <c r="B228">
        <v>55747649</v>
      </c>
      <c r="C228">
        <v>55748046</v>
      </c>
      <c r="D228">
        <v>54768040</v>
      </c>
      <c r="E228">
        <v>1</v>
      </c>
      <c r="F228">
        <v>1</v>
      </c>
      <c r="G228">
        <v>1081</v>
      </c>
      <c r="H228">
        <v>2</v>
      </c>
      <c r="I228" t="s">
        <v>476</v>
      </c>
      <c r="J228" t="s">
        <v>477</v>
      </c>
      <c r="K228" t="s">
        <v>478</v>
      </c>
      <c r="L228">
        <v>1368</v>
      </c>
      <c r="N228">
        <v>1011</v>
      </c>
      <c r="O228" t="s">
        <v>479</v>
      </c>
      <c r="P228" t="s">
        <v>479</v>
      </c>
      <c r="Q228">
        <v>1</v>
      </c>
      <c r="W228">
        <v>0</v>
      </c>
      <c r="X228">
        <v>1498588441</v>
      </c>
      <c r="Y228">
        <f>(AT228*1.2)</f>
        <v>1.2</v>
      </c>
      <c r="AA228">
        <v>0</v>
      </c>
      <c r="AB228">
        <v>7.59</v>
      </c>
      <c r="AC228">
        <v>0</v>
      </c>
      <c r="AD228">
        <v>0</v>
      </c>
      <c r="AE228">
        <v>0</v>
      </c>
      <c r="AF228">
        <v>7.11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1</v>
      </c>
      <c r="AU228" t="s">
        <v>49</v>
      </c>
      <c r="AV228">
        <v>0</v>
      </c>
      <c r="AW228">
        <v>2</v>
      </c>
      <c r="AX228">
        <v>55748055</v>
      </c>
      <c r="AY228">
        <v>1</v>
      </c>
      <c r="AZ228">
        <v>0</v>
      </c>
      <c r="BA228">
        <v>270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ROUND(Y228*Source!I88*DO228,9)</f>
        <v>0</v>
      </c>
      <c r="CX228">
        <f>ROUND(Y228*Source!I88,9)</f>
        <v>2.4</v>
      </c>
      <c r="CY228">
        <f>AB228</f>
        <v>7.59</v>
      </c>
      <c r="CZ228">
        <f>AF228</f>
        <v>7.11</v>
      </c>
      <c r="DA228">
        <f>AJ228</f>
        <v>1</v>
      </c>
      <c r="DB228">
        <f>ROUND((ROUND(AT228*CZ228,2)*1.2),6)</f>
        <v>8.532</v>
      </c>
      <c r="DC228">
        <f>ROUND((ROUND(AT228*AG228,2)*1.2),6)</f>
        <v>0</v>
      </c>
      <c r="DD228" t="s">
        <v>3</v>
      </c>
      <c r="DE228" t="s">
        <v>3</v>
      </c>
      <c r="DF228">
        <f t="shared" si="78"/>
        <v>0</v>
      </c>
      <c r="DG228">
        <f t="shared" si="76"/>
        <v>17.059999999999999</v>
      </c>
      <c r="DH228">
        <f t="shared" si="77"/>
        <v>0</v>
      </c>
      <c r="DI228">
        <f t="shared" si="71"/>
        <v>0</v>
      </c>
      <c r="DJ228">
        <f>DG228</f>
        <v>17.059999999999999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ROW(Source!A88)</f>
        <v>88</v>
      </c>
      <c r="B229">
        <v>55747649</v>
      </c>
      <c r="C229">
        <v>55748046</v>
      </c>
      <c r="D229">
        <v>54768339</v>
      </c>
      <c r="E229">
        <v>1</v>
      </c>
      <c r="F229">
        <v>1</v>
      </c>
      <c r="G229">
        <v>1081</v>
      </c>
      <c r="H229">
        <v>2</v>
      </c>
      <c r="I229" t="s">
        <v>483</v>
      </c>
      <c r="J229" t="s">
        <v>484</v>
      </c>
      <c r="K229" t="s">
        <v>485</v>
      </c>
      <c r="L229">
        <v>1368</v>
      </c>
      <c r="N229">
        <v>1011</v>
      </c>
      <c r="O229" t="s">
        <v>479</v>
      </c>
      <c r="P229" t="s">
        <v>479</v>
      </c>
      <c r="Q229">
        <v>1</v>
      </c>
      <c r="W229">
        <v>0</v>
      </c>
      <c r="X229">
        <v>874612079</v>
      </c>
      <c r="Y229">
        <f>(AT229*1.2)</f>
        <v>1.2E-2</v>
      </c>
      <c r="AA229">
        <v>0</v>
      </c>
      <c r="AB229">
        <v>88.67</v>
      </c>
      <c r="AC229">
        <v>13.47</v>
      </c>
      <c r="AD229">
        <v>0</v>
      </c>
      <c r="AE229">
        <v>0</v>
      </c>
      <c r="AF229">
        <v>83.1</v>
      </c>
      <c r="AG229">
        <v>12.62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0.01</v>
      </c>
      <c r="AU229" t="s">
        <v>49</v>
      </c>
      <c r="AV229">
        <v>0</v>
      </c>
      <c r="AW229">
        <v>2</v>
      </c>
      <c r="AX229">
        <v>55748056</v>
      </c>
      <c r="AY229">
        <v>1</v>
      </c>
      <c r="AZ229">
        <v>0</v>
      </c>
      <c r="BA229">
        <v>271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ROUND(Y229*Source!I88*DO229,9)</f>
        <v>0.30287999999999998</v>
      </c>
      <c r="CX229">
        <f>ROUND(Y229*Source!I88,9)</f>
        <v>2.4E-2</v>
      </c>
      <c r="CY229">
        <f>AB229</f>
        <v>88.67</v>
      </c>
      <c r="CZ229">
        <f>AF229</f>
        <v>83.1</v>
      </c>
      <c r="DA229">
        <f>AJ229</f>
        <v>1</v>
      </c>
      <c r="DB229">
        <f>ROUND((ROUND(AT229*CZ229,2)*1.2),6)</f>
        <v>0.996</v>
      </c>
      <c r="DC229">
        <f>ROUND((ROUND(AT229*AG229,2)*1.2),6)</f>
        <v>0.156</v>
      </c>
      <c r="DD229" t="s">
        <v>3</v>
      </c>
      <c r="DE229" t="s">
        <v>3</v>
      </c>
      <c r="DF229">
        <f t="shared" si="78"/>
        <v>0</v>
      </c>
      <c r="DG229">
        <f t="shared" si="76"/>
        <v>1.99</v>
      </c>
      <c r="DH229">
        <f t="shared" si="77"/>
        <v>0.3</v>
      </c>
      <c r="DI229">
        <f t="shared" si="71"/>
        <v>0</v>
      </c>
      <c r="DJ229">
        <f>DG229</f>
        <v>1.99</v>
      </c>
      <c r="DK229">
        <v>0</v>
      </c>
      <c r="DL229" t="s">
        <v>486</v>
      </c>
      <c r="DM229">
        <v>0</v>
      </c>
      <c r="DN229" t="s">
        <v>475</v>
      </c>
      <c r="DO229">
        <v>12.62</v>
      </c>
    </row>
    <row r="230" spans="1:119" x14ac:dyDescent="0.2">
      <c r="A230">
        <f>ROW(Source!A88)</f>
        <v>88</v>
      </c>
      <c r="B230">
        <v>55747649</v>
      </c>
      <c r="C230">
        <v>55748046</v>
      </c>
      <c r="D230">
        <v>54738518</v>
      </c>
      <c r="E230">
        <v>1</v>
      </c>
      <c r="F230">
        <v>1</v>
      </c>
      <c r="G230">
        <v>1081</v>
      </c>
      <c r="H230">
        <v>3</v>
      </c>
      <c r="I230" t="s">
        <v>493</v>
      </c>
      <c r="J230" t="s">
        <v>494</v>
      </c>
      <c r="K230" t="s">
        <v>495</v>
      </c>
      <c r="L230">
        <v>1348</v>
      </c>
      <c r="N230">
        <v>1009</v>
      </c>
      <c r="O230" t="s">
        <v>282</v>
      </c>
      <c r="P230" t="s">
        <v>282</v>
      </c>
      <c r="Q230">
        <v>1000</v>
      </c>
      <c r="W230">
        <v>0</v>
      </c>
      <c r="X230">
        <v>205566664</v>
      </c>
      <c r="Y230">
        <f>(AT230*1)</f>
        <v>3.6000000000000002E-4</v>
      </c>
      <c r="AA230">
        <v>9367.64</v>
      </c>
      <c r="AB230">
        <v>0</v>
      </c>
      <c r="AC230">
        <v>0</v>
      </c>
      <c r="AD230">
        <v>0</v>
      </c>
      <c r="AE230">
        <v>9112.49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3.6000000000000002E-4</v>
      </c>
      <c r="AU230" t="s">
        <v>48</v>
      </c>
      <c r="AV230">
        <v>0</v>
      </c>
      <c r="AW230">
        <v>2</v>
      </c>
      <c r="AX230">
        <v>55748057</v>
      </c>
      <c r="AY230">
        <v>1</v>
      </c>
      <c r="AZ230">
        <v>0</v>
      </c>
      <c r="BA230">
        <v>272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ROUND(Y230*Source!I88,9)</f>
        <v>7.2000000000000005E-4</v>
      </c>
      <c r="CY230">
        <f>AA230</f>
        <v>9367.64</v>
      </c>
      <c r="CZ230">
        <f>AE230</f>
        <v>9112.49</v>
      </c>
      <c r="DA230">
        <f>AI230</f>
        <v>1</v>
      </c>
      <c r="DB230">
        <f>ROUND((ROUND(AT230*CZ230,2)*1),6)</f>
        <v>3.28</v>
      </c>
      <c r="DC230">
        <f>ROUND((ROUND(AT230*AG230,2)*1),6)</f>
        <v>0</v>
      </c>
      <c r="DD230" t="s">
        <v>3</v>
      </c>
      <c r="DE230" t="s">
        <v>3</v>
      </c>
      <c r="DF230">
        <f t="shared" si="78"/>
        <v>6.56</v>
      </c>
      <c r="DG230">
        <f t="shared" si="76"/>
        <v>0</v>
      </c>
      <c r="DH230">
        <f t="shared" si="77"/>
        <v>0</v>
      </c>
      <c r="DI230">
        <f t="shared" si="71"/>
        <v>0</v>
      </c>
      <c r="DJ230">
        <f>DF230</f>
        <v>6.56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ROW(Source!A88)</f>
        <v>88</v>
      </c>
      <c r="B231">
        <v>55747649</v>
      </c>
      <c r="C231">
        <v>55748046</v>
      </c>
      <c r="D231">
        <v>54739191</v>
      </c>
      <c r="E231">
        <v>1</v>
      </c>
      <c r="F231">
        <v>1</v>
      </c>
      <c r="G231">
        <v>1081</v>
      </c>
      <c r="H231">
        <v>3</v>
      </c>
      <c r="I231" t="s">
        <v>500</v>
      </c>
      <c r="J231" t="s">
        <v>501</v>
      </c>
      <c r="K231" t="s">
        <v>502</v>
      </c>
      <c r="L231">
        <v>1346</v>
      </c>
      <c r="N231">
        <v>1009</v>
      </c>
      <c r="O231" t="s">
        <v>503</v>
      </c>
      <c r="P231" t="s">
        <v>503</v>
      </c>
      <c r="Q231">
        <v>1</v>
      </c>
      <c r="W231">
        <v>0</v>
      </c>
      <c r="X231">
        <v>-2132327540</v>
      </c>
      <c r="Y231">
        <f>(AT231*1)</f>
        <v>7.0000000000000001E-3</v>
      </c>
      <c r="AA231">
        <v>6.43</v>
      </c>
      <c r="AB231">
        <v>0</v>
      </c>
      <c r="AC231">
        <v>0</v>
      </c>
      <c r="AD231">
        <v>0</v>
      </c>
      <c r="AE231">
        <v>6.25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7.0000000000000001E-3</v>
      </c>
      <c r="AU231" t="s">
        <v>48</v>
      </c>
      <c r="AV231">
        <v>0</v>
      </c>
      <c r="AW231">
        <v>2</v>
      </c>
      <c r="AX231">
        <v>55748058</v>
      </c>
      <c r="AY231">
        <v>1</v>
      </c>
      <c r="AZ231">
        <v>0</v>
      </c>
      <c r="BA231">
        <v>273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ROUND(Y231*Source!I88,9)</f>
        <v>1.4E-2</v>
      </c>
      <c r="CY231">
        <f>AA231</f>
        <v>6.43</v>
      </c>
      <c r="CZ231">
        <f>AE231</f>
        <v>6.25</v>
      </c>
      <c r="DA231">
        <f>AI231</f>
        <v>1</v>
      </c>
      <c r="DB231">
        <f>ROUND((ROUND(AT231*CZ231,2)*1),6)</f>
        <v>0.04</v>
      </c>
      <c r="DC231">
        <f>ROUND((ROUND(AT231*AG231,2)*1),6)</f>
        <v>0</v>
      </c>
      <c r="DD231" t="s">
        <v>3</v>
      </c>
      <c r="DE231" t="s">
        <v>3</v>
      </c>
      <c r="DF231">
        <f t="shared" si="78"/>
        <v>0.09</v>
      </c>
      <c r="DG231">
        <f t="shared" si="76"/>
        <v>0</v>
      </c>
      <c r="DH231">
        <f t="shared" si="77"/>
        <v>0</v>
      </c>
      <c r="DI231">
        <f t="shared" si="71"/>
        <v>0</v>
      </c>
      <c r="DJ231">
        <f>DF231</f>
        <v>0.09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ROW(Source!A88)</f>
        <v>88</v>
      </c>
      <c r="B232">
        <v>55747649</v>
      </c>
      <c r="C232">
        <v>55748046</v>
      </c>
      <c r="D232">
        <v>54737565</v>
      </c>
      <c r="E232">
        <v>1</v>
      </c>
      <c r="F232">
        <v>1</v>
      </c>
      <c r="G232">
        <v>1081</v>
      </c>
      <c r="H232">
        <v>3</v>
      </c>
      <c r="I232" t="s">
        <v>504</v>
      </c>
      <c r="J232" t="s">
        <v>505</v>
      </c>
      <c r="K232" t="s">
        <v>506</v>
      </c>
      <c r="L232">
        <v>1339</v>
      </c>
      <c r="N232">
        <v>1007</v>
      </c>
      <c r="O232" t="s">
        <v>507</v>
      </c>
      <c r="P232" t="s">
        <v>507</v>
      </c>
      <c r="Q232">
        <v>1</v>
      </c>
      <c r="W232">
        <v>0</v>
      </c>
      <c r="X232">
        <v>-1235260082</v>
      </c>
      <c r="Y232">
        <f>(AT232*1)</f>
        <v>0.03</v>
      </c>
      <c r="AA232">
        <v>5.98</v>
      </c>
      <c r="AB232">
        <v>0</v>
      </c>
      <c r="AC232">
        <v>0</v>
      </c>
      <c r="AD232">
        <v>0</v>
      </c>
      <c r="AE232">
        <v>5.82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0.03</v>
      </c>
      <c r="AU232" t="s">
        <v>48</v>
      </c>
      <c r="AV232">
        <v>0</v>
      </c>
      <c r="AW232">
        <v>2</v>
      </c>
      <c r="AX232">
        <v>55748059</v>
      </c>
      <c r="AY232">
        <v>1</v>
      </c>
      <c r="AZ232">
        <v>0</v>
      </c>
      <c r="BA232">
        <v>274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ROUND(Y232*Source!I88,9)</f>
        <v>0.06</v>
      </c>
      <c r="CY232">
        <f>AA232</f>
        <v>5.98</v>
      </c>
      <c r="CZ232">
        <f>AE232</f>
        <v>5.82</v>
      </c>
      <c r="DA232">
        <f>AI232</f>
        <v>1</v>
      </c>
      <c r="DB232">
        <f>ROUND((ROUND(AT232*CZ232,2)*1),6)</f>
        <v>0.17</v>
      </c>
      <c r="DC232">
        <f>ROUND((ROUND(AT232*AG232,2)*1),6)</f>
        <v>0</v>
      </c>
      <c r="DD232" t="s">
        <v>3</v>
      </c>
      <c r="DE232" t="s">
        <v>3</v>
      </c>
      <c r="DF232">
        <f t="shared" si="78"/>
        <v>0.35</v>
      </c>
      <c r="DG232">
        <f t="shared" si="76"/>
        <v>0</v>
      </c>
      <c r="DH232">
        <f t="shared" si="77"/>
        <v>0</v>
      </c>
      <c r="DI232">
        <f t="shared" si="71"/>
        <v>0</v>
      </c>
      <c r="DJ232">
        <f>DF232</f>
        <v>0.35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ROW(Source!A88)</f>
        <v>88</v>
      </c>
      <c r="B233">
        <v>55747649</v>
      </c>
      <c r="C233">
        <v>55748046</v>
      </c>
      <c r="D233">
        <v>54756479</v>
      </c>
      <c r="E233">
        <v>1</v>
      </c>
      <c r="F233">
        <v>1</v>
      </c>
      <c r="G233">
        <v>1081</v>
      </c>
      <c r="H233">
        <v>3</v>
      </c>
      <c r="I233" t="s">
        <v>167</v>
      </c>
      <c r="J233" t="s">
        <v>169</v>
      </c>
      <c r="K233" t="s">
        <v>168</v>
      </c>
      <c r="L233">
        <v>1354</v>
      </c>
      <c r="N233">
        <v>1010</v>
      </c>
      <c r="O233" t="s">
        <v>118</v>
      </c>
      <c r="P233" t="s">
        <v>118</v>
      </c>
      <c r="Q233">
        <v>1</v>
      </c>
      <c r="W233">
        <v>0</v>
      </c>
      <c r="X233">
        <v>-637601952</v>
      </c>
      <c r="Y233">
        <f>(AT233*1)</f>
        <v>1</v>
      </c>
      <c r="AA233">
        <v>38.630000000000003</v>
      </c>
      <c r="AB233">
        <v>0</v>
      </c>
      <c r="AC233">
        <v>0</v>
      </c>
      <c r="AD233">
        <v>0</v>
      </c>
      <c r="AE233">
        <v>38.630000000000003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 t="s">
        <v>3</v>
      </c>
      <c r="AT233">
        <v>1</v>
      </c>
      <c r="AU233" t="s">
        <v>48</v>
      </c>
      <c r="AV233">
        <v>0</v>
      </c>
      <c r="AW233">
        <v>1</v>
      </c>
      <c r="AX233">
        <v>-1</v>
      </c>
      <c r="AY233">
        <v>0</v>
      </c>
      <c r="AZ233">
        <v>0</v>
      </c>
      <c r="BA233" t="s">
        <v>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ROUND(Y233*Source!I88,9)</f>
        <v>2</v>
      </c>
      <c r="CY233">
        <f>AA233</f>
        <v>38.630000000000003</v>
      </c>
      <c r="CZ233">
        <f>AE233</f>
        <v>38.630000000000003</v>
      </c>
      <c r="DA233">
        <f>AI233</f>
        <v>1</v>
      </c>
      <c r="DB233">
        <f>ROUND((ROUND(AT233*CZ233,2)*1),6)</f>
        <v>38.630000000000003</v>
      </c>
      <c r="DC233">
        <f>ROUND((ROUND(AT233*AG233,2)*1),6)</f>
        <v>0</v>
      </c>
      <c r="DD233" t="s">
        <v>3</v>
      </c>
      <c r="DE233" t="s">
        <v>3</v>
      </c>
      <c r="DF233">
        <f t="shared" si="78"/>
        <v>77.260000000000005</v>
      </c>
      <c r="DG233">
        <f t="shared" si="76"/>
        <v>0</v>
      </c>
      <c r="DH233">
        <f t="shared" si="77"/>
        <v>0</v>
      </c>
      <c r="DI233">
        <f t="shared" si="71"/>
        <v>0</v>
      </c>
      <c r="DJ233">
        <f>DF233</f>
        <v>77.260000000000005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ROW(Source!A89)</f>
        <v>89</v>
      </c>
      <c r="B234">
        <v>55747651</v>
      </c>
      <c r="C234">
        <v>55748046</v>
      </c>
      <c r="D234">
        <v>54702434</v>
      </c>
      <c r="E234">
        <v>1081</v>
      </c>
      <c r="F234">
        <v>1</v>
      </c>
      <c r="G234">
        <v>1081</v>
      </c>
      <c r="H234">
        <v>1</v>
      </c>
      <c r="I234" t="s">
        <v>473</v>
      </c>
      <c r="J234" t="s">
        <v>3</v>
      </c>
      <c r="K234" t="s">
        <v>474</v>
      </c>
      <c r="L234">
        <v>1191</v>
      </c>
      <c r="N234">
        <v>1013</v>
      </c>
      <c r="O234" t="s">
        <v>475</v>
      </c>
      <c r="P234" t="s">
        <v>475</v>
      </c>
      <c r="Q234">
        <v>1</v>
      </c>
      <c r="W234">
        <v>0</v>
      </c>
      <c r="X234">
        <v>476480486</v>
      </c>
      <c r="Y234">
        <f>(AT234*1.2)</f>
        <v>9.1199999999999992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5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7.6</v>
      </c>
      <c r="AU234" t="s">
        <v>49</v>
      </c>
      <c r="AV234">
        <v>1</v>
      </c>
      <c r="AW234">
        <v>2</v>
      </c>
      <c r="AX234">
        <v>55748054</v>
      </c>
      <c r="AY234">
        <v>1</v>
      </c>
      <c r="AZ234">
        <v>0</v>
      </c>
      <c r="BA234">
        <v>276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U234">
        <f>ROUND(AT234*Source!I89*AH234*AL234,2)</f>
        <v>0</v>
      </c>
      <c r="CV234">
        <f>ROUND(Y234*Source!I89,9)</f>
        <v>18.239999999999998</v>
      </c>
      <c r="CW234">
        <v>0</v>
      </c>
      <c r="CX234">
        <f>ROUND(Y234*Source!I89,9)</f>
        <v>18.239999999999998</v>
      </c>
      <c r="CY234">
        <f>AD234</f>
        <v>0</v>
      </c>
      <c r="CZ234">
        <f>AH234</f>
        <v>0</v>
      </c>
      <c r="DA234">
        <f>AL234</f>
        <v>1</v>
      </c>
      <c r="DB234">
        <f>ROUND((ROUND(AT234*CZ234,2)*1.2),6)</f>
        <v>0</v>
      </c>
      <c r="DC234">
        <f>ROUND((ROUND(AT234*AG234,2)*1.2),6)</f>
        <v>0</v>
      </c>
      <c r="DD234" t="s">
        <v>3</v>
      </c>
      <c r="DE234" t="s">
        <v>3</v>
      </c>
      <c r="DF234">
        <f t="shared" si="78"/>
        <v>0</v>
      </c>
      <c r="DG234">
        <f t="shared" si="76"/>
        <v>0</v>
      </c>
      <c r="DH234">
        <f t="shared" si="77"/>
        <v>0</v>
      </c>
      <c r="DI234">
        <f t="shared" si="71"/>
        <v>0</v>
      </c>
      <c r="DJ234">
        <f>DI234</f>
        <v>0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ROW(Source!A89)</f>
        <v>89</v>
      </c>
      <c r="B235">
        <v>55747651</v>
      </c>
      <c r="C235">
        <v>55748046</v>
      </c>
      <c r="D235">
        <v>54768040</v>
      </c>
      <c r="E235">
        <v>1</v>
      </c>
      <c r="F235">
        <v>1</v>
      </c>
      <c r="G235">
        <v>1081</v>
      </c>
      <c r="H235">
        <v>2</v>
      </c>
      <c r="I235" t="s">
        <v>476</v>
      </c>
      <c r="J235" t="s">
        <v>477</v>
      </c>
      <c r="K235" t="s">
        <v>478</v>
      </c>
      <c r="L235">
        <v>1368</v>
      </c>
      <c r="N235">
        <v>1011</v>
      </c>
      <c r="O235" t="s">
        <v>479</v>
      </c>
      <c r="P235" t="s">
        <v>479</v>
      </c>
      <c r="Q235">
        <v>1</v>
      </c>
      <c r="W235">
        <v>0</v>
      </c>
      <c r="X235">
        <v>1498588441</v>
      </c>
      <c r="Y235">
        <f>(AT235*1.2)</f>
        <v>1.2</v>
      </c>
      <c r="AA235">
        <v>0</v>
      </c>
      <c r="AB235">
        <v>102.11</v>
      </c>
      <c r="AC235">
        <v>0</v>
      </c>
      <c r="AD235">
        <v>0</v>
      </c>
      <c r="AE235">
        <v>0</v>
      </c>
      <c r="AF235">
        <v>7.11</v>
      </c>
      <c r="AG235">
        <v>0</v>
      </c>
      <c r="AH235">
        <v>0</v>
      </c>
      <c r="AI235">
        <v>1</v>
      </c>
      <c r="AJ235">
        <v>13.46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</v>
      </c>
      <c r="AU235" t="s">
        <v>49</v>
      </c>
      <c r="AV235">
        <v>0</v>
      </c>
      <c r="AW235">
        <v>2</v>
      </c>
      <c r="AX235">
        <v>55748055</v>
      </c>
      <c r="AY235">
        <v>1</v>
      </c>
      <c r="AZ235">
        <v>0</v>
      </c>
      <c r="BA235">
        <v>277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ROUND(Y235*Source!I89*DO235,9)</f>
        <v>0</v>
      </c>
      <c r="CX235">
        <f>ROUND(Y235*Source!I89,9)</f>
        <v>2.4</v>
      </c>
      <c r="CY235">
        <f>AB235</f>
        <v>102.11</v>
      </c>
      <c r="CZ235">
        <f>AF235</f>
        <v>7.11</v>
      </c>
      <c r="DA235">
        <f>AJ235</f>
        <v>13.46</v>
      </c>
      <c r="DB235">
        <f>ROUND((ROUND(AT235*CZ235,2)*1.2),6)</f>
        <v>8.532</v>
      </c>
      <c r="DC235">
        <f>ROUND((ROUND(AT235*AG235,2)*1.2),6)</f>
        <v>0</v>
      </c>
      <c r="DD235" t="s">
        <v>3</v>
      </c>
      <c r="DE235" t="s">
        <v>3</v>
      </c>
      <c r="DF235">
        <f t="shared" si="78"/>
        <v>0</v>
      </c>
      <c r="DG235">
        <f>ROUND(ROUND(AF235*AJ235,2)*CX235,2)</f>
        <v>229.68</v>
      </c>
      <c r="DH235">
        <f t="shared" si="77"/>
        <v>0</v>
      </c>
      <c r="DI235">
        <f t="shared" si="71"/>
        <v>0</v>
      </c>
      <c r="DJ235">
        <f>DG235</f>
        <v>229.68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ROW(Source!A89)</f>
        <v>89</v>
      </c>
      <c r="B236">
        <v>55747651</v>
      </c>
      <c r="C236">
        <v>55748046</v>
      </c>
      <c r="D236">
        <v>54768339</v>
      </c>
      <c r="E236">
        <v>1</v>
      </c>
      <c r="F236">
        <v>1</v>
      </c>
      <c r="G236">
        <v>1081</v>
      </c>
      <c r="H236">
        <v>2</v>
      </c>
      <c r="I236" t="s">
        <v>483</v>
      </c>
      <c r="J236" t="s">
        <v>484</v>
      </c>
      <c r="K236" t="s">
        <v>485</v>
      </c>
      <c r="L236">
        <v>1368</v>
      </c>
      <c r="N236">
        <v>1011</v>
      </c>
      <c r="O236" t="s">
        <v>479</v>
      </c>
      <c r="P236" t="s">
        <v>479</v>
      </c>
      <c r="Q236">
        <v>1</v>
      </c>
      <c r="W236">
        <v>0</v>
      </c>
      <c r="X236">
        <v>874612079</v>
      </c>
      <c r="Y236">
        <f>(AT236*1.2)</f>
        <v>1.2E-2</v>
      </c>
      <c r="AA236">
        <v>0</v>
      </c>
      <c r="AB236">
        <v>1513.56</v>
      </c>
      <c r="AC236">
        <v>758.78</v>
      </c>
      <c r="AD236">
        <v>0</v>
      </c>
      <c r="AE236">
        <v>0</v>
      </c>
      <c r="AF236">
        <v>83.1</v>
      </c>
      <c r="AG236">
        <v>12.62</v>
      </c>
      <c r="AH236">
        <v>0</v>
      </c>
      <c r="AI236">
        <v>1</v>
      </c>
      <c r="AJ236">
        <v>17.07</v>
      </c>
      <c r="AK236">
        <v>56.35</v>
      </c>
      <c r="AL236">
        <v>1</v>
      </c>
      <c r="AM236">
        <v>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0.01</v>
      </c>
      <c r="AU236" t="s">
        <v>49</v>
      </c>
      <c r="AV236">
        <v>0</v>
      </c>
      <c r="AW236">
        <v>2</v>
      </c>
      <c r="AX236">
        <v>55748056</v>
      </c>
      <c r="AY236">
        <v>1</v>
      </c>
      <c r="AZ236">
        <v>0</v>
      </c>
      <c r="BA236">
        <v>278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ROUND(Y236*Source!I89*DO236,9)</f>
        <v>0.30287999999999998</v>
      </c>
      <c r="CX236">
        <f>ROUND(Y236*Source!I89,9)</f>
        <v>2.4E-2</v>
      </c>
      <c r="CY236">
        <f>AB236</f>
        <v>1513.56</v>
      </c>
      <c r="CZ236">
        <f>AF236</f>
        <v>83.1</v>
      </c>
      <c r="DA236">
        <f>AJ236</f>
        <v>17.07</v>
      </c>
      <c r="DB236">
        <f>ROUND((ROUND(AT236*CZ236,2)*1.2),6)</f>
        <v>0.996</v>
      </c>
      <c r="DC236">
        <f>ROUND((ROUND(AT236*AG236,2)*1.2),6)</f>
        <v>0.156</v>
      </c>
      <c r="DD236" t="s">
        <v>3</v>
      </c>
      <c r="DE236" t="s">
        <v>3</v>
      </c>
      <c r="DF236">
        <f t="shared" si="78"/>
        <v>0</v>
      </c>
      <c r="DG236">
        <f>ROUND(ROUND(AF236*AJ236,2)*CX236,2)</f>
        <v>34.04</v>
      </c>
      <c r="DH236">
        <f>ROUND(ROUND(AG236*AK236,2)*CX236,2)</f>
        <v>17.07</v>
      </c>
      <c r="DI236">
        <f t="shared" si="71"/>
        <v>0</v>
      </c>
      <c r="DJ236">
        <f>DG236</f>
        <v>34.04</v>
      </c>
      <c r="DK236">
        <v>0</v>
      </c>
      <c r="DL236" t="s">
        <v>486</v>
      </c>
      <c r="DM236">
        <v>0</v>
      </c>
      <c r="DN236" t="s">
        <v>475</v>
      </c>
      <c r="DO236">
        <v>12.62</v>
      </c>
    </row>
    <row r="237" spans="1:119" x14ac:dyDescent="0.2">
      <c r="A237">
        <f>ROW(Source!A89)</f>
        <v>89</v>
      </c>
      <c r="B237">
        <v>55747651</v>
      </c>
      <c r="C237">
        <v>55748046</v>
      </c>
      <c r="D237">
        <v>54738518</v>
      </c>
      <c r="E237">
        <v>1</v>
      </c>
      <c r="F237">
        <v>1</v>
      </c>
      <c r="G237">
        <v>1081</v>
      </c>
      <c r="H237">
        <v>3</v>
      </c>
      <c r="I237" t="s">
        <v>493</v>
      </c>
      <c r="J237" t="s">
        <v>494</v>
      </c>
      <c r="K237" t="s">
        <v>495</v>
      </c>
      <c r="L237">
        <v>1348</v>
      </c>
      <c r="N237">
        <v>1009</v>
      </c>
      <c r="O237" t="s">
        <v>282</v>
      </c>
      <c r="P237" t="s">
        <v>282</v>
      </c>
      <c r="Q237">
        <v>1000</v>
      </c>
      <c r="W237">
        <v>0</v>
      </c>
      <c r="X237">
        <v>205566664</v>
      </c>
      <c r="Y237">
        <f>(AT237*1)</f>
        <v>3.6000000000000002E-4</v>
      </c>
      <c r="AA237">
        <v>95081.54</v>
      </c>
      <c r="AB237">
        <v>0</v>
      </c>
      <c r="AC237">
        <v>0</v>
      </c>
      <c r="AD237">
        <v>0</v>
      </c>
      <c r="AE237">
        <v>9112.49</v>
      </c>
      <c r="AF237">
        <v>0</v>
      </c>
      <c r="AG237">
        <v>0</v>
      </c>
      <c r="AH237">
        <v>0</v>
      </c>
      <c r="AI237">
        <v>10.15</v>
      </c>
      <c r="AJ237">
        <v>1</v>
      </c>
      <c r="AK237">
        <v>1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3.6000000000000002E-4</v>
      </c>
      <c r="AU237" t="s">
        <v>48</v>
      </c>
      <c r="AV237">
        <v>0</v>
      </c>
      <c r="AW237">
        <v>2</v>
      </c>
      <c r="AX237">
        <v>55748057</v>
      </c>
      <c r="AY237">
        <v>1</v>
      </c>
      <c r="AZ237">
        <v>0</v>
      </c>
      <c r="BA237">
        <v>279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ROUND(Y237*Source!I89,9)</f>
        <v>7.2000000000000005E-4</v>
      </c>
      <c r="CY237">
        <f>AA237</f>
        <v>95081.54</v>
      </c>
      <c r="CZ237">
        <f>AE237</f>
        <v>9112.49</v>
      </c>
      <c r="DA237">
        <f>AI237</f>
        <v>10.15</v>
      </c>
      <c r="DB237">
        <f>ROUND((ROUND(AT237*CZ237,2)*1),6)</f>
        <v>3.28</v>
      </c>
      <c r="DC237">
        <f>ROUND((ROUND(AT237*AG237,2)*1),6)</f>
        <v>0</v>
      </c>
      <c r="DD237" t="s">
        <v>3</v>
      </c>
      <c r="DE237" t="s">
        <v>3</v>
      </c>
      <c r="DF237">
        <f>ROUND(ROUND(AE237*AI237,2)*CX237,2)</f>
        <v>66.59</v>
      </c>
      <c r="DG237">
        <f t="shared" ref="DG237:DG249" si="79">ROUND(ROUND(AF237,2)*CX237,2)</f>
        <v>0</v>
      </c>
      <c r="DH237">
        <f t="shared" ref="DH237:DH267" si="80">ROUND(ROUND(AG237,2)*CX237,2)</f>
        <v>0</v>
      </c>
      <c r="DI237">
        <f t="shared" si="71"/>
        <v>0</v>
      </c>
      <c r="DJ237">
        <f>DF237</f>
        <v>66.59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ROW(Source!A89)</f>
        <v>89</v>
      </c>
      <c r="B238">
        <v>55747651</v>
      </c>
      <c r="C238">
        <v>55748046</v>
      </c>
      <c r="D238">
        <v>54739191</v>
      </c>
      <c r="E238">
        <v>1</v>
      </c>
      <c r="F238">
        <v>1</v>
      </c>
      <c r="G238">
        <v>1081</v>
      </c>
      <c r="H238">
        <v>3</v>
      </c>
      <c r="I238" t="s">
        <v>500</v>
      </c>
      <c r="J238" t="s">
        <v>501</v>
      </c>
      <c r="K238" t="s">
        <v>502</v>
      </c>
      <c r="L238">
        <v>1346</v>
      </c>
      <c r="N238">
        <v>1009</v>
      </c>
      <c r="O238" t="s">
        <v>503</v>
      </c>
      <c r="P238" t="s">
        <v>503</v>
      </c>
      <c r="Q238">
        <v>1</v>
      </c>
      <c r="W238">
        <v>0</v>
      </c>
      <c r="X238">
        <v>-2132327540</v>
      </c>
      <c r="Y238">
        <f>(AT238*1)</f>
        <v>7.0000000000000001E-3</v>
      </c>
      <c r="AA238">
        <v>64.760000000000005</v>
      </c>
      <c r="AB238">
        <v>0</v>
      </c>
      <c r="AC238">
        <v>0</v>
      </c>
      <c r="AD238">
        <v>0</v>
      </c>
      <c r="AE238">
        <v>6.25</v>
      </c>
      <c r="AF238">
        <v>0</v>
      </c>
      <c r="AG238">
        <v>0</v>
      </c>
      <c r="AH238">
        <v>0</v>
      </c>
      <c r="AI238">
        <v>10.08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7.0000000000000001E-3</v>
      </c>
      <c r="AU238" t="s">
        <v>48</v>
      </c>
      <c r="AV238">
        <v>0</v>
      </c>
      <c r="AW238">
        <v>2</v>
      </c>
      <c r="AX238">
        <v>55748058</v>
      </c>
      <c r="AY238">
        <v>1</v>
      </c>
      <c r="AZ238">
        <v>0</v>
      </c>
      <c r="BA238">
        <v>280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ROUND(Y238*Source!I89,9)</f>
        <v>1.4E-2</v>
      </c>
      <c r="CY238">
        <f>AA238</f>
        <v>64.760000000000005</v>
      </c>
      <c r="CZ238">
        <f>AE238</f>
        <v>6.25</v>
      </c>
      <c r="DA238">
        <f>AI238</f>
        <v>10.08</v>
      </c>
      <c r="DB238">
        <f>ROUND((ROUND(AT238*CZ238,2)*1),6)</f>
        <v>0.04</v>
      </c>
      <c r="DC238">
        <f>ROUND((ROUND(AT238*AG238,2)*1),6)</f>
        <v>0</v>
      </c>
      <c r="DD238" t="s">
        <v>3</v>
      </c>
      <c r="DE238" t="s">
        <v>3</v>
      </c>
      <c r="DF238">
        <f>ROUND(ROUND(AE238*AI238,2)*CX238,2)</f>
        <v>0.88</v>
      </c>
      <c r="DG238">
        <f t="shared" si="79"/>
        <v>0</v>
      </c>
      <c r="DH238">
        <f t="shared" si="80"/>
        <v>0</v>
      </c>
      <c r="DI238">
        <f t="shared" si="71"/>
        <v>0</v>
      </c>
      <c r="DJ238">
        <f>DF238</f>
        <v>0.88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ROW(Source!A89)</f>
        <v>89</v>
      </c>
      <c r="B239">
        <v>55747651</v>
      </c>
      <c r="C239">
        <v>55748046</v>
      </c>
      <c r="D239">
        <v>54737565</v>
      </c>
      <c r="E239">
        <v>1</v>
      </c>
      <c r="F239">
        <v>1</v>
      </c>
      <c r="G239">
        <v>1081</v>
      </c>
      <c r="H239">
        <v>3</v>
      </c>
      <c r="I239" t="s">
        <v>504</v>
      </c>
      <c r="J239" t="s">
        <v>505</v>
      </c>
      <c r="K239" t="s">
        <v>506</v>
      </c>
      <c r="L239">
        <v>1339</v>
      </c>
      <c r="N239">
        <v>1007</v>
      </c>
      <c r="O239" t="s">
        <v>507</v>
      </c>
      <c r="P239" t="s">
        <v>507</v>
      </c>
      <c r="Q239">
        <v>1</v>
      </c>
      <c r="W239">
        <v>0</v>
      </c>
      <c r="X239">
        <v>-1235260082</v>
      </c>
      <c r="Y239">
        <f>(AT239*1)</f>
        <v>0.03</v>
      </c>
      <c r="AA239">
        <v>104.16</v>
      </c>
      <c r="AB239">
        <v>0</v>
      </c>
      <c r="AC239">
        <v>0</v>
      </c>
      <c r="AD239">
        <v>0</v>
      </c>
      <c r="AE239">
        <v>5.82</v>
      </c>
      <c r="AF239">
        <v>0</v>
      </c>
      <c r="AG239">
        <v>0</v>
      </c>
      <c r="AH239">
        <v>0</v>
      </c>
      <c r="AI239">
        <v>17.41</v>
      </c>
      <c r="AJ239">
        <v>1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0.03</v>
      </c>
      <c r="AU239" t="s">
        <v>48</v>
      </c>
      <c r="AV239">
        <v>0</v>
      </c>
      <c r="AW239">
        <v>2</v>
      </c>
      <c r="AX239">
        <v>55748059</v>
      </c>
      <c r="AY239">
        <v>1</v>
      </c>
      <c r="AZ239">
        <v>0</v>
      </c>
      <c r="BA239">
        <v>281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ROUND(Y239*Source!I89,9)</f>
        <v>0.06</v>
      </c>
      <c r="CY239">
        <f>AA239</f>
        <v>104.16</v>
      </c>
      <c r="CZ239">
        <f>AE239</f>
        <v>5.82</v>
      </c>
      <c r="DA239">
        <f>AI239</f>
        <v>17.41</v>
      </c>
      <c r="DB239">
        <f>ROUND((ROUND(AT239*CZ239,2)*1),6)</f>
        <v>0.17</v>
      </c>
      <c r="DC239">
        <f>ROUND((ROUND(AT239*AG239,2)*1),6)</f>
        <v>0</v>
      </c>
      <c r="DD239" t="s">
        <v>3</v>
      </c>
      <c r="DE239" t="s">
        <v>3</v>
      </c>
      <c r="DF239">
        <f>ROUND(ROUND(AE239*AI239,2)*CX239,2)</f>
        <v>6.08</v>
      </c>
      <c r="DG239">
        <f t="shared" si="79"/>
        <v>0</v>
      </c>
      <c r="DH239">
        <f t="shared" si="80"/>
        <v>0</v>
      </c>
      <c r="DI239">
        <f t="shared" si="71"/>
        <v>0</v>
      </c>
      <c r="DJ239">
        <f>DF239</f>
        <v>6.08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ROW(Source!A89)</f>
        <v>89</v>
      </c>
      <c r="B240">
        <v>55747651</v>
      </c>
      <c r="C240">
        <v>55748046</v>
      </c>
      <c r="D240">
        <v>54756479</v>
      </c>
      <c r="E240">
        <v>1</v>
      </c>
      <c r="F240">
        <v>1</v>
      </c>
      <c r="G240">
        <v>1081</v>
      </c>
      <c r="H240">
        <v>3</v>
      </c>
      <c r="I240" t="s">
        <v>167</v>
      </c>
      <c r="J240" t="s">
        <v>169</v>
      </c>
      <c r="K240" t="s">
        <v>168</v>
      </c>
      <c r="L240">
        <v>1354</v>
      </c>
      <c r="N240">
        <v>1010</v>
      </c>
      <c r="O240" t="s">
        <v>118</v>
      </c>
      <c r="P240" t="s">
        <v>118</v>
      </c>
      <c r="Q240">
        <v>1</v>
      </c>
      <c r="W240">
        <v>0</v>
      </c>
      <c r="X240">
        <v>-637601952</v>
      </c>
      <c r="Y240">
        <f>(AT240*1)</f>
        <v>1</v>
      </c>
      <c r="AA240">
        <v>177.7</v>
      </c>
      <c r="AB240">
        <v>0</v>
      </c>
      <c r="AC240">
        <v>0</v>
      </c>
      <c r="AD240">
        <v>0</v>
      </c>
      <c r="AE240">
        <v>38.630000000000003</v>
      </c>
      <c r="AF240">
        <v>0</v>
      </c>
      <c r="AG240">
        <v>0</v>
      </c>
      <c r="AH240">
        <v>0</v>
      </c>
      <c r="AI240">
        <v>4.5999999999999996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1</v>
      </c>
      <c r="AU240" t="s">
        <v>48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ROUND(Y240*Source!I89,9)</f>
        <v>2</v>
      </c>
      <c r="CY240">
        <f>AA240</f>
        <v>177.7</v>
      </c>
      <c r="CZ240">
        <f>AE240</f>
        <v>38.630000000000003</v>
      </c>
      <c r="DA240">
        <f>AI240</f>
        <v>4.5999999999999996</v>
      </c>
      <c r="DB240">
        <f>ROUND((ROUND(AT240*CZ240,2)*1),6)</f>
        <v>38.630000000000003</v>
      </c>
      <c r="DC240">
        <f>ROUND((ROUND(AT240*AG240,2)*1),6)</f>
        <v>0</v>
      </c>
      <c r="DD240" t="s">
        <v>3</v>
      </c>
      <c r="DE240" t="s">
        <v>3</v>
      </c>
      <c r="DF240">
        <f>ROUND(ROUND(AE240*AI240,2)*CX240,2)</f>
        <v>355.4</v>
      </c>
      <c r="DG240">
        <f t="shared" si="79"/>
        <v>0</v>
      </c>
      <c r="DH240">
        <f t="shared" si="80"/>
        <v>0</v>
      </c>
      <c r="DI240">
        <f t="shared" si="71"/>
        <v>0</v>
      </c>
      <c r="DJ240">
        <f>DF240</f>
        <v>355.4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ROW(Source!A94)</f>
        <v>94</v>
      </c>
      <c r="B241">
        <v>55747649</v>
      </c>
      <c r="C241">
        <v>55748062</v>
      </c>
      <c r="D241">
        <v>54702434</v>
      </c>
      <c r="E241">
        <v>1081</v>
      </c>
      <c r="F241">
        <v>1</v>
      </c>
      <c r="G241">
        <v>1081</v>
      </c>
      <c r="H241">
        <v>1</v>
      </c>
      <c r="I241" t="s">
        <v>473</v>
      </c>
      <c r="J241" t="s">
        <v>3</v>
      </c>
      <c r="K241" t="s">
        <v>474</v>
      </c>
      <c r="L241">
        <v>1191</v>
      </c>
      <c r="N241">
        <v>1013</v>
      </c>
      <c r="O241" t="s">
        <v>475</v>
      </c>
      <c r="P241" t="s">
        <v>475</v>
      </c>
      <c r="Q241">
        <v>1</v>
      </c>
      <c r="W241">
        <v>0</v>
      </c>
      <c r="X241">
        <v>476480486</v>
      </c>
      <c r="Y241">
        <f>(AT241*1.2)</f>
        <v>5.76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4.8</v>
      </c>
      <c r="AU241" t="s">
        <v>49</v>
      </c>
      <c r="AV241">
        <v>1</v>
      </c>
      <c r="AW241">
        <v>2</v>
      </c>
      <c r="AX241">
        <v>55748071</v>
      </c>
      <c r="AY241">
        <v>1</v>
      </c>
      <c r="AZ241">
        <v>0</v>
      </c>
      <c r="BA241">
        <v>283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U241">
        <f>ROUND(AT241*Source!I94*AH241*AL241,2)</f>
        <v>0</v>
      </c>
      <c r="CV241">
        <f>ROUND(Y241*Source!I94,9)</f>
        <v>17.28</v>
      </c>
      <c r="CW241">
        <v>0</v>
      </c>
      <c r="CX241">
        <f>ROUND(Y241*Source!I94,9)</f>
        <v>17.28</v>
      </c>
      <c r="CY241">
        <f>AD241</f>
        <v>0</v>
      </c>
      <c r="CZ241">
        <f>AH241</f>
        <v>0</v>
      </c>
      <c r="DA241">
        <f>AL241</f>
        <v>1</v>
      </c>
      <c r="DB241">
        <f>ROUND((ROUND(AT241*CZ241,2)*1.2),6)</f>
        <v>0</v>
      </c>
      <c r="DC241">
        <f>ROUND((ROUND(AT241*AG241,2)*1.2),6)</f>
        <v>0</v>
      </c>
      <c r="DD241" t="s">
        <v>3</v>
      </c>
      <c r="DE241" t="s">
        <v>3</v>
      </c>
      <c r="DF241">
        <f t="shared" ref="DF241:DF250" si="81">ROUND(ROUND(AE241,2)*CX241,2)</f>
        <v>0</v>
      </c>
      <c r="DG241">
        <f t="shared" si="79"/>
        <v>0</v>
      </c>
      <c r="DH241">
        <f t="shared" si="80"/>
        <v>0</v>
      </c>
      <c r="DI241">
        <f t="shared" si="71"/>
        <v>0</v>
      </c>
      <c r="DJ241">
        <f>DI241</f>
        <v>0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ROW(Source!A94)</f>
        <v>94</v>
      </c>
      <c r="B242">
        <v>55747649</v>
      </c>
      <c r="C242">
        <v>55748062</v>
      </c>
      <c r="D242">
        <v>54768040</v>
      </c>
      <c r="E242">
        <v>1</v>
      </c>
      <c r="F242">
        <v>1</v>
      </c>
      <c r="G242">
        <v>1081</v>
      </c>
      <c r="H242">
        <v>2</v>
      </c>
      <c r="I242" t="s">
        <v>476</v>
      </c>
      <c r="J242" t="s">
        <v>477</v>
      </c>
      <c r="K242" t="s">
        <v>478</v>
      </c>
      <c r="L242">
        <v>1368</v>
      </c>
      <c r="N242">
        <v>1011</v>
      </c>
      <c r="O242" t="s">
        <v>479</v>
      </c>
      <c r="P242" t="s">
        <v>479</v>
      </c>
      <c r="Q242">
        <v>1</v>
      </c>
      <c r="W242">
        <v>0</v>
      </c>
      <c r="X242">
        <v>1498588441</v>
      </c>
      <c r="Y242">
        <f>(AT242*1.2)</f>
        <v>0.63600000000000001</v>
      </c>
      <c r="AA242">
        <v>0</v>
      </c>
      <c r="AB242">
        <v>7.59</v>
      </c>
      <c r="AC242">
        <v>0</v>
      </c>
      <c r="AD242">
        <v>0</v>
      </c>
      <c r="AE242">
        <v>0</v>
      </c>
      <c r="AF242">
        <v>7.11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0.53</v>
      </c>
      <c r="AU242" t="s">
        <v>49</v>
      </c>
      <c r="AV242">
        <v>0</v>
      </c>
      <c r="AW242">
        <v>2</v>
      </c>
      <c r="AX242">
        <v>55748072</v>
      </c>
      <c r="AY242">
        <v>1</v>
      </c>
      <c r="AZ242">
        <v>0</v>
      </c>
      <c r="BA242">
        <v>284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ROUND(Y242*Source!I94*DO242,9)</f>
        <v>0</v>
      </c>
      <c r="CX242">
        <f>ROUND(Y242*Source!I94,9)</f>
        <v>1.9079999999999999</v>
      </c>
      <c r="CY242">
        <f>AB242</f>
        <v>7.59</v>
      </c>
      <c r="CZ242">
        <f>AF242</f>
        <v>7.11</v>
      </c>
      <c r="DA242">
        <f>AJ242</f>
        <v>1</v>
      </c>
      <c r="DB242">
        <f>ROUND((ROUND(AT242*CZ242,2)*1.2),6)</f>
        <v>4.524</v>
      </c>
      <c r="DC242">
        <f>ROUND((ROUND(AT242*AG242,2)*1.2),6)</f>
        <v>0</v>
      </c>
      <c r="DD242" t="s">
        <v>3</v>
      </c>
      <c r="DE242" t="s">
        <v>3</v>
      </c>
      <c r="DF242">
        <f t="shared" si="81"/>
        <v>0</v>
      </c>
      <c r="DG242">
        <f t="shared" si="79"/>
        <v>13.57</v>
      </c>
      <c r="DH242">
        <f t="shared" si="80"/>
        <v>0</v>
      </c>
      <c r="DI242">
        <f t="shared" si="71"/>
        <v>0</v>
      </c>
      <c r="DJ242">
        <f>DG242</f>
        <v>13.57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ROW(Source!A94)</f>
        <v>94</v>
      </c>
      <c r="B243">
        <v>55747649</v>
      </c>
      <c r="C243">
        <v>55748062</v>
      </c>
      <c r="D243">
        <v>54738505</v>
      </c>
      <c r="E243">
        <v>1</v>
      </c>
      <c r="F243">
        <v>1</v>
      </c>
      <c r="G243">
        <v>1081</v>
      </c>
      <c r="H243">
        <v>3</v>
      </c>
      <c r="I243" t="s">
        <v>580</v>
      </c>
      <c r="J243" t="s">
        <v>581</v>
      </c>
      <c r="K243" t="s">
        <v>582</v>
      </c>
      <c r="L243">
        <v>1346</v>
      </c>
      <c r="N243">
        <v>1009</v>
      </c>
      <c r="O243" t="s">
        <v>503</v>
      </c>
      <c r="P243" t="s">
        <v>503</v>
      </c>
      <c r="Q243">
        <v>1</v>
      </c>
      <c r="W243">
        <v>0</v>
      </c>
      <c r="X243">
        <v>732400950</v>
      </c>
      <c r="Y243">
        <f>(AT243*1)</f>
        <v>0.56000000000000005</v>
      </c>
      <c r="AA243">
        <v>21.59</v>
      </c>
      <c r="AB243">
        <v>0</v>
      </c>
      <c r="AC243">
        <v>0</v>
      </c>
      <c r="AD243">
        <v>0</v>
      </c>
      <c r="AE243">
        <v>21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0.56000000000000005</v>
      </c>
      <c r="AU243" t="s">
        <v>48</v>
      </c>
      <c r="AV243">
        <v>0</v>
      </c>
      <c r="AW243">
        <v>2</v>
      </c>
      <c r="AX243">
        <v>55748073</v>
      </c>
      <c r="AY243">
        <v>1</v>
      </c>
      <c r="AZ243">
        <v>0</v>
      </c>
      <c r="BA243">
        <v>285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ROUND(Y243*Source!I94,9)</f>
        <v>1.68</v>
      </c>
      <c r="CY243">
        <f t="shared" ref="CY243:CY248" si="82">AA243</f>
        <v>21.59</v>
      </c>
      <c r="CZ243">
        <f t="shared" ref="CZ243:CZ248" si="83">AE243</f>
        <v>21</v>
      </c>
      <c r="DA243">
        <f t="shared" ref="DA243:DA248" si="84">AI243</f>
        <v>1</v>
      </c>
      <c r="DB243">
        <f>ROUND((ROUND(AT243*CZ243,2)*1),6)</f>
        <v>11.76</v>
      </c>
      <c r="DC243">
        <f>ROUND((ROUND(AT243*AG243,2)*1),6)</f>
        <v>0</v>
      </c>
      <c r="DD243" t="s">
        <v>3</v>
      </c>
      <c r="DE243" t="s">
        <v>3</v>
      </c>
      <c r="DF243">
        <f t="shared" si="81"/>
        <v>35.28</v>
      </c>
      <c r="DG243">
        <f t="shared" si="79"/>
        <v>0</v>
      </c>
      <c r="DH243">
        <f t="shared" si="80"/>
        <v>0</v>
      </c>
      <c r="DI243">
        <f t="shared" si="71"/>
        <v>0</v>
      </c>
      <c r="DJ243">
        <f t="shared" ref="DJ243:DJ248" si="85">DF243</f>
        <v>35.28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ROW(Source!A94)</f>
        <v>94</v>
      </c>
      <c r="B244">
        <v>55747649</v>
      </c>
      <c r="C244">
        <v>55748062</v>
      </c>
      <c r="D244">
        <v>54737299</v>
      </c>
      <c r="E244">
        <v>1</v>
      </c>
      <c r="F244">
        <v>1</v>
      </c>
      <c r="G244">
        <v>1081</v>
      </c>
      <c r="H244">
        <v>3</v>
      </c>
      <c r="I244" t="s">
        <v>583</v>
      </c>
      <c r="J244" t="s">
        <v>584</v>
      </c>
      <c r="K244" t="s">
        <v>585</v>
      </c>
      <c r="L244">
        <v>1339</v>
      </c>
      <c r="N244">
        <v>1007</v>
      </c>
      <c r="O244" t="s">
        <v>507</v>
      </c>
      <c r="P244" t="s">
        <v>507</v>
      </c>
      <c r="Q244">
        <v>1</v>
      </c>
      <c r="W244">
        <v>0</v>
      </c>
      <c r="X244">
        <v>-676034668</v>
      </c>
      <c r="Y244">
        <f>(AT244*1)</f>
        <v>2.5999999999999999E-2</v>
      </c>
      <c r="AA244">
        <v>54.92</v>
      </c>
      <c r="AB244">
        <v>0</v>
      </c>
      <c r="AC244">
        <v>0</v>
      </c>
      <c r="AD244">
        <v>0</v>
      </c>
      <c r="AE244">
        <v>53.42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2.5999999999999999E-2</v>
      </c>
      <c r="AU244" t="s">
        <v>48</v>
      </c>
      <c r="AV244">
        <v>0</v>
      </c>
      <c r="AW244">
        <v>2</v>
      </c>
      <c r="AX244">
        <v>55748074</v>
      </c>
      <c r="AY244">
        <v>1</v>
      </c>
      <c r="AZ244">
        <v>0</v>
      </c>
      <c r="BA244">
        <v>286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ROUND(Y244*Source!I94,9)</f>
        <v>7.8E-2</v>
      </c>
      <c r="CY244">
        <f t="shared" si="82"/>
        <v>54.92</v>
      </c>
      <c r="CZ244">
        <f t="shared" si="83"/>
        <v>53.42</v>
      </c>
      <c r="DA244">
        <f t="shared" si="84"/>
        <v>1</v>
      </c>
      <c r="DB244">
        <f>ROUND((ROUND(AT244*CZ244,2)*1),6)</f>
        <v>1.39</v>
      </c>
      <c r="DC244">
        <f>ROUND((ROUND(AT244*AG244,2)*1),6)</f>
        <v>0</v>
      </c>
      <c r="DD244" t="s">
        <v>3</v>
      </c>
      <c r="DE244" t="s">
        <v>3</v>
      </c>
      <c r="DF244">
        <f t="shared" si="81"/>
        <v>4.17</v>
      </c>
      <c r="DG244">
        <f t="shared" si="79"/>
        <v>0</v>
      </c>
      <c r="DH244">
        <f t="shared" si="80"/>
        <v>0</v>
      </c>
      <c r="DI244">
        <f t="shared" si="71"/>
        <v>0</v>
      </c>
      <c r="DJ244">
        <f t="shared" si="85"/>
        <v>4.17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ROW(Source!A94)</f>
        <v>94</v>
      </c>
      <c r="B245">
        <v>55747649</v>
      </c>
      <c r="C245">
        <v>55748062</v>
      </c>
      <c r="D245">
        <v>54739191</v>
      </c>
      <c r="E245">
        <v>1</v>
      </c>
      <c r="F245">
        <v>1</v>
      </c>
      <c r="G245">
        <v>1081</v>
      </c>
      <c r="H245">
        <v>3</v>
      </c>
      <c r="I245" t="s">
        <v>500</v>
      </c>
      <c r="J245" t="s">
        <v>501</v>
      </c>
      <c r="K245" t="s">
        <v>502</v>
      </c>
      <c r="L245">
        <v>1346</v>
      </c>
      <c r="N245">
        <v>1009</v>
      </c>
      <c r="O245" t="s">
        <v>503</v>
      </c>
      <c r="P245" t="s">
        <v>503</v>
      </c>
      <c r="Q245">
        <v>1</v>
      </c>
      <c r="W245">
        <v>0</v>
      </c>
      <c r="X245">
        <v>-2132327540</v>
      </c>
      <c r="Y245">
        <f>(AT245*1)</f>
        <v>5.0000000000000001E-3</v>
      </c>
      <c r="AA245">
        <v>6.43</v>
      </c>
      <c r="AB245">
        <v>0</v>
      </c>
      <c r="AC245">
        <v>0</v>
      </c>
      <c r="AD245">
        <v>0</v>
      </c>
      <c r="AE245">
        <v>6.25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5.0000000000000001E-3</v>
      </c>
      <c r="AU245" t="s">
        <v>48</v>
      </c>
      <c r="AV245">
        <v>0</v>
      </c>
      <c r="AW245">
        <v>2</v>
      </c>
      <c r="AX245">
        <v>55748075</v>
      </c>
      <c r="AY245">
        <v>1</v>
      </c>
      <c r="AZ245">
        <v>0</v>
      </c>
      <c r="BA245">
        <v>287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ROUND(Y245*Source!I94,9)</f>
        <v>1.4999999999999999E-2</v>
      </c>
      <c r="CY245">
        <f t="shared" si="82"/>
        <v>6.43</v>
      </c>
      <c r="CZ245">
        <f t="shared" si="83"/>
        <v>6.25</v>
      </c>
      <c r="DA245">
        <f t="shared" si="84"/>
        <v>1</v>
      </c>
      <c r="DB245">
        <f>ROUND((ROUND(AT245*CZ245,2)*1),6)</f>
        <v>0.03</v>
      </c>
      <c r="DC245">
        <f>ROUND((ROUND(AT245*AG245,2)*1),6)</f>
        <v>0</v>
      </c>
      <c r="DD245" t="s">
        <v>3</v>
      </c>
      <c r="DE245" t="s">
        <v>3</v>
      </c>
      <c r="DF245">
        <f t="shared" si="81"/>
        <v>0.09</v>
      </c>
      <c r="DG245">
        <f t="shared" si="79"/>
        <v>0</v>
      </c>
      <c r="DH245">
        <f t="shared" si="80"/>
        <v>0</v>
      </c>
      <c r="DI245">
        <f t="shared" si="71"/>
        <v>0</v>
      </c>
      <c r="DJ245">
        <f t="shared" si="85"/>
        <v>0.09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ROW(Source!A94)</f>
        <v>94</v>
      </c>
      <c r="B246">
        <v>55747649</v>
      </c>
      <c r="C246">
        <v>55748062</v>
      </c>
      <c r="D246">
        <v>54737565</v>
      </c>
      <c r="E246">
        <v>1</v>
      </c>
      <c r="F246">
        <v>1</v>
      </c>
      <c r="G246">
        <v>1081</v>
      </c>
      <c r="H246">
        <v>3</v>
      </c>
      <c r="I246" t="s">
        <v>504</v>
      </c>
      <c r="J246" t="s">
        <v>505</v>
      </c>
      <c r="K246" t="s">
        <v>506</v>
      </c>
      <c r="L246">
        <v>1339</v>
      </c>
      <c r="N246">
        <v>1007</v>
      </c>
      <c r="O246" t="s">
        <v>507</v>
      </c>
      <c r="P246" t="s">
        <v>507</v>
      </c>
      <c r="Q246">
        <v>1</v>
      </c>
      <c r="W246">
        <v>0</v>
      </c>
      <c r="X246">
        <v>-1235260082</v>
      </c>
      <c r="Y246">
        <f>(AT246*1)</f>
        <v>5.1999999999999998E-2</v>
      </c>
      <c r="AA246">
        <v>5.98</v>
      </c>
      <c r="AB246">
        <v>0</v>
      </c>
      <c r="AC246">
        <v>0</v>
      </c>
      <c r="AD246">
        <v>0</v>
      </c>
      <c r="AE246">
        <v>5.82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5.1999999999999998E-2</v>
      </c>
      <c r="AU246" t="s">
        <v>48</v>
      </c>
      <c r="AV246">
        <v>0</v>
      </c>
      <c r="AW246">
        <v>2</v>
      </c>
      <c r="AX246">
        <v>55748076</v>
      </c>
      <c r="AY246">
        <v>1</v>
      </c>
      <c r="AZ246">
        <v>0</v>
      </c>
      <c r="BA246">
        <v>288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ROUND(Y246*Source!I94,9)</f>
        <v>0.156</v>
      </c>
      <c r="CY246">
        <f t="shared" si="82"/>
        <v>5.98</v>
      </c>
      <c r="CZ246">
        <f t="shared" si="83"/>
        <v>5.82</v>
      </c>
      <c r="DA246">
        <f t="shared" si="84"/>
        <v>1</v>
      </c>
      <c r="DB246">
        <f>ROUND((ROUND(AT246*CZ246,2)*1),6)</f>
        <v>0.3</v>
      </c>
      <c r="DC246">
        <f>ROUND((ROUND(AT246*AG246,2)*1),6)</f>
        <v>0</v>
      </c>
      <c r="DD246" t="s">
        <v>3</v>
      </c>
      <c r="DE246" t="s">
        <v>3</v>
      </c>
      <c r="DF246">
        <f t="shared" si="81"/>
        <v>0.91</v>
      </c>
      <c r="DG246">
        <f t="shared" si="79"/>
        <v>0</v>
      </c>
      <c r="DH246">
        <f t="shared" si="80"/>
        <v>0</v>
      </c>
      <c r="DI246">
        <f t="shared" si="71"/>
        <v>0</v>
      </c>
      <c r="DJ246">
        <f t="shared" si="85"/>
        <v>0.91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ROW(Source!A94)</f>
        <v>94</v>
      </c>
      <c r="B247">
        <v>55747649</v>
      </c>
      <c r="C247">
        <v>55748062</v>
      </c>
      <c r="D247">
        <v>54754956</v>
      </c>
      <c r="E247">
        <v>1</v>
      </c>
      <c r="F247">
        <v>1</v>
      </c>
      <c r="G247">
        <v>1081</v>
      </c>
      <c r="H247">
        <v>3</v>
      </c>
      <c r="I247" t="s">
        <v>180</v>
      </c>
      <c r="J247" t="s">
        <v>182</v>
      </c>
      <c r="K247" t="s">
        <v>181</v>
      </c>
      <c r="L247">
        <v>1354</v>
      </c>
      <c r="N247">
        <v>1010</v>
      </c>
      <c r="O247" t="s">
        <v>118</v>
      </c>
      <c r="P247" t="s">
        <v>118</v>
      </c>
      <c r="Q247">
        <v>1</v>
      </c>
      <c r="W247">
        <v>0</v>
      </c>
      <c r="X247">
        <v>-909145995</v>
      </c>
      <c r="Y247">
        <f>AT247</f>
        <v>0.3333333</v>
      </c>
      <c r="AA247">
        <v>279.67</v>
      </c>
      <c r="AB247">
        <v>0</v>
      </c>
      <c r="AC247">
        <v>0</v>
      </c>
      <c r="AD247">
        <v>0</v>
      </c>
      <c r="AE247">
        <v>279.67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 t="s">
        <v>3</v>
      </c>
      <c r="AT247">
        <v>0.3333333</v>
      </c>
      <c r="AU247" t="s">
        <v>3</v>
      </c>
      <c r="AV247">
        <v>0</v>
      </c>
      <c r="AW247">
        <v>1</v>
      </c>
      <c r="AX247">
        <v>-1</v>
      </c>
      <c r="AY247">
        <v>0</v>
      </c>
      <c r="AZ247">
        <v>0</v>
      </c>
      <c r="BA247" t="s">
        <v>3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ROUND(Y247*Source!I94,9)</f>
        <v>0.99999990000000005</v>
      </c>
      <c r="CY247">
        <f t="shared" si="82"/>
        <v>279.67</v>
      </c>
      <c r="CZ247">
        <f t="shared" si="83"/>
        <v>279.67</v>
      </c>
      <c r="DA247">
        <f t="shared" si="84"/>
        <v>1</v>
      </c>
      <c r="DB247">
        <f>ROUND(ROUND(AT247*CZ247,2),6)</f>
        <v>93.22</v>
      </c>
      <c r="DC247">
        <f>ROUND(ROUND(AT247*AG247,2),6)</f>
        <v>0</v>
      </c>
      <c r="DD247" t="s">
        <v>3</v>
      </c>
      <c r="DE247" t="s">
        <v>3</v>
      </c>
      <c r="DF247">
        <f t="shared" si="81"/>
        <v>279.67</v>
      </c>
      <c r="DG247">
        <f t="shared" si="79"/>
        <v>0</v>
      </c>
      <c r="DH247">
        <f t="shared" si="80"/>
        <v>0</v>
      </c>
      <c r="DI247">
        <f t="shared" si="71"/>
        <v>0</v>
      </c>
      <c r="DJ247">
        <f t="shared" si="85"/>
        <v>279.67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ROW(Source!A94)</f>
        <v>94</v>
      </c>
      <c r="B248">
        <v>55747649</v>
      </c>
      <c r="C248">
        <v>55748062</v>
      </c>
      <c r="D248">
        <v>54755253</v>
      </c>
      <c r="E248">
        <v>1</v>
      </c>
      <c r="F248">
        <v>1</v>
      </c>
      <c r="G248">
        <v>1081</v>
      </c>
      <c r="H248">
        <v>3</v>
      </c>
      <c r="I248" t="s">
        <v>176</v>
      </c>
      <c r="J248" t="s">
        <v>178</v>
      </c>
      <c r="K248" t="s">
        <v>177</v>
      </c>
      <c r="L248">
        <v>1354</v>
      </c>
      <c r="N248">
        <v>1010</v>
      </c>
      <c r="O248" t="s">
        <v>118</v>
      </c>
      <c r="P248" t="s">
        <v>118</v>
      </c>
      <c r="Q248">
        <v>1</v>
      </c>
      <c r="W248">
        <v>0</v>
      </c>
      <c r="X248">
        <v>698410904</v>
      </c>
      <c r="Y248">
        <f>AT248</f>
        <v>0.66666669999999995</v>
      </c>
      <c r="AA248">
        <v>139.83000000000001</v>
      </c>
      <c r="AB248">
        <v>0</v>
      </c>
      <c r="AC248">
        <v>0</v>
      </c>
      <c r="AD248">
        <v>0</v>
      </c>
      <c r="AE248">
        <v>139.83000000000001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 t="s">
        <v>3</v>
      </c>
      <c r="AT248">
        <v>0.66666669999999995</v>
      </c>
      <c r="AU248" t="s">
        <v>3</v>
      </c>
      <c r="AV248">
        <v>0</v>
      </c>
      <c r="AW248">
        <v>1</v>
      </c>
      <c r="AX248">
        <v>-1</v>
      </c>
      <c r="AY248">
        <v>0</v>
      </c>
      <c r="AZ248">
        <v>0</v>
      </c>
      <c r="BA248" t="s">
        <v>3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ROUND(Y248*Source!I94,9)</f>
        <v>2.0000000999999998</v>
      </c>
      <c r="CY248">
        <f t="shared" si="82"/>
        <v>139.83000000000001</v>
      </c>
      <c r="CZ248">
        <f t="shared" si="83"/>
        <v>139.83000000000001</v>
      </c>
      <c r="DA248">
        <f t="shared" si="84"/>
        <v>1</v>
      </c>
      <c r="DB248">
        <f>ROUND(ROUND(AT248*CZ248,2),6)</f>
        <v>93.22</v>
      </c>
      <c r="DC248">
        <f>ROUND(ROUND(AT248*AG248,2),6)</f>
        <v>0</v>
      </c>
      <c r="DD248" t="s">
        <v>3</v>
      </c>
      <c r="DE248" t="s">
        <v>3</v>
      </c>
      <c r="DF248">
        <f t="shared" si="81"/>
        <v>279.66000000000003</v>
      </c>
      <c r="DG248">
        <f t="shared" si="79"/>
        <v>0</v>
      </c>
      <c r="DH248">
        <f t="shared" si="80"/>
        <v>0</v>
      </c>
      <c r="DI248">
        <f t="shared" si="71"/>
        <v>0</v>
      </c>
      <c r="DJ248">
        <f t="shared" si="85"/>
        <v>279.66000000000003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ROW(Source!A95)</f>
        <v>95</v>
      </c>
      <c r="B249">
        <v>55747651</v>
      </c>
      <c r="C249">
        <v>55748062</v>
      </c>
      <c r="D249">
        <v>54702434</v>
      </c>
      <c r="E249">
        <v>1081</v>
      </c>
      <c r="F249">
        <v>1</v>
      </c>
      <c r="G249">
        <v>1081</v>
      </c>
      <c r="H249">
        <v>1</v>
      </c>
      <c r="I249" t="s">
        <v>473</v>
      </c>
      <c r="J249" t="s">
        <v>3</v>
      </c>
      <c r="K249" t="s">
        <v>474</v>
      </c>
      <c r="L249">
        <v>1191</v>
      </c>
      <c r="N249">
        <v>1013</v>
      </c>
      <c r="O249" t="s">
        <v>475</v>
      </c>
      <c r="P249" t="s">
        <v>475</v>
      </c>
      <c r="Q249">
        <v>1</v>
      </c>
      <c r="W249">
        <v>0</v>
      </c>
      <c r="X249">
        <v>476480486</v>
      </c>
      <c r="Y249">
        <f>(AT249*1.2)</f>
        <v>5.76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5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4.8</v>
      </c>
      <c r="AU249" t="s">
        <v>49</v>
      </c>
      <c r="AV249">
        <v>1</v>
      </c>
      <c r="AW249">
        <v>2</v>
      </c>
      <c r="AX249">
        <v>55748071</v>
      </c>
      <c r="AY249">
        <v>1</v>
      </c>
      <c r="AZ249">
        <v>0</v>
      </c>
      <c r="BA249">
        <v>290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U249">
        <f>ROUND(AT249*Source!I95*AH249*AL249,2)</f>
        <v>0</v>
      </c>
      <c r="CV249">
        <f>ROUND(Y249*Source!I95,9)</f>
        <v>17.28</v>
      </c>
      <c r="CW249">
        <v>0</v>
      </c>
      <c r="CX249">
        <f>ROUND(Y249*Source!I95,9)</f>
        <v>17.28</v>
      </c>
      <c r="CY249">
        <f>AD249</f>
        <v>0</v>
      </c>
      <c r="CZ249">
        <f>AH249</f>
        <v>0</v>
      </c>
      <c r="DA249">
        <f>AL249</f>
        <v>1</v>
      </c>
      <c r="DB249">
        <f>ROUND((ROUND(AT249*CZ249,2)*1.2),6)</f>
        <v>0</v>
      </c>
      <c r="DC249">
        <f>ROUND((ROUND(AT249*AG249,2)*1.2),6)</f>
        <v>0</v>
      </c>
      <c r="DD249" t="s">
        <v>3</v>
      </c>
      <c r="DE249" t="s">
        <v>3</v>
      </c>
      <c r="DF249">
        <f t="shared" si="81"/>
        <v>0</v>
      </c>
      <c r="DG249">
        <f t="shared" si="79"/>
        <v>0</v>
      </c>
      <c r="DH249">
        <f t="shared" si="80"/>
        <v>0</v>
      </c>
      <c r="DI249">
        <f t="shared" si="71"/>
        <v>0</v>
      </c>
      <c r="DJ249">
        <f>DI249</f>
        <v>0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ROW(Source!A95)</f>
        <v>95</v>
      </c>
      <c r="B250">
        <v>55747651</v>
      </c>
      <c r="C250">
        <v>55748062</v>
      </c>
      <c r="D250">
        <v>54768040</v>
      </c>
      <c r="E250">
        <v>1</v>
      </c>
      <c r="F250">
        <v>1</v>
      </c>
      <c r="G250">
        <v>1081</v>
      </c>
      <c r="H250">
        <v>2</v>
      </c>
      <c r="I250" t="s">
        <v>476</v>
      </c>
      <c r="J250" t="s">
        <v>477</v>
      </c>
      <c r="K250" t="s">
        <v>478</v>
      </c>
      <c r="L250">
        <v>1368</v>
      </c>
      <c r="N250">
        <v>1011</v>
      </c>
      <c r="O250" t="s">
        <v>479</v>
      </c>
      <c r="P250" t="s">
        <v>479</v>
      </c>
      <c r="Q250">
        <v>1</v>
      </c>
      <c r="W250">
        <v>0</v>
      </c>
      <c r="X250">
        <v>1498588441</v>
      </c>
      <c r="Y250">
        <f>(AT250*1.2)</f>
        <v>0.63600000000000001</v>
      </c>
      <c r="AA250">
        <v>0</v>
      </c>
      <c r="AB250">
        <v>102.11</v>
      </c>
      <c r="AC250">
        <v>0</v>
      </c>
      <c r="AD250">
        <v>0</v>
      </c>
      <c r="AE250">
        <v>0</v>
      </c>
      <c r="AF250">
        <v>7.11</v>
      </c>
      <c r="AG250">
        <v>0</v>
      </c>
      <c r="AH250">
        <v>0</v>
      </c>
      <c r="AI250">
        <v>1</v>
      </c>
      <c r="AJ250">
        <v>13.46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0.53</v>
      </c>
      <c r="AU250" t="s">
        <v>49</v>
      </c>
      <c r="AV250">
        <v>0</v>
      </c>
      <c r="AW250">
        <v>2</v>
      </c>
      <c r="AX250">
        <v>55748072</v>
      </c>
      <c r="AY250">
        <v>1</v>
      </c>
      <c r="AZ250">
        <v>0</v>
      </c>
      <c r="BA250">
        <v>291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ROUND(Y250*Source!I95*DO250,9)</f>
        <v>0</v>
      </c>
      <c r="CX250">
        <f>ROUND(Y250*Source!I95,9)</f>
        <v>1.9079999999999999</v>
      </c>
      <c r="CY250">
        <f>AB250</f>
        <v>102.11</v>
      </c>
      <c r="CZ250">
        <f>AF250</f>
        <v>7.11</v>
      </c>
      <c r="DA250">
        <f>AJ250</f>
        <v>13.46</v>
      </c>
      <c r="DB250">
        <f>ROUND((ROUND(AT250*CZ250,2)*1.2),6)</f>
        <v>4.524</v>
      </c>
      <c r="DC250">
        <f>ROUND((ROUND(AT250*AG250,2)*1.2),6)</f>
        <v>0</v>
      </c>
      <c r="DD250" t="s">
        <v>3</v>
      </c>
      <c r="DE250" t="s">
        <v>3</v>
      </c>
      <c r="DF250">
        <f t="shared" si="81"/>
        <v>0</v>
      </c>
      <c r="DG250">
        <f>ROUND(ROUND(AF250*AJ250,2)*CX250,2)</f>
        <v>182.6</v>
      </c>
      <c r="DH250">
        <f t="shared" si="80"/>
        <v>0</v>
      </c>
      <c r="DI250">
        <f t="shared" si="71"/>
        <v>0</v>
      </c>
      <c r="DJ250">
        <f>DG250</f>
        <v>182.6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ROW(Source!A95)</f>
        <v>95</v>
      </c>
      <c r="B251">
        <v>55747651</v>
      </c>
      <c r="C251">
        <v>55748062</v>
      </c>
      <c r="D251">
        <v>54738505</v>
      </c>
      <c r="E251">
        <v>1</v>
      </c>
      <c r="F251">
        <v>1</v>
      </c>
      <c r="G251">
        <v>1081</v>
      </c>
      <c r="H251">
        <v>3</v>
      </c>
      <c r="I251" t="s">
        <v>580</v>
      </c>
      <c r="J251" t="s">
        <v>581</v>
      </c>
      <c r="K251" t="s">
        <v>582</v>
      </c>
      <c r="L251">
        <v>1346</v>
      </c>
      <c r="N251">
        <v>1009</v>
      </c>
      <c r="O251" t="s">
        <v>503</v>
      </c>
      <c r="P251" t="s">
        <v>503</v>
      </c>
      <c r="Q251">
        <v>1</v>
      </c>
      <c r="W251">
        <v>0</v>
      </c>
      <c r="X251">
        <v>732400950</v>
      </c>
      <c r="Y251">
        <f>(AT251*1)</f>
        <v>0.56000000000000005</v>
      </c>
      <c r="AA251">
        <v>94.12</v>
      </c>
      <c r="AB251">
        <v>0</v>
      </c>
      <c r="AC251">
        <v>0</v>
      </c>
      <c r="AD251">
        <v>0</v>
      </c>
      <c r="AE251">
        <v>21</v>
      </c>
      <c r="AF251">
        <v>0</v>
      </c>
      <c r="AG251">
        <v>0</v>
      </c>
      <c r="AH251">
        <v>0</v>
      </c>
      <c r="AI251">
        <v>4.3600000000000003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0.56000000000000005</v>
      </c>
      <c r="AU251" t="s">
        <v>48</v>
      </c>
      <c r="AV251">
        <v>0</v>
      </c>
      <c r="AW251">
        <v>2</v>
      </c>
      <c r="AX251">
        <v>55748073</v>
      </c>
      <c r="AY251">
        <v>1</v>
      </c>
      <c r="AZ251">
        <v>0</v>
      </c>
      <c r="BA251">
        <v>292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ROUND(Y251*Source!I95,9)</f>
        <v>1.68</v>
      </c>
      <c r="CY251">
        <f t="shared" ref="CY251:CY256" si="86">AA251</f>
        <v>94.12</v>
      </c>
      <c r="CZ251">
        <f t="shared" ref="CZ251:CZ256" si="87">AE251</f>
        <v>21</v>
      </c>
      <c r="DA251">
        <f t="shared" ref="DA251:DA256" si="88">AI251</f>
        <v>4.3600000000000003</v>
      </c>
      <c r="DB251">
        <f>ROUND((ROUND(AT251*CZ251,2)*1),6)</f>
        <v>11.76</v>
      </c>
      <c r="DC251">
        <f>ROUND((ROUND(AT251*AG251,2)*1),6)</f>
        <v>0</v>
      </c>
      <c r="DD251" t="s">
        <v>3</v>
      </c>
      <c r="DE251" t="s">
        <v>3</v>
      </c>
      <c r="DF251">
        <f t="shared" ref="DF251:DF256" si="89">ROUND(ROUND(AE251*AI251,2)*CX251,2)</f>
        <v>153.82</v>
      </c>
      <c r="DG251">
        <f t="shared" ref="DG251:DG267" si="90">ROUND(ROUND(AF251,2)*CX251,2)</f>
        <v>0</v>
      </c>
      <c r="DH251">
        <f t="shared" si="80"/>
        <v>0</v>
      </c>
      <c r="DI251">
        <f t="shared" si="71"/>
        <v>0</v>
      </c>
      <c r="DJ251">
        <f t="shared" ref="DJ251:DJ256" si="91">DF251</f>
        <v>153.82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ROW(Source!A95)</f>
        <v>95</v>
      </c>
      <c r="B252">
        <v>55747651</v>
      </c>
      <c r="C252">
        <v>55748062</v>
      </c>
      <c r="D252">
        <v>54737299</v>
      </c>
      <c r="E252">
        <v>1</v>
      </c>
      <c r="F252">
        <v>1</v>
      </c>
      <c r="G252">
        <v>1081</v>
      </c>
      <c r="H252">
        <v>3</v>
      </c>
      <c r="I252" t="s">
        <v>583</v>
      </c>
      <c r="J252" t="s">
        <v>584</v>
      </c>
      <c r="K252" t="s">
        <v>585</v>
      </c>
      <c r="L252">
        <v>1339</v>
      </c>
      <c r="N252">
        <v>1007</v>
      </c>
      <c r="O252" t="s">
        <v>507</v>
      </c>
      <c r="P252" t="s">
        <v>507</v>
      </c>
      <c r="Q252">
        <v>1</v>
      </c>
      <c r="W252">
        <v>0</v>
      </c>
      <c r="X252">
        <v>-676034668</v>
      </c>
      <c r="Y252">
        <f>(AT252*1)</f>
        <v>2.5999999999999999E-2</v>
      </c>
      <c r="AA252">
        <v>781.45</v>
      </c>
      <c r="AB252">
        <v>0</v>
      </c>
      <c r="AC252">
        <v>0</v>
      </c>
      <c r="AD252">
        <v>0</v>
      </c>
      <c r="AE252">
        <v>53.42</v>
      </c>
      <c r="AF252">
        <v>0</v>
      </c>
      <c r="AG252">
        <v>0</v>
      </c>
      <c r="AH252">
        <v>0</v>
      </c>
      <c r="AI252">
        <v>14.23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2.5999999999999999E-2</v>
      </c>
      <c r="AU252" t="s">
        <v>48</v>
      </c>
      <c r="AV252">
        <v>0</v>
      </c>
      <c r="AW252">
        <v>2</v>
      </c>
      <c r="AX252">
        <v>55748074</v>
      </c>
      <c r="AY252">
        <v>1</v>
      </c>
      <c r="AZ252">
        <v>0</v>
      </c>
      <c r="BA252">
        <v>293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ROUND(Y252*Source!I95,9)</f>
        <v>7.8E-2</v>
      </c>
      <c r="CY252">
        <f t="shared" si="86"/>
        <v>781.45</v>
      </c>
      <c r="CZ252">
        <f t="shared" si="87"/>
        <v>53.42</v>
      </c>
      <c r="DA252">
        <f t="shared" si="88"/>
        <v>14.23</v>
      </c>
      <c r="DB252">
        <f>ROUND((ROUND(AT252*CZ252,2)*1),6)</f>
        <v>1.39</v>
      </c>
      <c r="DC252">
        <f>ROUND((ROUND(AT252*AG252,2)*1),6)</f>
        <v>0</v>
      </c>
      <c r="DD252" t="s">
        <v>3</v>
      </c>
      <c r="DE252" t="s">
        <v>3</v>
      </c>
      <c r="DF252">
        <f t="shared" si="89"/>
        <v>59.29</v>
      </c>
      <c r="DG252">
        <f t="shared" si="90"/>
        <v>0</v>
      </c>
      <c r="DH252">
        <f t="shared" si="80"/>
        <v>0</v>
      </c>
      <c r="DI252">
        <f t="shared" si="71"/>
        <v>0</v>
      </c>
      <c r="DJ252">
        <f t="shared" si="91"/>
        <v>59.29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ROW(Source!A95)</f>
        <v>95</v>
      </c>
      <c r="B253">
        <v>55747651</v>
      </c>
      <c r="C253">
        <v>55748062</v>
      </c>
      <c r="D253">
        <v>54739191</v>
      </c>
      <c r="E253">
        <v>1</v>
      </c>
      <c r="F253">
        <v>1</v>
      </c>
      <c r="G253">
        <v>1081</v>
      </c>
      <c r="H253">
        <v>3</v>
      </c>
      <c r="I253" t="s">
        <v>500</v>
      </c>
      <c r="J253" t="s">
        <v>501</v>
      </c>
      <c r="K253" t="s">
        <v>502</v>
      </c>
      <c r="L253">
        <v>1346</v>
      </c>
      <c r="N253">
        <v>1009</v>
      </c>
      <c r="O253" t="s">
        <v>503</v>
      </c>
      <c r="P253" t="s">
        <v>503</v>
      </c>
      <c r="Q253">
        <v>1</v>
      </c>
      <c r="W253">
        <v>0</v>
      </c>
      <c r="X253">
        <v>-2132327540</v>
      </c>
      <c r="Y253">
        <f>(AT253*1)</f>
        <v>5.0000000000000001E-3</v>
      </c>
      <c r="AA253">
        <v>64.760000000000005</v>
      </c>
      <c r="AB253">
        <v>0</v>
      </c>
      <c r="AC253">
        <v>0</v>
      </c>
      <c r="AD253">
        <v>0</v>
      </c>
      <c r="AE253">
        <v>6.25</v>
      </c>
      <c r="AF253">
        <v>0</v>
      </c>
      <c r="AG253">
        <v>0</v>
      </c>
      <c r="AH253">
        <v>0</v>
      </c>
      <c r="AI253">
        <v>10.08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5.0000000000000001E-3</v>
      </c>
      <c r="AU253" t="s">
        <v>48</v>
      </c>
      <c r="AV253">
        <v>0</v>
      </c>
      <c r="AW253">
        <v>2</v>
      </c>
      <c r="AX253">
        <v>55748075</v>
      </c>
      <c r="AY253">
        <v>1</v>
      </c>
      <c r="AZ253">
        <v>0</v>
      </c>
      <c r="BA253">
        <v>294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ROUND(Y253*Source!I95,9)</f>
        <v>1.4999999999999999E-2</v>
      </c>
      <c r="CY253">
        <f t="shared" si="86"/>
        <v>64.760000000000005</v>
      </c>
      <c r="CZ253">
        <f t="shared" si="87"/>
        <v>6.25</v>
      </c>
      <c r="DA253">
        <f t="shared" si="88"/>
        <v>10.08</v>
      </c>
      <c r="DB253">
        <f>ROUND((ROUND(AT253*CZ253,2)*1),6)</f>
        <v>0.03</v>
      </c>
      <c r="DC253">
        <f>ROUND((ROUND(AT253*AG253,2)*1),6)</f>
        <v>0</v>
      </c>
      <c r="DD253" t="s">
        <v>3</v>
      </c>
      <c r="DE253" t="s">
        <v>3</v>
      </c>
      <c r="DF253">
        <f t="shared" si="89"/>
        <v>0.95</v>
      </c>
      <c r="DG253">
        <f t="shared" si="90"/>
        <v>0</v>
      </c>
      <c r="DH253">
        <f t="shared" si="80"/>
        <v>0</v>
      </c>
      <c r="DI253">
        <f t="shared" si="71"/>
        <v>0</v>
      </c>
      <c r="DJ253">
        <f t="shared" si="91"/>
        <v>0.95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ROW(Source!A95)</f>
        <v>95</v>
      </c>
      <c r="B254">
        <v>55747651</v>
      </c>
      <c r="C254">
        <v>55748062</v>
      </c>
      <c r="D254">
        <v>54737565</v>
      </c>
      <c r="E254">
        <v>1</v>
      </c>
      <c r="F254">
        <v>1</v>
      </c>
      <c r="G254">
        <v>1081</v>
      </c>
      <c r="H254">
        <v>3</v>
      </c>
      <c r="I254" t="s">
        <v>504</v>
      </c>
      <c r="J254" t="s">
        <v>505</v>
      </c>
      <c r="K254" t="s">
        <v>506</v>
      </c>
      <c r="L254">
        <v>1339</v>
      </c>
      <c r="N254">
        <v>1007</v>
      </c>
      <c r="O254" t="s">
        <v>507</v>
      </c>
      <c r="P254" t="s">
        <v>507</v>
      </c>
      <c r="Q254">
        <v>1</v>
      </c>
      <c r="W254">
        <v>0</v>
      </c>
      <c r="X254">
        <v>-1235260082</v>
      </c>
      <c r="Y254">
        <f>(AT254*1)</f>
        <v>5.1999999999999998E-2</v>
      </c>
      <c r="AA254">
        <v>104.16</v>
      </c>
      <c r="AB254">
        <v>0</v>
      </c>
      <c r="AC254">
        <v>0</v>
      </c>
      <c r="AD254">
        <v>0</v>
      </c>
      <c r="AE254">
        <v>5.82</v>
      </c>
      <c r="AF254">
        <v>0</v>
      </c>
      <c r="AG254">
        <v>0</v>
      </c>
      <c r="AH254">
        <v>0</v>
      </c>
      <c r="AI254">
        <v>17.41</v>
      </c>
      <c r="AJ254">
        <v>1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5.1999999999999998E-2</v>
      </c>
      <c r="AU254" t="s">
        <v>48</v>
      </c>
      <c r="AV254">
        <v>0</v>
      </c>
      <c r="AW254">
        <v>2</v>
      </c>
      <c r="AX254">
        <v>55748076</v>
      </c>
      <c r="AY254">
        <v>1</v>
      </c>
      <c r="AZ254">
        <v>0</v>
      </c>
      <c r="BA254">
        <v>295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ROUND(Y254*Source!I95,9)</f>
        <v>0.156</v>
      </c>
      <c r="CY254">
        <f t="shared" si="86"/>
        <v>104.16</v>
      </c>
      <c r="CZ254">
        <f t="shared" si="87"/>
        <v>5.82</v>
      </c>
      <c r="DA254">
        <f t="shared" si="88"/>
        <v>17.41</v>
      </c>
      <c r="DB254">
        <f>ROUND((ROUND(AT254*CZ254,2)*1),6)</f>
        <v>0.3</v>
      </c>
      <c r="DC254">
        <f>ROUND((ROUND(AT254*AG254,2)*1),6)</f>
        <v>0</v>
      </c>
      <c r="DD254" t="s">
        <v>3</v>
      </c>
      <c r="DE254" t="s">
        <v>3</v>
      </c>
      <c r="DF254">
        <f t="shared" si="89"/>
        <v>15.81</v>
      </c>
      <c r="DG254">
        <f t="shared" si="90"/>
        <v>0</v>
      </c>
      <c r="DH254">
        <f t="shared" si="80"/>
        <v>0</v>
      </c>
      <c r="DI254">
        <f t="shared" si="71"/>
        <v>0</v>
      </c>
      <c r="DJ254">
        <f t="shared" si="91"/>
        <v>15.81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ROW(Source!A95)</f>
        <v>95</v>
      </c>
      <c r="B255">
        <v>55747651</v>
      </c>
      <c r="C255">
        <v>55748062</v>
      </c>
      <c r="D255">
        <v>54754956</v>
      </c>
      <c r="E255">
        <v>1</v>
      </c>
      <c r="F255">
        <v>1</v>
      </c>
      <c r="G255">
        <v>1081</v>
      </c>
      <c r="H255">
        <v>3</v>
      </c>
      <c r="I255" t="s">
        <v>180</v>
      </c>
      <c r="J255" t="s">
        <v>182</v>
      </c>
      <c r="K255" t="s">
        <v>181</v>
      </c>
      <c r="L255">
        <v>1354</v>
      </c>
      <c r="N255">
        <v>1010</v>
      </c>
      <c r="O255" t="s">
        <v>118</v>
      </c>
      <c r="P255" t="s">
        <v>118</v>
      </c>
      <c r="Q255">
        <v>1</v>
      </c>
      <c r="W255">
        <v>0</v>
      </c>
      <c r="X255">
        <v>-909145995</v>
      </c>
      <c r="Y255">
        <f>AT255</f>
        <v>0.3333333</v>
      </c>
      <c r="AA255">
        <v>738.33</v>
      </c>
      <c r="AB255">
        <v>0</v>
      </c>
      <c r="AC255">
        <v>0</v>
      </c>
      <c r="AD255">
        <v>0</v>
      </c>
      <c r="AE255">
        <v>279.67</v>
      </c>
      <c r="AF255">
        <v>0</v>
      </c>
      <c r="AG255">
        <v>0</v>
      </c>
      <c r="AH255">
        <v>0</v>
      </c>
      <c r="AI255">
        <v>2.64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0.3333333</v>
      </c>
      <c r="AU255" t="s">
        <v>3</v>
      </c>
      <c r="AV255">
        <v>0</v>
      </c>
      <c r="AW255">
        <v>1</v>
      </c>
      <c r="AX255">
        <v>-1</v>
      </c>
      <c r="AY255">
        <v>0</v>
      </c>
      <c r="AZ255">
        <v>0</v>
      </c>
      <c r="BA255" t="s">
        <v>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ROUND(Y255*Source!I95,9)</f>
        <v>0.99999990000000005</v>
      </c>
      <c r="CY255">
        <f t="shared" si="86"/>
        <v>738.33</v>
      </c>
      <c r="CZ255">
        <f t="shared" si="87"/>
        <v>279.67</v>
      </c>
      <c r="DA255">
        <f t="shared" si="88"/>
        <v>2.64</v>
      </c>
      <c r="DB255">
        <f>ROUND(ROUND(AT255*CZ255,2),6)</f>
        <v>93.22</v>
      </c>
      <c r="DC255">
        <f>ROUND(ROUND(AT255*AG255,2),6)</f>
        <v>0</v>
      </c>
      <c r="DD255" t="s">
        <v>3</v>
      </c>
      <c r="DE255" t="s">
        <v>3</v>
      </c>
      <c r="DF255">
        <f t="shared" si="89"/>
        <v>738.33</v>
      </c>
      <c r="DG255">
        <f t="shared" si="90"/>
        <v>0</v>
      </c>
      <c r="DH255">
        <f t="shared" si="80"/>
        <v>0</v>
      </c>
      <c r="DI255">
        <f t="shared" si="71"/>
        <v>0</v>
      </c>
      <c r="DJ255">
        <f t="shared" si="91"/>
        <v>738.33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ROW(Source!A95)</f>
        <v>95</v>
      </c>
      <c r="B256">
        <v>55747651</v>
      </c>
      <c r="C256">
        <v>55748062</v>
      </c>
      <c r="D256">
        <v>54755253</v>
      </c>
      <c r="E256">
        <v>1</v>
      </c>
      <c r="F256">
        <v>1</v>
      </c>
      <c r="G256">
        <v>1081</v>
      </c>
      <c r="H256">
        <v>3</v>
      </c>
      <c r="I256" t="s">
        <v>176</v>
      </c>
      <c r="J256" t="s">
        <v>178</v>
      </c>
      <c r="K256" t="s">
        <v>177</v>
      </c>
      <c r="L256">
        <v>1354</v>
      </c>
      <c r="N256">
        <v>1010</v>
      </c>
      <c r="O256" t="s">
        <v>118</v>
      </c>
      <c r="P256" t="s">
        <v>118</v>
      </c>
      <c r="Q256">
        <v>1</v>
      </c>
      <c r="W256">
        <v>0</v>
      </c>
      <c r="X256">
        <v>698410904</v>
      </c>
      <c r="Y256">
        <f>AT256</f>
        <v>0.66666669999999995</v>
      </c>
      <c r="AA256">
        <v>468.43</v>
      </c>
      <c r="AB256">
        <v>0</v>
      </c>
      <c r="AC256">
        <v>0</v>
      </c>
      <c r="AD256">
        <v>0</v>
      </c>
      <c r="AE256">
        <v>139.83000000000001</v>
      </c>
      <c r="AF256">
        <v>0</v>
      </c>
      <c r="AG256">
        <v>0</v>
      </c>
      <c r="AH256">
        <v>0</v>
      </c>
      <c r="AI256">
        <v>3.35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0.66666669999999995</v>
      </c>
      <c r="AU256" t="s">
        <v>3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ROUND(Y256*Source!I95,9)</f>
        <v>2.0000000999999998</v>
      </c>
      <c r="CY256">
        <f t="shared" si="86"/>
        <v>468.43</v>
      </c>
      <c r="CZ256">
        <f t="shared" si="87"/>
        <v>139.83000000000001</v>
      </c>
      <c r="DA256">
        <f t="shared" si="88"/>
        <v>3.35</v>
      </c>
      <c r="DB256">
        <f>ROUND(ROUND(AT256*CZ256,2),6)</f>
        <v>93.22</v>
      </c>
      <c r="DC256">
        <f>ROUND(ROUND(AT256*AG256,2),6)</f>
        <v>0</v>
      </c>
      <c r="DD256" t="s">
        <v>3</v>
      </c>
      <c r="DE256" t="s">
        <v>3</v>
      </c>
      <c r="DF256">
        <f t="shared" si="89"/>
        <v>936.86</v>
      </c>
      <c r="DG256">
        <f t="shared" si="90"/>
        <v>0</v>
      </c>
      <c r="DH256">
        <f t="shared" si="80"/>
        <v>0</v>
      </c>
      <c r="DI256">
        <f t="shared" si="71"/>
        <v>0</v>
      </c>
      <c r="DJ256">
        <f t="shared" si="91"/>
        <v>936.86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ROW(Source!A100)</f>
        <v>100</v>
      </c>
      <c r="B257">
        <v>55747649</v>
      </c>
      <c r="C257">
        <v>55748080</v>
      </c>
      <c r="D257">
        <v>54702434</v>
      </c>
      <c r="E257">
        <v>1081</v>
      </c>
      <c r="F257">
        <v>1</v>
      </c>
      <c r="G257">
        <v>1081</v>
      </c>
      <c r="H257">
        <v>1</v>
      </c>
      <c r="I257" t="s">
        <v>473</v>
      </c>
      <c r="J257" t="s">
        <v>3</v>
      </c>
      <c r="K257" t="s">
        <v>474</v>
      </c>
      <c r="L257">
        <v>1191</v>
      </c>
      <c r="N257">
        <v>1013</v>
      </c>
      <c r="O257" t="s">
        <v>475</v>
      </c>
      <c r="P257" t="s">
        <v>475</v>
      </c>
      <c r="Q257">
        <v>1</v>
      </c>
      <c r="W257">
        <v>0</v>
      </c>
      <c r="X257">
        <v>476480486</v>
      </c>
      <c r="Y257">
        <f t="shared" ref="Y257:Y262" si="92">(AT257*1.2)</f>
        <v>242.39999999999998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202</v>
      </c>
      <c r="AU257" t="s">
        <v>49</v>
      </c>
      <c r="AV257">
        <v>1</v>
      </c>
      <c r="AW257">
        <v>2</v>
      </c>
      <c r="AX257">
        <v>55748090</v>
      </c>
      <c r="AY257">
        <v>1</v>
      </c>
      <c r="AZ257">
        <v>0</v>
      </c>
      <c r="BA257">
        <v>297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U257">
        <f>ROUND(AT257*Source!I100*AH257*AL257,2)</f>
        <v>0</v>
      </c>
      <c r="CV257">
        <f>ROUND(Y257*Source!I100,9)</f>
        <v>48.48</v>
      </c>
      <c r="CW257">
        <v>0</v>
      </c>
      <c r="CX257">
        <f>ROUND(Y257*Source!I100,9)</f>
        <v>48.48</v>
      </c>
      <c r="CY257">
        <f>AD257</f>
        <v>0</v>
      </c>
      <c r="CZ257">
        <f>AH257</f>
        <v>0</v>
      </c>
      <c r="DA257">
        <f>AL257</f>
        <v>1</v>
      </c>
      <c r="DB257">
        <f t="shared" ref="DB257:DB262" si="93">ROUND((ROUND(AT257*CZ257,2)*1.2),6)</f>
        <v>0</v>
      </c>
      <c r="DC257">
        <f t="shared" ref="DC257:DC262" si="94">ROUND((ROUND(AT257*AG257,2)*1.2),6)</f>
        <v>0</v>
      </c>
      <c r="DD257" t="s">
        <v>3</v>
      </c>
      <c r="DE257" t="s">
        <v>3</v>
      </c>
      <c r="DF257">
        <f t="shared" ref="DF257:DF272" si="95">ROUND(ROUND(AE257,2)*CX257,2)</f>
        <v>0</v>
      </c>
      <c r="DG257">
        <f t="shared" si="90"/>
        <v>0</v>
      </c>
      <c r="DH257">
        <f t="shared" si="80"/>
        <v>0</v>
      </c>
      <c r="DI257">
        <f t="shared" ref="DI257:DI320" si="96">ROUND(ROUND(AH257,2)*CX257,2)</f>
        <v>0</v>
      </c>
      <c r="DJ257">
        <f>DI257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ROW(Source!A100)</f>
        <v>100</v>
      </c>
      <c r="B258">
        <v>55747649</v>
      </c>
      <c r="C258">
        <v>55748080</v>
      </c>
      <c r="D258">
        <v>54767934</v>
      </c>
      <c r="E258">
        <v>1</v>
      </c>
      <c r="F258">
        <v>1</v>
      </c>
      <c r="G258">
        <v>1081</v>
      </c>
      <c r="H258">
        <v>2</v>
      </c>
      <c r="I258" t="s">
        <v>586</v>
      </c>
      <c r="J258" t="s">
        <v>587</v>
      </c>
      <c r="K258" t="s">
        <v>588</v>
      </c>
      <c r="L258">
        <v>1368</v>
      </c>
      <c r="N258">
        <v>1011</v>
      </c>
      <c r="O258" t="s">
        <v>479</v>
      </c>
      <c r="P258" t="s">
        <v>479</v>
      </c>
      <c r="Q258">
        <v>1</v>
      </c>
      <c r="W258">
        <v>0</v>
      </c>
      <c r="X258">
        <v>-1222619517</v>
      </c>
      <c r="Y258">
        <f t="shared" si="92"/>
        <v>14.16</v>
      </c>
      <c r="AA258">
        <v>0</v>
      </c>
      <c r="AB258">
        <v>51.29</v>
      </c>
      <c r="AC258">
        <v>13.47</v>
      </c>
      <c r="AD258">
        <v>0</v>
      </c>
      <c r="AE258">
        <v>0</v>
      </c>
      <c r="AF258">
        <v>48.07</v>
      </c>
      <c r="AG258">
        <v>12.62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11.8</v>
      </c>
      <c r="AU258" t="s">
        <v>49</v>
      </c>
      <c r="AV258">
        <v>0</v>
      </c>
      <c r="AW258">
        <v>2</v>
      </c>
      <c r="AX258">
        <v>55748091</v>
      </c>
      <c r="AY258">
        <v>1</v>
      </c>
      <c r="AZ258">
        <v>0</v>
      </c>
      <c r="BA258">
        <v>298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ROUND(Y258*Source!I100*DO258,9)</f>
        <v>35.739840000000001</v>
      </c>
      <c r="CX258">
        <f>ROUND(Y258*Source!I100,9)</f>
        <v>2.8319999999999999</v>
      </c>
      <c r="CY258">
        <f>AB258</f>
        <v>51.29</v>
      </c>
      <c r="CZ258">
        <f>AF258</f>
        <v>48.07</v>
      </c>
      <c r="DA258">
        <f>AJ258</f>
        <v>1</v>
      </c>
      <c r="DB258">
        <f t="shared" si="93"/>
        <v>680.67600000000004</v>
      </c>
      <c r="DC258">
        <f t="shared" si="94"/>
        <v>178.70400000000001</v>
      </c>
      <c r="DD258" t="s">
        <v>3</v>
      </c>
      <c r="DE258" t="s">
        <v>3</v>
      </c>
      <c r="DF258">
        <f t="shared" si="95"/>
        <v>0</v>
      </c>
      <c r="DG258">
        <f t="shared" si="90"/>
        <v>136.13</v>
      </c>
      <c r="DH258">
        <f t="shared" si="80"/>
        <v>35.74</v>
      </c>
      <c r="DI258">
        <f t="shared" si="96"/>
        <v>0</v>
      </c>
      <c r="DJ258">
        <f>DG258</f>
        <v>136.13</v>
      </c>
      <c r="DK258">
        <v>0</v>
      </c>
      <c r="DL258" t="s">
        <v>486</v>
      </c>
      <c r="DM258">
        <v>0</v>
      </c>
      <c r="DN258" t="s">
        <v>475</v>
      </c>
      <c r="DO258">
        <v>12.62</v>
      </c>
    </row>
    <row r="259" spans="1:119" x14ac:dyDescent="0.2">
      <c r="A259">
        <f>ROW(Source!A100)</f>
        <v>100</v>
      </c>
      <c r="B259">
        <v>55747649</v>
      </c>
      <c r="C259">
        <v>55748080</v>
      </c>
      <c r="D259">
        <v>54767971</v>
      </c>
      <c r="E259">
        <v>1</v>
      </c>
      <c r="F259">
        <v>1</v>
      </c>
      <c r="G259">
        <v>1081</v>
      </c>
      <c r="H259">
        <v>2</v>
      </c>
      <c r="I259" t="s">
        <v>589</v>
      </c>
      <c r="J259" t="s">
        <v>590</v>
      </c>
      <c r="K259" t="s">
        <v>591</v>
      </c>
      <c r="L259">
        <v>1368</v>
      </c>
      <c r="N259">
        <v>1011</v>
      </c>
      <c r="O259" t="s">
        <v>479</v>
      </c>
      <c r="P259" t="s">
        <v>479</v>
      </c>
      <c r="Q259">
        <v>1</v>
      </c>
      <c r="W259">
        <v>0</v>
      </c>
      <c r="X259">
        <v>210297649</v>
      </c>
      <c r="Y259">
        <f t="shared" si="92"/>
        <v>13.2</v>
      </c>
      <c r="AA259">
        <v>0</v>
      </c>
      <c r="AB259">
        <v>6.18</v>
      </c>
      <c r="AC259">
        <v>0</v>
      </c>
      <c r="AD259">
        <v>0</v>
      </c>
      <c r="AE259">
        <v>0</v>
      </c>
      <c r="AF259">
        <v>5.79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11</v>
      </c>
      <c r="AU259" t="s">
        <v>49</v>
      </c>
      <c r="AV259">
        <v>0</v>
      </c>
      <c r="AW259">
        <v>2</v>
      </c>
      <c r="AX259">
        <v>55748092</v>
      </c>
      <c r="AY259">
        <v>1</v>
      </c>
      <c r="AZ259">
        <v>0</v>
      </c>
      <c r="BA259">
        <v>299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ROUND(Y259*Source!I100*DO259,9)</f>
        <v>0</v>
      </c>
      <c r="CX259">
        <f>ROUND(Y259*Source!I100,9)</f>
        <v>2.64</v>
      </c>
      <c r="CY259">
        <f>AB259</f>
        <v>6.18</v>
      </c>
      <c r="CZ259">
        <f>AF259</f>
        <v>5.79</v>
      </c>
      <c r="DA259">
        <f>AJ259</f>
        <v>1</v>
      </c>
      <c r="DB259">
        <f t="shared" si="93"/>
        <v>76.427999999999997</v>
      </c>
      <c r="DC259">
        <f t="shared" si="94"/>
        <v>0</v>
      </c>
      <c r="DD259" t="s">
        <v>3</v>
      </c>
      <c r="DE259" t="s">
        <v>3</v>
      </c>
      <c r="DF259">
        <f t="shared" si="95"/>
        <v>0</v>
      </c>
      <c r="DG259">
        <f t="shared" si="90"/>
        <v>15.29</v>
      </c>
      <c r="DH259">
        <f t="shared" si="80"/>
        <v>0</v>
      </c>
      <c r="DI259">
        <f t="shared" si="96"/>
        <v>0</v>
      </c>
      <c r="DJ259">
        <f>DG259</f>
        <v>15.29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ROW(Source!A100)</f>
        <v>100</v>
      </c>
      <c r="B260">
        <v>55747649</v>
      </c>
      <c r="C260">
        <v>55748080</v>
      </c>
      <c r="D260">
        <v>54768040</v>
      </c>
      <c r="E260">
        <v>1</v>
      </c>
      <c r="F260">
        <v>1</v>
      </c>
      <c r="G260">
        <v>1081</v>
      </c>
      <c r="H260">
        <v>2</v>
      </c>
      <c r="I260" t="s">
        <v>476</v>
      </c>
      <c r="J260" t="s">
        <v>477</v>
      </c>
      <c r="K260" t="s">
        <v>478</v>
      </c>
      <c r="L260">
        <v>1368</v>
      </c>
      <c r="N260">
        <v>1011</v>
      </c>
      <c r="O260" t="s">
        <v>479</v>
      </c>
      <c r="P260" t="s">
        <v>479</v>
      </c>
      <c r="Q260">
        <v>1</v>
      </c>
      <c r="W260">
        <v>0</v>
      </c>
      <c r="X260">
        <v>1498588441</v>
      </c>
      <c r="Y260">
        <f t="shared" si="92"/>
        <v>33.239999999999995</v>
      </c>
      <c r="AA260">
        <v>0</v>
      </c>
      <c r="AB260">
        <v>7.59</v>
      </c>
      <c r="AC260">
        <v>0</v>
      </c>
      <c r="AD260">
        <v>0</v>
      </c>
      <c r="AE260">
        <v>0</v>
      </c>
      <c r="AF260">
        <v>7.11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27.7</v>
      </c>
      <c r="AU260" t="s">
        <v>49</v>
      </c>
      <c r="AV260">
        <v>0</v>
      </c>
      <c r="AW260">
        <v>2</v>
      </c>
      <c r="AX260">
        <v>55748093</v>
      </c>
      <c r="AY260">
        <v>1</v>
      </c>
      <c r="AZ260">
        <v>0</v>
      </c>
      <c r="BA260">
        <v>300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f>ROUND(Y260*Source!I100*DO260,9)</f>
        <v>0</v>
      </c>
      <c r="CX260">
        <f>ROUND(Y260*Source!I100,9)</f>
        <v>6.6479999999999997</v>
      </c>
      <c r="CY260">
        <f>AB260</f>
        <v>7.59</v>
      </c>
      <c r="CZ260">
        <f>AF260</f>
        <v>7.11</v>
      </c>
      <c r="DA260">
        <f>AJ260</f>
        <v>1</v>
      </c>
      <c r="DB260">
        <f t="shared" si="93"/>
        <v>236.34</v>
      </c>
      <c r="DC260">
        <f t="shared" si="94"/>
        <v>0</v>
      </c>
      <c r="DD260" t="s">
        <v>3</v>
      </c>
      <c r="DE260" t="s">
        <v>3</v>
      </c>
      <c r="DF260">
        <f t="shared" si="95"/>
        <v>0</v>
      </c>
      <c r="DG260">
        <f t="shared" si="90"/>
        <v>47.27</v>
      </c>
      <c r="DH260">
        <f t="shared" si="80"/>
        <v>0</v>
      </c>
      <c r="DI260">
        <f t="shared" si="96"/>
        <v>0</v>
      </c>
      <c r="DJ260">
        <f>DG260</f>
        <v>47.27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ROW(Source!A100)</f>
        <v>100</v>
      </c>
      <c r="B261">
        <v>55747649</v>
      </c>
      <c r="C261">
        <v>55748080</v>
      </c>
      <c r="D261">
        <v>54768339</v>
      </c>
      <c r="E261">
        <v>1</v>
      </c>
      <c r="F261">
        <v>1</v>
      </c>
      <c r="G261">
        <v>1081</v>
      </c>
      <c r="H261">
        <v>2</v>
      </c>
      <c r="I261" t="s">
        <v>483</v>
      </c>
      <c r="J261" t="s">
        <v>484</v>
      </c>
      <c r="K261" t="s">
        <v>485</v>
      </c>
      <c r="L261">
        <v>1368</v>
      </c>
      <c r="N261">
        <v>1011</v>
      </c>
      <c r="O261" t="s">
        <v>479</v>
      </c>
      <c r="P261" t="s">
        <v>479</v>
      </c>
      <c r="Q261">
        <v>1</v>
      </c>
      <c r="W261">
        <v>0</v>
      </c>
      <c r="X261">
        <v>874612079</v>
      </c>
      <c r="Y261">
        <f t="shared" si="92"/>
        <v>3.0599999999999996</v>
      </c>
      <c r="AA261">
        <v>0</v>
      </c>
      <c r="AB261">
        <v>88.67</v>
      </c>
      <c r="AC261">
        <v>13.47</v>
      </c>
      <c r="AD261">
        <v>0</v>
      </c>
      <c r="AE261">
        <v>0</v>
      </c>
      <c r="AF261">
        <v>83.1</v>
      </c>
      <c r="AG261">
        <v>12.62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2.5499999999999998</v>
      </c>
      <c r="AU261" t="s">
        <v>49</v>
      </c>
      <c r="AV261">
        <v>0</v>
      </c>
      <c r="AW261">
        <v>2</v>
      </c>
      <c r="AX261">
        <v>55748094</v>
      </c>
      <c r="AY261">
        <v>1</v>
      </c>
      <c r="AZ261">
        <v>0</v>
      </c>
      <c r="BA261">
        <v>301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f>ROUND(Y261*Source!I100*DO261,9)</f>
        <v>7.7234400000000001</v>
      </c>
      <c r="CX261">
        <f>ROUND(Y261*Source!I100,9)</f>
        <v>0.61199999999999999</v>
      </c>
      <c r="CY261">
        <f>AB261</f>
        <v>88.67</v>
      </c>
      <c r="CZ261">
        <f>AF261</f>
        <v>83.1</v>
      </c>
      <c r="DA261">
        <f>AJ261</f>
        <v>1</v>
      </c>
      <c r="DB261">
        <f t="shared" si="93"/>
        <v>254.292</v>
      </c>
      <c r="DC261">
        <f t="shared" si="94"/>
        <v>38.616</v>
      </c>
      <c r="DD261" t="s">
        <v>3</v>
      </c>
      <c r="DE261" t="s">
        <v>3</v>
      </c>
      <c r="DF261">
        <f t="shared" si="95"/>
        <v>0</v>
      </c>
      <c r="DG261">
        <f t="shared" si="90"/>
        <v>50.86</v>
      </c>
      <c r="DH261">
        <f t="shared" si="80"/>
        <v>7.72</v>
      </c>
      <c r="DI261">
        <f t="shared" si="96"/>
        <v>0</v>
      </c>
      <c r="DJ261">
        <f>DG261</f>
        <v>50.86</v>
      </c>
      <c r="DK261">
        <v>0</v>
      </c>
      <c r="DL261" t="s">
        <v>486</v>
      </c>
      <c r="DM261">
        <v>0</v>
      </c>
      <c r="DN261" t="s">
        <v>475</v>
      </c>
      <c r="DO261">
        <v>12.62</v>
      </c>
    </row>
    <row r="262" spans="1:119" x14ac:dyDescent="0.2">
      <c r="A262">
        <f>ROW(Source!A100)</f>
        <v>100</v>
      </c>
      <c r="B262">
        <v>55747649</v>
      </c>
      <c r="C262">
        <v>55748080</v>
      </c>
      <c r="D262">
        <v>54767657</v>
      </c>
      <c r="E262">
        <v>1</v>
      </c>
      <c r="F262">
        <v>1</v>
      </c>
      <c r="G262">
        <v>1081</v>
      </c>
      <c r="H262">
        <v>2</v>
      </c>
      <c r="I262" t="s">
        <v>592</v>
      </c>
      <c r="J262" t="s">
        <v>593</v>
      </c>
      <c r="K262" t="s">
        <v>594</v>
      </c>
      <c r="L262">
        <v>1368</v>
      </c>
      <c r="N262">
        <v>1011</v>
      </c>
      <c r="O262" t="s">
        <v>479</v>
      </c>
      <c r="P262" t="s">
        <v>479</v>
      </c>
      <c r="Q262">
        <v>1</v>
      </c>
      <c r="W262">
        <v>0</v>
      </c>
      <c r="X262">
        <v>-1755828087</v>
      </c>
      <c r="Y262">
        <f t="shared" si="92"/>
        <v>2.2559999999999998</v>
      </c>
      <c r="AA262">
        <v>0</v>
      </c>
      <c r="AB262">
        <v>3.39</v>
      </c>
      <c r="AC262">
        <v>0</v>
      </c>
      <c r="AD262">
        <v>0</v>
      </c>
      <c r="AE262">
        <v>0</v>
      </c>
      <c r="AF262">
        <v>3.18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1.88</v>
      </c>
      <c r="AU262" t="s">
        <v>49</v>
      </c>
      <c r="AV262">
        <v>0</v>
      </c>
      <c r="AW262">
        <v>2</v>
      </c>
      <c r="AX262">
        <v>55748095</v>
      </c>
      <c r="AY262">
        <v>1</v>
      </c>
      <c r="AZ262">
        <v>0</v>
      </c>
      <c r="BA262">
        <v>302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f>ROUND(Y262*Source!I100*DO262,9)</f>
        <v>0</v>
      </c>
      <c r="CX262">
        <f>ROUND(Y262*Source!I100,9)</f>
        <v>0.45119999999999999</v>
      </c>
      <c r="CY262">
        <f>AB262</f>
        <v>3.39</v>
      </c>
      <c r="CZ262">
        <f>AF262</f>
        <v>3.18</v>
      </c>
      <c r="DA262">
        <f>AJ262</f>
        <v>1</v>
      </c>
      <c r="DB262">
        <f t="shared" si="93"/>
        <v>7.1760000000000002</v>
      </c>
      <c r="DC262">
        <f t="shared" si="94"/>
        <v>0</v>
      </c>
      <c r="DD262" t="s">
        <v>3</v>
      </c>
      <c r="DE262" t="s">
        <v>3</v>
      </c>
      <c r="DF262">
        <f t="shared" si="95"/>
        <v>0</v>
      </c>
      <c r="DG262">
        <f t="shared" si="90"/>
        <v>1.43</v>
      </c>
      <c r="DH262">
        <f t="shared" si="80"/>
        <v>0</v>
      </c>
      <c r="DI262">
        <f t="shared" si="96"/>
        <v>0</v>
      </c>
      <c r="DJ262">
        <f>DG262</f>
        <v>1.43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ROW(Source!A100)</f>
        <v>100</v>
      </c>
      <c r="B263">
        <v>55747649</v>
      </c>
      <c r="C263">
        <v>55748080</v>
      </c>
      <c r="D263">
        <v>54737367</v>
      </c>
      <c r="E263">
        <v>1</v>
      </c>
      <c r="F263">
        <v>1</v>
      </c>
      <c r="G263">
        <v>1081</v>
      </c>
      <c r="H263">
        <v>3</v>
      </c>
      <c r="I263" t="s">
        <v>538</v>
      </c>
      <c r="J263" t="s">
        <v>539</v>
      </c>
      <c r="K263" t="s">
        <v>540</v>
      </c>
      <c r="L263">
        <v>1339</v>
      </c>
      <c r="N263">
        <v>1007</v>
      </c>
      <c r="O263" t="s">
        <v>507</v>
      </c>
      <c r="P263" t="s">
        <v>507</v>
      </c>
      <c r="Q263">
        <v>1</v>
      </c>
      <c r="W263">
        <v>0</v>
      </c>
      <c r="X263">
        <v>-1622585150</v>
      </c>
      <c r="Y263">
        <f>(AT263*1)</f>
        <v>20</v>
      </c>
      <c r="AA263">
        <v>7.27</v>
      </c>
      <c r="AB263">
        <v>0</v>
      </c>
      <c r="AC263">
        <v>0</v>
      </c>
      <c r="AD263">
        <v>0</v>
      </c>
      <c r="AE263">
        <v>7.07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20</v>
      </c>
      <c r="AU263" t="s">
        <v>48</v>
      </c>
      <c r="AV263">
        <v>0</v>
      </c>
      <c r="AW263">
        <v>2</v>
      </c>
      <c r="AX263">
        <v>55748096</v>
      </c>
      <c r="AY263">
        <v>1</v>
      </c>
      <c r="AZ263">
        <v>0</v>
      </c>
      <c r="BA263">
        <v>303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ROUND(Y263*Source!I100,9)</f>
        <v>4</v>
      </c>
      <c r="CY263">
        <f>AA263</f>
        <v>7.27</v>
      </c>
      <c r="CZ263">
        <f>AE263</f>
        <v>7.07</v>
      </c>
      <c r="DA263">
        <f>AI263</f>
        <v>1</v>
      </c>
      <c r="DB263">
        <f>ROUND((ROUND(AT263*CZ263,2)*1),6)</f>
        <v>141.4</v>
      </c>
      <c r="DC263">
        <f>ROUND((ROUND(AT263*AG263,2)*1),6)</f>
        <v>0</v>
      </c>
      <c r="DD263" t="s">
        <v>3</v>
      </c>
      <c r="DE263" t="s">
        <v>3</v>
      </c>
      <c r="DF263">
        <f t="shared" si="95"/>
        <v>28.28</v>
      </c>
      <c r="DG263">
        <f t="shared" si="90"/>
        <v>0</v>
      </c>
      <c r="DH263">
        <f t="shared" si="80"/>
        <v>0</v>
      </c>
      <c r="DI263">
        <f t="shared" si="96"/>
        <v>0</v>
      </c>
      <c r="DJ263">
        <f>DF263</f>
        <v>28.28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ROW(Source!A100)</f>
        <v>100</v>
      </c>
      <c r="B264">
        <v>55747649</v>
      </c>
      <c r="C264">
        <v>55748080</v>
      </c>
      <c r="D264">
        <v>54738430</v>
      </c>
      <c r="E264">
        <v>1</v>
      </c>
      <c r="F264">
        <v>1</v>
      </c>
      <c r="G264">
        <v>1081</v>
      </c>
      <c r="H264">
        <v>3</v>
      </c>
      <c r="I264" t="s">
        <v>562</v>
      </c>
      <c r="J264" t="s">
        <v>563</v>
      </c>
      <c r="K264" t="s">
        <v>564</v>
      </c>
      <c r="L264">
        <v>1348</v>
      </c>
      <c r="N264">
        <v>1009</v>
      </c>
      <c r="O264" t="s">
        <v>282</v>
      </c>
      <c r="P264" t="s">
        <v>282</v>
      </c>
      <c r="Q264">
        <v>1000</v>
      </c>
      <c r="W264">
        <v>0</v>
      </c>
      <c r="X264">
        <v>63955816</v>
      </c>
      <c r="Y264">
        <f>(AT264*1)</f>
        <v>8.8000000000000005E-3</v>
      </c>
      <c r="AA264">
        <v>7387.02</v>
      </c>
      <c r="AB264">
        <v>0</v>
      </c>
      <c r="AC264">
        <v>0</v>
      </c>
      <c r="AD264">
        <v>0</v>
      </c>
      <c r="AE264">
        <v>7185.82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-2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8.8000000000000005E-3</v>
      </c>
      <c r="AU264" t="s">
        <v>48</v>
      </c>
      <c r="AV264">
        <v>0</v>
      </c>
      <c r="AW264">
        <v>2</v>
      </c>
      <c r="AX264">
        <v>55748097</v>
      </c>
      <c r="AY264">
        <v>1</v>
      </c>
      <c r="AZ264">
        <v>0</v>
      </c>
      <c r="BA264">
        <v>304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ROUND(Y264*Source!I100,9)</f>
        <v>1.7600000000000001E-3</v>
      </c>
      <c r="CY264">
        <f>AA264</f>
        <v>7387.02</v>
      </c>
      <c r="CZ264">
        <f>AE264</f>
        <v>7185.82</v>
      </c>
      <c r="DA264">
        <f>AI264</f>
        <v>1</v>
      </c>
      <c r="DB264">
        <f>ROUND((ROUND(AT264*CZ264,2)*1),6)</f>
        <v>63.24</v>
      </c>
      <c r="DC264">
        <f>ROUND((ROUND(AT264*AG264,2)*1),6)</f>
        <v>0</v>
      </c>
      <c r="DD264" t="s">
        <v>3</v>
      </c>
      <c r="DE264" t="s">
        <v>3</v>
      </c>
      <c r="DF264">
        <f t="shared" si="95"/>
        <v>12.65</v>
      </c>
      <c r="DG264">
        <f t="shared" si="90"/>
        <v>0</v>
      </c>
      <c r="DH264">
        <f t="shared" si="80"/>
        <v>0</v>
      </c>
      <c r="DI264">
        <f t="shared" si="96"/>
        <v>0</v>
      </c>
      <c r="DJ264">
        <f>DF264</f>
        <v>12.65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ROW(Source!A100)</f>
        <v>100</v>
      </c>
      <c r="B265">
        <v>55747649</v>
      </c>
      <c r="C265">
        <v>55748080</v>
      </c>
      <c r="D265">
        <v>54754027</v>
      </c>
      <c r="E265">
        <v>1</v>
      </c>
      <c r="F265">
        <v>1</v>
      </c>
      <c r="G265">
        <v>1081</v>
      </c>
      <c r="H265">
        <v>3</v>
      </c>
      <c r="I265" t="s">
        <v>152</v>
      </c>
      <c r="J265" t="s">
        <v>154</v>
      </c>
      <c r="K265" t="s">
        <v>153</v>
      </c>
      <c r="L265">
        <v>1354</v>
      </c>
      <c r="N265">
        <v>1010</v>
      </c>
      <c r="O265" t="s">
        <v>118</v>
      </c>
      <c r="P265" t="s">
        <v>118</v>
      </c>
      <c r="Q265">
        <v>1</v>
      </c>
      <c r="W265">
        <v>0</v>
      </c>
      <c r="X265">
        <v>774186860</v>
      </c>
      <c r="Y265">
        <f>AT265</f>
        <v>20</v>
      </c>
      <c r="AA265">
        <v>340.41</v>
      </c>
      <c r="AB265">
        <v>0</v>
      </c>
      <c r="AC265">
        <v>0</v>
      </c>
      <c r="AD265">
        <v>0</v>
      </c>
      <c r="AE265">
        <v>340.41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2</v>
      </c>
      <c r="AQ265">
        <v>0</v>
      </c>
      <c r="AR265">
        <v>0</v>
      </c>
      <c r="AS265" t="s">
        <v>3</v>
      </c>
      <c r="AT265">
        <v>20</v>
      </c>
      <c r="AU265" t="s">
        <v>3</v>
      </c>
      <c r="AV265">
        <v>0</v>
      </c>
      <c r="AW265">
        <v>1</v>
      </c>
      <c r="AX265">
        <v>-1</v>
      </c>
      <c r="AY265">
        <v>0</v>
      </c>
      <c r="AZ265">
        <v>0</v>
      </c>
      <c r="BA265" t="s">
        <v>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ROUND(Y265*Source!I100,9)</f>
        <v>4</v>
      </c>
      <c r="CY265">
        <f>AA265</f>
        <v>340.41</v>
      </c>
      <c r="CZ265">
        <f>AE265</f>
        <v>340.41</v>
      </c>
      <c r="DA265">
        <f>AI265</f>
        <v>1</v>
      </c>
      <c r="DB265">
        <f>ROUND(ROUND(AT265*CZ265,2),6)</f>
        <v>6808.2</v>
      </c>
      <c r="DC265">
        <f>ROUND(ROUND(AT265*AG265,2),6)</f>
        <v>0</v>
      </c>
      <c r="DD265" t="s">
        <v>3</v>
      </c>
      <c r="DE265" t="s">
        <v>3</v>
      </c>
      <c r="DF265">
        <f t="shared" si="95"/>
        <v>1361.64</v>
      </c>
      <c r="DG265">
        <f t="shared" si="90"/>
        <v>0</v>
      </c>
      <c r="DH265">
        <f t="shared" si="80"/>
        <v>0</v>
      </c>
      <c r="DI265">
        <f t="shared" si="96"/>
        <v>0</v>
      </c>
      <c r="DJ265">
        <f>DF265</f>
        <v>1361.64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ROW(Source!A100)</f>
        <v>100</v>
      </c>
      <c r="B266">
        <v>55747649</v>
      </c>
      <c r="C266">
        <v>55748080</v>
      </c>
      <c r="D266">
        <v>54752036</v>
      </c>
      <c r="E266">
        <v>1</v>
      </c>
      <c r="F266">
        <v>1</v>
      </c>
      <c r="G266">
        <v>1081</v>
      </c>
      <c r="H266">
        <v>3</v>
      </c>
      <c r="I266" t="s">
        <v>189</v>
      </c>
      <c r="J266" t="s">
        <v>192</v>
      </c>
      <c r="K266" t="s">
        <v>190</v>
      </c>
      <c r="L266">
        <v>1301</v>
      </c>
      <c r="N266">
        <v>1003</v>
      </c>
      <c r="O266" t="s">
        <v>191</v>
      </c>
      <c r="P266" t="s">
        <v>191</v>
      </c>
      <c r="Q266">
        <v>1</v>
      </c>
      <c r="W266">
        <v>0</v>
      </c>
      <c r="X266">
        <v>-50979398</v>
      </c>
      <c r="Y266">
        <f>AT266</f>
        <v>100.5</v>
      </c>
      <c r="AA266">
        <v>155</v>
      </c>
      <c r="AB266">
        <v>0</v>
      </c>
      <c r="AC266">
        <v>0</v>
      </c>
      <c r="AD266">
        <v>0</v>
      </c>
      <c r="AE266">
        <v>155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 t="s">
        <v>3</v>
      </c>
      <c r="AT266">
        <v>100.5</v>
      </c>
      <c r="AU266" t="s">
        <v>3</v>
      </c>
      <c r="AV266">
        <v>0</v>
      </c>
      <c r="AW266">
        <v>1</v>
      </c>
      <c r="AX266">
        <v>-1</v>
      </c>
      <c r="AY266">
        <v>0</v>
      </c>
      <c r="AZ266">
        <v>0</v>
      </c>
      <c r="BA266" t="s">
        <v>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ROUND(Y266*Source!I100,9)</f>
        <v>20.100000000000001</v>
      </c>
      <c r="CY266">
        <f>AA266</f>
        <v>155</v>
      </c>
      <c r="CZ266">
        <f>AE266</f>
        <v>155</v>
      </c>
      <c r="DA266">
        <f>AI266</f>
        <v>1</v>
      </c>
      <c r="DB266">
        <f>ROUND(ROUND(AT266*CZ266,2),6)</f>
        <v>15577.5</v>
      </c>
      <c r="DC266">
        <f>ROUND(ROUND(AT266*AG266,2),6)</f>
        <v>0</v>
      </c>
      <c r="DD266" t="s">
        <v>3</v>
      </c>
      <c r="DE266" t="s">
        <v>3</v>
      </c>
      <c r="DF266">
        <f t="shared" si="95"/>
        <v>3115.5</v>
      </c>
      <c r="DG266">
        <f t="shared" si="90"/>
        <v>0</v>
      </c>
      <c r="DH266">
        <f t="shared" si="80"/>
        <v>0</v>
      </c>
      <c r="DI266">
        <f t="shared" si="96"/>
        <v>0</v>
      </c>
      <c r="DJ266">
        <f>DF266</f>
        <v>3115.5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ROW(Source!A101)</f>
        <v>101</v>
      </c>
      <c r="B267">
        <v>55747651</v>
      </c>
      <c r="C267">
        <v>55748080</v>
      </c>
      <c r="D267">
        <v>54702434</v>
      </c>
      <c r="E267">
        <v>1081</v>
      </c>
      <c r="F267">
        <v>1</v>
      </c>
      <c r="G267">
        <v>1081</v>
      </c>
      <c r="H267">
        <v>1</v>
      </c>
      <c r="I267" t="s">
        <v>473</v>
      </c>
      <c r="J267" t="s">
        <v>3</v>
      </c>
      <c r="K267" t="s">
        <v>474</v>
      </c>
      <c r="L267">
        <v>1191</v>
      </c>
      <c r="N267">
        <v>1013</v>
      </c>
      <c r="O267" t="s">
        <v>475</v>
      </c>
      <c r="P267" t="s">
        <v>475</v>
      </c>
      <c r="Q267">
        <v>1</v>
      </c>
      <c r="W267">
        <v>0</v>
      </c>
      <c r="X267">
        <v>476480486</v>
      </c>
      <c r="Y267">
        <f t="shared" ref="Y267:Y272" si="97">(AT267*1.2)</f>
        <v>242.39999999999998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5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202</v>
      </c>
      <c r="AU267" t="s">
        <v>49</v>
      </c>
      <c r="AV267">
        <v>1</v>
      </c>
      <c r="AW267">
        <v>2</v>
      </c>
      <c r="AX267">
        <v>55748090</v>
      </c>
      <c r="AY267">
        <v>1</v>
      </c>
      <c r="AZ267">
        <v>0</v>
      </c>
      <c r="BA267">
        <v>306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ROUND(AT267*Source!I101*AH267*AL267,2)</f>
        <v>0</v>
      </c>
      <c r="CV267">
        <f>ROUND(Y267*Source!I101,9)</f>
        <v>48.48</v>
      </c>
      <c r="CW267">
        <v>0</v>
      </c>
      <c r="CX267">
        <f>ROUND(Y267*Source!I101,9)</f>
        <v>48.48</v>
      </c>
      <c r="CY267">
        <f>AD267</f>
        <v>0</v>
      </c>
      <c r="CZ267">
        <f>AH267</f>
        <v>0</v>
      </c>
      <c r="DA267">
        <f>AL267</f>
        <v>1</v>
      </c>
      <c r="DB267">
        <f t="shared" ref="DB267:DB272" si="98">ROUND((ROUND(AT267*CZ267,2)*1.2),6)</f>
        <v>0</v>
      </c>
      <c r="DC267">
        <f t="shared" ref="DC267:DC272" si="99">ROUND((ROUND(AT267*AG267,2)*1.2),6)</f>
        <v>0</v>
      </c>
      <c r="DD267" t="s">
        <v>3</v>
      </c>
      <c r="DE267" t="s">
        <v>3</v>
      </c>
      <c r="DF267">
        <f t="shared" si="95"/>
        <v>0</v>
      </c>
      <c r="DG267">
        <f t="shared" si="90"/>
        <v>0</v>
      </c>
      <c r="DH267">
        <f t="shared" si="80"/>
        <v>0</v>
      </c>
      <c r="DI267">
        <f t="shared" si="96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ROW(Source!A101)</f>
        <v>101</v>
      </c>
      <c r="B268">
        <v>55747651</v>
      </c>
      <c r="C268">
        <v>55748080</v>
      </c>
      <c r="D268">
        <v>54767934</v>
      </c>
      <c r="E268">
        <v>1</v>
      </c>
      <c r="F268">
        <v>1</v>
      </c>
      <c r="G268">
        <v>1081</v>
      </c>
      <c r="H268">
        <v>2</v>
      </c>
      <c r="I268" t="s">
        <v>586</v>
      </c>
      <c r="J268" t="s">
        <v>587</v>
      </c>
      <c r="K268" t="s">
        <v>588</v>
      </c>
      <c r="L268">
        <v>1368</v>
      </c>
      <c r="N268">
        <v>1011</v>
      </c>
      <c r="O268" t="s">
        <v>479</v>
      </c>
      <c r="P268" t="s">
        <v>479</v>
      </c>
      <c r="Q268">
        <v>1</v>
      </c>
      <c r="W268">
        <v>0</v>
      </c>
      <c r="X268">
        <v>-1222619517</v>
      </c>
      <c r="Y268">
        <f t="shared" si="97"/>
        <v>14.16</v>
      </c>
      <c r="AA268">
        <v>0</v>
      </c>
      <c r="AB268">
        <v>1209.95</v>
      </c>
      <c r="AC268">
        <v>758.78</v>
      </c>
      <c r="AD268">
        <v>0</v>
      </c>
      <c r="AE268">
        <v>0</v>
      </c>
      <c r="AF268">
        <v>48.07</v>
      </c>
      <c r="AG268">
        <v>12.62</v>
      </c>
      <c r="AH268">
        <v>0</v>
      </c>
      <c r="AI268">
        <v>1</v>
      </c>
      <c r="AJ268">
        <v>23.59</v>
      </c>
      <c r="AK268">
        <v>56.35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11.8</v>
      </c>
      <c r="AU268" t="s">
        <v>49</v>
      </c>
      <c r="AV268">
        <v>0</v>
      </c>
      <c r="AW268">
        <v>2</v>
      </c>
      <c r="AX268">
        <v>55748091</v>
      </c>
      <c r="AY268">
        <v>1</v>
      </c>
      <c r="AZ268">
        <v>0</v>
      </c>
      <c r="BA268">
        <v>307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ROUND(Y268*Source!I101*DO268,9)</f>
        <v>35.739840000000001</v>
      </c>
      <c r="CX268">
        <f>ROUND(Y268*Source!I101,9)</f>
        <v>2.8319999999999999</v>
      </c>
      <c r="CY268">
        <f>AB268</f>
        <v>1209.95</v>
      </c>
      <c r="CZ268">
        <f>AF268</f>
        <v>48.07</v>
      </c>
      <c r="DA268">
        <f>AJ268</f>
        <v>23.59</v>
      </c>
      <c r="DB268">
        <f t="shared" si="98"/>
        <v>680.67600000000004</v>
      </c>
      <c r="DC268">
        <f t="shared" si="99"/>
        <v>178.70400000000001</v>
      </c>
      <c r="DD268" t="s">
        <v>3</v>
      </c>
      <c r="DE268" t="s">
        <v>3</v>
      </c>
      <c r="DF268">
        <f t="shared" si="95"/>
        <v>0</v>
      </c>
      <c r="DG268">
        <f>ROUND(ROUND(AF268*AJ268,2)*CX268,2)</f>
        <v>3211.4</v>
      </c>
      <c r="DH268">
        <f>ROUND(ROUND(AG268*AK268,2)*CX268,2)</f>
        <v>2013.95</v>
      </c>
      <c r="DI268">
        <f t="shared" si="96"/>
        <v>0</v>
      </c>
      <c r="DJ268">
        <f>DG268</f>
        <v>3211.4</v>
      </c>
      <c r="DK268">
        <v>0</v>
      </c>
      <c r="DL268" t="s">
        <v>486</v>
      </c>
      <c r="DM268">
        <v>0</v>
      </c>
      <c r="DN268" t="s">
        <v>475</v>
      </c>
      <c r="DO268">
        <v>12.62</v>
      </c>
    </row>
    <row r="269" spans="1:119" x14ac:dyDescent="0.2">
      <c r="A269">
        <f>ROW(Source!A101)</f>
        <v>101</v>
      </c>
      <c r="B269">
        <v>55747651</v>
      </c>
      <c r="C269">
        <v>55748080</v>
      </c>
      <c r="D269">
        <v>54767971</v>
      </c>
      <c r="E269">
        <v>1</v>
      </c>
      <c r="F269">
        <v>1</v>
      </c>
      <c r="G269">
        <v>1081</v>
      </c>
      <c r="H269">
        <v>2</v>
      </c>
      <c r="I269" t="s">
        <v>589</v>
      </c>
      <c r="J269" t="s">
        <v>590</v>
      </c>
      <c r="K269" t="s">
        <v>591</v>
      </c>
      <c r="L269">
        <v>1368</v>
      </c>
      <c r="N269">
        <v>1011</v>
      </c>
      <c r="O269" t="s">
        <v>479</v>
      </c>
      <c r="P269" t="s">
        <v>479</v>
      </c>
      <c r="Q269">
        <v>1</v>
      </c>
      <c r="W269">
        <v>0</v>
      </c>
      <c r="X269">
        <v>210297649</v>
      </c>
      <c r="Y269">
        <f t="shared" si="97"/>
        <v>13.2</v>
      </c>
      <c r="AA269">
        <v>0</v>
      </c>
      <c r="AB269">
        <v>65.790000000000006</v>
      </c>
      <c r="AC269">
        <v>0</v>
      </c>
      <c r="AD269">
        <v>0</v>
      </c>
      <c r="AE269">
        <v>0</v>
      </c>
      <c r="AF269">
        <v>5.79</v>
      </c>
      <c r="AG269">
        <v>0</v>
      </c>
      <c r="AH269">
        <v>0</v>
      </c>
      <c r="AI269">
        <v>1</v>
      </c>
      <c r="AJ269">
        <v>10.65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11</v>
      </c>
      <c r="AU269" t="s">
        <v>49</v>
      </c>
      <c r="AV269">
        <v>0</v>
      </c>
      <c r="AW269">
        <v>2</v>
      </c>
      <c r="AX269">
        <v>55748092</v>
      </c>
      <c r="AY269">
        <v>1</v>
      </c>
      <c r="AZ269">
        <v>0</v>
      </c>
      <c r="BA269">
        <v>308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f>ROUND(Y269*Source!I101*DO269,9)</f>
        <v>0</v>
      </c>
      <c r="CX269">
        <f>ROUND(Y269*Source!I101,9)</f>
        <v>2.64</v>
      </c>
      <c r="CY269">
        <f>AB269</f>
        <v>65.790000000000006</v>
      </c>
      <c r="CZ269">
        <f>AF269</f>
        <v>5.79</v>
      </c>
      <c r="DA269">
        <f>AJ269</f>
        <v>10.65</v>
      </c>
      <c r="DB269">
        <f t="shared" si="98"/>
        <v>76.427999999999997</v>
      </c>
      <c r="DC269">
        <f t="shared" si="99"/>
        <v>0</v>
      </c>
      <c r="DD269" t="s">
        <v>3</v>
      </c>
      <c r="DE269" t="s">
        <v>3</v>
      </c>
      <c r="DF269">
        <f t="shared" si="95"/>
        <v>0</v>
      </c>
      <c r="DG269">
        <f>ROUND(ROUND(AF269*AJ269,2)*CX269,2)</f>
        <v>162.78</v>
      </c>
      <c r="DH269">
        <f>ROUND(ROUND(AG269,2)*CX269,2)</f>
        <v>0</v>
      </c>
      <c r="DI269">
        <f t="shared" si="96"/>
        <v>0</v>
      </c>
      <c r="DJ269">
        <f>DG269</f>
        <v>162.78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ROW(Source!A101)</f>
        <v>101</v>
      </c>
      <c r="B270">
        <v>55747651</v>
      </c>
      <c r="C270">
        <v>55748080</v>
      </c>
      <c r="D270">
        <v>54768040</v>
      </c>
      <c r="E270">
        <v>1</v>
      </c>
      <c r="F270">
        <v>1</v>
      </c>
      <c r="G270">
        <v>1081</v>
      </c>
      <c r="H270">
        <v>2</v>
      </c>
      <c r="I270" t="s">
        <v>476</v>
      </c>
      <c r="J270" t="s">
        <v>477</v>
      </c>
      <c r="K270" t="s">
        <v>478</v>
      </c>
      <c r="L270">
        <v>1368</v>
      </c>
      <c r="N270">
        <v>1011</v>
      </c>
      <c r="O270" t="s">
        <v>479</v>
      </c>
      <c r="P270" t="s">
        <v>479</v>
      </c>
      <c r="Q270">
        <v>1</v>
      </c>
      <c r="W270">
        <v>0</v>
      </c>
      <c r="X270">
        <v>1498588441</v>
      </c>
      <c r="Y270">
        <f t="shared" si="97"/>
        <v>33.239999999999995</v>
      </c>
      <c r="AA270">
        <v>0</v>
      </c>
      <c r="AB270">
        <v>102.11</v>
      </c>
      <c r="AC270">
        <v>0</v>
      </c>
      <c r="AD270">
        <v>0</v>
      </c>
      <c r="AE270">
        <v>0</v>
      </c>
      <c r="AF270">
        <v>7.11</v>
      </c>
      <c r="AG270">
        <v>0</v>
      </c>
      <c r="AH270">
        <v>0</v>
      </c>
      <c r="AI270">
        <v>1</v>
      </c>
      <c r="AJ270">
        <v>13.46</v>
      </c>
      <c r="AK270">
        <v>1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27.7</v>
      </c>
      <c r="AU270" t="s">
        <v>49</v>
      </c>
      <c r="AV270">
        <v>0</v>
      </c>
      <c r="AW270">
        <v>2</v>
      </c>
      <c r="AX270">
        <v>55748093</v>
      </c>
      <c r="AY270">
        <v>1</v>
      </c>
      <c r="AZ270">
        <v>0</v>
      </c>
      <c r="BA270">
        <v>309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f>ROUND(Y270*Source!I101*DO270,9)</f>
        <v>0</v>
      </c>
      <c r="CX270">
        <f>ROUND(Y270*Source!I101,9)</f>
        <v>6.6479999999999997</v>
      </c>
      <c r="CY270">
        <f>AB270</f>
        <v>102.11</v>
      </c>
      <c r="CZ270">
        <f>AF270</f>
        <v>7.11</v>
      </c>
      <c r="DA270">
        <f>AJ270</f>
        <v>13.46</v>
      </c>
      <c r="DB270">
        <f t="shared" si="98"/>
        <v>236.34</v>
      </c>
      <c r="DC270">
        <f t="shared" si="99"/>
        <v>0</v>
      </c>
      <c r="DD270" t="s">
        <v>3</v>
      </c>
      <c r="DE270" t="s">
        <v>3</v>
      </c>
      <c r="DF270">
        <f t="shared" si="95"/>
        <v>0</v>
      </c>
      <c r="DG270">
        <f>ROUND(ROUND(AF270*AJ270,2)*CX270,2)</f>
        <v>636.21</v>
      </c>
      <c r="DH270">
        <f>ROUND(ROUND(AG270,2)*CX270,2)</f>
        <v>0</v>
      </c>
      <c r="DI270">
        <f t="shared" si="96"/>
        <v>0</v>
      </c>
      <c r="DJ270">
        <f>DG270</f>
        <v>636.21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ROW(Source!A101)</f>
        <v>101</v>
      </c>
      <c r="B271">
        <v>55747651</v>
      </c>
      <c r="C271">
        <v>55748080</v>
      </c>
      <c r="D271">
        <v>54768339</v>
      </c>
      <c r="E271">
        <v>1</v>
      </c>
      <c r="F271">
        <v>1</v>
      </c>
      <c r="G271">
        <v>1081</v>
      </c>
      <c r="H271">
        <v>2</v>
      </c>
      <c r="I271" t="s">
        <v>483</v>
      </c>
      <c r="J271" t="s">
        <v>484</v>
      </c>
      <c r="K271" t="s">
        <v>485</v>
      </c>
      <c r="L271">
        <v>1368</v>
      </c>
      <c r="N271">
        <v>1011</v>
      </c>
      <c r="O271" t="s">
        <v>479</v>
      </c>
      <c r="P271" t="s">
        <v>479</v>
      </c>
      <c r="Q271">
        <v>1</v>
      </c>
      <c r="W271">
        <v>0</v>
      </c>
      <c r="X271">
        <v>874612079</v>
      </c>
      <c r="Y271">
        <f t="shared" si="97"/>
        <v>3.0599999999999996</v>
      </c>
      <c r="AA271">
        <v>0</v>
      </c>
      <c r="AB271">
        <v>1513.56</v>
      </c>
      <c r="AC271">
        <v>758.78</v>
      </c>
      <c r="AD271">
        <v>0</v>
      </c>
      <c r="AE271">
        <v>0</v>
      </c>
      <c r="AF271">
        <v>83.1</v>
      </c>
      <c r="AG271">
        <v>12.62</v>
      </c>
      <c r="AH271">
        <v>0</v>
      </c>
      <c r="AI271">
        <v>1</v>
      </c>
      <c r="AJ271">
        <v>17.07</v>
      </c>
      <c r="AK271">
        <v>56.35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2.5499999999999998</v>
      </c>
      <c r="AU271" t="s">
        <v>49</v>
      </c>
      <c r="AV271">
        <v>0</v>
      </c>
      <c r="AW271">
        <v>2</v>
      </c>
      <c r="AX271">
        <v>55748094</v>
      </c>
      <c r="AY271">
        <v>1</v>
      </c>
      <c r="AZ271">
        <v>0</v>
      </c>
      <c r="BA271">
        <v>310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f>ROUND(Y271*Source!I101*DO271,9)</f>
        <v>7.7234400000000001</v>
      </c>
      <c r="CX271">
        <f>ROUND(Y271*Source!I101,9)</f>
        <v>0.61199999999999999</v>
      </c>
      <c r="CY271">
        <f>AB271</f>
        <v>1513.56</v>
      </c>
      <c r="CZ271">
        <f>AF271</f>
        <v>83.1</v>
      </c>
      <c r="DA271">
        <f>AJ271</f>
        <v>17.07</v>
      </c>
      <c r="DB271">
        <f t="shared" si="98"/>
        <v>254.292</v>
      </c>
      <c r="DC271">
        <f t="shared" si="99"/>
        <v>38.616</v>
      </c>
      <c r="DD271" t="s">
        <v>3</v>
      </c>
      <c r="DE271" t="s">
        <v>3</v>
      </c>
      <c r="DF271">
        <f t="shared" si="95"/>
        <v>0</v>
      </c>
      <c r="DG271">
        <f>ROUND(ROUND(AF271*AJ271,2)*CX271,2)</f>
        <v>868.13</v>
      </c>
      <c r="DH271">
        <f>ROUND(ROUND(AG271*AK271,2)*CX271,2)</f>
        <v>435.22</v>
      </c>
      <c r="DI271">
        <f t="shared" si="96"/>
        <v>0</v>
      </c>
      <c r="DJ271">
        <f>DG271</f>
        <v>868.13</v>
      </c>
      <c r="DK271">
        <v>0</v>
      </c>
      <c r="DL271" t="s">
        <v>486</v>
      </c>
      <c r="DM271">
        <v>0</v>
      </c>
      <c r="DN271" t="s">
        <v>475</v>
      </c>
      <c r="DO271">
        <v>12.62</v>
      </c>
    </row>
    <row r="272" spans="1:119" x14ac:dyDescent="0.2">
      <c r="A272">
        <f>ROW(Source!A101)</f>
        <v>101</v>
      </c>
      <c r="B272">
        <v>55747651</v>
      </c>
      <c r="C272">
        <v>55748080</v>
      </c>
      <c r="D272">
        <v>54767657</v>
      </c>
      <c r="E272">
        <v>1</v>
      </c>
      <c r="F272">
        <v>1</v>
      </c>
      <c r="G272">
        <v>1081</v>
      </c>
      <c r="H272">
        <v>2</v>
      </c>
      <c r="I272" t="s">
        <v>592</v>
      </c>
      <c r="J272" t="s">
        <v>593</v>
      </c>
      <c r="K272" t="s">
        <v>594</v>
      </c>
      <c r="L272">
        <v>1368</v>
      </c>
      <c r="N272">
        <v>1011</v>
      </c>
      <c r="O272" t="s">
        <v>479</v>
      </c>
      <c r="P272" t="s">
        <v>479</v>
      </c>
      <c r="Q272">
        <v>1</v>
      </c>
      <c r="W272">
        <v>0</v>
      </c>
      <c r="X272">
        <v>-1755828087</v>
      </c>
      <c r="Y272">
        <f t="shared" si="97"/>
        <v>2.2559999999999998</v>
      </c>
      <c r="AA272">
        <v>0</v>
      </c>
      <c r="AB272">
        <v>34.85</v>
      </c>
      <c r="AC272">
        <v>0</v>
      </c>
      <c r="AD272">
        <v>0</v>
      </c>
      <c r="AE272">
        <v>0</v>
      </c>
      <c r="AF272">
        <v>3.18</v>
      </c>
      <c r="AG272">
        <v>0</v>
      </c>
      <c r="AH272">
        <v>0</v>
      </c>
      <c r="AI272">
        <v>1</v>
      </c>
      <c r="AJ272">
        <v>10.27</v>
      </c>
      <c r="AK272">
        <v>1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1.88</v>
      </c>
      <c r="AU272" t="s">
        <v>49</v>
      </c>
      <c r="AV272">
        <v>0</v>
      </c>
      <c r="AW272">
        <v>2</v>
      </c>
      <c r="AX272">
        <v>55748095</v>
      </c>
      <c r="AY272">
        <v>1</v>
      </c>
      <c r="AZ272">
        <v>0</v>
      </c>
      <c r="BA272">
        <v>311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f>ROUND(Y272*Source!I101*DO272,9)</f>
        <v>0</v>
      </c>
      <c r="CX272">
        <f>ROUND(Y272*Source!I101,9)</f>
        <v>0.45119999999999999</v>
      </c>
      <c r="CY272">
        <f>AB272</f>
        <v>34.85</v>
      </c>
      <c r="CZ272">
        <f>AF272</f>
        <v>3.18</v>
      </c>
      <c r="DA272">
        <f>AJ272</f>
        <v>10.27</v>
      </c>
      <c r="DB272">
        <f t="shared" si="98"/>
        <v>7.1760000000000002</v>
      </c>
      <c r="DC272">
        <f t="shared" si="99"/>
        <v>0</v>
      </c>
      <c r="DD272" t="s">
        <v>3</v>
      </c>
      <c r="DE272" t="s">
        <v>3</v>
      </c>
      <c r="DF272">
        <f t="shared" si="95"/>
        <v>0</v>
      </c>
      <c r="DG272">
        <f>ROUND(ROUND(AF272*AJ272,2)*CX272,2)</f>
        <v>14.74</v>
      </c>
      <c r="DH272">
        <f t="shared" ref="DH272:DH287" si="100">ROUND(ROUND(AG272,2)*CX272,2)</f>
        <v>0</v>
      </c>
      <c r="DI272">
        <f t="shared" si="96"/>
        <v>0</v>
      </c>
      <c r="DJ272">
        <f>DG272</f>
        <v>14.74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ROW(Source!A101)</f>
        <v>101</v>
      </c>
      <c r="B273">
        <v>55747651</v>
      </c>
      <c r="C273">
        <v>55748080</v>
      </c>
      <c r="D273">
        <v>54737367</v>
      </c>
      <c r="E273">
        <v>1</v>
      </c>
      <c r="F273">
        <v>1</v>
      </c>
      <c r="G273">
        <v>1081</v>
      </c>
      <c r="H273">
        <v>3</v>
      </c>
      <c r="I273" t="s">
        <v>538</v>
      </c>
      <c r="J273" t="s">
        <v>539</v>
      </c>
      <c r="K273" t="s">
        <v>540</v>
      </c>
      <c r="L273">
        <v>1339</v>
      </c>
      <c r="N273">
        <v>1007</v>
      </c>
      <c r="O273" t="s">
        <v>507</v>
      </c>
      <c r="P273" t="s">
        <v>507</v>
      </c>
      <c r="Q273">
        <v>1</v>
      </c>
      <c r="W273">
        <v>0</v>
      </c>
      <c r="X273">
        <v>-1622585150</v>
      </c>
      <c r="Y273">
        <f>(AT273*1)</f>
        <v>20</v>
      </c>
      <c r="AA273">
        <v>56.33</v>
      </c>
      <c r="AB273">
        <v>0</v>
      </c>
      <c r="AC273">
        <v>0</v>
      </c>
      <c r="AD273">
        <v>0</v>
      </c>
      <c r="AE273">
        <v>7.07</v>
      </c>
      <c r="AF273">
        <v>0</v>
      </c>
      <c r="AG273">
        <v>0</v>
      </c>
      <c r="AH273">
        <v>0</v>
      </c>
      <c r="AI273">
        <v>7.75</v>
      </c>
      <c r="AJ273">
        <v>1</v>
      </c>
      <c r="AK273">
        <v>1</v>
      </c>
      <c r="AL273">
        <v>1</v>
      </c>
      <c r="AM273">
        <v>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20</v>
      </c>
      <c r="AU273" t="s">
        <v>48</v>
      </c>
      <c r="AV273">
        <v>0</v>
      </c>
      <c r="AW273">
        <v>2</v>
      </c>
      <c r="AX273">
        <v>55748096</v>
      </c>
      <c r="AY273">
        <v>1</v>
      </c>
      <c r="AZ273">
        <v>0</v>
      </c>
      <c r="BA273">
        <v>312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ROUND(Y273*Source!I101,9)</f>
        <v>4</v>
      </c>
      <c r="CY273">
        <f>AA273</f>
        <v>56.33</v>
      </c>
      <c r="CZ273">
        <f>AE273</f>
        <v>7.07</v>
      </c>
      <c r="DA273">
        <f>AI273</f>
        <v>7.75</v>
      </c>
      <c r="DB273">
        <f>ROUND((ROUND(AT273*CZ273,2)*1),6)</f>
        <v>141.4</v>
      </c>
      <c r="DC273">
        <f>ROUND((ROUND(AT273*AG273,2)*1),6)</f>
        <v>0</v>
      </c>
      <c r="DD273" t="s">
        <v>3</v>
      </c>
      <c r="DE273" t="s">
        <v>3</v>
      </c>
      <c r="DF273">
        <f>ROUND(ROUND(AE273*AI273,2)*CX273,2)</f>
        <v>219.16</v>
      </c>
      <c r="DG273">
        <f t="shared" ref="DG273:DG287" si="101">ROUND(ROUND(AF273,2)*CX273,2)</f>
        <v>0</v>
      </c>
      <c r="DH273">
        <f t="shared" si="100"/>
        <v>0</v>
      </c>
      <c r="DI273">
        <f t="shared" si="96"/>
        <v>0</v>
      </c>
      <c r="DJ273">
        <f>DF273</f>
        <v>219.16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ROW(Source!A101)</f>
        <v>101</v>
      </c>
      <c r="B274">
        <v>55747651</v>
      </c>
      <c r="C274">
        <v>55748080</v>
      </c>
      <c r="D274">
        <v>54738430</v>
      </c>
      <c r="E274">
        <v>1</v>
      </c>
      <c r="F274">
        <v>1</v>
      </c>
      <c r="G274">
        <v>1081</v>
      </c>
      <c r="H274">
        <v>3</v>
      </c>
      <c r="I274" t="s">
        <v>562</v>
      </c>
      <c r="J274" t="s">
        <v>563</v>
      </c>
      <c r="K274" t="s">
        <v>564</v>
      </c>
      <c r="L274">
        <v>1348</v>
      </c>
      <c r="N274">
        <v>1009</v>
      </c>
      <c r="O274" t="s">
        <v>282</v>
      </c>
      <c r="P274" t="s">
        <v>282</v>
      </c>
      <c r="Q274">
        <v>1000</v>
      </c>
      <c r="W274">
        <v>0</v>
      </c>
      <c r="X274">
        <v>63955816</v>
      </c>
      <c r="Y274">
        <f>(AT274*1)</f>
        <v>8.8000000000000005E-3</v>
      </c>
      <c r="AA274">
        <v>99503.2</v>
      </c>
      <c r="AB274">
        <v>0</v>
      </c>
      <c r="AC274">
        <v>0</v>
      </c>
      <c r="AD274">
        <v>0</v>
      </c>
      <c r="AE274">
        <v>7185.82</v>
      </c>
      <c r="AF274">
        <v>0</v>
      </c>
      <c r="AG274">
        <v>0</v>
      </c>
      <c r="AH274">
        <v>0</v>
      </c>
      <c r="AI274">
        <v>13.47</v>
      </c>
      <c r="AJ274">
        <v>1</v>
      </c>
      <c r="AK274">
        <v>1</v>
      </c>
      <c r="AL274">
        <v>1</v>
      </c>
      <c r="AM274">
        <v>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8.8000000000000005E-3</v>
      </c>
      <c r="AU274" t="s">
        <v>48</v>
      </c>
      <c r="AV274">
        <v>0</v>
      </c>
      <c r="AW274">
        <v>2</v>
      </c>
      <c r="AX274">
        <v>55748097</v>
      </c>
      <c r="AY274">
        <v>1</v>
      </c>
      <c r="AZ274">
        <v>0</v>
      </c>
      <c r="BA274">
        <v>313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ROUND(Y274*Source!I101,9)</f>
        <v>1.7600000000000001E-3</v>
      </c>
      <c r="CY274">
        <f>AA274</f>
        <v>99503.2</v>
      </c>
      <c r="CZ274">
        <f>AE274</f>
        <v>7185.82</v>
      </c>
      <c r="DA274">
        <f>AI274</f>
        <v>13.47</v>
      </c>
      <c r="DB274">
        <f>ROUND((ROUND(AT274*CZ274,2)*1),6)</f>
        <v>63.24</v>
      </c>
      <c r="DC274">
        <f>ROUND((ROUND(AT274*AG274,2)*1),6)</f>
        <v>0</v>
      </c>
      <c r="DD274" t="s">
        <v>3</v>
      </c>
      <c r="DE274" t="s">
        <v>3</v>
      </c>
      <c r="DF274">
        <f>ROUND(ROUND(AE274*AI274,2)*CX274,2)</f>
        <v>170.36</v>
      </c>
      <c r="DG274">
        <f t="shared" si="101"/>
        <v>0</v>
      </c>
      <c r="DH274">
        <f t="shared" si="100"/>
        <v>0</v>
      </c>
      <c r="DI274">
        <f t="shared" si="96"/>
        <v>0</v>
      </c>
      <c r="DJ274">
        <f>DF274</f>
        <v>170.36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ROW(Source!A101)</f>
        <v>101</v>
      </c>
      <c r="B275">
        <v>55747651</v>
      </c>
      <c r="C275">
        <v>55748080</v>
      </c>
      <c r="D275">
        <v>54754027</v>
      </c>
      <c r="E275">
        <v>1</v>
      </c>
      <c r="F275">
        <v>1</v>
      </c>
      <c r="G275">
        <v>1081</v>
      </c>
      <c r="H275">
        <v>3</v>
      </c>
      <c r="I275" t="s">
        <v>152</v>
      </c>
      <c r="J275" t="s">
        <v>154</v>
      </c>
      <c r="K275" t="s">
        <v>153</v>
      </c>
      <c r="L275">
        <v>1354</v>
      </c>
      <c r="N275">
        <v>1010</v>
      </c>
      <c r="O275" t="s">
        <v>118</v>
      </c>
      <c r="P275" t="s">
        <v>118</v>
      </c>
      <c r="Q275">
        <v>1</v>
      </c>
      <c r="W275">
        <v>0</v>
      </c>
      <c r="X275">
        <v>774186860</v>
      </c>
      <c r="Y275">
        <f>AT275</f>
        <v>20</v>
      </c>
      <c r="AA275">
        <v>1531.85</v>
      </c>
      <c r="AB275">
        <v>0</v>
      </c>
      <c r="AC275">
        <v>0</v>
      </c>
      <c r="AD275">
        <v>0</v>
      </c>
      <c r="AE275">
        <v>340.41</v>
      </c>
      <c r="AF275">
        <v>0</v>
      </c>
      <c r="AG275">
        <v>0</v>
      </c>
      <c r="AH275">
        <v>0</v>
      </c>
      <c r="AI275">
        <v>4.5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2</v>
      </c>
      <c r="AQ275">
        <v>0</v>
      </c>
      <c r="AR275">
        <v>0</v>
      </c>
      <c r="AS275" t="s">
        <v>3</v>
      </c>
      <c r="AT275">
        <v>20</v>
      </c>
      <c r="AU275" t="s">
        <v>3</v>
      </c>
      <c r="AV275">
        <v>0</v>
      </c>
      <c r="AW275">
        <v>1</v>
      </c>
      <c r="AX275">
        <v>-1</v>
      </c>
      <c r="AY275">
        <v>0</v>
      </c>
      <c r="AZ275">
        <v>0</v>
      </c>
      <c r="BA275" t="s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ROUND(Y275*Source!I101,9)</f>
        <v>4</v>
      </c>
      <c r="CY275">
        <f>AA275</f>
        <v>1531.85</v>
      </c>
      <c r="CZ275">
        <f>AE275</f>
        <v>340.41</v>
      </c>
      <c r="DA275">
        <f>AI275</f>
        <v>4.5</v>
      </c>
      <c r="DB275">
        <f>ROUND(ROUND(AT275*CZ275,2),6)</f>
        <v>6808.2</v>
      </c>
      <c r="DC275">
        <f>ROUND(ROUND(AT275*AG275,2),6)</f>
        <v>0</v>
      </c>
      <c r="DD275" t="s">
        <v>3</v>
      </c>
      <c r="DE275" t="s">
        <v>3</v>
      </c>
      <c r="DF275">
        <f>ROUND(ROUND(AE275*AI275,2)*CX275,2)</f>
        <v>6127.4</v>
      </c>
      <c r="DG275">
        <f t="shared" si="101"/>
        <v>0</v>
      </c>
      <c r="DH275">
        <f t="shared" si="100"/>
        <v>0</v>
      </c>
      <c r="DI275">
        <f t="shared" si="96"/>
        <v>0</v>
      </c>
      <c r="DJ275">
        <f>DF275</f>
        <v>6127.4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ROW(Source!A101)</f>
        <v>101</v>
      </c>
      <c r="B276">
        <v>55747651</v>
      </c>
      <c r="C276">
        <v>55748080</v>
      </c>
      <c r="D276">
        <v>54752036</v>
      </c>
      <c r="E276">
        <v>1</v>
      </c>
      <c r="F276">
        <v>1</v>
      </c>
      <c r="G276">
        <v>1081</v>
      </c>
      <c r="H276">
        <v>3</v>
      </c>
      <c r="I276" t="s">
        <v>189</v>
      </c>
      <c r="J276" t="s">
        <v>192</v>
      </c>
      <c r="K276" t="s">
        <v>190</v>
      </c>
      <c r="L276">
        <v>1301</v>
      </c>
      <c r="N276">
        <v>1003</v>
      </c>
      <c r="O276" t="s">
        <v>191</v>
      </c>
      <c r="P276" t="s">
        <v>191</v>
      </c>
      <c r="Q276">
        <v>1</v>
      </c>
      <c r="W276">
        <v>0</v>
      </c>
      <c r="X276">
        <v>-50979398</v>
      </c>
      <c r="Y276">
        <f>AT276</f>
        <v>100.5</v>
      </c>
      <c r="AA276">
        <v>754.85</v>
      </c>
      <c r="AB276">
        <v>0</v>
      </c>
      <c r="AC276">
        <v>0</v>
      </c>
      <c r="AD276">
        <v>0</v>
      </c>
      <c r="AE276">
        <v>155</v>
      </c>
      <c r="AF276">
        <v>0</v>
      </c>
      <c r="AG276">
        <v>0</v>
      </c>
      <c r="AH276">
        <v>0</v>
      </c>
      <c r="AI276">
        <v>4.87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100.5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ROUND(Y276*Source!I101,9)</f>
        <v>20.100000000000001</v>
      </c>
      <c r="CY276">
        <f>AA276</f>
        <v>754.85</v>
      </c>
      <c r="CZ276">
        <f>AE276</f>
        <v>155</v>
      </c>
      <c r="DA276">
        <f>AI276</f>
        <v>4.87</v>
      </c>
      <c r="DB276">
        <f>ROUND(ROUND(AT276*CZ276,2),6)</f>
        <v>15577.5</v>
      </c>
      <c r="DC276">
        <f>ROUND(ROUND(AT276*AG276,2),6)</f>
        <v>0</v>
      </c>
      <c r="DD276" t="s">
        <v>3</v>
      </c>
      <c r="DE276" t="s">
        <v>3</v>
      </c>
      <c r="DF276">
        <f>ROUND(ROUND(AE276*AI276,2)*CX276,2)</f>
        <v>15172.49</v>
      </c>
      <c r="DG276">
        <f t="shared" si="101"/>
        <v>0</v>
      </c>
      <c r="DH276">
        <f t="shared" si="100"/>
        <v>0</v>
      </c>
      <c r="DI276">
        <f t="shared" si="96"/>
        <v>0</v>
      </c>
      <c r="DJ276">
        <f>DF276</f>
        <v>15172.49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ROW(Source!A106)</f>
        <v>106</v>
      </c>
      <c r="B277">
        <v>55747649</v>
      </c>
      <c r="C277">
        <v>55748100</v>
      </c>
      <c r="D277">
        <v>54702434</v>
      </c>
      <c r="E277">
        <v>1081</v>
      </c>
      <c r="F277">
        <v>1</v>
      </c>
      <c r="G277">
        <v>1081</v>
      </c>
      <c r="H277">
        <v>1</v>
      </c>
      <c r="I277" t="s">
        <v>473</v>
      </c>
      <c r="J277" t="s">
        <v>3</v>
      </c>
      <c r="K277" t="s">
        <v>474</v>
      </c>
      <c r="L277">
        <v>1191</v>
      </c>
      <c r="N277">
        <v>1013</v>
      </c>
      <c r="O277" t="s">
        <v>475</v>
      </c>
      <c r="P277" t="s">
        <v>475</v>
      </c>
      <c r="Q277">
        <v>1</v>
      </c>
      <c r="W277">
        <v>0</v>
      </c>
      <c r="X277">
        <v>476480486</v>
      </c>
      <c r="Y277">
        <f t="shared" ref="Y277:Y282" si="102">(AT277*1.2)</f>
        <v>190.79999999999998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159</v>
      </c>
      <c r="AU277" t="s">
        <v>49</v>
      </c>
      <c r="AV277">
        <v>1</v>
      </c>
      <c r="AW277">
        <v>2</v>
      </c>
      <c r="AX277">
        <v>55748111</v>
      </c>
      <c r="AY277">
        <v>1</v>
      </c>
      <c r="AZ277">
        <v>0</v>
      </c>
      <c r="BA277">
        <v>315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U277">
        <f>ROUND(AT277*Source!I106*AH277*AL277,2)</f>
        <v>0</v>
      </c>
      <c r="CV277">
        <f>ROUND(Y277*Source!I106,9)</f>
        <v>190.8</v>
      </c>
      <c r="CW277">
        <v>0</v>
      </c>
      <c r="CX277">
        <f>ROUND(Y277*Source!I106,9)</f>
        <v>190.8</v>
      </c>
      <c r="CY277">
        <f>AD277</f>
        <v>0</v>
      </c>
      <c r="CZ277">
        <f>AH277</f>
        <v>0</v>
      </c>
      <c r="DA277">
        <f>AL277</f>
        <v>1</v>
      </c>
      <c r="DB277">
        <f t="shared" ref="DB277:DB282" si="103">ROUND((ROUND(AT277*CZ277,2)*1.2),6)</f>
        <v>0</v>
      </c>
      <c r="DC277">
        <f t="shared" ref="DC277:DC282" si="104">ROUND((ROUND(AT277*AG277,2)*1.2),6)</f>
        <v>0</v>
      </c>
      <c r="DD277" t="s">
        <v>3</v>
      </c>
      <c r="DE277" t="s">
        <v>3</v>
      </c>
      <c r="DF277">
        <f t="shared" ref="DF277:DF292" si="105">ROUND(ROUND(AE277,2)*CX277,2)</f>
        <v>0</v>
      </c>
      <c r="DG277">
        <f t="shared" si="101"/>
        <v>0</v>
      </c>
      <c r="DH277">
        <f t="shared" si="100"/>
        <v>0</v>
      </c>
      <c r="DI277">
        <f t="shared" si="96"/>
        <v>0</v>
      </c>
      <c r="DJ277">
        <f>DI277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ROW(Source!A106)</f>
        <v>106</v>
      </c>
      <c r="B278">
        <v>55747649</v>
      </c>
      <c r="C278">
        <v>55748100</v>
      </c>
      <c r="D278">
        <v>54767934</v>
      </c>
      <c r="E278">
        <v>1</v>
      </c>
      <c r="F278">
        <v>1</v>
      </c>
      <c r="G278">
        <v>1081</v>
      </c>
      <c r="H278">
        <v>2</v>
      </c>
      <c r="I278" t="s">
        <v>586</v>
      </c>
      <c r="J278" t="s">
        <v>587</v>
      </c>
      <c r="K278" t="s">
        <v>588</v>
      </c>
      <c r="L278">
        <v>1368</v>
      </c>
      <c r="N278">
        <v>1011</v>
      </c>
      <c r="O278" t="s">
        <v>479</v>
      </c>
      <c r="P278" t="s">
        <v>479</v>
      </c>
      <c r="Q278">
        <v>1</v>
      </c>
      <c r="W278">
        <v>0</v>
      </c>
      <c r="X278">
        <v>-1222619517</v>
      </c>
      <c r="Y278">
        <f t="shared" si="102"/>
        <v>11.28</v>
      </c>
      <c r="AA278">
        <v>0</v>
      </c>
      <c r="AB278">
        <v>51.29</v>
      </c>
      <c r="AC278">
        <v>13.47</v>
      </c>
      <c r="AD278">
        <v>0</v>
      </c>
      <c r="AE278">
        <v>0</v>
      </c>
      <c r="AF278">
        <v>48.07</v>
      </c>
      <c r="AG278">
        <v>12.62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9.4</v>
      </c>
      <c r="AU278" t="s">
        <v>49</v>
      </c>
      <c r="AV278">
        <v>0</v>
      </c>
      <c r="AW278">
        <v>2</v>
      </c>
      <c r="AX278">
        <v>55748112</v>
      </c>
      <c r="AY278">
        <v>1</v>
      </c>
      <c r="AZ278">
        <v>0</v>
      </c>
      <c r="BA278">
        <v>316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ROUND(Y278*Source!I106*DO278,9)</f>
        <v>142.3536</v>
      </c>
      <c r="CX278">
        <f>ROUND(Y278*Source!I106,9)</f>
        <v>11.28</v>
      </c>
      <c r="CY278">
        <f>AB278</f>
        <v>51.29</v>
      </c>
      <c r="CZ278">
        <f>AF278</f>
        <v>48.07</v>
      </c>
      <c r="DA278">
        <f>AJ278</f>
        <v>1</v>
      </c>
      <c r="DB278">
        <f t="shared" si="103"/>
        <v>542.23199999999997</v>
      </c>
      <c r="DC278">
        <f t="shared" si="104"/>
        <v>142.35599999999999</v>
      </c>
      <c r="DD278" t="s">
        <v>3</v>
      </c>
      <c r="DE278" t="s">
        <v>3</v>
      </c>
      <c r="DF278">
        <f t="shared" si="105"/>
        <v>0</v>
      </c>
      <c r="DG278">
        <f t="shared" si="101"/>
        <v>542.23</v>
      </c>
      <c r="DH278">
        <f t="shared" si="100"/>
        <v>142.35</v>
      </c>
      <c r="DI278">
        <f t="shared" si="96"/>
        <v>0</v>
      </c>
      <c r="DJ278">
        <f>DG278</f>
        <v>542.23</v>
      </c>
      <c r="DK278">
        <v>0</v>
      </c>
      <c r="DL278" t="s">
        <v>486</v>
      </c>
      <c r="DM278">
        <v>0</v>
      </c>
      <c r="DN278" t="s">
        <v>475</v>
      </c>
      <c r="DO278">
        <v>12.62</v>
      </c>
    </row>
    <row r="279" spans="1:119" x14ac:dyDescent="0.2">
      <c r="A279">
        <f>ROW(Source!A106)</f>
        <v>106</v>
      </c>
      <c r="B279">
        <v>55747649</v>
      </c>
      <c r="C279">
        <v>55748100</v>
      </c>
      <c r="D279">
        <v>54767971</v>
      </c>
      <c r="E279">
        <v>1</v>
      </c>
      <c r="F279">
        <v>1</v>
      </c>
      <c r="G279">
        <v>1081</v>
      </c>
      <c r="H279">
        <v>2</v>
      </c>
      <c r="I279" t="s">
        <v>589</v>
      </c>
      <c r="J279" t="s">
        <v>590</v>
      </c>
      <c r="K279" t="s">
        <v>591</v>
      </c>
      <c r="L279">
        <v>1368</v>
      </c>
      <c r="N279">
        <v>1011</v>
      </c>
      <c r="O279" t="s">
        <v>479</v>
      </c>
      <c r="P279" t="s">
        <v>479</v>
      </c>
      <c r="Q279">
        <v>1</v>
      </c>
      <c r="W279">
        <v>0</v>
      </c>
      <c r="X279">
        <v>210297649</v>
      </c>
      <c r="Y279">
        <f t="shared" si="102"/>
        <v>10.199999999999999</v>
      </c>
      <c r="AA279">
        <v>0</v>
      </c>
      <c r="AB279">
        <v>6.18</v>
      </c>
      <c r="AC279">
        <v>0</v>
      </c>
      <c r="AD279">
        <v>0</v>
      </c>
      <c r="AE279">
        <v>0</v>
      </c>
      <c r="AF279">
        <v>5.79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8.5</v>
      </c>
      <c r="AU279" t="s">
        <v>49</v>
      </c>
      <c r="AV279">
        <v>0</v>
      </c>
      <c r="AW279">
        <v>2</v>
      </c>
      <c r="AX279">
        <v>55748113</v>
      </c>
      <c r="AY279">
        <v>1</v>
      </c>
      <c r="AZ279">
        <v>0</v>
      </c>
      <c r="BA279">
        <v>317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ROUND(Y279*Source!I106*DO279,9)</f>
        <v>0</v>
      </c>
      <c r="CX279">
        <f>ROUND(Y279*Source!I106,9)</f>
        <v>10.199999999999999</v>
      </c>
      <c r="CY279">
        <f>AB279</f>
        <v>6.18</v>
      </c>
      <c r="CZ279">
        <f>AF279</f>
        <v>5.79</v>
      </c>
      <c r="DA279">
        <f>AJ279</f>
        <v>1</v>
      </c>
      <c r="DB279">
        <f t="shared" si="103"/>
        <v>59.064</v>
      </c>
      <c r="DC279">
        <f t="shared" si="104"/>
        <v>0</v>
      </c>
      <c r="DD279" t="s">
        <v>3</v>
      </c>
      <c r="DE279" t="s">
        <v>3</v>
      </c>
      <c r="DF279">
        <f t="shared" si="105"/>
        <v>0</v>
      </c>
      <c r="DG279">
        <f t="shared" si="101"/>
        <v>59.06</v>
      </c>
      <c r="DH279">
        <f t="shared" si="100"/>
        <v>0</v>
      </c>
      <c r="DI279">
        <f t="shared" si="96"/>
        <v>0</v>
      </c>
      <c r="DJ279">
        <f>DG279</f>
        <v>59.06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ROW(Source!A106)</f>
        <v>106</v>
      </c>
      <c r="B280">
        <v>55747649</v>
      </c>
      <c r="C280">
        <v>55748100</v>
      </c>
      <c r="D280">
        <v>54768040</v>
      </c>
      <c r="E280">
        <v>1</v>
      </c>
      <c r="F280">
        <v>1</v>
      </c>
      <c r="G280">
        <v>1081</v>
      </c>
      <c r="H280">
        <v>2</v>
      </c>
      <c r="I280" t="s">
        <v>476</v>
      </c>
      <c r="J280" t="s">
        <v>477</v>
      </c>
      <c r="K280" t="s">
        <v>478</v>
      </c>
      <c r="L280">
        <v>1368</v>
      </c>
      <c r="N280">
        <v>1011</v>
      </c>
      <c r="O280" t="s">
        <v>479</v>
      </c>
      <c r="P280" t="s">
        <v>479</v>
      </c>
      <c r="Q280">
        <v>1</v>
      </c>
      <c r="W280">
        <v>0</v>
      </c>
      <c r="X280">
        <v>1498588441</v>
      </c>
      <c r="Y280">
        <f t="shared" si="102"/>
        <v>30</v>
      </c>
      <c r="AA280">
        <v>0</v>
      </c>
      <c r="AB280">
        <v>7.59</v>
      </c>
      <c r="AC280">
        <v>0</v>
      </c>
      <c r="AD280">
        <v>0</v>
      </c>
      <c r="AE280">
        <v>0</v>
      </c>
      <c r="AF280">
        <v>7.11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25</v>
      </c>
      <c r="AU280" t="s">
        <v>49</v>
      </c>
      <c r="AV280">
        <v>0</v>
      </c>
      <c r="AW280">
        <v>2</v>
      </c>
      <c r="AX280">
        <v>55748114</v>
      </c>
      <c r="AY280">
        <v>1</v>
      </c>
      <c r="AZ280">
        <v>0</v>
      </c>
      <c r="BA280">
        <v>318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ROUND(Y280*Source!I106*DO280,9)</f>
        <v>0</v>
      </c>
      <c r="CX280">
        <f>ROUND(Y280*Source!I106,9)</f>
        <v>30</v>
      </c>
      <c r="CY280">
        <f>AB280</f>
        <v>7.59</v>
      </c>
      <c r="CZ280">
        <f>AF280</f>
        <v>7.11</v>
      </c>
      <c r="DA280">
        <f>AJ280</f>
        <v>1</v>
      </c>
      <c r="DB280">
        <f t="shared" si="103"/>
        <v>213.3</v>
      </c>
      <c r="DC280">
        <f t="shared" si="104"/>
        <v>0</v>
      </c>
      <c r="DD280" t="s">
        <v>3</v>
      </c>
      <c r="DE280" t="s">
        <v>3</v>
      </c>
      <c r="DF280">
        <f t="shared" si="105"/>
        <v>0</v>
      </c>
      <c r="DG280">
        <f t="shared" si="101"/>
        <v>213.3</v>
      </c>
      <c r="DH280">
        <f t="shared" si="100"/>
        <v>0</v>
      </c>
      <c r="DI280">
        <f t="shared" si="96"/>
        <v>0</v>
      </c>
      <c r="DJ280">
        <f>DG280</f>
        <v>213.3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ROW(Source!A106)</f>
        <v>106</v>
      </c>
      <c r="B281">
        <v>55747649</v>
      </c>
      <c r="C281">
        <v>55748100</v>
      </c>
      <c r="D281">
        <v>54768339</v>
      </c>
      <c r="E281">
        <v>1</v>
      </c>
      <c r="F281">
        <v>1</v>
      </c>
      <c r="G281">
        <v>1081</v>
      </c>
      <c r="H281">
        <v>2</v>
      </c>
      <c r="I281" t="s">
        <v>483</v>
      </c>
      <c r="J281" t="s">
        <v>484</v>
      </c>
      <c r="K281" t="s">
        <v>485</v>
      </c>
      <c r="L281">
        <v>1368</v>
      </c>
      <c r="N281">
        <v>1011</v>
      </c>
      <c r="O281" t="s">
        <v>479</v>
      </c>
      <c r="P281" t="s">
        <v>479</v>
      </c>
      <c r="Q281">
        <v>1</v>
      </c>
      <c r="W281">
        <v>0</v>
      </c>
      <c r="X281">
        <v>874612079</v>
      </c>
      <c r="Y281">
        <f t="shared" si="102"/>
        <v>1.9919999999999998</v>
      </c>
      <c r="AA281">
        <v>0</v>
      </c>
      <c r="AB281">
        <v>88.67</v>
      </c>
      <c r="AC281">
        <v>13.47</v>
      </c>
      <c r="AD281">
        <v>0</v>
      </c>
      <c r="AE281">
        <v>0</v>
      </c>
      <c r="AF281">
        <v>83.1</v>
      </c>
      <c r="AG281">
        <v>12.62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1.66</v>
      </c>
      <c r="AU281" t="s">
        <v>49</v>
      </c>
      <c r="AV281">
        <v>0</v>
      </c>
      <c r="AW281">
        <v>2</v>
      </c>
      <c r="AX281">
        <v>55748115</v>
      </c>
      <c r="AY281">
        <v>1</v>
      </c>
      <c r="AZ281">
        <v>0</v>
      </c>
      <c r="BA281">
        <v>319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ROUND(Y281*Source!I106*DO281,9)</f>
        <v>25.139040000000001</v>
      </c>
      <c r="CX281">
        <f>ROUND(Y281*Source!I106,9)</f>
        <v>1.992</v>
      </c>
      <c r="CY281">
        <f>AB281</f>
        <v>88.67</v>
      </c>
      <c r="CZ281">
        <f>AF281</f>
        <v>83.1</v>
      </c>
      <c r="DA281">
        <f>AJ281</f>
        <v>1</v>
      </c>
      <c r="DB281">
        <f t="shared" si="103"/>
        <v>165.54</v>
      </c>
      <c r="DC281">
        <f t="shared" si="104"/>
        <v>25.14</v>
      </c>
      <c r="DD281" t="s">
        <v>3</v>
      </c>
      <c r="DE281" t="s">
        <v>3</v>
      </c>
      <c r="DF281">
        <f t="shared" si="105"/>
        <v>0</v>
      </c>
      <c r="DG281">
        <f t="shared" si="101"/>
        <v>165.54</v>
      </c>
      <c r="DH281">
        <f t="shared" si="100"/>
        <v>25.14</v>
      </c>
      <c r="DI281">
        <f t="shared" si="96"/>
        <v>0</v>
      </c>
      <c r="DJ281">
        <f>DG281</f>
        <v>165.54</v>
      </c>
      <c r="DK281">
        <v>0</v>
      </c>
      <c r="DL281" t="s">
        <v>486</v>
      </c>
      <c r="DM281">
        <v>0</v>
      </c>
      <c r="DN281" t="s">
        <v>475</v>
      </c>
      <c r="DO281">
        <v>12.62</v>
      </c>
    </row>
    <row r="282" spans="1:119" x14ac:dyDescent="0.2">
      <c r="A282">
        <f>ROW(Source!A106)</f>
        <v>106</v>
      </c>
      <c r="B282">
        <v>55747649</v>
      </c>
      <c r="C282">
        <v>55748100</v>
      </c>
      <c r="D282">
        <v>54767657</v>
      </c>
      <c r="E282">
        <v>1</v>
      </c>
      <c r="F282">
        <v>1</v>
      </c>
      <c r="G282">
        <v>1081</v>
      </c>
      <c r="H282">
        <v>2</v>
      </c>
      <c r="I282" t="s">
        <v>592</v>
      </c>
      <c r="J282" t="s">
        <v>593</v>
      </c>
      <c r="K282" t="s">
        <v>594</v>
      </c>
      <c r="L282">
        <v>1368</v>
      </c>
      <c r="N282">
        <v>1011</v>
      </c>
      <c r="O282" t="s">
        <v>479</v>
      </c>
      <c r="P282" t="s">
        <v>479</v>
      </c>
      <c r="Q282">
        <v>1</v>
      </c>
      <c r="W282">
        <v>0</v>
      </c>
      <c r="X282">
        <v>-1755828087</v>
      </c>
      <c r="Y282">
        <f t="shared" si="102"/>
        <v>1.464</v>
      </c>
      <c r="AA282">
        <v>0</v>
      </c>
      <c r="AB282">
        <v>3.39</v>
      </c>
      <c r="AC282">
        <v>0</v>
      </c>
      <c r="AD282">
        <v>0</v>
      </c>
      <c r="AE282">
        <v>0</v>
      </c>
      <c r="AF282">
        <v>3.18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1.22</v>
      </c>
      <c r="AU282" t="s">
        <v>49</v>
      </c>
      <c r="AV282">
        <v>0</v>
      </c>
      <c r="AW282">
        <v>2</v>
      </c>
      <c r="AX282">
        <v>55748116</v>
      </c>
      <c r="AY282">
        <v>1</v>
      </c>
      <c r="AZ282">
        <v>0</v>
      </c>
      <c r="BA282">
        <v>320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ROUND(Y282*Source!I106*DO282,9)</f>
        <v>0</v>
      </c>
      <c r="CX282">
        <f>ROUND(Y282*Source!I106,9)</f>
        <v>1.464</v>
      </c>
      <c r="CY282">
        <f>AB282</f>
        <v>3.39</v>
      </c>
      <c r="CZ282">
        <f>AF282</f>
        <v>3.18</v>
      </c>
      <c r="DA282">
        <f>AJ282</f>
        <v>1</v>
      </c>
      <c r="DB282">
        <f t="shared" si="103"/>
        <v>4.6559999999999997</v>
      </c>
      <c r="DC282">
        <f t="shared" si="104"/>
        <v>0</v>
      </c>
      <c r="DD282" t="s">
        <v>3</v>
      </c>
      <c r="DE282" t="s">
        <v>3</v>
      </c>
      <c r="DF282">
        <f t="shared" si="105"/>
        <v>0</v>
      </c>
      <c r="DG282">
        <f t="shared" si="101"/>
        <v>4.66</v>
      </c>
      <c r="DH282">
        <f t="shared" si="100"/>
        <v>0</v>
      </c>
      <c r="DI282">
        <f t="shared" si="96"/>
        <v>0</v>
      </c>
      <c r="DJ282">
        <f>DG282</f>
        <v>4.66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ROW(Source!A106)</f>
        <v>106</v>
      </c>
      <c r="B283">
        <v>55747649</v>
      </c>
      <c r="C283">
        <v>55748100</v>
      </c>
      <c r="D283">
        <v>54737367</v>
      </c>
      <c r="E283">
        <v>1</v>
      </c>
      <c r="F283">
        <v>1</v>
      </c>
      <c r="G283">
        <v>1081</v>
      </c>
      <c r="H283">
        <v>3</v>
      </c>
      <c r="I283" t="s">
        <v>538</v>
      </c>
      <c r="J283" t="s">
        <v>539</v>
      </c>
      <c r="K283" t="s">
        <v>540</v>
      </c>
      <c r="L283">
        <v>1339</v>
      </c>
      <c r="N283">
        <v>1007</v>
      </c>
      <c r="O283" t="s">
        <v>507</v>
      </c>
      <c r="P283" t="s">
        <v>507</v>
      </c>
      <c r="Q283">
        <v>1</v>
      </c>
      <c r="W283">
        <v>0</v>
      </c>
      <c r="X283">
        <v>-1622585150</v>
      </c>
      <c r="Y283">
        <f>(AT283*1)</f>
        <v>10</v>
      </c>
      <c r="AA283">
        <v>7.27</v>
      </c>
      <c r="AB283">
        <v>0</v>
      </c>
      <c r="AC283">
        <v>0</v>
      </c>
      <c r="AD283">
        <v>0</v>
      </c>
      <c r="AE283">
        <v>7.07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10</v>
      </c>
      <c r="AU283" t="s">
        <v>48</v>
      </c>
      <c r="AV283">
        <v>0</v>
      </c>
      <c r="AW283">
        <v>2</v>
      </c>
      <c r="AX283">
        <v>55748117</v>
      </c>
      <c r="AY283">
        <v>1</v>
      </c>
      <c r="AZ283">
        <v>0</v>
      </c>
      <c r="BA283">
        <v>321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ROUND(Y283*Source!I106,9)</f>
        <v>10</v>
      </c>
      <c r="CY283">
        <f>AA283</f>
        <v>7.27</v>
      </c>
      <c r="CZ283">
        <f>AE283</f>
        <v>7.07</v>
      </c>
      <c r="DA283">
        <f>AI283</f>
        <v>1</v>
      </c>
      <c r="DB283">
        <f>ROUND((ROUND(AT283*CZ283,2)*1),6)</f>
        <v>70.7</v>
      </c>
      <c r="DC283">
        <f>ROUND((ROUND(AT283*AG283,2)*1),6)</f>
        <v>0</v>
      </c>
      <c r="DD283" t="s">
        <v>3</v>
      </c>
      <c r="DE283" t="s">
        <v>3</v>
      </c>
      <c r="DF283">
        <f t="shared" si="105"/>
        <v>70.7</v>
      </c>
      <c r="DG283">
        <f t="shared" si="101"/>
        <v>0</v>
      </c>
      <c r="DH283">
        <f t="shared" si="100"/>
        <v>0</v>
      </c>
      <c r="DI283">
        <f t="shared" si="96"/>
        <v>0</v>
      </c>
      <c r="DJ283">
        <f>DF283</f>
        <v>70.7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ROW(Source!A106)</f>
        <v>106</v>
      </c>
      <c r="B284">
        <v>55747649</v>
      </c>
      <c r="C284">
        <v>55748100</v>
      </c>
      <c r="D284">
        <v>54738430</v>
      </c>
      <c r="E284">
        <v>1</v>
      </c>
      <c r="F284">
        <v>1</v>
      </c>
      <c r="G284">
        <v>1081</v>
      </c>
      <c r="H284">
        <v>3</v>
      </c>
      <c r="I284" t="s">
        <v>562</v>
      </c>
      <c r="J284" t="s">
        <v>563</v>
      </c>
      <c r="K284" t="s">
        <v>564</v>
      </c>
      <c r="L284">
        <v>1348</v>
      </c>
      <c r="N284">
        <v>1009</v>
      </c>
      <c r="O284" t="s">
        <v>282</v>
      </c>
      <c r="P284" t="s">
        <v>282</v>
      </c>
      <c r="Q284">
        <v>1000</v>
      </c>
      <c r="W284">
        <v>0</v>
      </c>
      <c r="X284">
        <v>63955816</v>
      </c>
      <c r="Y284">
        <f>(AT284*1)</f>
        <v>7.7000000000000002E-3</v>
      </c>
      <c r="AA284">
        <v>7387.02</v>
      </c>
      <c r="AB284">
        <v>0</v>
      </c>
      <c r="AC284">
        <v>0</v>
      </c>
      <c r="AD284">
        <v>0</v>
      </c>
      <c r="AE284">
        <v>7185.82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7.7000000000000002E-3</v>
      </c>
      <c r="AU284" t="s">
        <v>48</v>
      </c>
      <c r="AV284">
        <v>0</v>
      </c>
      <c r="AW284">
        <v>2</v>
      </c>
      <c r="AX284">
        <v>55748118</v>
      </c>
      <c r="AY284">
        <v>1</v>
      </c>
      <c r="AZ284">
        <v>0</v>
      </c>
      <c r="BA284">
        <v>322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ROUND(Y284*Source!I106,9)</f>
        <v>7.7000000000000002E-3</v>
      </c>
      <c r="CY284">
        <f>AA284</f>
        <v>7387.02</v>
      </c>
      <c r="CZ284">
        <f>AE284</f>
        <v>7185.82</v>
      </c>
      <c r="DA284">
        <f>AI284</f>
        <v>1</v>
      </c>
      <c r="DB284">
        <f>ROUND((ROUND(AT284*CZ284,2)*1),6)</f>
        <v>55.33</v>
      </c>
      <c r="DC284">
        <f>ROUND((ROUND(AT284*AG284,2)*1),6)</f>
        <v>0</v>
      </c>
      <c r="DD284" t="s">
        <v>3</v>
      </c>
      <c r="DE284" t="s">
        <v>3</v>
      </c>
      <c r="DF284">
        <f t="shared" si="105"/>
        <v>55.33</v>
      </c>
      <c r="DG284">
        <f t="shared" si="101"/>
        <v>0</v>
      </c>
      <c r="DH284">
        <f t="shared" si="100"/>
        <v>0</v>
      </c>
      <c r="DI284">
        <f t="shared" si="96"/>
        <v>0</v>
      </c>
      <c r="DJ284">
        <f>DF284</f>
        <v>55.33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ROW(Source!A106)</f>
        <v>106</v>
      </c>
      <c r="B285">
        <v>55747649</v>
      </c>
      <c r="C285">
        <v>55748100</v>
      </c>
      <c r="D285">
        <v>54752019</v>
      </c>
      <c r="E285">
        <v>1</v>
      </c>
      <c r="F285">
        <v>1</v>
      </c>
      <c r="G285">
        <v>1081</v>
      </c>
      <c r="H285">
        <v>3</v>
      </c>
      <c r="I285" t="s">
        <v>203</v>
      </c>
      <c r="J285" t="s">
        <v>205</v>
      </c>
      <c r="K285" t="s">
        <v>204</v>
      </c>
      <c r="L285">
        <v>1301</v>
      </c>
      <c r="N285">
        <v>1003</v>
      </c>
      <c r="O285" t="s">
        <v>191</v>
      </c>
      <c r="P285" t="s">
        <v>191</v>
      </c>
      <c r="Q285">
        <v>1</v>
      </c>
      <c r="W285">
        <v>0</v>
      </c>
      <c r="X285">
        <v>1214887306</v>
      </c>
      <c r="Y285">
        <f>AT285</f>
        <v>60.3</v>
      </c>
      <c r="AA285">
        <v>66.16</v>
      </c>
      <c r="AB285">
        <v>0</v>
      </c>
      <c r="AC285">
        <v>0</v>
      </c>
      <c r="AD285">
        <v>0</v>
      </c>
      <c r="AE285">
        <v>66.16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 t="s">
        <v>3</v>
      </c>
      <c r="AT285">
        <v>60.3</v>
      </c>
      <c r="AU285" t="s">
        <v>3</v>
      </c>
      <c r="AV285">
        <v>0</v>
      </c>
      <c r="AW285">
        <v>1</v>
      </c>
      <c r="AX285">
        <v>-1</v>
      </c>
      <c r="AY285">
        <v>0</v>
      </c>
      <c r="AZ285">
        <v>0</v>
      </c>
      <c r="BA285" t="s">
        <v>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ROUND(Y285*Source!I106,9)</f>
        <v>60.3</v>
      </c>
      <c r="CY285">
        <f>AA285</f>
        <v>66.16</v>
      </c>
      <c r="CZ285">
        <f>AE285</f>
        <v>66.16</v>
      </c>
      <c r="DA285">
        <f>AI285</f>
        <v>1</v>
      </c>
      <c r="DB285">
        <f>ROUND(ROUND(AT285*CZ285,2),6)</f>
        <v>3989.45</v>
      </c>
      <c r="DC285">
        <f>ROUND(ROUND(AT285*AG285,2),6)</f>
        <v>0</v>
      </c>
      <c r="DD285" t="s">
        <v>3</v>
      </c>
      <c r="DE285" t="s">
        <v>3</v>
      </c>
      <c r="DF285">
        <f t="shared" si="105"/>
        <v>3989.45</v>
      </c>
      <c r="DG285">
        <f t="shared" si="101"/>
        <v>0</v>
      </c>
      <c r="DH285">
        <f t="shared" si="100"/>
        <v>0</v>
      </c>
      <c r="DI285">
        <f t="shared" si="96"/>
        <v>0</v>
      </c>
      <c r="DJ285">
        <f>DF285</f>
        <v>3989.45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ROW(Source!A106)</f>
        <v>106</v>
      </c>
      <c r="B286">
        <v>55747649</v>
      </c>
      <c r="C286">
        <v>55748100</v>
      </c>
      <c r="D286">
        <v>54752026</v>
      </c>
      <c r="E286">
        <v>1</v>
      </c>
      <c r="F286">
        <v>1</v>
      </c>
      <c r="G286">
        <v>1081</v>
      </c>
      <c r="H286">
        <v>3</v>
      </c>
      <c r="I286" t="s">
        <v>199</v>
      </c>
      <c r="J286" t="s">
        <v>201</v>
      </c>
      <c r="K286" t="s">
        <v>200</v>
      </c>
      <c r="L286">
        <v>1301</v>
      </c>
      <c r="N286">
        <v>1003</v>
      </c>
      <c r="O286" t="s">
        <v>191</v>
      </c>
      <c r="P286" t="s">
        <v>191</v>
      </c>
      <c r="Q286">
        <v>1</v>
      </c>
      <c r="W286">
        <v>0</v>
      </c>
      <c r="X286">
        <v>-648477377</v>
      </c>
      <c r="Y286">
        <f>AT286</f>
        <v>40.200000000000003</v>
      </c>
      <c r="AA286">
        <v>80.59</v>
      </c>
      <c r="AB286">
        <v>0</v>
      </c>
      <c r="AC286">
        <v>0</v>
      </c>
      <c r="AD286">
        <v>0</v>
      </c>
      <c r="AE286">
        <v>80.59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 t="s">
        <v>3</v>
      </c>
      <c r="AT286">
        <v>40.200000000000003</v>
      </c>
      <c r="AU286" t="s">
        <v>3</v>
      </c>
      <c r="AV286">
        <v>0</v>
      </c>
      <c r="AW286">
        <v>1</v>
      </c>
      <c r="AX286">
        <v>-1</v>
      </c>
      <c r="AY286">
        <v>0</v>
      </c>
      <c r="AZ286">
        <v>0</v>
      </c>
      <c r="BA286" t="s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ROUND(Y286*Source!I106,9)</f>
        <v>40.200000000000003</v>
      </c>
      <c r="CY286">
        <f>AA286</f>
        <v>80.59</v>
      </c>
      <c r="CZ286">
        <f>AE286</f>
        <v>80.59</v>
      </c>
      <c r="DA286">
        <f>AI286</f>
        <v>1</v>
      </c>
      <c r="DB286">
        <f>ROUND(ROUND(AT286*CZ286,2),6)</f>
        <v>3239.72</v>
      </c>
      <c r="DC286">
        <f>ROUND(ROUND(AT286*AG286,2),6)</f>
        <v>0</v>
      </c>
      <c r="DD286" t="s">
        <v>3</v>
      </c>
      <c r="DE286" t="s">
        <v>3</v>
      </c>
      <c r="DF286">
        <f t="shared" si="105"/>
        <v>3239.72</v>
      </c>
      <c r="DG286">
        <f t="shared" si="101"/>
        <v>0</v>
      </c>
      <c r="DH286">
        <f t="shared" si="100"/>
        <v>0</v>
      </c>
      <c r="DI286">
        <f t="shared" si="96"/>
        <v>0</v>
      </c>
      <c r="DJ286">
        <f>DF286</f>
        <v>3239.72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ROW(Source!A107)</f>
        <v>107</v>
      </c>
      <c r="B287">
        <v>55747651</v>
      </c>
      <c r="C287">
        <v>55748100</v>
      </c>
      <c r="D287">
        <v>54702434</v>
      </c>
      <c r="E287">
        <v>1081</v>
      </c>
      <c r="F287">
        <v>1</v>
      </c>
      <c r="G287">
        <v>1081</v>
      </c>
      <c r="H287">
        <v>1</v>
      </c>
      <c r="I287" t="s">
        <v>473</v>
      </c>
      <c r="J287" t="s">
        <v>3</v>
      </c>
      <c r="K287" t="s">
        <v>474</v>
      </c>
      <c r="L287">
        <v>1191</v>
      </c>
      <c r="N287">
        <v>1013</v>
      </c>
      <c r="O287" t="s">
        <v>475</v>
      </c>
      <c r="P287" t="s">
        <v>475</v>
      </c>
      <c r="Q287">
        <v>1</v>
      </c>
      <c r="W287">
        <v>0</v>
      </c>
      <c r="X287">
        <v>476480486</v>
      </c>
      <c r="Y287">
        <f t="shared" ref="Y287:Y292" si="106">(AT287*1.2)</f>
        <v>190.79999999999998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5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159</v>
      </c>
      <c r="AU287" t="s">
        <v>49</v>
      </c>
      <c r="AV287">
        <v>1</v>
      </c>
      <c r="AW287">
        <v>2</v>
      </c>
      <c r="AX287">
        <v>55748111</v>
      </c>
      <c r="AY287">
        <v>1</v>
      </c>
      <c r="AZ287">
        <v>0</v>
      </c>
      <c r="BA287">
        <v>324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ROUND(AT287*Source!I107*AH287*AL287,2)</f>
        <v>0</v>
      </c>
      <c r="CV287">
        <f>ROUND(Y287*Source!I107,9)</f>
        <v>190.8</v>
      </c>
      <c r="CW287">
        <v>0</v>
      </c>
      <c r="CX287">
        <f>ROUND(Y287*Source!I107,9)</f>
        <v>190.8</v>
      </c>
      <c r="CY287">
        <f>AD287</f>
        <v>0</v>
      </c>
      <c r="CZ287">
        <f>AH287</f>
        <v>0</v>
      </c>
      <c r="DA287">
        <f>AL287</f>
        <v>1</v>
      </c>
      <c r="DB287">
        <f t="shared" ref="DB287:DB292" si="107">ROUND((ROUND(AT287*CZ287,2)*1.2),6)</f>
        <v>0</v>
      </c>
      <c r="DC287">
        <f t="shared" ref="DC287:DC292" si="108">ROUND((ROUND(AT287*AG287,2)*1.2),6)</f>
        <v>0</v>
      </c>
      <c r="DD287" t="s">
        <v>3</v>
      </c>
      <c r="DE287" t="s">
        <v>3</v>
      </c>
      <c r="DF287">
        <f t="shared" si="105"/>
        <v>0</v>
      </c>
      <c r="DG287">
        <f t="shared" si="101"/>
        <v>0</v>
      </c>
      <c r="DH287">
        <f t="shared" si="100"/>
        <v>0</v>
      </c>
      <c r="DI287">
        <f t="shared" si="96"/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ROW(Source!A107)</f>
        <v>107</v>
      </c>
      <c r="B288">
        <v>55747651</v>
      </c>
      <c r="C288">
        <v>55748100</v>
      </c>
      <c r="D288">
        <v>54767934</v>
      </c>
      <c r="E288">
        <v>1</v>
      </c>
      <c r="F288">
        <v>1</v>
      </c>
      <c r="G288">
        <v>1081</v>
      </c>
      <c r="H288">
        <v>2</v>
      </c>
      <c r="I288" t="s">
        <v>586</v>
      </c>
      <c r="J288" t="s">
        <v>587</v>
      </c>
      <c r="K288" t="s">
        <v>588</v>
      </c>
      <c r="L288">
        <v>1368</v>
      </c>
      <c r="N288">
        <v>1011</v>
      </c>
      <c r="O288" t="s">
        <v>479</v>
      </c>
      <c r="P288" t="s">
        <v>479</v>
      </c>
      <c r="Q288">
        <v>1</v>
      </c>
      <c r="W288">
        <v>0</v>
      </c>
      <c r="X288">
        <v>-1222619517</v>
      </c>
      <c r="Y288">
        <f t="shared" si="106"/>
        <v>11.28</v>
      </c>
      <c r="AA288">
        <v>0</v>
      </c>
      <c r="AB288">
        <v>1209.95</v>
      </c>
      <c r="AC288">
        <v>758.78</v>
      </c>
      <c r="AD288">
        <v>0</v>
      </c>
      <c r="AE288">
        <v>0</v>
      </c>
      <c r="AF288">
        <v>48.07</v>
      </c>
      <c r="AG288">
        <v>12.62</v>
      </c>
      <c r="AH288">
        <v>0</v>
      </c>
      <c r="AI288">
        <v>1</v>
      </c>
      <c r="AJ288">
        <v>23.59</v>
      </c>
      <c r="AK288">
        <v>56.35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9.4</v>
      </c>
      <c r="AU288" t="s">
        <v>49</v>
      </c>
      <c r="AV288">
        <v>0</v>
      </c>
      <c r="AW288">
        <v>2</v>
      </c>
      <c r="AX288">
        <v>55748112</v>
      </c>
      <c r="AY288">
        <v>1</v>
      </c>
      <c r="AZ288">
        <v>0</v>
      </c>
      <c r="BA288">
        <v>325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ROUND(Y288*Source!I107*DO288,9)</f>
        <v>142.3536</v>
      </c>
      <c r="CX288">
        <f>ROUND(Y288*Source!I107,9)</f>
        <v>11.28</v>
      </c>
      <c r="CY288">
        <f>AB288</f>
        <v>1209.95</v>
      </c>
      <c r="CZ288">
        <f>AF288</f>
        <v>48.07</v>
      </c>
      <c r="DA288">
        <f>AJ288</f>
        <v>23.59</v>
      </c>
      <c r="DB288">
        <f t="shared" si="107"/>
        <v>542.23199999999997</v>
      </c>
      <c r="DC288">
        <f t="shared" si="108"/>
        <v>142.35599999999999</v>
      </c>
      <c r="DD288" t="s">
        <v>3</v>
      </c>
      <c r="DE288" t="s">
        <v>3</v>
      </c>
      <c r="DF288">
        <f t="shared" si="105"/>
        <v>0</v>
      </c>
      <c r="DG288">
        <f>ROUND(ROUND(AF288*AJ288,2)*CX288,2)</f>
        <v>12791.18</v>
      </c>
      <c r="DH288">
        <f>ROUND(ROUND(AG288*AK288,2)*CX288,2)</f>
        <v>8021.66</v>
      </c>
      <c r="DI288">
        <f t="shared" si="96"/>
        <v>0</v>
      </c>
      <c r="DJ288">
        <f>DG288</f>
        <v>12791.18</v>
      </c>
      <c r="DK288">
        <v>0</v>
      </c>
      <c r="DL288" t="s">
        <v>486</v>
      </c>
      <c r="DM288">
        <v>0</v>
      </c>
      <c r="DN288" t="s">
        <v>475</v>
      </c>
      <c r="DO288">
        <v>12.62</v>
      </c>
    </row>
    <row r="289" spans="1:119" x14ac:dyDescent="0.2">
      <c r="A289">
        <f>ROW(Source!A107)</f>
        <v>107</v>
      </c>
      <c r="B289">
        <v>55747651</v>
      </c>
      <c r="C289">
        <v>55748100</v>
      </c>
      <c r="D289">
        <v>54767971</v>
      </c>
      <c r="E289">
        <v>1</v>
      </c>
      <c r="F289">
        <v>1</v>
      </c>
      <c r="G289">
        <v>1081</v>
      </c>
      <c r="H289">
        <v>2</v>
      </c>
      <c r="I289" t="s">
        <v>589</v>
      </c>
      <c r="J289" t="s">
        <v>590</v>
      </c>
      <c r="K289" t="s">
        <v>591</v>
      </c>
      <c r="L289">
        <v>1368</v>
      </c>
      <c r="N289">
        <v>1011</v>
      </c>
      <c r="O289" t="s">
        <v>479</v>
      </c>
      <c r="P289" t="s">
        <v>479</v>
      </c>
      <c r="Q289">
        <v>1</v>
      </c>
      <c r="W289">
        <v>0</v>
      </c>
      <c r="X289">
        <v>210297649</v>
      </c>
      <c r="Y289">
        <f t="shared" si="106"/>
        <v>10.199999999999999</v>
      </c>
      <c r="AA289">
        <v>0</v>
      </c>
      <c r="AB289">
        <v>65.790000000000006</v>
      </c>
      <c r="AC289">
        <v>0</v>
      </c>
      <c r="AD289">
        <v>0</v>
      </c>
      <c r="AE289">
        <v>0</v>
      </c>
      <c r="AF289">
        <v>5.79</v>
      </c>
      <c r="AG289">
        <v>0</v>
      </c>
      <c r="AH289">
        <v>0</v>
      </c>
      <c r="AI289">
        <v>1</v>
      </c>
      <c r="AJ289">
        <v>10.65</v>
      </c>
      <c r="AK289">
        <v>1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8.5</v>
      </c>
      <c r="AU289" t="s">
        <v>49</v>
      </c>
      <c r="AV289">
        <v>0</v>
      </c>
      <c r="AW289">
        <v>2</v>
      </c>
      <c r="AX289">
        <v>55748113</v>
      </c>
      <c r="AY289">
        <v>1</v>
      </c>
      <c r="AZ289">
        <v>0</v>
      </c>
      <c r="BA289">
        <v>326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ROUND(Y289*Source!I107*DO289,9)</f>
        <v>0</v>
      </c>
      <c r="CX289">
        <f>ROUND(Y289*Source!I107,9)</f>
        <v>10.199999999999999</v>
      </c>
      <c r="CY289">
        <f>AB289</f>
        <v>65.790000000000006</v>
      </c>
      <c r="CZ289">
        <f>AF289</f>
        <v>5.79</v>
      </c>
      <c r="DA289">
        <f>AJ289</f>
        <v>10.65</v>
      </c>
      <c r="DB289">
        <f t="shared" si="107"/>
        <v>59.064</v>
      </c>
      <c r="DC289">
        <f t="shared" si="108"/>
        <v>0</v>
      </c>
      <c r="DD289" t="s">
        <v>3</v>
      </c>
      <c r="DE289" t="s">
        <v>3</v>
      </c>
      <c r="DF289">
        <f t="shared" si="105"/>
        <v>0</v>
      </c>
      <c r="DG289">
        <f>ROUND(ROUND(AF289*AJ289,2)*CX289,2)</f>
        <v>628.92999999999995</v>
      </c>
      <c r="DH289">
        <f>ROUND(ROUND(AG289,2)*CX289,2)</f>
        <v>0</v>
      </c>
      <c r="DI289">
        <f t="shared" si="96"/>
        <v>0</v>
      </c>
      <c r="DJ289">
        <f>DG289</f>
        <v>628.92999999999995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ROW(Source!A107)</f>
        <v>107</v>
      </c>
      <c r="B290">
        <v>55747651</v>
      </c>
      <c r="C290">
        <v>55748100</v>
      </c>
      <c r="D290">
        <v>54768040</v>
      </c>
      <c r="E290">
        <v>1</v>
      </c>
      <c r="F290">
        <v>1</v>
      </c>
      <c r="G290">
        <v>1081</v>
      </c>
      <c r="H290">
        <v>2</v>
      </c>
      <c r="I290" t="s">
        <v>476</v>
      </c>
      <c r="J290" t="s">
        <v>477</v>
      </c>
      <c r="K290" t="s">
        <v>478</v>
      </c>
      <c r="L290">
        <v>1368</v>
      </c>
      <c r="N290">
        <v>1011</v>
      </c>
      <c r="O290" t="s">
        <v>479</v>
      </c>
      <c r="P290" t="s">
        <v>479</v>
      </c>
      <c r="Q290">
        <v>1</v>
      </c>
      <c r="W290">
        <v>0</v>
      </c>
      <c r="X290">
        <v>1498588441</v>
      </c>
      <c r="Y290">
        <f t="shared" si="106"/>
        <v>30</v>
      </c>
      <c r="AA290">
        <v>0</v>
      </c>
      <c r="AB290">
        <v>102.11</v>
      </c>
      <c r="AC290">
        <v>0</v>
      </c>
      <c r="AD290">
        <v>0</v>
      </c>
      <c r="AE290">
        <v>0</v>
      </c>
      <c r="AF290">
        <v>7.11</v>
      </c>
      <c r="AG290">
        <v>0</v>
      </c>
      <c r="AH290">
        <v>0</v>
      </c>
      <c r="AI290">
        <v>1</v>
      </c>
      <c r="AJ290">
        <v>13.46</v>
      </c>
      <c r="AK290">
        <v>1</v>
      </c>
      <c r="AL290">
        <v>1</v>
      </c>
      <c r="AM290">
        <v>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25</v>
      </c>
      <c r="AU290" t="s">
        <v>49</v>
      </c>
      <c r="AV290">
        <v>0</v>
      </c>
      <c r="AW290">
        <v>2</v>
      </c>
      <c r="AX290">
        <v>55748114</v>
      </c>
      <c r="AY290">
        <v>1</v>
      </c>
      <c r="AZ290">
        <v>0</v>
      </c>
      <c r="BA290">
        <v>327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ROUND(Y290*Source!I107*DO290,9)</f>
        <v>0</v>
      </c>
      <c r="CX290">
        <f>ROUND(Y290*Source!I107,9)</f>
        <v>30</v>
      </c>
      <c r="CY290">
        <f>AB290</f>
        <v>102.11</v>
      </c>
      <c r="CZ290">
        <f>AF290</f>
        <v>7.11</v>
      </c>
      <c r="DA290">
        <f>AJ290</f>
        <v>13.46</v>
      </c>
      <c r="DB290">
        <f t="shared" si="107"/>
        <v>213.3</v>
      </c>
      <c r="DC290">
        <f t="shared" si="108"/>
        <v>0</v>
      </c>
      <c r="DD290" t="s">
        <v>3</v>
      </c>
      <c r="DE290" t="s">
        <v>3</v>
      </c>
      <c r="DF290">
        <f t="shared" si="105"/>
        <v>0</v>
      </c>
      <c r="DG290">
        <f>ROUND(ROUND(AF290*AJ290,2)*CX290,2)</f>
        <v>2871</v>
      </c>
      <c r="DH290">
        <f>ROUND(ROUND(AG290,2)*CX290,2)</f>
        <v>0</v>
      </c>
      <c r="DI290">
        <f t="shared" si="96"/>
        <v>0</v>
      </c>
      <c r="DJ290">
        <f>DG290</f>
        <v>2871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ROW(Source!A107)</f>
        <v>107</v>
      </c>
      <c r="B291">
        <v>55747651</v>
      </c>
      <c r="C291">
        <v>55748100</v>
      </c>
      <c r="D291">
        <v>54768339</v>
      </c>
      <c r="E291">
        <v>1</v>
      </c>
      <c r="F291">
        <v>1</v>
      </c>
      <c r="G291">
        <v>1081</v>
      </c>
      <c r="H291">
        <v>2</v>
      </c>
      <c r="I291" t="s">
        <v>483</v>
      </c>
      <c r="J291" t="s">
        <v>484</v>
      </c>
      <c r="K291" t="s">
        <v>485</v>
      </c>
      <c r="L291">
        <v>1368</v>
      </c>
      <c r="N291">
        <v>1011</v>
      </c>
      <c r="O291" t="s">
        <v>479</v>
      </c>
      <c r="P291" t="s">
        <v>479</v>
      </c>
      <c r="Q291">
        <v>1</v>
      </c>
      <c r="W291">
        <v>0</v>
      </c>
      <c r="X291">
        <v>874612079</v>
      </c>
      <c r="Y291">
        <f t="shared" si="106"/>
        <v>1.9919999999999998</v>
      </c>
      <c r="AA291">
        <v>0</v>
      </c>
      <c r="AB291">
        <v>1513.56</v>
      </c>
      <c r="AC291">
        <v>758.78</v>
      </c>
      <c r="AD291">
        <v>0</v>
      </c>
      <c r="AE291">
        <v>0</v>
      </c>
      <c r="AF291">
        <v>83.1</v>
      </c>
      <c r="AG291">
        <v>12.62</v>
      </c>
      <c r="AH291">
        <v>0</v>
      </c>
      <c r="AI291">
        <v>1</v>
      </c>
      <c r="AJ291">
        <v>17.07</v>
      </c>
      <c r="AK291">
        <v>56.35</v>
      </c>
      <c r="AL291">
        <v>1</v>
      </c>
      <c r="AM291">
        <v>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1.66</v>
      </c>
      <c r="AU291" t="s">
        <v>49</v>
      </c>
      <c r="AV291">
        <v>0</v>
      </c>
      <c r="AW291">
        <v>2</v>
      </c>
      <c r="AX291">
        <v>55748115</v>
      </c>
      <c r="AY291">
        <v>1</v>
      </c>
      <c r="AZ291">
        <v>0</v>
      </c>
      <c r="BA291">
        <v>328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f>ROUND(Y291*Source!I107*DO291,9)</f>
        <v>25.139040000000001</v>
      </c>
      <c r="CX291">
        <f>ROUND(Y291*Source!I107,9)</f>
        <v>1.992</v>
      </c>
      <c r="CY291">
        <f>AB291</f>
        <v>1513.56</v>
      </c>
      <c r="CZ291">
        <f>AF291</f>
        <v>83.1</v>
      </c>
      <c r="DA291">
        <f>AJ291</f>
        <v>17.07</v>
      </c>
      <c r="DB291">
        <f t="shared" si="107"/>
        <v>165.54</v>
      </c>
      <c r="DC291">
        <f t="shared" si="108"/>
        <v>25.14</v>
      </c>
      <c r="DD291" t="s">
        <v>3</v>
      </c>
      <c r="DE291" t="s">
        <v>3</v>
      </c>
      <c r="DF291">
        <f t="shared" si="105"/>
        <v>0</v>
      </c>
      <c r="DG291">
        <f>ROUND(ROUND(AF291*AJ291,2)*CX291,2)</f>
        <v>2825.69</v>
      </c>
      <c r="DH291">
        <f>ROUND(ROUND(AG291*AK291,2)*CX291,2)</f>
        <v>1416.59</v>
      </c>
      <c r="DI291">
        <f t="shared" si="96"/>
        <v>0</v>
      </c>
      <c r="DJ291">
        <f>DG291</f>
        <v>2825.69</v>
      </c>
      <c r="DK291">
        <v>0</v>
      </c>
      <c r="DL291" t="s">
        <v>486</v>
      </c>
      <c r="DM291">
        <v>0</v>
      </c>
      <c r="DN291" t="s">
        <v>475</v>
      </c>
      <c r="DO291">
        <v>12.62</v>
      </c>
    </row>
    <row r="292" spans="1:119" x14ac:dyDescent="0.2">
      <c r="A292">
        <f>ROW(Source!A107)</f>
        <v>107</v>
      </c>
      <c r="B292">
        <v>55747651</v>
      </c>
      <c r="C292">
        <v>55748100</v>
      </c>
      <c r="D292">
        <v>54767657</v>
      </c>
      <c r="E292">
        <v>1</v>
      </c>
      <c r="F292">
        <v>1</v>
      </c>
      <c r="G292">
        <v>1081</v>
      </c>
      <c r="H292">
        <v>2</v>
      </c>
      <c r="I292" t="s">
        <v>592</v>
      </c>
      <c r="J292" t="s">
        <v>593</v>
      </c>
      <c r="K292" t="s">
        <v>594</v>
      </c>
      <c r="L292">
        <v>1368</v>
      </c>
      <c r="N292">
        <v>1011</v>
      </c>
      <c r="O292" t="s">
        <v>479</v>
      </c>
      <c r="P292" t="s">
        <v>479</v>
      </c>
      <c r="Q292">
        <v>1</v>
      </c>
      <c r="W292">
        <v>0</v>
      </c>
      <c r="X292">
        <v>-1755828087</v>
      </c>
      <c r="Y292">
        <f t="shared" si="106"/>
        <v>1.464</v>
      </c>
      <c r="AA292">
        <v>0</v>
      </c>
      <c r="AB292">
        <v>34.85</v>
      </c>
      <c r="AC292">
        <v>0</v>
      </c>
      <c r="AD292">
        <v>0</v>
      </c>
      <c r="AE292">
        <v>0</v>
      </c>
      <c r="AF292">
        <v>3.18</v>
      </c>
      <c r="AG292">
        <v>0</v>
      </c>
      <c r="AH292">
        <v>0</v>
      </c>
      <c r="AI292">
        <v>1</v>
      </c>
      <c r="AJ292">
        <v>10.27</v>
      </c>
      <c r="AK292">
        <v>1</v>
      </c>
      <c r="AL292">
        <v>1</v>
      </c>
      <c r="AM292">
        <v>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1.22</v>
      </c>
      <c r="AU292" t="s">
        <v>49</v>
      </c>
      <c r="AV292">
        <v>0</v>
      </c>
      <c r="AW292">
        <v>2</v>
      </c>
      <c r="AX292">
        <v>55748116</v>
      </c>
      <c r="AY292">
        <v>1</v>
      </c>
      <c r="AZ292">
        <v>0</v>
      </c>
      <c r="BA292">
        <v>329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f>ROUND(Y292*Source!I107*DO292,9)</f>
        <v>0</v>
      </c>
      <c r="CX292">
        <f>ROUND(Y292*Source!I107,9)</f>
        <v>1.464</v>
      </c>
      <c r="CY292">
        <f>AB292</f>
        <v>34.85</v>
      </c>
      <c r="CZ292">
        <f>AF292</f>
        <v>3.18</v>
      </c>
      <c r="DA292">
        <f>AJ292</f>
        <v>10.27</v>
      </c>
      <c r="DB292">
        <f t="shared" si="107"/>
        <v>4.6559999999999997</v>
      </c>
      <c r="DC292">
        <f t="shared" si="108"/>
        <v>0</v>
      </c>
      <c r="DD292" t="s">
        <v>3</v>
      </c>
      <c r="DE292" t="s">
        <v>3</v>
      </c>
      <c r="DF292">
        <f t="shared" si="105"/>
        <v>0</v>
      </c>
      <c r="DG292">
        <f>ROUND(ROUND(AF292*AJ292,2)*CX292,2)</f>
        <v>47.81</v>
      </c>
      <c r="DH292">
        <f t="shared" ref="DH292:DH312" si="109">ROUND(ROUND(AG292,2)*CX292,2)</f>
        <v>0</v>
      </c>
      <c r="DI292">
        <f t="shared" si="96"/>
        <v>0</v>
      </c>
      <c r="DJ292">
        <f>DG292</f>
        <v>47.81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ROW(Source!A107)</f>
        <v>107</v>
      </c>
      <c r="B293">
        <v>55747651</v>
      </c>
      <c r="C293">
        <v>55748100</v>
      </c>
      <c r="D293">
        <v>54737367</v>
      </c>
      <c r="E293">
        <v>1</v>
      </c>
      <c r="F293">
        <v>1</v>
      </c>
      <c r="G293">
        <v>1081</v>
      </c>
      <c r="H293">
        <v>3</v>
      </c>
      <c r="I293" t="s">
        <v>538</v>
      </c>
      <c r="J293" t="s">
        <v>539</v>
      </c>
      <c r="K293" t="s">
        <v>540</v>
      </c>
      <c r="L293">
        <v>1339</v>
      </c>
      <c r="N293">
        <v>1007</v>
      </c>
      <c r="O293" t="s">
        <v>507</v>
      </c>
      <c r="P293" t="s">
        <v>507</v>
      </c>
      <c r="Q293">
        <v>1</v>
      </c>
      <c r="W293">
        <v>0</v>
      </c>
      <c r="X293">
        <v>-1622585150</v>
      </c>
      <c r="Y293">
        <f>(AT293*1)</f>
        <v>10</v>
      </c>
      <c r="AA293">
        <v>56.33</v>
      </c>
      <c r="AB293">
        <v>0</v>
      </c>
      <c r="AC293">
        <v>0</v>
      </c>
      <c r="AD293">
        <v>0</v>
      </c>
      <c r="AE293">
        <v>7.07</v>
      </c>
      <c r="AF293">
        <v>0</v>
      </c>
      <c r="AG293">
        <v>0</v>
      </c>
      <c r="AH293">
        <v>0</v>
      </c>
      <c r="AI293">
        <v>7.75</v>
      </c>
      <c r="AJ293">
        <v>1</v>
      </c>
      <c r="AK293">
        <v>1</v>
      </c>
      <c r="AL293">
        <v>1</v>
      </c>
      <c r="AM293">
        <v>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10</v>
      </c>
      <c r="AU293" t="s">
        <v>48</v>
      </c>
      <c r="AV293">
        <v>0</v>
      </c>
      <c r="AW293">
        <v>2</v>
      </c>
      <c r="AX293">
        <v>55748117</v>
      </c>
      <c r="AY293">
        <v>1</v>
      </c>
      <c r="AZ293">
        <v>0</v>
      </c>
      <c r="BA293">
        <v>330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ROUND(Y293*Source!I107,9)</f>
        <v>10</v>
      </c>
      <c r="CY293">
        <f>AA293</f>
        <v>56.33</v>
      </c>
      <c r="CZ293">
        <f>AE293</f>
        <v>7.07</v>
      </c>
      <c r="DA293">
        <f>AI293</f>
        <v>7.75</v>
      </c>
      <c r="DB293">
        <f>ROUND((ROUND(AT293*CZ293,2)*1),6)</f>
        <v>70.7</v>
      </c>
      <c r="DC293">
        <f>ROUND((ROUND(AT293*AG293,2)*1),6)</f>
        <v>0</v>
      </c>
      <c r="DD293" t="s">
        <v>3</v>
      </c>
      <c r="DE293" t="s">
        <v>3</v>
      </c>
      <c r="DF293">
        <f>ROUND(ROUND(AE293*AI293,2)*CX293,2)</f>
        <v>547.9</v>
      </c>
      <c r="DG293">
        <f t="shared" ref="DG293:DG312" si="110">ROUND(ROUND(AF293,2)*CX293,2)</f>
        <v>0</v>
      </c>
      <c r="DH293">
        <f t="shared" si="109"/>
        <v>0</v>
      </c>
      <c r="DI293">
        <f t="shared" si="96"/>
        <v>0</v>
      </c>
      <c r="DJ293">
        <f>DF293</f>
        <v>547.9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ROW(Source!A107)</f>
        <v>107</v>
      </c>
      <c r="B294">
        <v>55747651</v>
      </c>
      <c r="C294">
        <v>55748100</v>
      </c>
      <c r="D294">
        <v>54738430</v>
      </c>
      <c r="E294">
        <v>1</v>
      </c>
      <c r="F294">
        <v>1</v>
      </c>
      <c r="G294">
        <v>1081</v>
      </c>
      <c r="H294">
        <v>3</v>
      </c>
      <c r="I294" t="s">
        <v>562</v>
      </c>
      <c r="J294" t="s">
        <v>563</v>
      </c>
      <c r="K294" t="s">
        <v>564</v>
      </c>
      <c r="L294">
        <v>1348</v>
      </c>
      <c r="N294">
        <v>1009</v>
      </c>
      <c r="O294" t="s">
        <v>282</v>
      </c>
      <c r="P294" t="s">
        <v>282</v>
      </c>
      <c r="Q294">
        <v>1000</v>
      </c>
      <c r="W294">
        <v>0</v>
      </c>
      <c r="X294">
        <v>63955816</v>
      </c>
      <c r="Y294">
        <f>(AT294*1)</f>
        <v>7.7000000000000002E-3</v>
      </c>
      <c r="AA294">
        <v>99503.2</v>
      </c>
      <c r="AB294">
        <v>0</v>
      </c>
      <c r="AC294">
        <v>0</v>
      </c>
      <c r="AD294">
        <v>0</v>
      </c>
      <c r="AE294">
        <v>7185.82</v>
      </c>
      <c r="AF294">
        <v>0</v>
      </c>
      <c r="AG294">
        <v>0</v>
      </c>
      <c r="AH294">
        <v>0</v>
      </c>
      <c r="AI294">
        <v>13.47</v>
      </c>
      <c r="AJ294">
        <v>1</v>
      </c>
      <c r="AK294">
        <v>1</v>
      </c>
      <c r="AL294">
        <v>1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7.7000000000000002E-3</v>
      </c>
      <c r="AU294" t="s">
        <v>48</v>
      </c>
      <c r="AV294">
        <v>0</v>
      </c>
      <c r="AW294">
        <v>2</v>
      </c>
      <c r="AX294">
        <v>55748118</v>
      </c>
      <c r="AY294">
        <v>1</v>
      </c>
      <c r="AZ294">
        <v>0</v>
      </c>
      <c r="BA294">
        <v>331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ROUND(Y294*Source!I107,9)</f>
        <v>7.7000000000000002E-3</v>
      </c>
      <c r="CY294">
        <f>AA294</f>
        <v>99503.2</v>
      </c>
      <c r="CZ294">
        <f>AE294</f>
        <v>7185.82</v>
      </c>
      <c r="DA294">
        <f>AI294</f>
        <v>13.47</v>
      </c>
      <c r="DB294">
        <f>ROUND((ROUND(AT294*CZ294,2)*1),6)</f>
        <v>55.33</v>
      </c>
      <c r="DC294">
        <f>ROUND((ROUND(AT294*AG294,2)*1),6)</f>
        <v>0</v>
      </c>
      <c r="DD294" t="s">
        <v>3</v>
      </c>
      <c r="DE294" t="s">
        <v>3</v>
      </c>
      <c r="DF294">
        <f>ROUND(ROUND(AE294*AI294,2)*CX294,2)</f>
        <v>745.31</v>
      </c>
      <c r="DG294">
        <f t="shared" si="110"/>
        <v>0</v>
      </c>
      <c r="DH294">
        <f t="shared" si="109"/>
        <v>0</v>
      </c>
      <c r="DI294">
        <f t="shared" si="96"/>
        <v>0</v>
      </c>
      <c r="DJ294">
        <f>DF294</f>
        <v>745.31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ROW(Source!A107)</f>
        <v>107</v>
      </c>
      <c r="B295">
        <v>55747651</v>
      </c>
      <c r="C295">
        <v>55748100</v>
      </c>
      <c r="D295">
        <v>54752019</v>
      </c>
      <c r="E295">
        <v>1</v>
      </c>
      <c r="F295">
        <v>1</v>
      </c>
      <c r="G295">
        <v>1081</v>
      </c>
      <c r="H295">
        <v>3</v>
      </c>
      <c r="I295" t="s">
        <v>203</v>
      </c>
      <c r="J295" t="s">
        <v>205</v>
      </c>
      <c r="K295" t="s">
        <v>204</v>
      </c>
      <c r="L295">
        <v>1301</v>
      </c>
      <c r="N295">
        <v>1003</v>
      </c>
      <c r="O295" t="s">
        <v>191</v>
      </c>
      <c r="P295" t="s">
        <v>191</v>
      </c>
      <c r="Q295">
        <v>1</v>
      </c>
      <c r="W295">
        <v>0</v>
      </c>
      <c r="X295">
        <v>1214887306</v>
      </c>
      <c r="Y295">
        <f>AT295</f>
        <v>60.3</v>
      </c>
      <c r="AA295">
        <v>310.29000000000002</v>
      </c>
      <c r="AB295">
        <v>0</v>
      </c>
      <c r="AC295">
        <v>0</v>
      </c>
      <c r="AD295">
        <v>0</v>
      </c>
      <c r="AE295">
        <v>66.16</v>
      </c>
      <c r="AF295">
        <v>0</v>
      </c>
      <c r="AG295">
        <v>0</v>
      </c>
      <c r="AH295">
        <v>0</v>
      </c>
      <c r="AI295">
        <v>4.6900000000000004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60.3</v>
      </c>
      <c r="AU295" t="s">
        <v>3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ROUND(Y295*Source!I107,9)</f>
        <v>60.3</v>
      </c>
      <c r="CY295">
        <f>AA295</f>
        <v>310.29000000000002</v>
      </c>
      <c r="CZ295">
        <f>AE295</f>
        <v>66.16</v>
      </c>
      <c r="DA295">
        <f>AI295</f>
        <v>4.6900000000000004</v>
      </c>
      <c r="DB295">
        <f>ROUND(ROUND(AT295*CZ295,2),6)</f>
        <v>3989.45</v>
      </c>
      <c r="DC295">
        <f>ROUND(ROUND(AT295*AG295,2),6)</f>
        <v>0</v>
      </c>
      <c r="DD295" t="s">
        <v>3</v>
      </c>
      <c r="DE295" t="s">
        <v>3</v>
      </c>
      <c r="DF295">
        <f>ROUND(ROUND(AE295*AI295,2)*CX295,2)</f>
        <v>18710.490000000002</v>
      </c>
      <c r="DG295">
        <f t="shared" si="110"/>
        <v>0</v>
      </c>
      <c r="DH295">
        <f t="shared" si="109"/>
        <v>0</v>
      </c>
      <c r="DI295">
        <f t="shared" si="96"/>
        <v>0</v>
      </c>
      <c r="DJ295">
        <f>DF295</f>
        <v>18710.490000000002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ROW(Source!A107)</f>
        <v>107</v>
      </c>
      <c r="B296">
        <v>55747651</v>
      </c>
      <c r="C296">
        <v>55748100</v>
      </c>
      <c r="D296">
        <v>54752026</v>
      </c>
      <c r="E296">
        <v>1</v>
      </c>
      <c r="F296">
        <v>1</v>
      </c>
      <c r="G296">
        <v>1081</v>
      </c>
      <c r="H296">
        <v>3</v>
      </c>
      <c r="I296" t="s">
        <v>199</v>
      </c>
      <c r="J296" t="s">
        <v>201</v>
      </c>
      <c r="K296" t="s">
        <v>200</v>
      </c>
      <c r="L296">
        <v>1301</v>
      </c>
      <c r="N296">
        <v>1003</v>
      </c>
      <c r="O296" t="s">
        <v>191</v>
      </c>
      <c r="P296" t="s">
        <v>191</v>
      </c>
      <c r="Q296">
        <v>1</v>
      </c>
      <c r="W296">
        <v>0</v>
      </c>
      <c r="X296">
        <v>-648477377</v>
      </c>
      <c r="Y296">
        <f>AT296</f>
        <v>40.200000000000003</v>
      </c>
      <c r="AA296">
        <v>369.91</v>
      </c>
      <c r="AB296">
        <v>0</v>
      </c>
      <c r="AC296">
        <v>0</v>
      </c>
      <c r="AD296">
        <v>0</v>
      </c>
      <c r="AE296">
        <v>80.59</v>
      </c>
      <c r="AF296">
        <v>0</v>
      </c>
      <c r="AG296">
        <v>0</v>
      </c>
      <c r="AH296">
        <v>0</v>
      </c>
      <c r="AI296">
        <v>4.59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40.200000000000003</v>
      </c>
      <c r="AU296" t="s">
        <v>3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ROUND(Y296*Source!I107,9)</f>
        <v>40.200000000000003</v>
      </c>
      <c r="CY296">
        <f>AA296</f>
        <v>369.91</v>
      </c>
      <c r="CZ296">
        <f>AE296</f>
        <v>80.59</v>
      </c>
      <c r="DA296">
        <f>AI296</f>
        <v>4.59</v>
      </c>
      <c r="DB296">
        <f>ROUND(ROUND(AT296*CZ296,2),6)</f>
        <v>3239.72</v>
      </c>
      <c r="DC296">
        <f>ROUND(ROUND(AT296*AG296,2),6)</f>
        <v>0</v>
      </c>
      <c r="DD296" t="s">
        <v>3</v>
      </c>
      <c r="DE296" t="s">
        <v>3</v>
      </c>
      <c r="DF296">
        <f>ROUND(ROUND(AE296*AI296,2)*CX296,2)</f>
        <v>14870.38</v>
      </c>
      <c r="DG296">
        <f t="shared" si="110"/>
        <v>0</v>
      </c>
      <c r="DH296">
        <f t="shared" si="109"/>
        <v>0</v>
      </c>
      <c r="DI296">
        <f t="shared" si="96"/>
        <v>0</v>
      </c>
      <c r="DJ296">
        <f>DF296</f>
        <v>14870.38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ROW(Source!A116)</f>
        <v>116</v>
      </c>
      <c r="B297">
        <v>55747649</v>
      </c>
      <c r="C297">
        <v>55748122</v>
      </c>
      <c r="D297">
        <v>54702434</v>
      </c>
      <c r="E297">
        <v>1081</v>
      </c>
      <c r="F297">
        <v>1</v>
      </c>
      <c r="G297">
        <v>1081</v>
      </c>
      <c r="H297">
        <v>1</v>
      </c>
      <c r="I297" t="s">
        <v>473</v>
      </c>
      <c r="J297" t="s">
        <v>3</v>
      </c>
      <c r="K297" t="s">
        <v>474</v>
      </c>
      <c r="L297">
        <v>1191</v>
      </c>
      <c r="N297">
        <v>1013</v>
      </c>
      <c r="O297" t="s">
        <v>475</v>
      </c>
      <c r="P297" t="s">
        <v>475</v>
      </c>
      <c r="Q297">
        <v>1</v>
      </c>
      <c r="W297">
        <v>0</v>
      </c>
      <c r="X297">
        <v>476480486</v>
      </c>
      <c r="Y297">
        <f t="shared" ref="Y297:Y302" si="111">(AT297*1.2)</f>
        <v>168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140</v>
      </c>
      <c r="AU297" t="s">
        <v>49</v>
      </c>
      <c r="AV297">
        <v>1</v>
      </c>
      <c r="AW297">
        <v>2</v>
      </c>
      <c r="AX297">
        <v>55748138</v>
      </c>
      <c r="AY297">
        <v>1</v>
      </c>
      <c r="AZ297">
        <v>0</v>
      </c>
      <c r="BA297">
        <v>333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U297">
        <f>ROUND(AT297*Source!I116*AH297*AL297,2)</f>
        <v>0</v>
      </c>
      <c r="CV297">
        <f>ROUND(Y297*Source!I116,9)</f>
        <v>25.2</v>
      </c>
      <c r="CW297">
        <v>0</v>
      </c>
      <c r="CX297">
        <f>ROUND(Y297*Source!I116,9)</f>
        <v>25.2</v>
      </c>
      <c r="CY297">
        <f>AD297</f>
        <v>0</v>
      </c>
      <c r="CZ297">
        <f>AH297</f>
        <v>0</v>
      </c>
      <c r="DA297">
        <f>AL297</f>
        <v>1</v>
      </c>
      <c r="DB297">
        <f t="shared" ref="DB297:DB302" si="112">ROUND((ROUND(AT297*CZ297,2)*1.2),6)</f>
        <v>0</v>
      </c>
      <c r="DC297">
        <f t="shared" ref="DC297:DC302" si="113">ROUND((ROUND(AT297*AG297,2)*1.2),6)</f>
        <v>0</v>
      </c>
      <c r="DD297" t="s">
        <v>3</v>
      </c>
      <c r="DE297" t="s">
        <v>3</v>
      </c>
      <c r="DF297">
        <f t="shared" ref="DF297:DF317" si="114">ROUND(ROUND(AE297,2)*CX297,2)</f>
        <v>0</v>
      </c>
      <c r="DG297">
        <f t="shared" si="110"/>
        <v>0</v>
      </c>
      <c r="DH297">
        <f t="shared" si="109"/>
        <v>0</v>
      </c>
      <c r="DI297">
        <f t="shared" si="96"/>
        <v>0</v>
      </c>
      <c r="DJ297">
        <f>DI297</f>
        <v>0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ROW(Source!A116)</f>
        <v>116</v>
      </c>
      <c r="B298">
        <v>55747649</v>
      </c>
      <c r="C298">
        <v>55748122</v>
      </c>
      <c r="D298">
        <v>54767934</v>
      </c>
      <c r="E298">
        <v>1</v>
      </c>
      <c r="F298">
        <v>1</v>
      </c>
      <c r="G298">
        <v>1081</v>
      </c>
      <c r="H298">
        <v>2</v>
      </c>
      <c r="I298" t="s">
        <v>586</v>
      </c>
      <c r="J298" t="s">
        <v>587</v>
      </c>
      <c r="K298" t="s">
        <v>588</v>
      </c>
      <c r="L298">
        <v>1368</v>
      </c>
      <c r="N298">
        <v>1011</v>
      </c>
      <c r="O298" t="s">
        <v>479</v>
      </c>
      <c r="P298" t="s">
        <v>479</v>
      </c>
      <c r="Q298">
        <v>1</v>
      </c>
      <c r="W298">
        <v>0</v>
      </c>
      <c r="X298">
        <v>-1222619517</v>
      </c>
      <c r="Y298">
        <f t="shared" si="111"/>
        <v>9</v>
      </c>
      <c r="AA298">
        <v>0</v>
      </c>
      <c r="AB298">
        <v>51.29</v>
      </c>
      <c r="AC298">
        <v>13.47</v>
      </c>
      <c r="AD298">
        <v>0</v>
      </c>
      <c r="AE298">
        <v>0</v>
      </c>
      <c r="AF298">
        <v>48.07</v>
      </c>
      <c r="AG298">
        <v>12.62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-2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7.5</v>
      </c>
      <c r="AU298" t="s">
        <v>49</v>
      </c>
      <c r="AV298">
        <v>0</v>
      </c>
      <c r="AW298">
        <v>2</v>
      </c>
      <c r="AX298">
        <v>55748139</v>
      </c>
      <c r="AY298">
        <v>1</v>
      </c>
      <c r="AZ298">
        <v>0</v>
      </c>
      <c r="BA298">
        <v>334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ROUND(Y298*Source!I116*DO298,9)</f>
        <v>17.036999999999999</v>
      </c>
      <c r="CX298">
        <f>ROUND(Y298*Source!I116,9)</f>
        <v>1.35</v>
      </c>
      <c r="CY298">
        <f>AB298</f>
        <v>51.29</v>
      </c>
      <c r="CZ298">
        <f>AF298</f>
        <v>48.07</v>
      </c>
      <c r="DA298">
        <f>AJ298</f>
        <v>1</v>
      </c>
      <c r="DB298">
        <f t="shared" si="112"/>
        <v>432.63600000000002</v>
      </c>
      <c r="DC298">
        <f t="shared" si="113"/>
        <v>113.58</v>
      </c>
      <c r="DD298" t="s">
        <v>3</v>
      </c>
      <c r="DE298" t="s">
        <v>3</v>
      </c>
      <c r="DF298">
        <f t="shared" si="114"/>
        <v>0</v>
      </c>
      <c r="DG298">
        <f t="shared" si="110"/>
        <v>64.89</v>
      </c>
      <c r="DH298">
        <f t="shared" si="109"/>
        <v>17.04</v>
      </c>
      <c r="DI298">
        <f t="shared" si="96"/>
        <v>0</v>
      </c>
      <c r="DJ298">
        <f>DG298</f>
        <v>64.89</v>
      </c>
      <c r="DK298">
        <v>0</v>
      </c>
      <c r="DL298" t="s">
        <v>486</v>
      </c>
      <c r="DM298">
        <v>0</v>
      </c>
      <c r="DN298" t="s">
        <v>475</v>
      </c>
      <c r="DO298">
        <v>12.62</v>
      </c>
    </row>
    <row r="299" spans="1:119" x14ac:dyDescent="0.2">
      <c r="A299">
        <f>ROW(Source!A116)</f>
        <v>116</v>
      </c>
      <c r="B299">
        <v>55747649</v>
      </c>
      <c r="C299">
        <v>55748122</v>
      </c>
      <c r="D299">
        <v>54767971</v>
      </c>
      <c r="E299">
        <v>1</v>
      </c>
      <c r="F299">
        <v>1</v>
      </c>
      <c r="G299">
        <v>1081</v>
      </c>
      <c r="H299">
        <v>2</v>
      </c>
      <c r="I299" t="s">
        <v>589</v>
      </c>
      <c r="J299" t="s">
        <v>590</v>
      </c>
      <c r="K299" t="s">
        <v>591</v>
      </c>
      <c r="L299">
        <v>1368</v>
      </c>
      <c r="N299">
        <v>1011</v>
      </c>
      <c r="O299" t="s">
        <v>479</v>
      </c>
      <c r="P299" t="s">
        <v>479</v>
      </c>
      <c r="Q299">
        <v>1</v>
      </c>
      <c r="W299">
        <v>0</v>
      </c>
      <c r="X299">
        <v>210297649</v>
      </c>
      <c r="Y299">
        <f t="shared" si="111"/>
        <v>8.4</v>
      </c>
      <c r="AA299">
        <v>0</v>
      </c>
      <c r="AB299">
        <v>6.18</v>
      </c>
      <c r="AC299">
        <v>0</v>
      </c>
      <c r="AD299">
        <v>0</v>
      </c>
      <c r="AE299">
        <v>0</v>
      </c>
      <c r="AF299">
        <v>5.79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7</v>
      </c>
      <c r="AU299" t="s">
        <v>49</v>
      </c>
      <c r="AV299">
        <v>0</v>
      </c>
      <c r="AW299">
        <v>2</v>
      </c>
      <c r="AX299">
        <v>55748140</v>
      </c>
      <c r="AY299">
        <v>1</v>
      </c>
      <c r="AZ299">
        <v>0</v>
      </c>
      <c r="BA299">
        <v>335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ROUND(Y299*Source!I116*DO299,9)</f>
        <v>0</v>
      </c>
      <c r="CX299">
        <f>ROUND(Y299*Source!I116,9)</f>
        <v>1.26</v>
      </c>
      <c r="CY299">
        <f>AB299</f>
        <v>6.18</v>
      </c>
      <c r="CZ299">
        <f>AF299</f>
        <v>5.79</v>
      </c>
      <c r="DA299">
        <f>AJ299</f>
        <v>1</v>
      </c>
      <c r="DB299">
        <f t="shared" si="112"/>
        <v>48.636000000000003</v>
      </c>
      <c r="DC299">
        <f t="shared" si="113"/>
        <v>0</v>
      </c>
      <c r="DD299" t="s">
        <v>3</v>
      </c>
      <c r="DE299" t="s">
        <v>3</v>
      </c>
      <c r="DF299">
        <f t="shared" si="114"/>
        <v>0</v>
      </c>
      <c r="DG299">
        <f t="shared" si="110"/>
        <v>7.3</v>
      </c>
      <c r="DH299">
        <f t="shared" si="109"/>
        <v>0</v>
      </c>
      <c r="DI299">
        <f t="shared" si="96"/>
        <v>0</v>
      </c>
      <c r="DJ299">
        <f>DG299</f>
        <v>7.3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ROW(Source!A116)</f>
        <v>116</v>
      </c>
      <c r="B300">
        <v>55747649</v>
      </c>
      <c r="C300">
        <v>55748122</v>
      </c>
      <c r="D300">
        <v>54768040</v>
      </c>
      <c r="E300">
        <v>1</v>
      </c>
      <c r="F300">
        <v>1</v>
      </c>
      <c r="G300">
        <v>1081</v>
      </c>
      <c r="H300">
        <v>2</v>
      </c>
      <c r="I300" t="s">
        <v>476</v>
      </c>
      <c r="J300" t="s">
        <v>477</v>
      </c>
      <c r="K300" t="s">
        <v>478</v>
      </c>
      <c r="L300">
        <v>1368</v>
      </c>
      <c r="N300">
        <v>1011</v>
      </c>
      <c r="O300" t="s">
        <v>479</v>
      </c>
      <c r="P300" t="s">
        <v>479</v>
      </c>
      <c r="Q300">
        <v>1</v>
      </c>
      <c r="W300">
        <v>0</v>
      </c>
      <c r="X300">
        <v>1498588441</v>
      </c>
      <c r="Y300">
        <f t="shared" si="111"/>
        <v>11.16</v>
      </c>
      <c r="AA300">
        <v>0</v>
      </c>
      <c r="AB300">
        <v>7.59</v>
      </c>
      <c r="AC300">
        <v>0</v>
      </c>
      <c r="AD300">
        <v>0</v>
      </c>
      <c r="AE300">
        <v>0</v>
      </c>
      <c r="AF300">
        <v>7.11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-2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9.3000000000000007</v>
      </c>
      <c r="AU300" t="s">
        <v>49</v>
      </c>
      <c r="AV300">
        <v>0</v>
      </c>
      <c r="AW300">
        <v>2</v>
      </c>
      <c r="AX300">
        <v>55748141</v>
      </c>
      <c r="AY300">
        <v>1</v>
      </c>
      <c r="AZ300">
        <v>0</v>
      </c>
      <c r="BA300">
        <v>336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ROUND(Y300*Source!I116*DO300,9)</f>
        <v>0</v>
      </c>
      <c r="CX300">
        <f>ROUND(Y300*Source!I116,9)</f>
        <v>1.6739999999999999</v>
      </c>
      <c r="CY300">
        <f>AB300</f>
        <v>7.59</v>
      </c>
      <c r="CZ300">
        <f>AF300</f>
        <v>7.11</v>
      </c>
      <c r="DA300">
        <f>AJ300</f>
        <v>1</v>
      </c>
      <c r="DB300">
        <f t="shared" si="112"/>
        <v>79.343999999999994</v>
      </c>
      <c r="DC300">
        <f t="shared" si="113"/>
        <v>0</v>
      </c>
      <c r="DD300" t="s">
        <v>3</v>
      </c>
      <c r="DE300" t="s">
        <v>3</v>
      </c>
      <c r="DF300">
        <f t="shared" si="114"/>
        <v>0</v>
      </c>
      <c r="DG300">
        <f t="shared" si="110"/>
        <v>11.9</v>
      </c>
      <c r="DH300">
        <f t="shared" si="109"/>
        <v>0</v>
      </c>
      <c r="DI300">
        <f t="shared" si="96"/>
        <v>0</v>
      </c>
      <c r="DJ300">
        <f>DG300</f>
        <v>11.9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ROW(Source!A116)</f>
        <v>116</v>
      </c>
      <c r="B301">
        <v>55747649</v>
      </c>
      <c r="C301">
        <v>55748122</v>
      </c>
      <c r="D301">
        <v>54768339</v>
      </c>
      <c r="E301">
        <v>1</v>
      </c>
      <c r="F301">
        <v>1</v>
      </c>
      <c r="G301">
        <v>1081</v>
      </c>
      <c r="H301">
        <v>2</v>
      </c>
      <c r="I301" t="s">
        <v>483</v>
      </c>
      <c r="J301" t="s">
        <v>484</v>
      </c>
      <c r="K301" t="s">
        <v>485</v>
      </c>
      <c r="L301">
        <v>1368</v>
      </c>
      <c r="N301">
        <v>1011</v>
      </c>
      <c r="O301" t="s">
        <v>479</v>
      </c>
      <c r="P301" t="s">
        <v>479</v>
      </c>
      <c r="Q301">
        <v>1</v>
      </c>
      <c r="W301">
        <v>0</v>
      </c>
      <c r="X301">
        <v>874612079</v>
      </c>
      <c r="Y301">
        <f t="shared" si="111"/>
        <v>0.86399999999999999</v>
      </c>
      <c r="AA301">
        <v>0</v>
      </c>
      <c r="AB301">
        <v>88.67</v>
      </c>
      <c r="AC301">
        <v>13.47</v>
      </c>
      <c r="AD301">
        <v>0</v>
      </c>
      <c r="AE301">
        <v>0</v>
      </c>
      <c r="AF301">
        <v>83.1</v>
      </c>
      <c r="AG301">
        <v>12.62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0.72</v>
      </c>
      <c r="AU301" t="s">
        <v>49</v>
      </c>
      <c r="AV301">
        <v>0</v>
      </c>
      <c r="AW301">
        <v>2</v>
      </c>
      <c r="AX301">
        <v>55748142</v>
      </c>
      <c r="AY301">
        <v>1</v>
      </c>
      <c r="AZ301">
        <v>0</v>
      </c>
      <c r="BA301">
        <v>337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ROUND(Y301*Source!I116*DO301,9)</f>
        <v>1.6355519999999999</v>
      </c>
      <c r="CX301">
        <f>ROUND(Y301*Source!I116,9)</f>
        <v>0.12959999999999999</v>
      </c>
      <c r="CY301">
        <f>AB301</f>
        <v>88.67</v>
      </c>
      <c r="CZ301">
        <f>AF301</f>
        <v>83.1</v>
      </c>
      <c r="DA301">
        <f>AJ301</f>
        <v>1</v>
      </c>
      <c r="DB301">
        <f t="shared" si="112"/>
        <v>71.796000000000006</v>
      </c>
      <c r="DC301">
        <f t="shared" si="113"/>
        <v>10.907999999999999</v>
      </c>
      <c r="DD301" t="s">
        <v>3</v>
      </c>
      <c r="DE301" t="s">
        <v>3</v>
      </c>
      <c r="DF301">
        <f t="shared" si="114"/>
        <v>0</v>
      </c>
      <c r="DG301">
        <f t="shared" si="110"/>
        <v>10.77</v>
      </c>
      <c r="DH301">
        <f t="shared" si="109"/>
        <v>1.64</v>
      </c>
      <c r="DI301">
        <f t="shared" si="96"/>
        <v>0</v>
      </c>
      <c r="DJ301">
        <f>DG301</f>
        <v>10.77</v>
      </c>
      <c r="DK301">
        <v>0</v>
      </c>
      <c r="DL301" t="s">
        <v>486</v>
      </c>
      <c r="DM301">
        <v>0</v>
      </c>
      <c r="DN301" t="s">
        <v>475</v>
      </c>
      <c r="DO301">
        <v>12.62</v>
      </c>
    </row>
    <row r="302" spans="1:119" x14ac:dyDescent="0.2">
      <c r="A302">
        <f>ROW(Source!A116)</f>
        <v>116</v>
      </c>
      <c r="B302">
        <v>55747649</v>
      </c>
      <c r="C302">
        <v>55748122</v>
      </c>
      <c r="D302">
        <v>54767657</v>
      </c>
      <c r="E302">
        <v>1</v>
      </c>
      <c r="F302">
        <v>1</v>
      </c>
      <c r="G302">
        <v>1081</v>
      </c>
      <c r="H302">
        <v>2</v>
      </c>
      <c r="I302" t="s">
        <v>592</v>
      </c>
      <c r="J302" t="s">
        <v>593</v>
      </c>
      <c r="K302" t="s">
        <v>594</v>
      </c>
      <c r="L302">
        <v>1368</v>
      </c>
      <c r="N302">
        <v>1011</v>
      </c>
      <c r="O302" t="s">
        <v>479</v>
      </c>
      <c r="P302" t="s">
        <v>479</v>
      </c>
      <c r="Q302">
        <v>1</v>
      </c>
      <c r="W302">
        <v>0</v>
      </c>
      <c r="X302">
        <v>-1755828087</v>
      </c>
      <c r="Y302">
        <f t="shared" si="111"/>
        <v>0.63600000000000001</v>
      </c>
      <c r="AA302">
        <v>0</v>
      </c>
      <c r="AB302">
        <v>3.39</v>
      </c>
      <c r="AC302">
        <v>0</v>
      </c>
      <c r="AD302">
        <v>0</v>
      </c>
      <c r="AE302">
        <v>0</v>
      </c>
      <c r="AF302">
        <v>3.18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-2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0.53</v>
      </c>
      <c r="AU302" t="s">
        <v>49</v>
      </c>
      <c r="AV302">
        <v>0</v>
      </c>
      <c r="AW302">
        <v>2</v>
      </c>
      <c r="AX302">
        <v>55748143</v>
      </c>
      <c r="AY302">
        <v>1</v>
      </c>
      <c r="AZ302">
        <v>0</v>
      </c>
      <c r="BA302">
        <v>338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ROUND(Y302*Source!I116*DO302,9)</f>
        <v>0</v>
      </c>
      <c r="CX302">
        <f>ROUND(Y302*Source!I116,9)</f>
        <v>9.5399999999999999E-2</v>
      </c>
      <c r="CY302">
        <f>AB302</f>
        <v>3.39</v>
      </c>
      <c r="CZ302">
        <f>AF302</f>
        <v>3.18</v>
      </c>
      <c r="DA302">
        <f>AJ302</f>
        <v>1</v>
      </c>
      <c r="DB302">
        <f t="shared" si="112"/>
        <v>2.028</v>
      </c>
      <c r="DC302">
        <f t="shared" si="113"/>
        <v>0</v>
      </c>
      <c r="DD302" t="s">
        <v>3</v>
      </c>
      <c r="DE302" t="s">
        <v>3</v>
      </c>
      <c r="DF302">
        <f t="shared" si="114"/>
        <v>0</v>
      </c>
      <c r="DG302">
        <f t="shared" si="110"/>
        <v>0.3</v>
      </c>
      <c r="DH302">
        <f t="shared" si="109"/>
        <v>0</v>
      </c>
      <c r="DI302">
        <f t="shared" si="96"/>
        <v>0</v>
      </c>
      <c r="DJ302">
        <f>DG302</f>
        <v>0.3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ROW(Source!A116)</f>
        <v>116</v>
      </c>
      <c r="B303">
        <v>55747649</v>
      </c>
      <c r="C303">
        <v>55748122</v>
      </c>
      <c r="D303">
        <v>54737367</v>
      </c>
      <c r="E303">
        <v>1</v>
      </c>
      <c r="F303">
        <v>1</v>
      </c>
      <c r="G303">
        <v>1081</v>
      </c>
      <c r="H303">
        <v>3</v>
      </c>
      <c r="I303" t="s">
        <v>538</v>
      </c>
      <c r="J303" t="s">
        <v>539</v>
      </c>
      <c r="K303" t="s">
        <v>540</v>
      </c>
      <c r="L303">
        <v>1339</v>
      </c>
      <c r="N303">
        <v>1007</v>
      </c>
      <c r="O303" t="s">
        <v>507</v>
      </c>
      <c r="P303" t="s">
        <v>507</v>
      </c>
      <c r="Q303">
        <v>1</v>
      </c>
      <c r="W303">
        <v>0</v>
      </c>
      <c r="X303">
        <v>-1622585150</v>
      </c>
      <c r="Y303">
        <f t="shared" ref="Y303:Y309" si="115">(AT303*1)</f>
        <v>3</v>
      </c>
      <c r="AA303">
        <v>7.27</v>
      </c>
      <c r="AB303">
        <v>0</v>
      </c>
      <c r="AC303">
        <v>0</v>
      </c>
      <c r="AD303">
        <v>0</v>
      </c>
      <c r="AE303">
        <v>7.07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3</v>
      </c>
      <c r="AU303" t="s">
        <v>48</v>
      </c>
      <c r="AV303">
        <v>0</v>
      </c>
      <c r="AW303">
        <v>2</v>
      </c>
      <c r="AX303">
        <v>55748144</v>
      </c>
      <c r="AY303">
        <v>1</v>
      </c>
      <c r="AZ303">
        <v>0</v>
      </c>
      <c r="BA303">
        <v>339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ROUND(Y303*Source!I116,9)</f>
        <v>0.45</v>
      </c>
      <c r="CY303">
        <f t="shared" ref="CY303:CY311" si="116">AA303</f>
        <v>7.27</v>
      </c>
      <c r="CZ303">
        <f t="shared" ref="CZ303:CZ311" si="117">AE303</f>
        <v>7.07</v>
      </c>
      <c r="DA303">
        <f t="shared" ref="DA303:DA311" si="118">AI303</f>
        <v>1</v>
      </c>
      <c r="DB303">
        <f t="shared" ref="DB303:DB309" si="119">ROUND((ROUND(AT303*CZ303,2)*1),6)</f>
        <v>21.21</v>
      </c>
      <c r="DC303">
        <f t="shared" ref="DC303:DC309" si="120">ROUND((ROUND(AT303*AG303,2)*1),6)</f>
        <v>0</v>
      </c>
      <c r="DD303" t="s">
        <v>3</v>
      </c>
      <c r="DE303" t="s">
        <v>3</v>
      </c>
      <c r="DF303">
        <f t="shared" si="114"/>
        <v>3.18</v>
      </c>
      <c r="DG303">
        <f t="shared" si="110"/>
        <v>0</v>
      </c>
      <c r="DH303">
        <f t="shared" si="109"/>
        <v>0</v>
      </c>
      <c r="DI303">
        <f t="shared" si="96"/>
        <v>0</v>
      </c>
      <c r="DJ303">
        <f t="shared" ref="DJ303:DJ311" si="121">DF303</f>
        <v>3.18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ROW(Source!A116)</f>
        <v>116</v>
      </c>
      <c r="B304">
        <v>55747649</v>
      </c>
      <c r="C304">
        <v>55748122</v>
      </c>
      <c r="D304">
        <v>54738430</v>
      </c>
      <c r="E304">
        <v>1</v>
      </c>
      <c r="F304">
        <v>1</v>
      </c>
      <c r="G304">
        <v>1081</v>
      </c>
      <c r="H304">
        <v>3</v>
      </c>
      <c r="I304" t="s">
        <v>562</v>
      </c>
      <c r="J304" t="s">
        <v>563</v>
      </c>
      <c r="K304" t="s">
        <v>564</v>
      </c>
      <c r="L304">
        <v>1348</v>
      </c>
      <c r="N304">
        <v>1009</v>
      </c>
      <c r="O304" t="s">
        <v>282</v>
      </c>
      <c r="P304" t="s">
        <v>282</v>
      </c>
      <c r="Q304">
        <v>1000</v>
      </c>
      <c r="W304">
        <v>0</v>
      </c>
      <c r="X304">
        <v>63955816</v>
      </c>
      <c r="Y304">
        <f t="shared" si="115"/>
        <v>1.6800000000000001E-3</v>
      </c>
      <c r="AA304">
        <v>7387.02</v>
      </c>
      <c r="AB304">
        <v>0</v>
      </c>
      <c r="AC304">
        <v>0</v>
      </c>
      <c r="AD304">
        <v>0</v>
      </c>
      <c r="AE304">
        <v>7185.82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1.6800000000000001E-3</v>
      </c>
      <c r="AU304" t="s">
        <v>48</v>
      </c>
      <c r="AV304">
        <v>0</v>
      </c>
      <c r="AW304">
        <v>2</v>
      </c>
      <c r="AX304">
        <v>55748145</v>
      </c>
      <c r="AY304">
        <v>1</v>
      </c>
      <c r="AZ304">
        <v>0</v>
      </c>
      <c r="BA304">
        <v>340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ROUND(Y304*Source!I116,9)</f>
        <v>2.52E-4</v>
      </c>
      <c r="CY304">
        <f t="shared" si="116"/>
        <v>7387.02</v>
      </c>
      <c r="CZ304">
        <f t="shared" si="117"/>
        <v>7185.82</v>
      </c>
      <c r="DA304">
        <f t="shared" si="118"/>
        <v>1</v>
      </c>
      <c r="DB304">
        <f t="shared" si="119"/>
        <v>12.07</v>
      </c>
      <c r="DC304">
        <f t="shared" si="120"/>
        <v>0</v>
      </c>
      <c r="DD304" t="s">
        <v>3</v>
      </c>
      <c r="DE304" t="s">
        <v>3</v>
      </c>
      <c r="DF304">
        <f t="shared" si="114"/>
        <v>1.81</v>
      </c>
      <c r="DG304">
        <f t="shared" si="110"/>
        <v>0</v>
      </c>
      <c r="DH304">
        <f t="shared" si="109"/>
        <v>0</v>
      </c>
      <c r="DI304">
        <f t="shared" si="96"/>
        <v>0</v>
      </c>
      <c r="DJ304">
        <f t="shared" si="121"/>
        <v>1.81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ROW(Source!A116)</f>
        <v>116</v>
      </c>
      <c r="B305">
        <v>55747649</v>
      </c>
      <c r="C305">
        <v>55748122</v>
      </c>
      <c r="D305">
        <v>54738505</v>
      </c>
      <c r="E305">
        <v>1</v>
      </c>
      <c r="F305">
        <v>1</v>
      </c>
      <c r="G305">
        <v>1081</v>
      </c>
      <c r="H305">
        <v>3</v>
      </c>
      <c r="I305" t="s">
        <v>580</v>
      </c>
      <c r="J305" t="s">
        <v>581</v>
      </c>
      <c r="K305" t="s">
        <v>582</v>
      </c>
      <c r="L305">
        <v>1346</v>
      </c>
      <c r="N305">
        <v>1009</v>
      </c>
      <c r="O305" t="s">
        <v>503</v>
      </c>
      <c r="P305" t="s">
        <v>503</v>
      </c>
      <c r="Q305">
        <v>1</v>
      </c>
      <c r="W305">
        <v>0</v>
      </c>
      <c r="X305">
        <v>732400950</v>
      </c>
      <c r="Y305">
        <f t="shared" si="115"/>
        <v>0.81</v>
      </c>
      <c r="AA305">
        <v>21.59</v>
      </c>
      <c r="AB305">
        <v>0</v>
      </c>
      <c r="AC305">
        <v>0</v>
      </c>
      <c r="AD305">
        <v>0</v>
      </c>
      <c r="AE305">
        <v>21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0.81</v>
      </c>
      <c r="AU305" t="s">
        <v>48</v>
      </c>
      <c r="AV305">
        <v>0</v>
      </c>
      <c r="AW305">
        <v>2</v>
      </c>
      <c r="AX305">
        <v>55748146</v>
      </c>
      <c r="AY305">
        <v>1</v>
      </c>
      <c r="AZ305">
        <v>0</v>
      </c>
      <c r="BA305">
        <v>341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ROUND(Y305*Source!I116,9)</f>
        <v>0.1215</v>
      </c>
      <c r="CY305">
        <f t="shared" si="116"/>
        <v>21.59</v>
      </c>
      <c r="CZ305">
        <f t="shared" si="117"/>
        <v>21</v>
      </c>
      <c r="DA305">
        <f t="shared" si="118"/>
        <v>1</v>
      </c>
      <c r="DB305">
        <f t="shared" si="119"/>
        <v>17.010000000000002</v>
      </c>
      <c r="DC305">
        <f t="shared" si="120"/>
        <v>0</v>
      </c>
      <c r="DD305" t="s">
        <v>3</v>
      </c>
      <c r="DE305" t="s">
        <v>3</v>
      </c>
      <c r="DF305">
        <f t="shared" si="114"/>
        <v>2.5499999999999998</v>
      </c>
      <c r="DG305">
        <f t="shared" si="110"/>
        <v>0</v>
      </c>
      <c r="DH305">
        <f t="shared" si="109"/>
        <v>0</v>
      </c>
      <c r="DI305">
        <f t="shared" si="96"/>
        <v>0</v>
      </c>
      <c r="DJ305">
        <f t="shared" si="121"/>
        <v>2.5499999999999998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ROW(Source!A116)</f>
        <v>116</v>
      </c>
      <c r="B306">
        <v>55747649</v>
      </c>
      <c r="C306">
        <v>55748122</v>
      </c>
      <c r="D306">
        <v>54738703</v>
      </c>
      <c r="E306">
        <v>1</v>
      </c>
      <c r="F306">
        <v>1</v>
      </c>
      <c r="G306">
        <v>1081</v>
      </c>
      <c r="H306">
        <v>3</v>
      </c>
      <c r="I306" t="s">
        <v>595</v>
      </c>
      <c r="J306" t="s">
        <v>596</v>
      </c>
      <c r="K306" t="s">
        <v>597</v>
      </c>
      <c r="L306">
        <v>1355</v>
      </c>
      <c r="N306">
        <v>1010</v>
      </c>
      <c r="O306" t="s">
        <v>254</v>
      </c>
      <c r="P306" t="s">
        <v>254</v>
      </c>
      <c r="Q306">
        <v>100</v>
      </c>
      <c r="W306">
        <v>0</v>
      </c>
      <c r="X306">
        <v>1567739421</v>
      </c>
      <c r="Y306">
        <f t="shared" si="115"/>
        <v>0.72</v>
      </c>
      <c r="AA306">
        <v>510.7</v>
      </c>
      <c r="AB306">
        <v>0</v>
      </c>
      <c r="AC306">
        <v>0</v>
      </c>
      <c r="AD306">
        <v>0</v>
      </c>
      <c r="AE306">
        <v>496.79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0.72</v>
      </c>
      <c r="AU306" t="s">
        <v>48</v>
      </c>
      <c r="AV306">
        <v>0</v>
      </c>
      <c r="AW306">
        <v>2</v>
      </c>
      <c r="AX306">
        <v>55748147</v>
      </c>
      <c r="AY306">
        <v>1</v>
      </c>
      <c r="AZ306">
        <v>0</v>
      </c>
      <c r="BA306">
        <v>342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ROUND(Y306*Source!I116,9)</f>
        <v>0.108</v>
      </c>
      <c r="CY306">
        <f t="shared" si="116"/>
        <v>510.7</v>
      </c>
      <c r="CZ306">
        <f t="shared" si="117"/>
        <v>496.79</v>
      </c>
      <c r="DA306">
        <f t="shared" si="118"/>
        <v>1</v>
      </c>
      <c r="DB306">
        <f t="shared" si="119"/>
        <v>357.69</v>
      </c>
      <c r="DC306">
        <f t="shared" si="120"/>
        <v>0</v>
      </c>
      <c r="DD306" t="s">
        <v>3</v>
      </c>
      <c r="DE306" t="s">
        <v>3</v>
      </c>
      <c r="DF306">
        <f t="shared" si="114"/>
        <v>53.65</v>
      </c>
      <c r="DG306">
        <f t="shared" si="110"/>
        <v>0</v>
      </c>
      <c r="DH306">
        <f t="shared" si="109"/>
        <v>0</v>
      </c>
      <c r="DI306">
        <f t="shared" si="96"/>
        <v>0</v>
      </c>
      <c r="DJ306">
        <f t="shared" si="121"/>
        <v>53.65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ROW(Source!A116)</f>
        <v>116</v>
      </c>
      <c r="B307">
        <v>55747649</v>
      </c>
      <c r="C307">
        <v>55748122</v>
      </c>
      <c r="D307">
        <v>54738704</v>
      </c>
      <c r="E307">
        <v>1</v>
      </c>
      <c r="F307">
        <v>1</v>
      </c>
      <c r="G307">
        <v>1081</v>
      </c>
      <c r="H307">
        <v>3</v>
      </c>
      <c r="I307" t="s">
        <v>598</v>
      </c>
      <c r="J307" t="s">
        <v>599</v>
      </c>
      <c r="K307" t="s">
        <v>600</v>
      </c>
      <c r="L307">
        <v>1355</v>
      </c>
      <c r="N307">
        <v>1010</v>
      </c>
      <c r="O307" t="s">
        <v>254</v>
      </c>
      <c r="P307" t="s">
        <v>254</v>
      </c>
      <c r="Q307">
        <v>100</v>
      </c>
      <c r="W307">
        <v>0</v>
      </c>
      <c r="X307">
        <v>-96727844</v>
      </c>
      <c r="Y307">
        <f t="shared" si="115"/>
        <v>0.72</v>
      </c>
      <c r="AA307">
        <v>250.58</v>
      </c>
      <c r="AB307">
        <v>0</v>
      </c>
      <c r="AC307">
        <v>0</v>
      </c>
      <c r="AD307">
        <v>0</v>
      </c>
      <c r="AE307">
        <v>243.75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0.72</v>
      </c>
      <c r="AU307" t="s">
        <v>48</v>
      </c>
      <c r="AV307">
        <v>0</v>
      </c>
      <c r="AW307">
        <v>2</v>
      </c>
      <c r="AX307">
        <v>55748148</v>
      </c>
      <c r="AY307">
        <v>1</v>
      </c>
      <c r="AZ307">
        <v>0</v>
      </c>
      <c r="BA307">
        <v>343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ROUND(Y307*Source!I116,9)</f>
        <v>0.108</v>
      </c>
      <c r="CY307">
        <f t="shared" si="116"/>
        <v>250.58</v>
      </c>
      <c r="CZ307">
        <f t="shared" si="117"/>
        <v>243.75</v>
      </c>
      <c r="DA307">
        <f t="shared" si="118"/>
        <v>1</v>
      </c>
      <c r="DB307">
        <f t="shared" si="119"/>
        <v>175.5</v>
      </c>
      <c r="DC307">
        <f t="shared" si="120"/>
        <v>0</v>
      </c>
      <c r="DD307" t="s">
        <v>3</v>
      </c>
      <c r="DE307" t="s">
        <v>3</v>
      </c>
      <c r="DF307">
        <f t="shared" si="114"/>
        <v>26.33</v>
      </c>
      <c r="DG307">
        <f t="shared" si="110"/>
        <v>0</v>
      </c>
      <c r="DH307">
        <f t="shared" si="109"/>
        <v>0</v>
      </c>
      <c r="DI307">
        <f t="shared" si="96"/>
        <v>0</v>
      </c>
      <c r="DJ307">
        <f t="shared" si="121"/>
        <v>26.33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ROW(Source!A116)</f>
        <v>116</v>
      </c>
      <c r="B308">
        <v>55747649</v>
      </c>
      <c r="C308">
        <v>55748122</v>
      </c>
      <c r="D308">
        <v>54737299</v>
      </c>
      <c r="E308">
        <v>1</v>
      </c>
      <c r="F308">
        <v>1</v>
      </c>
      <c r="G308">
        <v>1081</v>
      </c>
      <c r="H308">
        <v>3</v>
      </c>
      <c r="I308" t="s">
        <v>583</v>
      </c>
      <c r="J308" t="s">
        <v>584</v>
      </c>
      <c r="K308" t="s">
        <v>585</v>
      </c>
      <c r="L308">
        <v>1339</v>
      </c>
      <c r="N308">
        <v>1007</v>
      </c>
      <c r="O308" t="s">
        <v>507</v>
      </c>
      <c r="P308" t="s">
        <v>507</v>
      </c>
      <c r="Q308">
        <v>1</v>
      </c>
      <c r="W308">
        <v>0</v>
      </c>
      <c r="X308">
        <v>-676034668</v>
      </c>
      <c r="Y308">
        <f t="shared" si="115"/>
        <v>0.54</v>
      </c>
      <c r="AA308">
        <v>54.92</v>
      </c>
      <c r="AB308">
        <v>0</v>
      </c>
      <c r="AC308">
        <v>0</v>
      </c>
      <c r="AD308">
        <v>0</v>
      </c>
      <c r="AE308">
        <v>53.42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0.54</v>
      </c>
      <c r="AU308" t="s">
        <v>48</v>
      </c>
      <c r="AV308">
        <v>0</v>
      </c>
      <c r="AW308">
        <v>2</v>
      </c>
      <c r="AX308">
        <v>55748149</v>
      </c>
      <c r="AY308">
        <v>1</v>
      </c>
      <c r="AZ308">
        <v>0</v>
      </c>
      <c r="BA308">
        <v>344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ROUND(Y308*Source!I116,9)</f>
        <v>8.1000000000000003E-2</v>
      </c>
      <c r="CY308">
        <f t="shared" si="116"/>
        <v>54.92</v>
      </c>
      <c r="CZ308">
        <f t="shared" si="117"/>
        <v>53.42</v>
      </c>
      <c r="DA308">
        <f t="shared" si="118"/>
        <v>1</v>
      </c>
      <c r="DB308">
        <f t="shared" si="119"/>
        <v>28.85</v>
      </c>
      <c r="DC308">
        <f t="shared" si="120"/>
        <v>0</v>
      </c>
      <c r="DD308" t="s">
        <v>3</v>
      </c>
      <c r="DE308" t="s">
        <v>3</v>
      </c>
      <c r="DF308">
        <f t="shared" si="114"/>
        <v>4.33</v>
      </c>
      <c r="DG308">
        <f t="shared" si="110"/>
        <v>0</v>
      </c>
      <c r="DH308">
        <f t="shared" si="109"/>
        <v>0</v>
      </c>
      <c r="DI308">
        <f t="shared" si="96"/>
        <v>0</v>
      </c>
      <c r="DJ308">
        <f t="shared" si="121"/>
        <v>4.33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ROW(Source!A116)</f>
        <v>116</v>
      </c>
      <c r="B309">
        <v>55747649</v>
      </c>
      <c r="C309">
        <v>55748122</v>
      </c>
      <c r="D309">
        <v>54737565</v>
      </c>
      <c r="E309">
        <v>1</v>
      </c>
      <c r="F309">
        <v>1</v>
      </c>
      <c r="G309">
        <v>1081</v>
      </c>
      <c r="H309">
        <v>3</v>
      </c>
      <c r="I309" t="s">
        <v>504</v>
      </c>
      <c r="J309" t="s">
        <v>505</v>
      </c>
      <c r="K309" t="s">
        <v>506</v>
      </c>
      <c r="L309">
        <v>1339</v>
      </c>
      <c r="N309">
        <v>1007</v>
      </c>
      <c r="O309" t="s">
        <v>507</v>
      </c>
      <c r="P309" t="s">
        <v>507</v>
      </c>
      <c r="Q309">
        <v>1</v>
      </c>
      <c r="W309">
        <v>0</v>
      </c>
      <c r="X309">
        <v>-1235260082</v>
      </c>
      <c r="Y309">
        <f t="shared" si="115"/>
        <v>0.81</v>
      </c>
      <c r="AA309">
        <v>5.98</v>
      </c>
      <c r="AB309">
        <v>0</v>
      </c>
      <c r="AC309">
        <v>0</v>
      </c>
      <c r="AD309">
        <v>0</v>
      </c>
      <c r="AE309">
        <v>5.82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0.81</v>
      </c>
      <c r="AU309" t="s">
        <v>48</v>
      </c>
      <c r="AV309">
        <v>0</v>
      </c>
      <c r="AW309">
        <v>2</v>
      </c>
      <c r="AX309">
        <v>55748150</v>
      </c>
      <c r="AY309">
        <v>1</v>
      </c>
      <c r="AZ309">
        <v>0</v>
      </c>
      <c r="BA309">
        <v>345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ROUND(Y309*Source!I116,9)</f>
        <v>0.1215</v>
      </c>
      <c r="CY309">
        <f t="shared" si="116"/>
        <v>5.98</v>
      </c>
      <c r="CZ309">
        <f t="shared" si="117"/>
        <v>5.82</v>
      </c>
      <c r="DA309">
        <f t="shared" si="118"/>
        <v>1</v>
      </c>
      <c r="DB309">
        <f t="shared" si="119"/>
        <v>4.71</v>
      </c>
      <c r="DC309">
        <f t="shared" si="120"/>
        <v>0</v>
      </c>
      <c r="DD309" t="s">
        <v>3</v>
      </c>
      <c r="DE309" t="s">
        <v>3</v>
      </c>
      <c r="DF309">
        <f t="shared" si="114"/>
        <v>0.71</v>
      </c>
      <c r="DG309">
        <f t="shared" si="110"/>
        <v>0</v>
      </c>
      <c r="DH309">
        <f t="shared" si="109"/>
        <v>0</v>
      </c>
      <c r="DI309">
        <f t="shared" si="96"/>
        <v>0</v>
      </c>
      <c r="DJ309">
        <f t="shared" si="121"/>
        <v>0.71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ROW(Source!A116)</f>
        <v>116</v>
      </c>
      <c r="B310">
        <v>55747649</v>
      </c>
      <c r="C310">
        <v>55748122</v>
      </c>
      <c r="D310">
        <v>54749868</v>
      </c>
      <c r="E310">
        <v>1</v>
      </c>
      <c r="F310">
        <v>1</v>
      </c>
      <c r="G310">
        <v>1081</v>
      </c>
      <c r="H310">
        <v>3</v>
      </c>
      <c r="I310" t="s">
        <v>216</v>
      </c>
      <c r="J310" t="s">
        <v>218</v>
      </c>
      <c r="K310" t="s">
        <v>217</v>
      </c>
      <c r="L310">
        <v>1301</v>
      </c>
      <c r="N310">
        <v>1003</v>
      </c>
      <c r="O310" t="s">
        <v>191</v>
      </c>
      <c r="P310" t="s">
        <v>191</v>
      </c>
      <c r="Q310">
        <v>1</v>
      </c>
      <c r="W310">
        <v>0</v>
      </c>
      <c r="X310">
        <v>598797739</v>
      </c>
      <c r="Y310">
        <f>AT310</f>
        <v>100.5</v>
      </c>
      <c r="AA310">
        <v>76.08</v>
      </c>
      <c r="AB310">
        <v>0</v>
      </c>
      <c r="AC310">
        <v>0</v>
      </c>
      <c r="AD310">
        <v>0</v>
      </c>
      <c r="AE310">
        <v>76.08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100.5</v>
      </c>
      <c r="AU310" t="s">
        <v>3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ROUND(Y310*Source!I116,9)</f>
        <v>15.074999999999999</v>
      </c>
      <c r="CY310">
        <f t="shared" si="116"/>
        <v>76.08</v>
      </c>
      <c r="CZ310">
        <f t="shared" si="117"/>
        <v>76.08</v>
      </c>
      <c r="DA310">
        <f t="shared" si="118"/>
        <v>1</v>
      </c>
      <c r="DB310">
        <f>ROUND(ROUND(AT310*CZ310,2),6)</f>
        <v>7646.04</v>
      </c>
      <c r="DC310">
        <f>ROUND(ROUND(AT310*AG310,2),6)</f>
        <v>0</v>
      </c>
      <c r="DD310" t="s">
        <v>3</v>
      </c>
      <c r="DE310" t="s">
        <v>3</v>
      </c>
      <c r="DF310">
        <f t="shared" si="114"/>
        <v>1146.9100000000001</v>
      </c>
      <c r="DG310">
        <f t="shared" si="110"/>
        <v>0</v>
      </c>
      <c r="DH310">
        <f t="shared" si="109"/>
        <v>0</v>
      </c>
      <c r="DI310">
        <f t="shared" si="96"/>
        <v>0</v>
      </c>
      <c r="DJ310">
        <f t="shared" si="121"/>
        <v>1146.9100000000001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ROW(Source!A116)</f>
        <v>116</v>
      </c>
      <c r="B311">
        <v>55747649</v>
      </c>
      <c r="C311">
        <v>55748122</v>
      </c>
      <c r="D311">
        <v>54759954</v>
      </c>
      <c r="E311">
        <v>1</v>
      </c>
      <c r="F311">
        <v>1</v>
      </c>
      <c r="G311">
        <v>1081</v>
      </c>
      <c r="H311">
        <v>3</v>
      </c>
      <c r="I311" t="s">
        <v>601</v>
      </c>
      <c r="J311" t="s">
        <v>602</v>
      </c>
      <c r="K311" t="s">
        <v>603</v>
      </c>
      <c r="L311">
        <v>1354</v>
      </c>
      <c r="N311">
        <v>1010</v>
      </c>
      <c r="O311" t="s">
        <v>118</v>
      </c>
      <c r="P311" t="s">
        <v>118</v>
      </c>
      <c r="Q311">
        <v>1</v>
      </c>
      <c r="W311">
        <v>0</v>
      </c>
      <c r="X311">
        <v>483106430</v>
      </c>
      <c r="Y311">
        <f>(AT311*1)</f>
        <v>72</v>
      </c>
      <c r="AA311">
        <v>14.68</v>
      </c>
      <c r="AB311">
        <v>0</v>
      </c>
      <c r="AC311">
        <v>0</v>
      </c>
      <c r="AD311">
        <v>0</v>
      </c>
      <c r="AE311">
        <v>14.28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72</v>
      </c>
      <c r="AU311" t="s">
        <v>48</v>
      </c>
      <c r="AV311">
        <v>0</v>
      </c>
      <c r="AW311">
        <v>2</v>
      </c>
      <c r="AX311">
        <v>55748151</v>
      </c>
      <c r="AY311">
        <v>1</v>
      </c>
      <c r="AZ311">
        <v>0</v>
      </c>
      <c r="BA311">
        <v>346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ROUND(Y311*Source!I116,9)</f>
        <v>10.8</v>
      </c>
      <c r="CY311">
        <f t="shared" si="116"/>
        <v>14.68</v>
      </c>
      <c r="CZ311">
        <f t="shared" si="117"/>
        <v>14.28</v>
      </c>
      <c r="DA311">
        <f t="shared" si="118"/>
        <v>1</v>
      </c>
      <c r="DB311">
        <f>ROUND((ROUND(AT311*CZ311,2)*1),6)</f>
        <v>1028.1600000000001</v>
      </c>
      <c r="DC311">
        <f>ROUND((ROUND(AT311*AG311,2)*1),6)</f>
        <v>0</v>
      </c>
      <c r="DD311" t="s">
        <v>3</v>
      </c>
      <c r="DE311" t="s">
        <v>3</v>
      </c>
      <c r="DF311">
        <f t="shared" si="114"/>
        <v>154.22</v>
      </c>
      <c r="DG311">
        <f t="shared" si="110"/>
        <v>0</v>
      </c>
      <c r="DH311">
        <f t="shared" si="109"/>
        <v>0</v>
      </c>
      <c r="DI311">
        <f t="shared" si="96"/>
        <v>0</v>
      </c>
      <c r="DJ311">
        <f t="shared" si="121"/>
        <v>154.22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ROW(Source!A117)</f>
        <v>117</v>
      </c>
      <c r="B312">
        <v>55747651</v>
      </c>
      <c r="C312">
        <v>55748122</v>
      </c>
      <c r="D312">
        <v>54702434</v>
      </c>
      <c r="E312">
        <v>1081</v>
      </c>
      <c r="F312">
        <v>1</v>
      </c>
      <c r="G312">
        <v>1081</v>
      </c>
      <c r="H312">
        <v>1</v>
      </c>
      <c r="I312" t="s">
        <v>473</v>
      </c>
      <c r="J312" t="s">
        <v>3</v>
      </c>
      <c r="K312" t="s">
        <v>474</v>
      </c>
      <c r="L312">
        <v>1191</v>
      </c>
      <c r="N312">
        <v>1013</v>
      </c>
      <c r="O312" t="s">
        <v>475</v>
      </c>
      <c r="P312" t="s">
        <v>475</v>
      </c>
      <c r="Q312">
        <v>1</v>
      </c>
      <c r="W312">
        <v>0</v>
      </c>
      <c r="X312">
        <v>476480486</v>
      </c>
      <c r="Y312">
        <f t="shared" ref="Y312:Y317" si="122">(AT312*1.2)</f>
        <v>168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5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140</v>
      </c>
      <c r="AU312" t="s">
        <v>49</v>
      </c>
      <c r="AV312">
        <v>1</v>
      </c>
      <c r="AW312">
        <v>2</v>
      </c>
      <c r="AX312">
        <v>55748138</v>
      </c>
      <c r="AY312">
        <v>1</v>
      </c>
      <c r="AZ312">
        <v>0</v>
      </c>
      <c r="BA312">
        <v>348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U312">
        <f>ROUND(AT312*Source!I117*AH312*AL312,2)</f>
        <v>0</v>
      </c>
      <c r="CV312">
        <f>ROUND(Y312*Source!I117,9)</f>
        <v>25.2</v>
      </c>
      <c r="CW312">
        <v>0</v>
      </c>
      <c r="CX312">
        <f>ROUND(Y312*Source!I117,9)</f>
        <v>25.2</v>
      </c>
      <c r="CY312">
        <f>AD312</f>
        <v>0</v>
      </c>
      <c r="CZ312">
        <f>AH312</f>
        <v>0</v>
      </c>
      <c r="DA312">
        <f>AL312</f>
        <v>1</v>
      </c>
      <c r="DB312">
        <f t="shared" ref="DB312:DB317" si="123">ROUND((ROUND(AT312*CZ312,2)*1.2),6)</f>
        <v>0</v>
      </c>
      <c r="DC312">
        <f t="shared" ref="DC312:DC317" si="124">ROUND((ROUND(AT312*AG312,2)*1.2),6)</f>
        <v>0</v>
      </c>
      <c r="DD312" t="s">
        <v>3</v>
      </c>
      <c r="DE312" t="s">
        <v>3</v>
      </c>
      <c r="DF312">
        <f t="shared" si="114"/>
        <v>0</v>
      </c>
      <c r="DG312">
        <f t="shared" si="110"/>
        <v>0</v>
      </c>
      <c r="DH312">
        <f t="shared" si="109"/>
        <v>0</v>
      </c>
      <c r="DI312">
        <f t="shared" si="96"/>
        <v>0</v>
      </c>
      <c r="DJ312">
        <f>DI312</f>
        <v>0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ROW(Source!A117)</f>
        <v>117</v>
      </c>
      <c r="B313">
        <v>55747651</v>
      </c>
      <c r="C313">
        <v>55748122</v>
      </c>
      <c r="D313">
        <v>54767934</v>
      </c>
      <c r="E313">
        <v>1</v>
      </c>
      <c r="F313">
        <v>1</v>
      </c>
      <c r="G313">
        <v>1081</v>
      </c>
      <c r="H313">
        <v>2</v>
      </c>
      <c r="I313" t="s">
        <v>586</v>
      </c>
      <c r="J313" t="s">
        <v>587</v>
      </c>
      <c r="K313" t="s">
        <v>588</v>
      </c>
      <c r="L313">
        <v>1368</v>
      </c>
      <c r="N313">
        <v>1011</v>
      </c>
      <c r="O313" t="s">
        <v>479</v>
      </c>
      <c r="P313" t="s">
        <v>479</v>
      </c>
      <c r="Q313">
        <v>1</v>
      </c>
      <c r="W313">
        <v>0</v>
      </c>
      <c r="X313">
        <v>-1222619517</v>
      </c>
      <c r="Y313">
        <f t="shared" si="122"/>
        <v>9</v>
      </c>
      <c r="AA313">
        <v>0</v>
      </c>
      <c r="AB313">
        <v>1209.95</v>
      </c>
      <c r="AC313">
        <v>758.78</v>
      </c>
      <c r="AD313">
        <v>0</v>
      </c>
      <c r="AE313">
        <v>0</v>
      </c>
      <c r="AF313">
        <v>48.07</v>
      </c>
      <c r="AG313">
        <v>12.62</v>
      </c>
      <c r="AH313">
        <v>0</v>
      </c>
      <c r="AI313">
        <v>1</v>
      </c>
      <c r="AJ313">
        <v>23.59</v>
      </c>
      <c r="AK313">
        <v>56.35</v>
      </c>
      <c r="AL313">
        <v>1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7.5</v>
      </c>
      <c r="AU313" t="s">
        <v>49</v>
      </c>
      <c r="AV313">
        <v>0</v>
      </c>
      <c r="AW313">
        <v>2</v>
      </c>
      <c r="AX313">
        <v>55748139</v>
      </c>
      <c r="AY313">
        <v>1</v>
      </c>
      <c r="AZ313">
        <v>0</v>
      </c>
      <c r="BA313">
        <v>349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f>ROUND(Y313*Source!I117*DO313,9)</f>
        <v>17.036999999999999</v>
      </c>
      <c r="CX313">
        <f>ROUND(Y313*Source!I117,9)</f>
        <v>1.35</v>
      </c>
      <c r="CY313">
        <f>AB313</f>
        <v>1209.95</v>
      </c>
      <c r="CZ313">
        <f>AF313</f>
        <v>48.07</v>
      </c>
      <c r="DA313">
        <f>AJ313</f>
        <v>23.59</v>
      </c>
      <c r="DB313">
        <f t="shared" si="123"/>
        <v>432.63600000000002</v>
      </c>
      <c r="DC313">
        <f t="shared" si="124"/>
        <v>113.58</v>
      </c>
      <c r="DD313" t="s">
        <v>3</v>
      </c>
      <c r="DE313" t="s">
        <v>3</v>
      </c>
      <c r="DF313">
        <f t="shared" si="114"/>
        <v>0</v>
      </c>
      <c r="DG313">
        <f>ROUND(ROUND(AF313*AJ313,2)*CX313,2)</f>
        <v>1530.86</v>
      </c>
      <c r="DH313">
        <f>ROUND(ROUND(AG313*AK313,2)*CX313,2)</f>
        <v>960.04</v>
      </c>
      <c r="DI313">
        <f t="shared" si="96"/>
        <v>0</v>
      </c>
      <c r="DJ313">
        <f>DG313</f>
        <v>1530.86</v>
      </c>
      <c r="DK313">
        <v>0</v>
      </c>
      <c r="DL313" t="s">
        <v>486</v>
      </c>
      <c r="DM313">
        <v>0</v>
      </c>
      <c r="DN313" t="s">
        <v>475</v>
      </c>
      <c r="DO313">
        <v>12.62</v>
      </c>
    </row>
    <row r="314" spans="1:119" x14ac:dyDescent="0.2">
      <c r="A314">
        <f>ROW(Source!A117)</f>
        <v>117</v>
      </c>
      <c r="B314">
        <v>55747651</v>
      </c>
      <c r="C314">
        <v>55748122</v>
      </c>
      <c r="D314">
        <v>54767971</v>
      </c>
      <c r="E314">
        <v>1</v>
      </c>
      <c r="F314">
        <v>1</v>
      </c>
      <c r="G314">
        <v>1081</v>
      </c>
      <c r="H314">
        <v>2</v>
      </c>
      <c r="I314" t="s">
        <v>589</v>
      </c>
      <c r="J314" t="s">
        <v>590</v>
      </c>
      <c r="K314" t="s">
        <v>591</v>
      </c>
      <c r="L314">
        <v>1368</v>
      </c>
      <c r="N314">
        <v>1011</v>
      </c>
      <c r="O314" t="s">
        <v>479</v>
      </c>
      <c r="P314" t="s">
        <v>479</v>
      </c>
      <c r="Q314">
        <v>1</v>
      </c>
      <c r="W314">
        <v>0</v>
      </c>
      <c r="X314">
        <v>210297649</v>
      </c>
      <c r="Y314">
        <f t="shared" si="122"/>
        <v>8.4</v>
      </c>
      <c r="AA314">
        <v>0</v>
      </c>
      <c r="AB314">
        <v>65.790000000000006</v>
      </c>
      <c r="AC314">
        <v>0</v>
      </c>
      <c r="AD314">
        <v>0</v>
      </c>
      <c r="AE314">
        <v>0</v>
      </c>
      <c r="AF314">
        <v>5.79</v>
      </c>
      <c r="AG314">
        <v>0</v>
      </c>
      <c r="AH314">
        <v>0</v>
      </c>
      <c r="AI314">
        <v>1</v>
      </c>
      <c r="AJ314">
        <v>10.65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7</v>
      </c>
      <c r="AU314" t="s">
        <v>49</v>
      </c>
      <c r="AV314">
        <v>0</v>
      </c>
      <c r="AW314">
        <v>2</v>
      </c>
      <c r="AX314">
        <v>55748140</v>
      </c>
      <c r="AY314">
        <v>1</v>
      </c>
      <c r="AZ314">
        <v>0</v>
      </c>
      <c r="BA314">
        <v>350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ROUND(Y314*Source!I117*DO314,9)</f>
        <v>0</v>
      </c>
      <c r="CX314">
        <f>ROUND(Y314*Source!I117,9)</f>
        <v>1.26</v>
      </c>
      <c r="CY314">
        <f>AB314</f>
        <v>65.790000000000006</v>
      </c>
      <c r="CZ314">
        <f>AF314</f>
        <v>5.79</v>
      </c>
      <c r="DA314">
        <f>AJ314</f>
        <v>10.65</v>
      </c>
      <c r="DB314">
        <f t="shared" si="123"/>
        <v>48.636000000000003</v>
      </c>
      <c r="DC314">
        <f t="shared" si="124"/>
        <v>0</v>
      </c>
      <c r="DD314" t="s">
        <v>3</v>
      </c>
      <c r="DE314" t="s">
        <v>3</v>
      </c>
      <c r="DF314">
        <f t="shared" si="114"/>
        <v>0</v>
      </c>
      <c r="DG314">
        <f>ROUND(ROUND(AF314*AJ314,2)*CX314,2)</f>
        <v>77.69</v>
      </c>
      <c r="DH314">
        <f>ROUND(ROUND(AG314,2)*CX314,2)</f>
        <v>0</v>
      </c>
      <c r="DI314">
        <f t="shared" si="96"/>
        <v>0</v>
      </c>
      <c r="DJ314">
        <f>DG314</f>
        <v>77.69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ROW(Source!A117)</f>
        <v>117</v>
      </c>
      <c r="B315">
        <v>55747651</v>
      </c>
      <c r="C315">
        <v>55748122</v>
      </c>
      <c r="D315">
        <v>54768040</v>
      </c>
      <c r="E315">
        <v>1</v>
      </c>
      <c r="F315">
        <v>1</v>
      </c>
      <c r="G315">
        <v>1081</v>
      </c>
      <c r="H315">
        <v>2</v>
      </c>
      <c r="I315" t="s">
        <v>476</v>
      </c>
      <c r="J315" t="s">
        <v>477</v>
      </c>
      <c r="K315" t="s">
        <v>478</v>
      </c>
      <c r="L315">
        <v>1368</v>
      </c>
      <c r="N315">
        <v>1011</v>
      </c>
      <c r="O315" t="s">
        <v>479</v>
      </c>
      <c r="P315" t="s">
        <v>479</v>
      </c>
      <c r="Q315">
        <v>1</v>
      </c>
      <c r="W315">
        <v>0</v>
      </c>
      <c r="X315">
        <v>1498588441</v>
      </c>
      <c r="Y315">
        <f t="shared" si="122"/>
        <v>11.16</v>
      </c>
      <c r="AA315">
        <v>0</v>
      </c>
      <c r="AB315">
        <v>102.11</v>
      </c>
      <c r="AC315">
        <v>0</v>
      </c>
      <c r="AD315">
        <v>0</v>
      </c>
      <c r="AE315">
        <v>0</v>
      </c>
      <c r="AF315">
        <v>7.11</v>
      </c>
      <c r="AG315">
        <v>0</v>
      </c>
      <c r="AH315">
        <v>0</v>
      </c>
      <c r="AI315">
        <v>1</v>
      </c>
      <c r="AJ315">
        <v>13.46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9.3000000000000007</v>
      </c>
      <c r="AU315" t="s">
        <v>49</v>
      </c>
      <c r="AV315">
        <v>0</v>
      </c>
      <c r="AW315">
        <v>2</v>
      </c>
      <c r="AX315">
        <v>55748141</v>
      </c>
      <c r="AY315">
        <v>1</v>
      </c>
      <c r="AZ315">
        <v>0</v>
      </c>
      <c r="BA315">
        <v>351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ROUND(Y315*Source!I117*DO315,9)</f>
        <v>0</v>
      </c>
      <c r="CX315">
        <f>ROUND(Y315*Source!I117,9)</f>
        <v>1.6739999999999999</v>
      </c>
      <c r="CY315">
        <f>AB315</f>
        <v>102.11</v>
      </c>
      <c r="CZ315">
        <f>AF315</f>
        <v>7.11</v>
      </c>
      <c r="DA315">
        <f>AJ315</f>
        <v>13.46</v>
      </c>
      <c r="DB315">
        <f t="shared" si="123"/>
        <v>79.343999999999994</v>
      </c>
      <c r="DC315">
        <f t="shared" si="124"/>
        <v>0</v>
      </c>
      <c r="DD315" t="s">
        <v>3</v>
      </c>
      <c r="DE315" t="s">
        <v>3</v>
      </c>
      <c r="DF315">
        <f t="shared" si="114"/>
        <v>0</v>
      </c>
      <c r="DG315">
        <f>ROUND(ROUND(AF315*AJ315,2)*CX315,2)</f>
        <v>160.19999999999999</v>
      </c>
      <c r="DH315">
        <f>ROUND(ROUND(AG315,2)*CX315,2)</f>
        <v>0</v>
      </c>
      <c r="DI315">
        <f t="shared" si="96"/>
        <v>0</v>
      </c>
      <c r="DJ315">
        <f>DG315</f>
        <v>160.19999999999999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ROW(Source!A117)</f>
        <v>117</v>
      </c>
      <c r="B316">
        <v>55747651</v>
      </c>
      <c r="C316">
        <v>55748122</v>
      </c>
      <c r="D316">
        <v>54768339</v>
      </c>
      <c r="E316">
        <v>1</v>
      </c>
      <c r="F316">
        <v>1</v>
      </c>
      <c r="G316">
        <v>1081</v>
      </c>
      <c r="H316">
        <v>2</v>
      </c>
      <c r="I316" t="s">
        <v>483</v>
      </c>
      <c r="J316" t="s">
        <v>484</v>
      </c>
      <c r="K316" t="s">
        <v>485</v>
      </c>
      <c r="L316">
        <v>1368</v>
      </c>
      <c r="N316">
        <v>1011</v>
      </c>
      <c r="O316" t="s">
        <v>479</v>
      </c>
      <c r="P316" t="s">
        <v>479</v>
      </c>
      <c r="Q316">
        <v>1</v>
      </c>
      <c r="W316">
        <v>0</v>
      </c>
      <c r="X316">
        <v>874612079</v>
      </c>
      <c r="Y316">
        <f t="shared" si="122"/>
        <v>0.86399999999999999</v>
      </c>
      <c r="AA316">
        <v>0</v>
      </c>
      <c r="AB316">
        <v>1513.56</v>
      </c>
      <c r="AC316">
        <v>758.78</v>
      </c>
      <c r="AD316">
        <v>0</v>
      </c>
      <c r="AE316">
        <v>0</v>
      </c>
      <c r="AF316">
        <v>83.1</v>
      </c>
      <c r="AG316">
        <v>12.62</v>
      </c>
      <c r="AH316">
        <v>0</v>
      </c>
      <c r="AI316">
        <v>1</v>
      </c>
      <c r="AJ316">
        <v>17.07</v>
      </c>
      <c r="AK316">
        <v>56.35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0.72</v>
      </c>
      <c r="AU316" t="s">
        <v>49</v>
      </c>
      <c r="AV316">
        <v>0</v>
      </c>
      <c r="AW316">
        <v>2</v>
      </c>
      <c r="AX316">
        <v>55748142</v>
      </c>
      <c r="AY316">
        <v>1</v>
      </c>
      <c r="AZ316">
        <v>0</v>
      </c>
      <c r="BA316">
        <v>352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ROUND(Y316*Source!I117*DO316,9)</f>
        <v>1.6355519999999999</v>
      </c>
      <c r="CX316">
        <f>ROUND(Y316*Source!I117,9)</f>
        <v>0.12959999999999999</v>
      </c>
      <c r="CY316">
        <f>AB316</f>
        <v>1513.56</v>
      </c>
      <c r="CZ316">
        <f>AF316</f>
        <v>83.1</v>
      </c>
      <c r="DA316">
        <f>AJ316</f>
        <v>17.07</v>
      </c>
      <c r="DB316">
        <f t="shared" si="123"/>
        <v>71.796000000000006</v>
      </c>
      <c r="DC316">
        <f t="shared" si="124"/>
        <v>10.907999999999999</v>
      </c>
      <c r="DD316" t="s">
        <v>3</v>
      </c>
      <c r="DE316" t="s">
        <v>3</v>
      </c>
      <c r="DF316">
        <f t="shared" si="114"/>
        <v>0</v>
      </c>
      <c r="DG316">
        <f>ROUND(ROUND(AF316*AJ316,2)*CX316,2)</f>
        <v>183.84</v>
      </c>
      <c r="DH316">
        <f>ROUND(ROUND(AG316*AK316,2)*CX316,2)</f>
        <v>92.16</v>
      </c>
      <c r="DI316">
        <f t="shared" si="96"/>
        <v>0</v>
      </c>
      <c r="DJ316">
        <f>DG316</f>
        <v>183.84</v>
      </c>
      <c r="DK316">
        <v>0</v>
      </c>
      <c r="DL316" t="s">
        <v>486</v>
      </c>
      <c r="DM316">
        <v>0</v>
      </c>
      <c r="DN316" t="s">
        <v>475</v>
      </c>
      <c r="DO316">
        <v>12.62</v>
      </c>
    </row>
    <row r="317" spans="1:119" x14ac:dyDescent="0.2">
      <c r="A317">
        <f>ROW(Source!A117)</f>
        <v>117</v>
      </c>
      <c r="B317">
        <v>55747651</v>
      </c>
      <c r="C317">
        <v>55748122</v>
      </c>
      <c r="D317">
        <v>54767657</v>
      </c>
      <c r="E317">
        <v>1</v>
      </c>
      <c r="F317">
        <v>1</v>
      </c>
      <c r="G317">
        <v>1081</v>
      </c>
      <c r="H317">
        <v>2</v>
      </c>
      <c r="I317" t="s">
        <v>592</v>
      </c>
      <c r="J317" t="s">
        <v>593</v>
      </c>
      <c r="K317" t="s">
        <v>594</v>
      </c>
      <c r="L317">
        <v>1368</v>
      </c>
      <c r="N317">
        <v>1011</v>
      </c>
      <c r="O317" t="s">
        <v>479</v>
      </c>
      <c r="P317" t="s">
        <v>479</v>
      </c>
      <c r="Q317">
        <v>1</v>
      </c>
      <c r="W317">
        <v>0</v>
      </c>
      <c r="X317">
        <v>-1755828087</v>
      </c>
      <c r="Y317">
        <f t="shared" si="122"/>
        <v>0.63600000000000001</v>
      </c>
      <c r="AA317">
        <v>0</v>
      </c>
      <c r="AB317">
        <v>34.85</v>
      </c>
      <c r="AC317">
        <v>0</v>
      </c>
      <c r="AD317">
        <v>0</v>
      </c>
      <c r="AE317">
        <v>0</v>
      </c>
      <c r="AF317">
        <v>3.18</v>
      </c>
      <c r="AG317">
        <v>0</v>
      </c>
      <c r="AH317">
        <v>0</v>
      </c>
      <c r="AI317">
        <v>1</v>
      </c>
      <c r="AJ317">
        <v>10.27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0.53</v>
      </c>
      <c r="AU317" t="s">
        <v>49</v>
      </c>
      <c r="AV317">
        <v>0</v>
      </c>
      <c r="AW317">
        <v>2</v>
      </c>
      <c r="AX317">
        <v>55748143</v>
      </c>
      <c r="AY317">
        <v>1</v>
      </c>
      <c r="AZ317">
        <v>0</v>
      </c>
      <c r="BA317">
        <v>353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f>ROUND(Y317*Source!I117*DO317,9)</f>
        <v>0</v>
      </c>
      <c r="CX317">
        <f>ROUND(Y317*Source!I117,9)</f>
        <v>9.5399999999999999E-2</v>
      </c>
      <c r="CY317">
        <f>AB317</f>
        <v>34.85</v>
      </c>
      <c r="CZ317">
        <f>AF317</f>
        <v>3.18</v>
      </c>
      <c r="DA317">
        <f>AJ317</f>
        <v>10.27</v>
      </c>
      <c r="DB317">
        <f t="shared" si="123"/>
        <v>2.028</v>
      </c>
      <c r="DC317">
        <f t="shared" si="124"/>
        <v>0</v>
      </c>
      <c r="DD317" t="s">
        <v>3</v>
      </c>
      <c r="DE317" t="s">
        <v>3</v>
      </c>
      <c r="DF317">
        <f t="shared" si="114"/>
        <v>0</v>
      </c>
      <c r="DG317">
        <f>ROUND(ROUND(AF317*AJ317,2)*CX317,2)</f>
        <v>3.12</v>
      </c>
      <c r="DH317">
        <f t="shared" ref="DH317:DH343" si="125">ROUND(ROUND(AG317,2)*CX317,2)</f>
        <v>0</v>
      </c>
      <c r="DI317">
        <f t="shared" si="96"/>
        <v>0</v>
      </c>
      <c r="DJ317">
        <f>DG317</f>
        <v>3.12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ROW(Source!A117)</f>
        <v>117</v>
      </c>
      <c r="B318">
        <v>55747651</v>
      </c>
      <c r="C318">
        <v>55748122</v>
      </c>
      <c r="D318">
        <v>54737367</v>
      </c>
      <c r="E318">
        <v>1</v>
      </c>
      <c r="F318">
        <v>1</v>
      </c>
      <c r="G318">
        <v>1081</v>
      </c>
      <c r="H318">
        <v>3</v>
      </c>
      <c r="I318" t="s">
        <v>538</v>
      </c>
      <c r="J318" t="s">
        <v>539</v>
      </c>
      <c r="K318" t="s">
        <v>540</v>
      </c>
      <c r="L318">
        <v>1339</v>
      </c>
      <c r="N318">
        <v>1007</v>
      </c>
      <c r="O318" t="s">
        <v>507</v>
      </c>
      <c r="P318" t="s">
        <v>507</v>
      </c>
      <c r="Q318">
        <v>1</v>
      </c>
      <c r="W318">
        <v>0</v>
      </c>
      <c r="X318">
        <v>-1622585150</v>
      </c>
      <c r="Y318">
        <f t="shared" ref="Y318:Y324" si="126">(AT318*1)</f>
        <v>3</v>
      </c>
      <c r="AA318">
        <v>56.33</v>
      </c>
      <c r="AB318">
        <v>0</v>
      </c>
      <c r="AC318">
        <v>0</v>
      </c>
      <c r="AD318">
        <v>0</v>
      </c>
      <c r="AE318">
        <v>7.07</v>
      </c>
      <c r="AF318">
        <v>0</v>
      </c>
      <c r="AG318">
        <v>0</v>
      </c>
      <c r="AH318">
        <v>0</v>
      </c>
      <c r="AI318">
        <v>7.75</v>
      </c>
      <c r="AJ318">
        <v>1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3</v>
      </c>
      <c r="AU318" t="s">
        <v>48</v>
      </c>
      <c r="AV318">
        <v>0</v>
      </c>
      <c r="AW318">
        <v>2</v>
      </c>
      <c r="AX318">
        <v>55748144</v>
      </c>
      <c r="AY318">
        <v>1</v>
      </c>
      <c r="AZ318">
        <v>0</v>
      </c>
      <c r="BA318">
        <v>354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ROUND(Y318*Source!I117,9)</f>
        <v>0.45</v>
      </c>
      <c r="CY318">
        <f t="shared" ref="CY318:CY326" si="127">AA318</f>
        <v>56.33</v>
      </c>
      <c r="CZ318">
        <f t="shared" ref="CZ318:CZ326" si="128">AE318</f>
        <v>7.07</v>
      </c>
      <c r="DA318">
        <f t="shared" ref="DA318:DA326" si="129">AI318</f>
        <v>7.75</v>
      </c>
      <c r="DB318">
        <f t="shared" ref="DB318:DB324" si="130">ROUND((ROUND(AT318*CZ318,2)*1),6)</f>
        <v>21.21</v>
      </c>
      <c r="DC318">
        <f t="shared" ref="DC318:DC324" si="131">ROUND((ROUND(AT318*AG318,2)*1),6)</f>
        <v>0</v>
      </c>
      <c r="DD318" t="s">
        <v>3</v>
      </c>
      <c r="DE318" t="s">
        <v>3</v>
      </c>
      <c r="DF318">
        <f t="shared" ref="DF318:DF326" si="132">ROUND(ROUND(AE318*AI318,2)*CX318,2)</f>
        <v>24.66</v>
      </c>
      <c r="DG318">
        <f t="shared" ref="DG318:DG343" si="133">ROUND(ROUND(AF318,2)*CX318,2)</f>
        <v>0</v>
      </c>
      <c r="DH318">
        <f t="shared" si="125"/>
        <v>0</v>
      </c>
      <c r="DI318">
        <f t="shared" si="96"/>
        <v>0</v>
      </c>
      <c r="DJ318">
        <f t="shared" ref="DJ318:DJ326" si="134">DF318</f>
        <v>24.66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ROW(Source!A117)</f>
        <v>117</v>
      </c>
      <c r="B319">
        <v>55747651</v>
      </c>
      <c r="C319">
        <v>55748122</v>
      </c>
      <c r="D319">
        <v>54738430</v>
      </c>
      <c r="E319">
        <v>1</v>
      </c>
      <c r="F319">
        <v>1</v>
      </c>
      <c r="G319">
        <v>1081</v>
      </c>
      <c r="H319">
        <v>3</v>
      </c>
      <c r="I319" t="s">
        <v>562</v>
      </c>
      <c r="J319" t="s">
        <v>563</v>
      </c>
      <c r="K319" t="s">
        <v>564</v>
      </c>
      <c r="L319">
        <v>1348</v>
      </c>
      <c r="N319">
        <v>1009</v>
      </c>
      <c r="O319" t="s">
        <v>282</v>
      </c>
      <c r="P319" t="s">
        <v>282</v>
      </c>
      <c r="Q319">
        <v>1000</v>
      </c>
      <c r="W319">
        <v>0</v>
      </c>
      <c r="X319">
        <v>63955816</v>
      </c>
      <c r="Y319">
        <f t="shared" si="126"/>
        <v>1.6800000000000001E-3</v>
      </c>
      <c r="AA319">
        <v>99503.2</v>
      </c>
      <c r="AB319">
        <v>0</v>
      </c>
      <c r="AC319">
        <v>0</v>
      </c>
      <c r="AD319">
        <v>0</v>
      </c>
      <c r="AE319">
        <v>7185.82</v>
      </c>
      <c r="AF319">
        <v>0</v>
      </c>
      <c r="AG319">
        <v>0</v>
      </c>
      <c r="AH319">
        <v>0</v>
      </c>
      <c r="AI319">
        <v>13.47</v>
      </c>
      <c r="AJ319">
        <v>1</v>
      </c>
      <c r="AK319">
        <v>1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1.6800000000000001E-3</v>
      </c>
      <c r="AU319" t="s">
        <v>48</v>
      </c>
      <c r="AV319">
        <v>0</v>
      </c>
      <c r="AW319">
        <v>2</v>
      </c>
      <c r="AX319">
        <v>55748145</v>
      </c>
      <c r="AY319">
        <v>1</v>
      </c>
      <c r="AZ319">
        <v>0</v>
      </c>
      <c r="BA319">
        <v>355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ROUND(Y319*Source!I117,9)</f>
        <v>2.52E-4</v>
      </c>
      <c r="CY319">
        <f t="shared" si="127"/>
        <v>99503.2</v>
      </c>
      <c r="CZ319">
        <f t="shared" si="128"/>
        <v>7185.82</v>
      </c>
      <c r="DA319">
        <f t="shared" si="129"/>
        <v>13.47</v>
      </c>
      <c r="DB319">
        <f t="shared" si="130"/>
        <v>12.07</v>
      </c>
      <c r="DC319">
        <f t="shared" si="131"/>
        <v>0</v>
      </c>
      <c r="DD319" t="s">
        <v>3</v>
      </c>
      <c r="DE319" t="s">
        <v>3</v>
      </c>
      <c r="DF319">
        <f t="shared" si="132"/>
        <v>24.39</v>
      </c>
      <c r="DG319">
        <f t="shared" si="133"/>
        <v>0</v>
      </c>
      <c r="DH319">
        <f t="shared" si="125"/>
        <v>0</v>
      </c>
      <c r="DI319">
        <f t="shared" si="96"/>
        <v>0</v>
      </c>
      <c r="DJ319">
        <f t="shared" si="134"/>
        <v>24.39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ROW(Source!A117)</f>
        <v>117</v>
      </c>
      <c r="B320">
        <v>55747651</v>
      </c>
      <c r="C320">
        <v>55748122</v>
      </c>
      <c r="D320">
        <v>54738505</v>
      </c>
      <c r="E320">
        <v>1</v>
      </c>
      <c r="F320">
        <v>1</v>
      </c>
      <c r="G320">
        <v>1081</v>
      </c>
      <c r="H320">
        <v>3</v>
      </c>
      <c r="I320" t="s">
        <v>580</v>
      </c>
      <c r="J320" t="s">
        <v>581</v>
      </c>
      <c r="K320" t="s">
        <v>582</v>
      </c>
      <c r="L320">
        <v>1346</v>
      </c>
      <c r="N320">
        <v>1009</v>
      </c>
      <c r="O320" t="s">
        <v>503</v>
      </c>
      <c r="P320" t="s">
        <v>503</v>
      </c>
      <c r="Q320">
        <v>1</v>
      </c>
      <c r="W320">
        <v>0</v>
      </c>
      <c r="X320">
        <v>732400950</v>
      </c>
      <c r="Y320">
        <f t="shared" si="126"/>
        <v>0.81</v>
      </c>
      <c r="AA320">
        <v>94.12</v>
      </c>
      <c r="AB320">
        <v>0</v>
      </c>
      <c r="AC320">
        <v>0</v>
      </c>
      <c r="AD320">
        <v>0</v>
      </c>
      <c r="AE320">
        <v>21</v>
      </c>
      <c r="AF320">
        <v>0</v>
      </c>
      <c r="AG320">
        <v>0</v>
      </c>
      <c r="AH320">
        <v>0</v>
      </c>
      <c r="AI320">
        <v>4.3600000000000003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0.81</v>
      </c>
      <c r="AU320" t="s">
        <v>48</v>
      </c>
      <c r="AV320">
        <v>0</v>
      </c>
      <c r="AW320">
        <v>2</v>
      </c>
      <c r="AX320">
        <v>55748146</v>
      </c>
      <c r="AY320">
        <v>1</v>
      </c>
      <c r="AZ320">
        <v>0</v>
      </c>
      <c r="BA320">
        <v>356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ROUND(Y320*Source!I117,9)</f>
        <v>0.1215</v>
      </c>
      <c r="CY320">
        <f t="shared" si="127"/>
        <v>94.12</v>
      </c>
      <c r="CZ320">
        <f t="shared" si="128"/>
        <v>21</v>
      </c>
      <c r="DA320">
        <f t="shared" si="129"/>
        <v>4.3600000000000003</v>
      </c>
      <c r="DB320">
        <f t="shared" si="130"/>
        <v>17.010000000000002</v>
      </c>
      <c r="DC320">
        <f t="shared" si="131"/>
        <v>0</v>
      </c>
      <c r="DD320" t="s">
        <v>3</v>
      </c>
      <c r="DE320" t="s">
        <v>3</v>
      </c>
      <c r="DF320">
        <f t="shared" si="132"/>
        <v>11.12</v>
      </c>
      <c r="DG320">
        <f t="shared" si="133"/>
        <v>0</v>
      </c>
      <c r="DH320">
        <f t="shared" si="125"/>
        <v>0</v>
      </c>
      <c r="DI320">
        <f t="shared" si="96"/>
        <v>0</v>
      </c>
      <c r="DJ320">
        <f t="shared" si="134"/>
        <v>11.12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ROW(Source!A117)</f>
        <v>117</v>
      </c>
      <c r="B321">
        <v>55747651</v>
      </c>
      <c r="C321">
        <v>55748122</v>
      </c>
      <c r="D321">
        <v>54738703</v>
      </c>
      <c r="E321">
        <v>1</v>
      </c>
      <c r="F321">
        <v>1</v>
      </c>
      <c r="G321">
        <v>1081</v>
      </c>
      <c r="H321">
        <v>3</v>
      </c>
      <c r="I321" t="s">
        <v>595</v>
      </c>
      <c r="J321" t="s">
        <v>596</v>
      </c>
      <c r="K321" t="s">
        <v>597</v>
      </c>
      <c r="L321">
        <v>1355</v>
      </c>
      <c r="N321">
        <v>1010</v>
      </c>
      <c r="O321" t="s">
        <v>254</v>
      </c>
      <c r="P321" t="s">
        <v>254</v>
      </c>
      <c r="Q321">
        <v>100</v>
      </c>
      <c r="W321">
        <v>0</v>
      </c>
      <c r="X321">
        <v>1567739421</v>
      </c>
      <c r="Y321">
        <f t="shared" si="126"/>
        <v>0.72</v>
      </c>
      <c r="AA321">
        <v>480.06</v>
      </c>
      <c r="AB321">
        <v>0</v>
      </c>
      <c r="AC321">
        <v>0</v>
      </c>
      <c r="AD321">
        <v>0</v>
      </c>
      <c r="AE321">
        <v>496.79</v>
      </c>
      <c r="AF321">
        <v>0</v>
      </c>
      <c r="AG321">
        <v>0</v>
      </c>
      <c r="AH321">
        <v>0</v>
      </c>
      <c r="AI321">
        <v>0.94</v>
      </c>
      <c r="AJ321">
        <v>1</v>
      </c>
      <c r="AK321">
        <v>1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0.72</v>
      </c>
      <c r="AU321" t="s">
        <v>48</v>
      </c>
      <c r="AV321">
        <v>0</v>
      </c>
      <c r="AW321">
        <v>2</v>
      </c>
      <c r="AX321">
        <v>55748147</v>
      </c>
      <c r="AY321">
        <v>1</v>
      </c>
      <c r="AZ321">
        <v>0</v>
      </c>
      <c r="BA321">
        <v>357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ROUND(Y321*Source!I117,9)</f>
        <v>0.108</v>
      </c>
      <c r="CY321">
        <f t="shared" si="127"/>
        <v>480.06</v>
      </c>
      <c r="CZ321">
        <f t="shared" si="128"/>
        <v>496.79</v>
      </c>
      <c r="DA321">
        <f t="shared" si="129"/>
        <v>0.94</v>
      </c>
      <c r="DB321">
        <f t="shared" si="130"/>
        <v>357.69</v>
      </c>
      <c r="DC321">
        <f t="shared" si="131"/>
        <v>0</v>
      </c>
      <c r="DD321" t="s">
        <v>3</v>
      </c>
      <c r="DE321" t="s">
        <v>3</v>
      </c>
      <c r="DF321">
        <f t="shared" si="132"/>
        <v>50.43</v>
      </c>
      <c r="DG321">
        <f t="shared" si="133"/>
        <v>0</v>
      </c>
      <c r="DH321">
        <f t="shared" si="125"/>
        <v>0</v>
      </c>
      <c r="DI321">
        <f t="shared" ref="DI321:DI384" si="135">ROUND(ROUND(AH321,2)*CX321,2)</f>
        <v>0</v>
      </c>
      <c r="DJ321">
        <f t="shared" si="134"/>
        <v>50.43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ROW(Source!A117)</f>
        <v>117</v>
      </c>
      <c r="B322">
        <v>55747651</v>
      </c>
      <c r="C322">
        <v>55748122</v>
      </c>
      <c r="D322">
        <v>54738704</v>
      </c>
      <c r="E322">
        <v>1</v>
      </c>
      <c r="F322">
        <v>1</v>
      </c>
      <c r="G322">
        <v>1081</v>
      </c>
      <c r="H322">
        <v>3</v>
      </c>
      <c r="I322" t="s">
        <v>598</v>
      </c>
      <c r="J322" t="s">
        <v>599</v>
      </c>
      <c r="K322" t="s">
        <v>600</v>
      </c>
      <c r="L322">
        <v>1355</v>
      </c>
      <c r="N322">
        <v>1010</v>
      </c>
      <c r="O322" t="s">
        <v>254</v>
      </c>
      <c r="P322" t="s">
        <v>254</v>
      </c>
      <c r="Q322">
        <v>100</v>
      </c>
      <c r="W322">
        <v>0</v>
      </c>
      <c r="X322">
        <v>-96727844</v>
      </c>
      <c r="Y322">
        <f t="shared" si="126"/>
        <v>0.72</v>
      </c>
      <c r="AA322">
        <v>578.83000000000004</v>
      </c>
      <c r="AB322">
        <v>0</v>
      </c>
      <c r="AC322">
        <v>0</v>
      </c>
      <c r="AD322">
        <v>0</v>
      </c>
      <c r="AE322">
        <v>243.75</v>
      </c>
      <c r="AF322">
        <v>0</v>
      </c>
      <c r="AG322">
        <v>0</v>
      </c>
      <c r="AH322">
        <v>0</v>
      </c>
      <c r="AI322">
        <v>2.31</v>
      </c>
      <c r="AJ322">
        <v>1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0.72</v>
      </c>
      <c r="AU322" t="s">
        <v>48</v>
      </c>
      <c r="AV322">
        <v>0</v>
      </c>
      <c r="AW322">
        <v>2</v>
      </c>
      <c r="AX322">
        <v>55748148</v>
      </c>
      <c r="AY322">
        <v>1</v>
      </c>
      <c r="AZ322">
        <v>0</v>
      </c>
      <c r="BA322">
        <v>358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ROUND(Y322*Source!I117,9)</f>
        <v>0.108</v>
      </c>
      <c r="CY322">
        <f t="shared" si="127"/>
        <v>578.83000000000004</v>
      </c>
      <c r="CZ322">
        <f t="shared" si="128"/>
        <v>243.75</v>
      </c>
      <c r="DA322">
        <f t="shared" si="129"/>
        <v>2.31</v>
      </c>
      <c r="DB322">
        <f t="shared" si="130"/>
        <v>175.5</v>
      </c>
      <c r="DC322">
        <f t="shared" si="131"/>
        <v>0</v>
      </c>
      <c r="DD322" t="s">
        <v>3</v>
      </c>
      <c r="DE322" t="s">
        <v>3</v>
      </c>
      <c r="DF322">
        <f t="shared" si="132"/>
        <v>60.81</v>
      </c>
      <c r="DG322">
        <f t="shared" si="133"/>
        <v>0</v>
      </c>
      <c r="DH322">
        <f t="shared" si="125"/>
        <v>0</v>
      </c>
      <c r="DI322">
        <f t="shared" si="135"/>
        <v>0</v>
      </c>
      <c r="DJ322">
        <f t="shared" si="134"/>
        <v>60.81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ROW(Source!A117)</f>
        <v>117</v>
      </c>
      <c r="B323">
        <v>55747651</v>
      </c>
      <c r="C323">
        <v>55748122</v>
      </c>
      <c r="D323">
        <v>54737299</v>
      </c>
      <c r="E323">
        <v>1</v>
      </c>
      <c r="F323">
        <v>1</v>
      </c>
      <c r="G323">
        <v>1081</v>
      </c>
      <c r="H323">
        <v>3</v>
      </c>
      <c r="I323" t="s">
        <v>583</v>
      </c>
      <c r="J323" t="s">
        <v>584</v>
      </c>
      <c r="K323" t="s">
        <v>585</v>
      </c>
      <c r="L323">
        <v>1339</v>
      </c>
      <c r="N323">
        <v>1007</v>
      </c>
      <c r="O323" t="s">
        <v>507</v>
      </c>
      <c r="P323" t="s">
        <v>507</v>
      </c>
      <c r="Q323">
        <v>1</v>
      </c>
      <c r="W323">
        <v>0</v>
      </c>
      <c r="X323">
        <v>-676034668</v>
      </c>
      <c r="Y323">
        <f t="shared" si="126"/>
        <v>0.54</v>
      </c>
      <c r="AA323">
        <v>781.45</v>
      </c>
      <c r="AB323">
        <v>0</v>
      </c>
      <c r="AC323">
        <v>0</v>
      </c>
      <c r="AD323">
        <v>0</v>
      </c>
      <c r="AE323">
        <v>53.42</v>
      </c>
      <c r="AF323">
        <v>0</v>
      </c>
      <c r="AG323">
        <v>0</v>
      </c>
      <c r="AH323">
        <v>0</v>
      </c>
      <c r="AI323">
        <v>14.23</v>
      </c>
      <c r="AJ323">
        <v>1</v>
      </c>
      <c r="AK323">
        <v>1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0.54</v>
      </c>
      <c r="AU323" t="s">
        <v>48</v>
      </c>
      <c r="AV323">
        <v>0</v>
      </c>
      <c r="AW323">
        <v>2</v>
      </c>
      <c r="AX323">
        <v>55748149</v>
      </c>
      <c r="AY323">
        <v>1</v>
      </c>
      <c r="AZ323">
        <v>0</v>
      </c>
      <c r="BA323">
        <v>359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ROUND(Y323*Source!I117,9)</f>
        <v>8.1000000000000003E-2</v>
      </c>
      <c r="CY323">
        <f t="shared" si="127"/>
        <v>781.45</v>
      </c>
      <c r="CZ323">
        <f t="shared" si="128"/>
        <v>53.42</v>
      </c>
      <c r="DA323">
        <f t="shared" si="129"/>
        <v>14.23</v>
      </c>
      <c r="DB323">
        <f t="shared" si="130"/>
        <v>28.85</v>
      </c>
      <c r="DC323">
        <f t="shared" si="131"/>
        <v>0</v>
      </c>
      <c r="DD323" t="s">
        <v>3</v>
      </c>
      <c r="DE323" t="s">
        <v>3</v>
      </c>
      <c r="DF323">
        <f t="shared" si="132"/>
        <v>61.57</v>
      </c>
      <c r="DG323">
        <f t="shared" si="133"/>
        <v>0</v>
      </c>
      <c r="DH323">
        <f t="shared" si="125"/>
        <v>0</v>
      </c>
      <c r="DI323">
        <f t="shared" si="135"/>
        <v>0</v>
      </c>
      <c r="DJ323">
        <f t="shared" si="134"/>
        <v>61.57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ROW(Source!A117)</f>
        <v>117</v>
      </c>
      <c r="B324">
        <v>55747651</v>
      </c>
      <c r="C324">
        <v>55748122</v>
      </c>
      <c r="D324">
        <v>54737565</v>
      </c>
      <c r="E324">
        <v>1</v>
      </c>
      <c r="F324">
        <v>1</v>
      </c>
      <c r="G324">
        <v>1081</v>
      </c>
      <c r="H324">
        <v>3</v>
      </c>
      <c r="I324" t="s">
        <v>504</v>
      </c>
      <c r="J324" t="s">
        <v>505</v>
      </c>
      <c r="K324" t="s">
        <v>506</v>
      </c>
      <c r="L324">
        <v>1339</v>
      </c>
      <c r="N324">
        <v>1007</v>
      </c>
      <c r="O324" t="s">
        <v>507</v>
      </c>
      <c r="P324" t="s">
        <v>507</v>
      </c>
      <c r="Q324">
        <v>1</v>
      </c>
      <c r="W324">
        <v>0</v>
      </c>
      <c r="X324">
        <v>-1235260082</v>
      </c>
      <c r="Y324">
        <f t="shared" si="126"/>
        <v>0.81</v>
      </c>
      <c r="AA324">
        <v>104.16</v>
      </c>
      <c r="AB324">
        <v>0</v>
      </c>
      <c r="AC324">
        <v>0</v>
      </c>
      <c r="AD324">
        <v>0</v>
      </c>
      <c r="AE324">
        <v>5.82</v>
      </c>
      <c r="AF324">
        <v>0</v>
      </c>
      <c r="AG324">
        <v>0</v>
      </c>
      <c r="AH324">
        <v>0</v>
      </c>
      <c r="AI324">
        <v>17.41</v>
      </c>
      <c r="AJ324">
        <v>1</v>
      </c>
      <c r="AK324">
        <v>1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0.81</v>
      </c>
      <c r="AU324" t="s">
        <v>48</v>
      </c>
      <c r="AV324">
        <v>0</v>
      </c>
      <c r="AW324">
        <v>2</v>
      </c>
      <c r="AX324">
        <v>55748150</v>
      </c>
      <c r="AY324">
        <v>1</v>
      </c>
      <c r="AZ324">
        <v>0</v>
      </c>
      <c r="BA324">
        <v>360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ROUND(Y324*Source!I117,9)</f>
        <v>0.1215</v>
      </c>
      <c r="CY324">
        <f t="shared" si="127"/>
        <v>104.16</v>
      </c>
      <c r="CZ324">
        <f t="shared" si="128"/>
        <v>5.82</v>
      </c>
      <c r="DA324">
        <f t="shared" si="129"/>
        <v>17.41</v>
      </c>
      <c r="DB324">
        <f t="shared" si="130"/>
        <v>4.71</v>
      </c>
      <c r="DC324">
        <f t="shared" si="131"/>
        <v>0</v>
      </c>
      <c r="DD324" t="s">
        <v>3</v>
      </c>
      <c r="DE324" t="s">
        <v>3</v>
      </c>
      <c r="DF324">
        <f t="shared" si="132"/>
        <v>12.31</v>
      </c>
      <c r="DG324">
        <f t="shared" si="133"/>
        <v>0</v>
      </c>
      <c r="DH324">
        <f t="shared" si="125"/>
        <v>0</v>
      </c>
      <c r="DI324">
        <f t="shared" si="135"/>
        <v>0</v>
      </c>
      <c r="DJ324">
        <f t="shared" si="134"/>
        <v>12.31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ROW(Source!A117)</f>
        <v>117</v>
      </c>
      <c r="B325">
        <v>55747651</v>
      </c>
      <c r="C325">
        <v>55748122</v>
      </c>
      <c r="D325">
        <v>54749868</v>
      </c>
      <c r="E325">
        <v>1</v>
      </c>
      <c r="F325">
        <v>1</v>
      </c>
      <c r="G325">
        <v>1081</v>
      </c>
      <c r="H325">
        <v>3</v>
      </c>
      <c r="I325" t="s">
        <v>216</v>
      </c>
      <c r="J325" t="s">
        <v>218</v>
      </c>
      <c r="K325" t="s">
        <v>217</v>
      </c>
      <c r="L325">
        <v>1301</v>
      </c>
      <c r="N325">
        <v>1003</v>
      </c>
      <c r="O325" t="s">
        <v>191</v>
      </c>
      <c r="P325" t="s">
        <v>191</v>
      </c>
      <c r="Q325">
        <v>1</v>
      </c>
      <c r="W325">
        <v>0</v>
      </c>
      <c r="X325">
        <v>598797739</v>
      </c>
      <c r="Y325">
        <f>AT325</f>
        <v>100.5</v>
      </c>
      <c r="AA325">
        <v>1001.21</v>
      </c>
      <c r="AB325">
        <v>0</v>
      </c>
      <c r="AC325">
        <v>0</v>
      </c>
      <c r="AD325">
        <v>0</v>
      </c>
      <c r="AE325">
        <v>76.08</v>
      </c>
      <c r="AF325">
        <v>0</v>
      </c>
      <c r="AG325">
        <v>0</v>
      </c>
      <c r="AH325">
        <v>0</v>
      </c>
      <c r="AI325">
        <v>13.16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 t="s">
        <v>3</v>
      </c>
      <c r="AT325">
        <v>100.5</v>
      </c>
      <c r="AU325" t="s">
        <v>3</v>
      </c>
      <c r="AV325">
        <v>0</v>
      </c>
      <c r="AW325">
        <v>1</v>
      </c>
      <c r="AX325">
        <v>-1</v>
      </c>
      <c r="AY325">
        <v>0</v>
      </c>
      <c r="AZ325">
        <v>0</v>
      </c>
      <c r="BA325" t="s">
        <v>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ROUND(Y325*Source!I117,9)</f>
        <v>15.074999999999999</v>
      </c>
      <c r="CY325">
        <f t="shared" si="127"/>
        <v>1001.21</v>
      </c>
      <c r="CZ325">
        <f t="shared" si="128"/>
        <v>76.08</v>
      </c>
      <c r="DA325">
        <f t="shared" si="129"/>
        <v>13.16</v>
      </c>
      <c r="DB325">
        <f>ROUND(ROUND(AT325*CZ325,2),6)</f>
        <v>7646.04</v>
      </c>
      <c r="DC325">
        <f>ROUND(ROUND(AT325*AG325,2),6)</f>
        <v>0</v>
      </c>
      <c r="DD325" t="s">
        <v>3</v>
      </c>
      <c r="DE325" t="s">
        <v>3</v>
      </c>
      <c r="DF325">
        <f t="shared" si="132"/>
        <v>15093.24</v>
      </c>
      <c r="DG325">
        <f t="shared" si="133"/>
        <v>0</v>
      </c>
      <c r="DH325">
        <f t="shared" si="125"/>
        <v>0</v>
      </c>
      <c r="DI325">
        <f t="shared" si="135"/>
        <v>0</v>
      </c>
      <c r="DJ325">
        <f t="shared" si="134"/>
        <v>15093.24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ROW(Source!A117)</f>
        <v>117</v>
      </c>
      <c r="B326">
        <v>55747651</v>
      </c>
      <c r="C326">
        <v>55748122</v>
      </c>
      <c r="D326">
        <v>54759954</v>
      </c>
      <c r="E326">
        <v>1</v>
      </c>
      <c r="F326">
        <v>1</v>
      </c>
      <c r="G326">
        <v>1081</v>
      </c>
      <c r="H326">
        <v>3</v>
      </c>
      <c r="I326" t="s">
        <v>601</v>
      </c>
      <c r="J326" t="s">
        <v>602</v>
      </c>
      <c r="K326" t="s">
        <v>603</v>
      </c>
      <c r="L326">
        <v>1354</v>
      </c>
      <c r="N326">
        <v>1010</v>
      </c>
      <c r="O326" t="s">
        <v>118</v>
      </c>
      <c r="P326" t="s">
        <v>118</v>
      </c>
      <c r="Q326">
        <v>1</v>
      </c>
      <c r="W326">
        <v>0</v>
      </c>
      <c r="X326">
        <v>483106430</v>
      </c>
      <c r="Y326">
        <f>(AT326*1)</f>
        <v>72</v>
      </c>
      <c r="AA326">
        <v>17.47</v>
      </c>
      <c r="AB326">
        <v>0</v>
      </c>
      <c r="AC326">
        <v>0</v>
      </c>
      <c r="AD326">
        <v>0</v>
      </c>
      <c r="AE326">
        <v>14.28</v>
      </c>
      <c r="AF326">
        <v>0</v>
      </c>
      <c r="AG326">
        <v>0</v>
      </c>
      <c r="AH326">
        <v>0</v>
      </c>
      <c r="AI326">
        <v>1.19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72</v>
      </c>
      <c r="AU326" t="s">
        <v>48</v>
      </c>
      <c r="AV326">
        <v>0</v>
      </c>
      <c r="AW326">
        <v>2</v>
      </c>
      <c r="AX326">
        <v>55748151</v>
      </c>
      <c r="AY326">
        <v>1</v>
      </c>
      <c r="AZ326">
        <v>0</v>
      </c>
      <c r="BA326">
        <v>361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ROUND(Y326*Source!I117,9)</f>
        <v>10.8</v>
      </c>
      <c r="CY326">
        <f t="shared" si="127"/>
        <v>17.47</v>
      </c>
      <c r="CZ326">
        <f t="shared" si="128"/>
        <v>14.28</v>
      </c>
      <c r="DA326">
        <f t="shared" si="129"/>
        <v>1.19</v>
      </c>
      <c r="DB326">
        <f>ROUND((ROUND(AT326*CZ326,2)*1),6)</f>
        <v>1028.1600000000001</v>
      </c>
      <c r="DC326">
        <f>ROUND((ROUND(AT326*AG326,2)*1),6)</f>
        <v>0</v>
      </c>
      <c r="DD326" t="s">
        <v>3</v>
      </c>
      <c r="DE326" t="s">
        <v>3</v>
      </c>
      <c r="DF326">
        <f t="shared" si="132"/>
        <v>183.49</v>
      </c>
      <c r="DG326">
        <f t="shared" si="133"/>
        <v>0</v>
      </c>
      <c r="DH326">
        <f t="shared" si="125"/>
        <v>0</v>
      </c>
      <c r="DI326">
        <f t="shared" si="135"/>
        <v>0</v>
      </c>
      <c r="DJ326">
        <f t="shared" si="134"/>
        <v>183.49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ROW(Source!A120)</f>
        <v>120</v>
      </c>
      <c r="B327">
        <v>55747649</v>
      </c>
      <c r="C327">
        <v>55748154</v>
      </c>
      <c r="D327">
        <v>54702434</v>
      </c>
      <c r="E327">
        <v>1081</v>
      </c>
      <c r="F327">
        <v>1</v>
      </c>
      <c r="G327">
        <v>1081</v>
      </c>
      <c r="H327">
        <v>1</v>
      </c>
      <c r="I327" t="s">
        <v>473</v>
      </c>
      <c r="J327" t="s">
        <v>3</v>
      </c>
      <c r="K327" t="s">
        <v>474</v>
      </c>
      <c r="L327">
        <v>1191</v>
      </c>
      <c r="N327">
        <v>1013</v>
      </c>
      <c r="O327" t="s">
        <v>475</v>
      </c>
      <c r="P327" t="s">
        <v>475</v>
      </c>
      <c r="Q327">
        <v>1</v>
      </c>
      <c r="W327">
        <v>0</v>
      </c>
      <c r="X327">
        <v>476480486</v>
      </c>
      <c r="Y327">
        <f t="shared" ref="Y327:Y358" si="136">AT327</f>
        <v>1730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1730</v>
      </c>
      <c r="AU327" t="s">
        <v>3</v>
      </c>
      <c r="AV327">
        <v>1</v>
      </c>
      <c r="AW327">
        <v>2</v>
      </c>
      <c r="AX327">
        <v>55748171</v>
      </c>
      <c r="AY327">
        <v>1</v>
      </c>
      <c r="AZ327">
        <v>0</v>
      </c>
      <c r="BA327">
        <v>363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U327">
        <f>ROUND(AT327*Source!I120*AH327*AL327,2)</f>
        <v>0</v>
      </c>
      <c r="CV327">
        <f>ROUND(Y327*Source!I120,9)</f>
        <v>51.9</v>
      </c>
      <c r="CW327">
        <v>0</v>
      </c>
      <c r="CX327">
        <f>ROUND(Y327*Source!I120,9)</f>
        <v>51.9</v>
      </c>
      <c r="CY327">
        <f>AD327</f>
        <v>0</v>
      </c>
      <c r="CZ327">
        <f>AH327</f>
        <v>0</v>
      </c>
      <c r="DA327">
        <f>AL327</f>
        <v>1</v>
      </c>
      <c r="DB327">
        <f t="shared" ref="DB327:DB358" si="137">ROUND(ROUND(AT327*CZ327,2),6)</f>
        <v>0</v>
      </c>
      <c r="DC327">
        <f t="shared" ref="DC327:DC358" si="138">ROUND(ROUND(AT327*AG327,2),6)</f>
        <v>0</v>
      </c>
      <c r="DD327" t="s">
        <v>3</v>
      </c>
      <c r="DE327" t="s">
        <v>3</v>
      </c>
      <c r="DF327">
        <f t="shared" ref="DF327:DF348" si="139">ROUND(ROUND(AE327,2)*CX327,2)</f>
        <v>0</v>
      </c>
      <c r="DG327">
        <f t="shared" si="133"/>
        <v>0</v>
      </c>
      <c r="DH327">
        <f t="shared" si="125"/>
        <v>0</v>
      </c>
      <c r="DI327">
        <f t="shared" si="135"/>
        <v>0</v>
      </c>
      <c r="DJ327">
        <f>DI327</f>
        <v>0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ROW(Source!A120)</f>
        <v>120</v>
      </c>
      <c r="B328">
        <v>55747649</v>
      </c>
      <c r="C328">
        <v>55748154</v>
      </c>
      <c r="D328">
        <v>54767934</v>
      </c>
      <c r="E328">
        <v>1</v>
      </c>
      <c r="F328">
        <v>1</v>
      </c>
      <c r="G328">
        <v>1081</v>
      </c>
      <c r="H328">
        <v>2</v>
      </c>
      <c r="I328" t="s">
        <v>586</v>
      </c>
      <c r="J328" t="s">
        <v>587</v>
      </c>
      <c r="K328" t="s">
        <v>588</v>
      </c>
      <c r="L328">
        <v>1368</v>
      </c>
      <c r="N328">
        <v>1011</v>
      </c>
      <c r="O328" t="s">
        <v>479</v>
      </c>
      <c r="P328" t="s">
        <v>479</v>
      </c>
      <c r="Q328">
        <v>1</v>
      </c>
      <c r="W328">
        <v>0</v>
      </c>
      <c r="X328">
        <v>-1222619517</v>
      </c>
      <c r="Y328">
        <f t="shared" si="136"/>
        <v>13.5</v>
      </c>
      <c r="AA328">
        <v>0</v>
      </c>
      <c r="AB328">
        <v>51.29</v>
      </c>
      <c r="AC328">
        <v>13.47</v>
      </c>
      <c r="AD328">
        <v>0</v>
      </c>
      <c r="AE328">
        <v>0</v>
      </c>
      <c r="AF328">
        <v>48.07</v>
      </c>
      <c r="AG328">
        <v>12.62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13.5</v>
      </c>
      <c r="AU328" t="s">
        <v>3</v>
      </c>
      <c r="AV328">
        <v>0</v>
      </c>
      <c r="AW328">
        <v>2</v>
      </c>
      <c r="AX328">
        <v>55748172</v>
      </c>
      <c r="AY328">
        <v>1</v>
      </c>
      <c r="AZ328">
        <v>0</v>
      </c>
      <c r="BA328">
        <v>364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ROUND(Y328*Source!I120*DO328,9)</f>
        <v>5.1111000000000004</v>
      </c>
      <c r="CX328">
        <f>ROUND(Y328*Source!I120,9)</f>
        <v>0.40500000000000003</v>
      </c>
      <c r="CY328">
        <f>AB328</f>
        <v>51.29</v>
      </c>
      <c r="CZ328">
        <f>AF328</f>
        <v>48.07</v>
      </c>
      <c r="DA328">
        <f>AJ328</f>
        <v>1</v>
      </c>
      <c r="DB328">
        <f t="shared" si="137"/>
        <v>648.95000000000005</v>
      </c>
      <c r="DC328">
        <f t="shared" si="138"/>
        <v>170.37</v>
      </c>
      <c r="DD328" t="s">
        <v>3</v>
      </c>
      <c r="DE328" t="s">
        <v>3</v>
      </c>
      <c r="DF328">
        <f t="shared" si="139"/>
        <v>0</v>
      </c>
      <c r="DG328">
        <f t="shared" si="133"/>
        <v>19.47</v>
      </c>
      <c r="DH328">
        <f t="shared" si="125"/>
        <v>5.1100000000000003</v>
      </c>
      <c r="DI328">
        <f t="shared" si="135"/>
        <v>0</v>
      </c>
      <c r="DJ328">
        <f>DG328</f>
        <v>19.47</v>
      </c>
      <c r="DK328">
        <v>0</v>
      </c>
      <c r="DL328" t="s">
        <v>486</v>
      </c>
      <c r="DM328">
        <v>0</v>
      </c>
      <c r="DN328" t="s">
        <v>475</v>
      </c>
      <c r="DO328">
        <v>12.62</v>
      </c>
    </row>
    <row r="329" spans="1:119" x14ac:dyDescent="0.2">
      <c r="A329">
        <f>ROW(Source!A120)</f>
        <v>120</v>
      </c>
      <c r="B329">
        <v>55747649</v>
      </c>
      <c r="C329">
        <v>55748154</v>
      </c>
      <c r="D329">
        <v>54767971</v>
      </c>
      <c r="E329">
        <v>1</v>
      </c>
      <c r="F329">
        <v>1</v>
      </c>
      <c r="G329">
        <v>1081</v>
      </c>
      <c r="H329">
        <v>2</v>
      </c>
      <c r="I329" t="s">
        <v>589</v>
      </c>
      <c r="J329" t="s">
        <v>590</v>
      </c>
      <c r="K329" t="s">
        <v>591</v>
      </c>
      <c r="L329">
        <v>1368</v>
      </c>
      <c r="N329">
        <v>1011</v>
      </c>
      <c r="O329" t="s">
        <v>479</v>
      </c>
      <c r="P329" t="s">
        <v>479</v>
      </c>
      <c r="Q329">
        <v>1</v>
      </c>
      <c r="W329">
        <v>0</v>
      </c>
      <c r="X329">
        <v>210297649</v>
      </c>
      <c r="Y329">
        <f t="shared" si="136"/>
        <v>110</v>
      </c>
      <c r="AA329">
        <v>0</v>
      </c>
      <c r="AB329">
        <v>6.18</v>
      </c>
      <c r="AC329">
        <v>0</v>
      </c>
      <c r="AD329">
        <v>0</v>
      </c>
      <c r="AE329">
        <v>0</v>
      </c>
      <c r="AF329">
        <v>5.79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110</v>
      </c>
      <c r="AU329" t="s">
        <v>3</v>
      </c>
      <c r="AV329">
        <v>0</v>
      </c>
      <c r="AW329">
        <v>2</v>
      </c>
      <c r="AX329">
        <v>55748173</v>
      </c>
      <c r="AY329">
        <v>1</v>
      </c>
      <c r="AZ329">
        <v>0</v>
      </c>
      <c r="BA329">
        <v>365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f>ROUND(Y329*Source!I120*DO329,9)</f>
        <v>0</v>
      </c>
      <c r="CX329">
        <f>ROUND(Y329*Source!I120,9)</f>
        <v>3.3</v>
      </c>
      <c r="CY329">
        <f>AB329</f>
        <v>6.18</v>
      </c>
      <c r="CZ329">
        <f>AF329</f>
        <v>5.79</v>
      </c>
      <c r="DA329">
        <f>AJ329</f>
        <v>1</v>
      </c>
      <c r="DB329">
        <f t="shared" si="137"/>
        <v>636.9</v>
      </c>
      <c r="DC329">
        <f t="shared" si="138"/>
        <v>0</v>
      </c>
      <c r="DD329" t="s">
        <v>3</v>
      </c>
      <c r="DE329" t="s">
        <v>3</v>
      </c>
      <c r="DF329">
        <f t="shared" si="139"/>
        <v>0</v>
      </c>
      <c r="DG329">
        <f t="shared" si="133"/>
        <v>19.11</v>
      </c>
      <c r="DH329">
        <f t="shared" si="125"/>
        <v>0</v>
      </c>
      <c r="DI329">
        <f t="shared" si="135"/>
        <v>0</v>
      </c>
      <c r="DJ329">
        <f>DG329</f>
        <v>19.11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ROW(Source!A120)</f>
        <v>120</v>
      </c>
      <c r="B330">
        <v>55747649</v>
      </c>
      <c r="C330">
        <v>55748154</v>
      </c>
      <c r="D330">
        <v>54768040</v>
      </c>
      <c r="E330">
        <v>1</v>
      </c>
      <c r="F330">
        <v>1</v>
      </c>
      <c r="G330">
        <v>1081</v>
      </c>
      <c r="H330">
        <v>2</v>
      </c>
      <c r="I330" t="s">
        <v>476</v>
      </c>
      <c r="J330" t="s">
        <v>477</v>
      </c>
      <c r="K330" t="s">
        <v>478</v>
      </c>
      <c r="L330">
        <v>1368</v>
      </c>
      <c r="N330">
        <v>1011</v>
      </c>
      <c r="O330" t="s">
        <v>479</v>
      </c>
      <c r="P330" t="s">
        <v>479</v>
      </c>
      <c r="Q330">
        <v>1</v>
      </c>
      <c r="W330">
        <v>0</v>
      </c>
      <c r="X330">
        <v>1498588441</v>
      </c>
      <c r="Y330">
        <f t="shared" si="136"/>
        <v>114</v>
      </c>
      <c r="AA330">
        <v>0</v>
      </c>
      <c r="AB330">
        <v>7.59</v>
      </c>
      <c r="AC330">
        <v>0</v>
      </c>
      <c r="AD330">
        <v>0</v>
      </c>
      <c r="AE330">
        <v>0</v>
      </c>
      <c r="AF330">
        <v>7.11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114</v>
      </c>
      <c r="AU330" t="s">
        <v>3</v>
      </c>
      <c r="AV330">
        <v>0</v>
      </c>
      <c r="AW330">
        <v>2</v>
      </c>
      <c r="AX330">
        <v>55748174</v>
      </c>
      <c r="AY330">
        <v>1</v>
      </c>
      <c r="AZ330">
        <v>0</v>
      </c>
      <c r="BA330">
        <v>366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ROUND(Y330*Source!I120*DO330,9)</f>
        <v>0</v>
      </c>
      <c r="CX330">
        <f>ROUND(Y330*Source!I120,9)</f>
        <v>3.42</v>
      </c>
      <c r="CY330">
        <f>AB330</f>
        <v>7.59</v>
      </c>
      <c r="CZ330">
        <f>AF330</f>
        <v>7.11</v>
      </c>
      <c r="DA330">
        <f>AJ330</f>
        <v>1</v>
      </c>
      <c r="DB330">
        <f t="shared" si="137"/>
        <v>810.54</v>
      </c>
      <c r="DC330">
        <f t="shared" si="138"/>
        <v>0</v>
      </c>
      <c r="DD330" t="s">
        <v>3</v>
      </c>
      <c r="DE330" t="s">
        <v>3</v>
      </c>
      <c r="DF330">
        <f t="shared" si="139"/>
        <v>0</v>
      </c>
      <c r="DG330">
        <f t="shared" si="133"/>
        <v>24.32</v>
      </c>
      <c r="DH330">
        <f t="shared" si="125"/>
        <v>0</v>
      </c>
      <c r="DI330">
        <f t="shared" si="135"/>
        <v>0</v>
      </c>
      <c r="DJ330">
        <f>DG330</f>
        <v>24.32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ROW(Source!A120)</f>
        <v>120</v>
      </c>
      <c r="B331">
        <v>55747649</v>
      </c>
      <c r="C331">
        <v>55748154</v>
      </c>
      <c r="D331">
        <v>54768339</v>
      </c>
      <c r="E331">
        <v>1</v>
      </c>
      <c r="F331">
        <v>1</v>
      </c>
      <c r="G331">
        <v>1081</v>
      </c>
      <c r="H331">
        <v>2</v>
      </c>
      <c r="I331" t="s">
        <v>483</v>
      </c>
      <c r="J331" t="s">
        <v>484</v>
      </c>
      <c r="K331" t="s">
        <v>485</v>
      </c>
      <c r="L331">
        <v>1368</v>
      </c>
      <c r="N331">
        <v>1011</v>
      </c>
      <c r="O331" t="s">
        <v>479</v>
      </c>
      <c r="P331" t="s">
        <v>479</v>
      </c>
      <c r="Q331">
        <v>1</v>
      </c>
      <c r="W331">
        <v>0</v>
      </c>
      <c r="X331">
        <v>874612079</v>
      </c>
      <c r="Y331">
        <f t="shared" si="136"/>
        <v>5.36</v>
      </c>
      <c r="AA331">
        <v>0</v>
      </c>
      <c r="AB331">
        <v>88.67</v>
      </c>
      <c r="AC331">
        <v>13.47</v>
      </c>
      <c r="AD331">
        <v>0</v>
      </c>
      <c r="AE331">
        <v>0</v>
      </c>
      <c r="AF331">
        <v>83.1</v>
      </c>
      <c r="AG331">
        <v>12.62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5.36</v>
      </c>
      <c r="AU331" t="s">
        <v>3</v>
      </c>
      <c r="AV331">
        <v>0</v>
      </c>
      <c r="AW331">
        <v>2</v>
      </c>
      <c r="AX331">
        <v>55748175</v>
      </c>
      <c r="AY331">
        <v>1</v>
      </c>
      <c r="AZ331">
        <v>0</v>
      </c>
      <c r="BA331">
        <v>367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ROUND(Y331*Source!I120*DO331,9)</f>
        <v>2.029296</v>
      </c>
      <c r="CX331">
        <f>ROUND(Y331*Source!I120,9)</f>
        <v>0.1608</v>
      </c>
      <c r="CY331">
        <f>AB331</f>
        <v>88.67</v>
      </c>
      <c r="CZ331">
        <f>AF331</f>
        <v>83.1</v>
      </c>
      <c r="DA331">
        <f>AJ331</f>
        <v>1</v>
      </c>
      <c r="DB331">
        <f t="shared" si="137"/>
        <v>445.42</v>
      </c>
      <c r="DC331">
        <f t="shared" si="138"/>
        <v>67.64</v>
      </c>
      <c r="DD331" t="s">
        <v>3</v>
      </c>
      <c r="DE331" t="s">
        <v>3</v>
      </c>
      <c r="DF331">
        <f t="shared" si="139"/>
        <v>0</v>
      </c>
      <c r="DG331">
        <f t="shared" si="133"/>
        <v>13.36</v>
      </c>
      <c r="DH331">
        <f t="shared" si="125"/>
        <v>2.0299999999999998</v>
      </c>
      <c r="DI331">
        <f t="shared" si="135"/>
        <v>0</v>
      </c>
      <c r="DJ331">
        <f>DG331</f>
        <v>13.36</v>
      </c>
      <c r="DK331">
        <v>0</v>
      </c>
      <c r="DL331" t="s">
        <v>486</v>
      </c>
      <c r="DM331">
        <v>0</v>
      </c>
      <c r="DN331" t="s">
        <v>475</v>
      </c>
      <c r="DO331">
        <v>12.62</v>
      </c>
    </row>
    <row r="332" spans="1:119" x14ac:dyDescent="0.2">
      <c r="A332">
        <f>ROW(Source!A120)</f>
        <v>120</v>
      </c>
      <c r="B332">
        <v>55747649</v>
      </c>
      <c r="C332">
        <v>55748154</v>
      </c>
      <c r="D332">
        <v>54767657</v>
      </c>
      <c r="E332">
        <v>1</v>
      </c>
      <c r="F332">
        <v>1</v>
      </c>
      <c r="G332">
        <v>1081</v>
      </c>
      <c r="H332">
        <v>2</v>
      </c>
      <c r="I332" t="s">
        <v>592</v>
      </c>
      <c r="J332" t="s">
        <v>593</v>
      </c>
      <c r="K332" t="s">
        <v>594</v>
      </c>
      <c r="L332">
        <v>1368</v>
      </c>
      <c r="N332">
        <v>1011</v>
      </c>
      <c r="O332" t="s">
        <v>479</v>
      </c>
      <c r="P332" t="s">
        <v>479</v>
      </c>
      <c r="Q332">
        <v>1</v>
      </c>
      <c r="W332">
        <v>0</v>
      </c>
      <c r="X332">
        <v>-1755828087</v>
      </c>
      <c r="Y332">
        <f t="shared" si="136"/>
        <v>4</v>
      </c>
      <c r="AA332">
        <v>0</v>
      </c>
      <c r="AB332">
        <v>3.39</v>
      </c>
      <c r="AC332">
        <v>0</v>
      </c>
      <c r="AD332">
        <v>0</v>
      </c>
      <c r="AE332">
        <v>0</v>
      </c>
      <c r="AF332">
        <v>3.18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4</v>
      </c>
      <c r="AU332" t="s">
        <v>3</v>
      </c>
      <c r="AV332">
        <v>0</v>
      </c>
      <c r="AW332">
        <v>2</v>
      </c>
      <c r="AX332">
        <v>55748176</v>
      </c>
      <c r="AY332">
        <v>1</v>
      </c>
      <c r="AZ332">
        <v>0</v>
      </c>
      <c r="BA332">
        <v>368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ROUND(Y332*Source!I120*DO332,9)</f>
        <v>0</v>
      </c>
      <c r="CX332">
        <f>ROUND(Y332*Source!I120,9)</f>
        <v>0.12</v>
      </c>
      <c r="CY332">
        <f>AB332</f>
        <v>3.39</v>
      </c>
      <c r="CZ332">
        <f>AF332</f>
        <v>3.18</v>
      </c>
      <c r="DA332">
        <f>AJ332</f>
        <v>1</v>
      </c>
      <c r="DB332">
        <f t="shared" si="137"/>
        <v>12.72</v>
      </c>
      <c r="DC332">
        <f t="shared" si="138"/>
        <v>0</v>
      </c>
      <c r="DD332" t="s">
        <v>3</v>
      </c>
      <c r="DE332" t="s">
        <v>3</v>
      </c>
      <c r="DF332">
        <f t="shared" si="139"/>
        <v>0</v>
      </c>
      <c r="DG332">
        <f t="shared" si="133"/>
        <v>0.38</v>
      </c>
      <c r="DH332">
        <f t="shared" si="125"/>
        <v>0</v>
      </c>
      <c r="DI332">
        <f t="shared" si="135"/>
        <v>0</v>
      </c>
      <c r="DJ332">
        <f>DG332</f>
        <v>0.38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ROW(Source!A120)</f>
        <v>120</v>
      </c>
      <c r="B333">
        <v>55747649</v>
      </c>
      <c r="C333">
        <v>55748154</v>
      </c>
      <c r="D333">
        <v>54737367</v>
      </c>
      <c r="E333">
        <v>1</v>
      </c>
      <c r="F333">
        <v>1</v>
      </c>
      <c r="G333">
        <v>1081</v>
      </c>
      <c r="H333">
        <v>3</v>
      </c>
      <c r="I333" t="s">
        <v>538</v>
      </c>
      <c r="J333" t="s">
        <v>539</v>
      </c>
      <c r="K333" t="s">
        <v>540</v>
      </c>
      <c r="L333">
        <v>1339</v>
      </c>
      <c r="N333">
        <v>1007</v>
      </c>
      <c r="O333" t="s">
        <v>507</v>
      </c>
      <c r="P333" t="s">
        <v>507</v>
      </c>
      <c r="Q333">
        <v>1</v>
      </c>
      <c r="W333">
        <v>0</v>
      </c>
      <c r="X333">
        <v>-1622585150</v>
      </c>
      <c r="Y333">
        <f t="shared" si="136"/>
        <v>30</v>
      </c>
      <c r="AA333">
        <v>7.27</v>
      </c>
      <c r="AB333">
        <v>0</v>
      </c>
      <c r="AC333">
        <v>0</v>
      </c>
      <c r="AD333">
        <v>0</v>
      </c>
      <c r="AE333">
        <v>7.07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30</v>
      </c>
      <c r="AU333" t="s">
        <v>3</v>
      </c>
      <c r="AV333">
        <v>0</v>
      </c>
      <c r="AW333">
        <v>2</v>
      </c>
      <c r="AX333">
        <v>55748177</v>
      </c>
      <c r="AY333">
        <v>1</v>
      </c>
      <c r="AZ333">
        <v>0</v>
      </c>
      <c r="BA333">
        <v>369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ROUND(Y333*Source!I120,9)</f>
        <v>0.9</v>
      </c>
      <c r="CY333">
        <f t="shared" ref="CY333:CY342" si="140">AA333</f>
        <v>7.27</v>
      </c>
      <c r="CZ333">
        <f t="shared" ref="CZ333:CZ342" si="141">AE333</f>
        <v>7.07</v>
      </c>
      <c r="DA333">
        <f t="shared" ref="DA333:DA342" si="142">AI333</f>
        <v>1</v>
      </c>
      <c r="DB333">
        <f t="shared" si="137"/>
        <v>212.1</v>
      </c>
      <c r="DC333">
        <f t="shared" si="138"/>
        <v>0</v>
      </c>
      <c r="DD333" t="s">
        <v>3</v>
      </c>
      <c r="DE333" t="s">
        <v>3</v>
      </c>
      <c r="DF333">
        <f t="shared" si="139"/>
        <v>6.36</v>
      </c>
      <c r="DG333">
        <f t="shared" si="133"/>
        <v>0</v>
      </c>
      <c r="DH333">
        <f t="shared" si="125"/>
        <v>0</v>
      </c>
      <c r="DI333">
        <f t="shared" si="135"/>
        <v>0</v>
      </c>
      <c r="DJ333">
        <f t="shared" ref="DJ333:DJ342" si="143">DF333</f>
        <v>6.36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ROW(Source!A120)</f>
        <v>120</v>
      </c>
      <c r="B334">
        <v>55747649</v>
      </c>
      <c r="C334">
        <v>55748154</v>
      </c>
      <c r="D334">
        <v>54738430</v>
      </c>
      <c r="E334">
        <v>1</v>
      </c>
      <c r="F334">
        <v>1</v>
      </c>
      <c r="G334">
        <v>1081</v>
      </c>
      <c r="H334">
        <v>3</v>
      </c>
      <c r="I334" t="s">
        <v>562</v>
      </c>
      <c r="J334" t="s">
        <v>563</v>
      </c>
      <c r="K334" t="s">
        <v>564</v>
      </c>
      <c r="L334">
        <v>1348</v>
      </c>
      <c r="N334">
        <v>1009</v>
      </c>
      <c r="O334" t="s">
        <v>282</v>
      </c>
      <c r="P334" t="s">
        <v>282</v>
      </c>
      <c r="Q334">
        <v>1000</v>
      </c>
      <c r="W334">
        <v>0</v>
      </c>
      <c r="X334">
        <v>63955816</v>
      </c>
      <c r="Y334">
        <f t="shared" si="136"/>
        <v>2.3599999999999999E-2</v>
      </c>
      <c r="AA334">
        <v>7387.02</v>
      </c>
      <c r="AB334">
        <v>0</v>
      </c>
      <c r="AC334">
        <v>0</v>
      </c>
      <c r="AD334">
        <v>0</v>
      </c>
      <c r="AE334">
        <v>7185.82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2.3599999999999999E-2</v>
      </c>
      <c r="AU334" t="s">
        <v>3</v>
      </c>
      <c r="AV334">
        <v>0</v>
      </c>
      <c r="AW334">
        <v>2</v>
      </c>
      <c r="AX334">
        <v>55748178</v>
      </c>
      <c r="AY334">
        <v>1</v>
      </c>
      <c r="AZ334">
        <v>0</v>
      </c>
      <c r="BA334">
        <v>370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ROUND(Y334*Source!I120,9)</f>
        <v>7.0799999999999997E-4</v>
      </c>
      <c r="CY334">
        <f t="shared" si="140"/>
        <v>7387.02</v>
      </c>
      <c r="CZ334">
        <f t="shared" si="141"/>
        <v>7185.82</v>
      </c>
      <c r="DA334">
        <f t="shared" si="142"/>
        <v>1</v>
      </c>
      <c r="DB334">
        <f t="shared" si="137"/>
        <v>169.59</v>
      </c>
      <c r="DC334">
        <f t="shared" si="138"/>
        <v>0</v>
      </c>
      <c r="DD334" t="s">
        <v>3</v>
      </c>
      <c r="DE334" t="s">
        <v>3</v>
      </c>
      <c r="DF334">
        <f t="shared" si="139"/>
        <v>5.09</v>
      </c>
      <c r="DG334">
        <f t="shared" si="133"/>
        <v>0</v>
      </c>
      <c r="DH334">
        <f t="shared" si="125"/>
        <v>0</v>
      </c>
      <c r="DI334">
        <f t="shared" si="135"/>
        <v>0</v>
      </c>
      <c r="DJ334">
        <f t="shared" si="143"/>
        <v>5.09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ROW(Source!A120)</f>
        <v>120</v>
      </c>
      <c r="B335">
        <v>55747649</v>
      </c>
      <c r="C335">
        <v>55748154</v>
      </c>
      <c r="D335">
        <v>54738505</v>
      </c>
      <c r="E335">
        <v>1</v>
      </c>
      <c r="F335">
        <v>1</v>
      </c>
      <c r="G335">
        <v>1081</v>
      </c>
      <c r="H335">
        <v>3</v>
      </c>
      <c r="I335" t="s">
        <v>580</v>
      </c>
      <c r="J335" t="s">
        <v>581</v>
      </c>
      <c r="K335" t="s">
        <v>582</v>
      </c>
      <c r="L335">
        <v>1346</v>
      </c>
      <c r="N335">
        <v>1009</v>
      </c>
      <c r="O335" t="s">
        <v>503</v>
      </c>
      <c r="P335" t="s">
        <v>503</v>
      </c>
      <c r="Q335">
        <v>1</v>
      </c>
      <c r="W335">
        <v>0</v>
      </c>
      <c r="X335">
        <v>732400950</v>
      </c>
      <c r="Y335">
        <f t="shared" si="136"/>
        <v>11.6</v>
      </c>
      <c r="AA335">
        <v>21.59</v>
      </c>
      <c r="AB335">
        <v>0</v>
      </c>
      <c r="AC335">
        <v>0</v>
      </c>
      <c r="AD335">
        <v>0</v>
      </c>
      <c r="AE335">
        <v>21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11.6</v>
      </c>
      <c r="AU335" t="s">
        <v>3</v>
      </c>
      <c r="AV335">
        <v>0</v>
      </c>
      <c r="AW335">
        <v>2</v>
      </c>
      <c r="AX335">
        <v>55748179</v>
      </c>
      <c r="AY335">
        <v>1</v>
      </c>
      <c r="AZ335">
        <v>0</v>
      </c>
      <c r="BA335">
        <v>371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ROUND(Y335*Source!I120,9)</f>
        <v>0.34799999999999998</v>
      </c>
      <c r="CY335">
        <f t="shared" si="140"/>
        <v>21.59</v>
      </c>
      <c r="CZ335">
        <f t="shared" si="141"/>
        <v>21</v>
      </c>
      <c r="DA335">
        <f t="shared" si="142"/>
        <v>1</v>
      </c>
      <c r="DB335">
        <f t="shared" si="137"/>
        <v>243.6</v>
      </c>
      <c r="DC335">
        <f t="shared" si="138"/>
        <v>0</v>
      </c>
      <c r="DD335" t="s">
        <v>3</v>
      </c>
      <c r="DE335" t="s">
        <v>3</v>
      </c>
      <c r="DF335">
        <f t="shared" si="139"/>
        <v>7.31</v>
      </c>
      <c r="DG335">
        <f t="shared" si="133"/>
        <v>0</v>
      </c>
      <c r="DH335">
        <f t="shared" si="125"/>
        <v>0</v>
      </c>
      <c r="DI335">
        <f t="shared" si="135"/>
        <v>0</v>
      </c>
      <c r="DJ335">
        <f t="shared" si="143"/>
        <v>7.31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ROW(Source!A120)</f>
        <v>120</v>
      </c>
      <c r="B336">
        <v>55747649</v>
      </c>
      <c r="C336">
        <v>55748154</v>
      </c>
      <c r="D336">
        <v>54738703</v>
      </c>
      <c r="E336">
        <v>1</v>
      </c>
      <c r="F336">
        <v>1</v>
      </c>
      <c r="G336">
        <v>1081</v>
      </c>
      <c r="H336">
        <v>3</v>
      </c>
      <c r="I336" t="s">
        <v>595</v>
      </c>
      <c r="J336" t="s">
        <v>596</v>
      </c>
      <c r="K336" t="s">
        <v>597</v>
      </c>
      <c r="L336">
        <v>1355</v>
      </c>
      <c r="N336">
        <v>1010</v>
      </c>
      <c r="O336" t="s">
        <v>254</v>
      </c>
      <c r="P336" t="s">
        <v>254</v>
      </c>
      <c r="Q336">
        <v>100</v>
      </c>
      <c r="W336">
        <v>0</v>
      </c>
      <c r="X336">
        <v>1567739421</v>
      </c>
      <c r="Y336">
        <f t="shared" si="136"/>
        <v>3.6</v>
      </c>
      <c r="AA336">
        <v>510.7</v>
      </c>
      <c r="AB336">
        <v>0</v>
      </c>
      <c r="AC336">
        <v>0</v>
      </c>
      <c r="AD336">
        <v>0</v>
      </c>
      <c r="AE336">
        <v>496.79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3.6</v>
      </c>
      <c r="AU336" t="s">
        <v>3</v>
      </c>
      <c r="AV336">
        <v>0</v>
      </c>
      <c r="AW336">
        <v>2</v>
      </c>
      <c r="AX336">
        <v>55748180</v>
      </c>
      <c r="AY336">
        <v>1</v>
      </c>
      <c r="AZ336">
        <v>0</v>
      </c>
      <c r="BA336">
        <v>372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ROUND(Y336*Source!I120,9)</f>
        <v>0.108</v>
      </c>
      <c r="CY336">
        <f t="shared" si="140"/>
        <v>510.7</v>
      </c>
      <c r="CZ336">
        <f t="shared" si="141"/>
        <v>496.79</v>
      </c>
      <c r="DA336">
        <f t="shared" si="142"/>
        <v>1</v>
      </c>
      <c r="DB336">
        <f t="shared" si="137"/>
        <v>1788.44</v>
      </c>
      <c r="DC336">
        <f t="shared" si="138"/>
        <v>0</v>
      </c>
      <c r="DD336" t="s">
        <v>3</v>
      </c>
      <c r="DE336" t="s">
        <v>3</v>
      </c>
      <c r="DF336">
        <f t="shared" si="139"/>
        <v>53.65</v>
      </c>
      <c r="DG336">
        <f t="shared" si="133"/>
        <v>0</v>
      </c>
      <c r="DH336">
        <f t="shared" si="125"/>
        <v>0</v>
      </c>
      <c r="DI336">
        <f t="shared" si="135"/>
        <v>0</v>
      </c>
      <c r="DJ336">
        <f t="shared" si="143"/>
        <v>53.65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ROW(Source!A120)</f>
        <v>120</v>
      </c>
      <c r="B337">
        <v>55747649</v>
      </c>
      <c r="C337">
        <v>55748154</v>
      </c>
      <c r="D337">
        <v>54738704</v>
      </c>
      <c r="E337">
        <v>1</v>
      </c>
      <c r="F337">
        <v>1</v>
      </c>
      <c r="G337">
        <v>1081</v>
      </c>
      <c r="H337">
        <v>3</v>
      </c>
      <c r="I337" t="s">
        <v>598</v>
      </c>
      <c r="J337" t="s">
        <v>599</v>
      </c>
      <c r="K337" t="s">
        <v>600</v>
      </c>
      <c r="L337">
        <v>1355</v>
      </c>
      <c r="N337">
        <v>1010</v>
      </c>
      <c r="O337" t="s">
        <v>254</v>
      </c>
      <c r="P337" t="s">
        <v>254</v>
      </c>
      <c r="Q337">
        <v>100</v>
      </c>
      <c r="W337">
        <v>0</v>
      </c>
      <c r="X337">
        <v>-96727844</v>
      </c>
      <c r="Y337">
        <f t="shared" si="136"/>
        <v>3.6</v>
      </c>
      <c r="AA337">
        <v>250.58</v>
      </c>
      <c r="AB337">
        <v>0</v>
      </c>
      <c r="AC337">
        <v>0</v>
      </c>
      <c r="AD337">
        <v>0</v>
      </c>
      <c r="AE337">
        <v>243.75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3.6</v>
      </c>
      <c r="AU337" t="s">
        <v>3</v>
      </c>
      <c r="AV337">
        <v>0</v>
      </c>
      <c r="AW337">
        <v>2</v>
      </c>
      <c r="AX337">
        <v>55748181</v>
      </c>
      <c r="AY337">
        <v>1</v>
      </c>
      <c r="AZ337">
        <v>0</v>
      </c>
      <c r="BA337">
        <v>373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ROUND(Y337*Source!I120,9)</f>
        <v>0.108</v>
      </c>
      <c r="CY337">
        <f t="shared" si="140"/>
        <v>250.58</v>
      </c>
      <c r="CZ337">
        <f t="shared" si="141"/>
        <v>243.75</v>
      </c>
      <c r="DA337">
        <f t="shared" si="142"/>
        <v>1</v>
      </c>
      <c r="DB337">
        <f t="shared" si="137"/>
        <v>877.5</v>
      </c>
      <c r="DC337">
        <f t="shared" si="138"/>
        <v>0</v>
      </c>
      <c r="DD337" t="s">
        <v>3</v>
      </c>
      <c r="DE337" t="s">
        <v>3</v>
      </c>
      <c r="DF337">
        <f t="shared" si="139"/>
        <v>26.33</v>
      </c>
      <c r="DG337">
        <f t="shared" si="133"/>
        <v>0</v>
      </c>
      <c r="DH337">
        <f t="shared" si="125"/>
        <v>0</v>
      </c>
      <c r="DI337">
        <f t="shared" si="135"/>
        <v>0</v>
      </c>
      <c r="DJ337">
        <f t="shared" si="143"/>
        <v>26.33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ROW(Source!A120)</f>
        <v>120</v>
      </c>
      <c r="B338">
        <v>55747649</v>
      </c>
      <c r="C338">
        <v>55748154</v>
      </c>
      <c r="D338">
        <v>54737299</v>
      </c>
      <c r="E338">
        <v>1</v>
      </c>
      <c r="F338">
        <v>1</v>
      </c>
      <c r="G338">
        <v>1081</v>
      </c>
      <c r="H338">
        <v>3</v>
      </c>
      <c r="I338" t="s">
        <v>583</v>
      </c>
      <c r="J338" t="s">
        <v>584</v>
      </c>
      <c r="K338" t="s">
        <v>585</v>
      </c>
      <c r="L338">
        <v>1339</v>
      </c>
      <c r="N338">
        <v>1007</v>
      </c>
      <c r="O338" t="s">
        <v>507</v>
      </c>
      <c r="P338" t="s">
        <v>507</v>
      </c>
      <c r="Q338">
        <v>1</v>
      </c>
      <c r="W338">
        <v>0</v>
      </c>
      <c r="X338">
        <v>-676034668</v>
      </c>
      <c r="Y338">
        <f t="shared" si="136"/>
        <v>9</v>
      </c>
      <c r="AA338">
        <v>54.92</v>
      </c>
      <c r="AB338">
        <v>0</v>
      </c>
      <c r="AC338">
        <v>0</v>
      </c>
      <c r="AD338">
        <v>0</v>
      </c>
      <c r="AE338">
        <v>53.42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9</v>
      </c>
      <c r="AU338" t="s">
        <v>3</v>
      </c>
      <c r="AV338">
        <v>0</v>
      </c>
      <c r="AW338">
        <v>2</v>
      </c>
      <c r="AX338">
        <v>55748182</v>
      </c>
      <c r="AY338">
        <v>1</v>
      </c>
      <c r="AZ338">
        <v>0</v>
      </c>
      <c r="BA338">
        <v>374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ROUND(Y338*Source!I120,9)</f>
        <v>0.27</v>
      </c>
      <c r="CY338">
        <f t="shared" si="140"/>
        <v>54.92</v>
      </c>
      <c r="CZ338">
        <f t="shared" si="141"/>
        <v>53.42</v>
      </c>
      <c r="DA338">
        <f t="shared" si="142"/>
        <v>1</v>
      </c>
      <c r="DB338">
        <f t="shared" si="137"/>
        <v>480.78</v>
      </c>
      <c r="DC338">
        <f t="shared" si="138"/>
        <v>0</v>
      </c>
      <c r="DD338" t="s">
        <v>3</v>
      </c>
      <c r="DE338" t="s">
        <v>3</v>
      </c>
      <c r="DF338">
        <f t="shared" si="139"/>
        <v>14.42</v>
      </c>
      <c r="DG338">
        <f t="shared" si="133"/>
        <v>0</v>
      </c>
      <c r="DH338">
        <f t="shared" si="125"/>
        <v>0</v>
      </c>
      <c r="DI338">
        <f t="shared" si="135"/>
        <v>0</v>
      </c>
      <c r="DJ338">
        <f t="shared" si="143"/>
        <v>14.42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ROW(Source!A120)</f>
        <v>120</v>
      </c>
      <c r="B339">
        <v>55747649</v>
      </c>
      <c r="C339">
        <v>55748154</v>
      </c>
      <c r="D339">
        <v>54737565</v>
      </c>
      <c r="E339">
        <v>1</v>
      </c>
      <c r="F339">
        <v>1</v>
      </c>
      <c r="G339">
        <v>1081</v>
      </c>
      <c r="H339">
        <v>3</v>
      </c>
      <c r="I339" t="s">
        <v>504</v>
      </c>
      <c r="J339" t="s">
        <v>505</v>
      </c>
      <c r="K339" t="s">
        <v>506</v>
      </c>
      <c r="L339">
        <v>1339</v>
      </c>
      <c r="N339">
        <v>1007</v>
      </c>
      <c r="O339" t="s">
        <v>507</v>
      </c>
      <c r="P339" t="s">
        <v>507</v>
      </c>
      <c r="Q339">
        <v>1</v>
      </c>
      <c r="W339">
        <v>0</v>
      </c>
      <c r="X339">
        <v>-1235260082</v>
      </c>
      <c r="Y339">
        <f t="shared" si="136"/>
        <v>11.6</v>
      </c>
      <c r="AA339">
        <v>5.98</v>
      </c>
      <c r="AB339">
        <v>0</v>
      </c>
      <c r="AC339">
        <v>0</v>
      </c>
      <c r="AD339">
        <v>0</v>
      </c>
      <c r="AE339">
        <v>5.82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11.6</v>
      </c>
      <c r="AU339" t="s">
        <v>3</v>
      </c>
      <c r="AV339">
        <v>0</v>
      </c>
      <c r="AW339">
        <v>2</v>
      </c>
      <c r="AX339">
        <v>55748183</v>
      </c>
      <c r="AY339">
        <v>1</v>
      </c>
      <c r="AZ339">
        <v>0</v>
      </c>
      <c r="BA339">
        <v>375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ROUND(Y339*Source!I120,9)</f>
        <v>0.34799999999999998</v>
      </c>
      <c r="CY339">
        <f t="shared" si="140"/>
        <v>5.98</v>
      </c>
      <c r="CZ339">
        <f t="shared" si="141"/>
        <v>5.82</v>
      </c>
      <c r="DA339">
        <f t="shared" si="142"/>
        <v>1</v>
      </c>
      <c r="DB339">
        <f t="shared" si="137"/>
        <v>67.510000000000005</v>
      </c>
      <c r="DC339">
        <f t="shared" si="138"/>
        <v>0</v>
      </c>
      <c r="DD339" t="s">
        <v>3</v>
      </c>
      <c r="DE339" t="s">
        <v>3</v>
      </c>
      <c r="DF339">
        <f t="shared" si="139"/>
        <v>2.0299999999999998</v>
      </c>
      <c r="DG339">
        <f t="shared" si="133"/>
        <v>0</v>
      </c>
      <c r="DH339">
        <f t="shared" si="125"/>
        <v>0</v>
      </c>
      <c r="DI339">
        <f t="shared" si="135"/>
        <v>0</v>
      </c>
      <c r="DJ339">
        <f t="shared" si="143"/>
        <v>2.0299999999999998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ROW(Source!A120)</f>
        <v>120</v>
      </c>
      <c r="B340">
        <v>55747649</v>
      </c>
      <c r="C340">
        <v>55748154</v>
      </c>
      <c r="D340">
        <v>54749865</v>
      </c>
      <c r="E340">
        <v>1</v>
      </c>
      <c r="F340">
        <v>1</v>
      </c>
      <c r="G340">
        <v>1081</v>
      </c>
      <c r="H340">
        <v>3</v>
      </c>
      <c r="I340" t="s">
        <v>227</v>
      </c>
      <c r="J340" t="s">
        <v>229</v>
      </c>
      <c r="K340" t="s">
        <v>228</v>
      </c>
      <c r="L340">
        <v>1301</v>
      </c>
      <c r="N340">
        <v>1003</v>
      </c>
      <c r="O340" t="s">
        <v>191</v>
      </c>
      <c r="P340" t="s">
        <v>191</v>
      </c>
      <c r="Q340">
        <v>1</v>
      </c>
      <c r="W340">
        <v>0</v>
      </c>
      <c r="X340">
        <v>-2048145394</v>
      </c>
      <c r="Y340">
        <f t="shared" si="136"/>
        <v>500</v>
      </c>
      <c r="AA340">
        <v>41.57</v>
      </c>
      <c r="AB340">
        <v>0</v>
      </c>
      <c r="AC340">
        <v>0</v>
      </c>
      <c r="AD340">
        <v>0</v>
      </c>
      <c r="AE340">
        <v>41.57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 t="s">
        <v>3</v>
      </c>
      <c r="AT340">
        <v>500</v>
      </c>
      <c r="AU340" t="s">
        <v>3</v>
      </c>
      <c r="AV340">
        <v>0</v>
      </c>
      <c r="AW340">
        <v>1</v>
      </c>
      <c r="AX340">
        <v>-1</v>
      </c>
      <c r="AY340">
        <v>0</v>
      </c>
      <c r="AZ340">
        <v>0</v>
      </c>
      <c r="BA340" t="s">
        <v>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ROUND(Y340*Source!I120,9)</f>
        <v>15</v>
      </c>
      <c r="CY340">
        <f t="shared" si="140"/>
        <v>41.57</v>
      </c>
      <c r="CZ340">
        <f t="shared" si="141"/>
        <v>41.57</v>
      </c>
      <c r="DA340">
        <f t="shared" si="142"/>
        <v>1</v>
      </c>
      <c r="DB340">
        <f t="shared" si="137"/>
        <v>20785</v>
      </c>
      <c r="DC340">
        <f t="shared" si="138"/>
        <v>0</v>
      </c>
      <c r="DD340" t="s">
        <v>3</v>
      </c>
      <c r="DE340" t="s">
        <v>3</v>
      </c>
      <c r="DF340">
        <f t="shared" si="139"/>
        <v>623.54999999999995</v>
      </c>
      <c r="DG340">
        <f t="shared" si="133"/>
        <v>0</v>
      </c>
      <c r="DH340">
        <f t="shared" si="125"/>
        <v>0</v>
      </c>
      <c r="DI340">
        <f t="shared" si="135"/>
        <v>0</v>
      </c>
      <c r="DJ340">
        <f t="shared" si="143"/>
        <v>623.54999999999995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ROW(Source!A120)</f>
        <v>120</v>
      </c>
      <c r="B341">
        <v>55747649</v>
      </c>
      <c r="C341">
        <v>55748154</v>
      </c>
      <c r="D341">
        <v>54749866</v>
      </c>
      <c r="E341">
        <v>1</v>
      </c>
      <c r="F341">
        <v>1</v>
      </c>
      <c r="G341">
        <v>1081</v>
      </c>
      <c r="H341">
        <v>3</v>
      </c>
      <c r="I341" t="s">
        <v>224</v>
      </c>
      <c r="J341" t="s">
        <v>226</v>
      </c>
      <c r="K341" t="s">
        <v>225</v>
      </c>
      <c r="L341">
        <v>1301</v>
      </c>
      <c r="N341">
        <v>1003</v>
      </c>
      <c r="O341" t="s">
        <v>191</v>
      </c>
      <c r="P341" t="s">
        <v>191</v>
      </c>
      <c r="Q341">
        <v>1</v>
      </c>
      <c r="W341">
        <v>0</v>
      </c>
      <c r="X341">
        <v>-173671470</v>
      </c>
      <c r="Y341">
        <f t="shared" si="136"/>
        <v>500</v>
      </c>
      <c r="AA341">
        <v>51.28</v>
      </c>
      <c r="AB341">
        <v>0</v>
      </c>
      <c r="AC341">
        <v>0</v>
      </c>
      <c r="AD341">
        <v>0</v>
      </c>
      <c r="AE341">
        <v>51.28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500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ROUND(Y341*Source!I120,9)</f>
        <v>15</v>
      </c>
      <c r="CY341">
        <f t="shared" si="140"/>
        <v>51.28</v>
      </c>
      <c r="CZ341">
        <f t="shared" si="141"/>
        <v>51.28</v>
      </c>
      <c r="DA341">
        <f t="shared" si="142"/>
        <v>1</v>
      </c>
      <c r="DB341">
        <f t="shared" si="137"/>
        <v>25640</v>
      </c>
      <c r="DC341">
        <f t="shared" si="138"/>
        <v>0</v>
      </c>
      <c r="DD341" t="s">
        <v>3</v>
      </c>
      <c r="DE341" t="s">
        <v>3</v>
      </c>
      <c r="DF341">
        <f t="shared" si="139"/>
        <v>769.2</v>
      </c>
      <c r="DG341">
        <f t="shared" si="133"/>
        <v>0</v>
      </c>
      <c r="DH341">
        <f t="shared" si="125"/>
        <v>0</v>
      </c>
      <c r="DI341">
        <f t="shared" si="135"/>
        <v>0</v>
      </c>
      <c r="DJ341">
        <f t="shared" si="143"/>
        <v>769.2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ROW(Source!A120)</f>
        <v>120</v>
      </c>
      <c r="B342">
        <v>55747649</v>
      </c>
      <c r="C342">
        <v>55748154</v>
      </c>
      <c r="D342">
        <v>54759954</v>
      </c>
      <c r="E342">
        <v>1</v>
      </c>
      <c r="F342">
        <v>1</v>
      </c>
      <c r="G342">
        <v>1081</v>
      </c>
      <c r="H342">
        <v>3</v>
      </c>
      <c r="I342" t="s">
        <v>601</v>
      </c>
      <c r="J342" t="s">
        <v>602</v>
      </c>
      <c r="K342" t="s">
        <v>603</v>
      </c>
      <c r="L342">
        <v>1354</v>
      </c>
      <c r="N342">
        <v>1010</v>
      </c>
      <c r="O342" t="s">
        <v>118</v>
      </c>
      <c r="P342" t="s">
        <v>118</v>
      </c>
      <c r="Q342">
        <v>1</v>
      </c>
      <c r="W342">
        <v>0</v>
      </c>
      <c r="X342">
        <v>483106430</v>
      </c>
      <c r="Y342">
        <f t="shared" si="136"/>
        <v>360</v>
      </c>
      <c r="AA342">
        <v>14.68</v>
      </c>
      <c r="AB342">
        <v>0</v>
      </c>
      <c r="AC342">
        <v>0</v>
      </c>
      <c r="AD342">
        <v>0</v>
      </c>
      <c r="AE342">
        <v>14.28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360</v>
      </c>
      <c r="AU342" t="s">
        <v>3</v>
      </c>
      <c r="AV342">
        <v>0</v>
      </c>
      <c r="AW342">
        <v>2</v>
      </c>
      <c r="AX342">
        <v>55748184</v>
      </c>
      <c r="AY342">
        <v>1</v>
      </c>
      <c r="AZ342">
        <v>0</v>
      </c>
      <c r="BA342">
        <v>376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ROUND(Y342*Source!I120,9)</f>
        <v>10.8</v>
      </c>
      <c r="CY342">
        <f t="shared" si="140"/>
        <v>14.68</v>
      </c>
      <c r="CZ342">
        <f t="shared" si="141"/>
        <v>14.28</v>
      </c>
      <c r="DA342">
        <f t="shared" si="142"/>
        <v>1</v>
      </c>
      <c r="DB342">
        <f t="shared" si="137"/>
        <v>5140.8</v>
      </c>
      <c r="DC342">
        <f t="shared" si="138"/>
        <v>0</v>
      </c>
      <c r="DD342" t="s">
        <v>3</v>
      </c>
      <c r="DE342" t="s">
        <v>3</v>
      </c>
      <c r="DF342">
        <f t="shared" si="139"/>
        <v>154.22</v>
      </c>
      <c r="DG342">
        <f t="shared" si="133"/>
        <v>0</v>
      </c>
      <c r="DH342">
        <f t="shared" si="125"/>
        <v>0</v>
      </c>
      <c r="DI342">
        <f t="shared" si="135"/>
        <v>0</v>
      </c>
      <c r="DJ342">
        <f t="shared" si="143"/>
        <v>154.22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ROW(Source!A121)</f>
        <v>121</v>
      </c>
      <c r="B343">
        <v>55747651</v>
      </c>
      <c r="C343">
        <v>55748154</v>
      </c>
      <c r="D343">
        <v>54702434</v>
      </c>
      <c r="E343">
        <v>1081</v>
      </c>
      <c r="F343">
        <v>1</v>
      </c>
      <c r="G343">
        <v>1081</v>
      </c>
      <c r="H343">
        <v>1</v>
      </c>
      <c r="I343" t="s">
        <v>473</v>
      </c>
      <c r="J343" t="s">
        <v>3</v>
      </c>
      <c r="K343" t="s">
        <v>474</v>
      </c>
      <c r="L343">
        <v>1191</v>
      </c>
      <c r="N343">
        <v>1013</v>
      </c>
      <c r="O343" t="s">
        <v>475</v>
      </c>
      <c r="P343" t="s">
        <v>475</v>
      </c>
      <c r="Q343">
        <v>1</v>
      </c>
      <c r="W343">
        <v>0</v>
      </c>
      <c r="X343">
        <v>476480486</v>
      </c>
      <c r="Y343">
        <f t="shared" si="136"/>
        <v>1730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5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1730</v>
      </c>
      <c r="AU343" t="s">
        <v>3</v>
      </c>
      <c r="AV343">
        <v>1</v>
      </c>
      <c r="AW343">
        <v>2</v>
      </c>
      <c r="AX343">
        <v>55748171</v>
      </c>
      <c r="AY343">
        <v>1</v>
      </c>
      <c r="AZ343">
        <v>0</v>
      </c>
      <c r="BA343">
        <v>378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U343">
        <f>ROUND(AT343*Source!I121*AH343*AL343,2)</f>
        <v>0</v>
      </c>
      <c r="CV343">
        <f>ROUND(Y343*Source!I121,9)</f>
        <v>51.9</v>
      </c>
      <c r="CW343">
        <v>0</v>
      </c>
      <c r="CX343">
        <f>ROUND(Y343*Source!I121,9)</f>
        <v>51.9</v>
      </c>
      <c r="CY343">
        <f>AD343</f>
        <v>0</v>
      </c>
      <c r="CZ343">
        <f>AH343</f>
        <v>0</v>
      </c>
      <c r="DA343">
        <f>AL343</f>
        <v>1</v>
      </c>
      <c r="DB343">
        <f t="shared" si="137"/>
        <v>0</v>
      </c>
      <c r="DC343">
        <f t="shared" si="138"/>
        <v>0</v>
      </c>
      <c r="DD343" t="s">
        <v>3</v>
      </c>
      <c r="DE343" t="s">
        <v>3</v>
      </c>
      <c r="DF343">
        <f t="shared" si="139"/>
        <v>0</v>
      </c>
      <c r="DG343">
        <f t="shared" si="133"/>
        <v>0</v>
      </c>
      <c r="DH343">
        <f t="shared" si="125"/>
        <v>0</v>
      </c>
      <c r="DI343">
        <f t="shared" si="135"/>
        <v>0</v>
      </c>
      <c r="DJ343">
        <f>DI343</f>
        <v>0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ROW(Source!A121)</f>
        <v>121</v>
      </c>
      <c r="B344">
        <v>55747651</v>
      </c>
      <c r="C344">
        <v>55748154</v>
      </c>
      <c r="D344">
        <v>54767934</v>
      </c>
      <c r="E344">
        <v>1</v>
      </c>
      <c r="F344">
        <v>1</v>
      </c>
      <c r="G344">
        <v>1081</v>
      </c>
      <c r="H344">
        <v>2</v>
      </c>
      <c r="I344" t="s">
        <v>586</v>
      </c>
      <c r="J344" t="s">
        <v>587</v>
      </c>
      <c r="K344" t="s">
        <v>588</v>
      </c>
      <c r="L344">
        <v>1368</v>
      </c>
      <c r="N344">
        <v>1011</v>
      </c>
      <c r="O344" t="s">
        <v>479</v>
      </c>
      <c r="P344" t="s">
        <v>479</v>
      </c>
      <c r="Q344">
        <v>1</v>
      </c>
      <c r="W344">
        <v>0</v>
      </c>
      <c r="X344">
        <v>-1222619517</v>
      </c>
      <c r="Y344">
        <f t="shared" si="136"/>
        <v>13.5</v>
      </c>
      <c r="AA344">
        <v>0</v>
      </c>
      <c r="AB344">
        <v>1209.95</v>
      </c>
      <c r="AC344">
        <v>758.78</v>
      </c>
      <c r="AD344">
        <v>0</v>
      </c>
      <c r="AE344">
        <v>0</v>
      </c>
      <c r="AF344">
        <v>48.07</v>
      </c>
      <c r="AG344">
        <v>12.62</v>
      </c>
      <c r="AH344">
        <v>0</v>
      </c>
      <c r="AI344">
        <v>1</v>
      </c>
      <c r="AJ344">
        <v>23.59</v>
      </c>
      <c r="AK344">
        <v>56.35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13.5</v>
      </c>
      <c r="AU344" t="s">
        <v>3</v>
      </c>
      <c r="AV344">
        <v>0</v>
      </c>
      <c r="AW344">
        <v>2</v>
      </c>
      <c r="AX344">
        <v>55748172</v>
      </c>
      <c r="AY344">
        <v>1</v>
      </c>
      <c r="AZ344">
        <v>0</v>
      </c>
      <c r="BA344">
        <v>379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ROUND(Y344*Source!I121*DO344,9)</f>
        <v>5.1111000000000004</v>
      </c>
      <c r="CX344">
        <f>ROUND(Y344*Source!I121,9)</f>
        <v>0.40500000000000003</v>
      </c>
      <c r="CY344">
        <f>AB344</f>
        <v>1209.95</v>
      </c>
      <c r="CZ344">
        <f>AF344</f>
        <v>48.07</v>
      </c>
      <c r="DA344">
        <f>AJ344</f>
        <v>23.59</v>
      </c>
      <c r="DB344">
        <f t="shared" si="137"/>
        <v>648.95000000000005</v>
      </c>
      <c r="DC344">
        <f t="shared" si="138"/>
        <v>170.37</v>
      </c>
      <c r="DD344" t="s">
        <v>3</v>
      </c>
      <c r="DE344" t="s">
        <v>3</v>
      </c>
      <c r="DF344">
        <f t="shared" si="139"/>
        <v>0</v>
      </c>
      <c r="DG344">
        <f>ROUND(ROUND(AF344*AJ344,2)*CX344,2)</f>
        <v>459.26</v>
      </c>
      <c r="DH344">
        <f>ROUND(ROUND(AG344*AK344,2)*CX344,2)</f>
        <v>288.01</v>
      </c>
      <c r="DI344">
        <f t="shared" si="135"/>
        <v>0</v>
      </c>
      <c r="DJ344">
        <f>DG344</f>
        <v>459.26</v>
      </c>
      <c r="DK344">
        <v>0</v>
      </c>
      <c r="DL344" t="s">
        <v>486</v>
      </c>
      <c r="DM344">
        <v>0</v>
      </c>
      <c r="DN344" t="s">
        <v>475</v>
      </c>
      <c r="DO344">
        <v>12.62</v>
      </c>
    </row>
    <row r="345" spans="1:119" x14ac:dyDescent="0.2">
      <c r="A345">
        <f>ROW(Source!A121)</f>
        <v>121</v>
      </c>
      <c r="B345">
        <v>55747651</v>
      </c>
      <c r="C345">
        <v>55748154</v>
      </c>
      <c r="D345">
        <v>54767971</v>
      </c>
      <c r="E345">
        <v>1</v>
      </c>
      <c r="F345">
        <v>1</v>
      </c>
      <c r="G345">
        <v>1081</v>
      </c>
      <c r="H345">
        <v>2</v>
      </c>
      <c r="I345" t="s">
        <v>589</v>
      </c>
      <c r="J345" t="s">
        <v>590</v>
      </c>
      <c r="K345" t="s">
        <v>591</v>
      </c>
      <c r="L345">
        <v>1368</v>
      </c>
      <c r="N345">
        <v>1011</v>
      </c>
      <c r="O345" t="s">
        <v>479</v>
      </c>
      <c r="P345" t="s">
        <v>479</v>
      </c>
      <c r="Q345">
        <v>1</v>
      </c>
      <c r="W345">
        <v>0</v>
      </c>
      <c r="X345">
        <v>210297649</v>
      </c>
      <c r="Y345">
        <f t="shared" si="136"/>
        <v>110</v>
      </c>
      <c r="AA345">
        <v>0</v>
      </c>
      <c r="AB345">
        <v>65.790000000000006</v>
      </c>
      <c r="AC345">
        <v>0</v>
      </c>
      <c r="AD345">
        <v>0</v>
      </c>
      <c r="AE345">
        <v>0</v>
      </c>
      <c r="AF345">
        <v>5.79</v>
      </c>
      <c r="AG345">
        <v>0</v>
      </c>
      <c r="AH345">
        <v>0</v>
      </c>
      <c r="AI345">
        <v>1</v>
      </c>
      <c r="AJ345">
        <v>10.65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110</v>
      </c>
      <c r="AU345" t="s">
        <v>3</v>
      </c>
      <c r="AV345">
        <v>0</v>
      </c>
      <c r="AW345">
        <v>2</v>
      </c>
      <c r="AX345">
        <v>55748173</v>
      </c>
      <c r="AY345">
        <v>1</v>
      </c>
      <c r="AZ345">
        <v>0</v>
      </c>
      <c r="BA345">
        <v>380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ROUND(Y345*Source!I121*DO345,9)</f>
        <v>0</v>
      </c>
      <c r="CX345">
        <f>ROUND(Y345*Source!I121,9)</f>
        <v>3.3</v>
      </c>
      <c r="CY345">
        <f>AB345</f>
        <v>65.790000000000006</v>
      </c>
      <c r="CZ345">
        <f>AF345</f>
        <v>5.79</v>
      </c>
      <c r="DA345">
        <f>AJ345</f>
        <v>10.65</v>
      </c>
      <c r="DB345">
        <f t="shared" si="137"/>
        <v>636.9</v>
      </c>
      <c r="DC345">
        <f t="shared" si="138"/>
        <v>0</v>
      </c>
      <c r="DD345" t="s">
        <v>3</v>
      </c>
      <c r="DE345" t="s">
        <v>3</v>
      </c>
      <c r="DF345">
        <f t="shared" si="139"/>
        <v>0</v>
      </c>
      <c r="DG345">
        <f>ROUND(ROUND(AF345*AJ345,2)*CX345,2)</f>
        <v>203.48</v>
      </c>
      <c r="DH345">
        <f>ROUND(ROUND(AG345,2)*CX345,2)</f>
        <v>0</v>
      </c>
      <c r="DI345">
        <f t="shared" si="135"/>
        <v>0</v>
      </c>
      <c r="DJ345">
        <f>DG345</f>
        <v>203.48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ROW(Source!A121)</f>
        <v>121</v>
      </c>
      <c r="B346">
        <v>55747651</v>
      </c>
      <c r="C346">
        <v>55748154</v>
      </c>
      <c r="D346">
        <v>54768040</v>
      </c>
      <c r="E346">
        <v>1</v>
      </c>
      <c r="F346">
        <v>1</v>
      </c>
      <c r="G346">
        <v>1081</v>
      </c>
      <c r="H346">
        <v>2</v>
      </c>
      <c r="I346" t="s">
        <v>476</v>
      </c>
      <c r="J346" t="s">
        <v>477</v>
      </c>
      <c r="K346" t="s">
        <v>478</v>
      </c>
      <c r="L346">
        <v>1368</v>
      </c>
      <c r="N346">
        <v>1011</v>
      </c>
      <c r="O346" t="s">
        <v>479</v>
      </c>
      <c r="P346" t="s">
        <v>479</v>
      </c>
      <c r="Q346">
        <v>1</v>
      </c>
      <c r="W346">
        <v>0</v>
      </c>
      <c r="X346">
        <v>1498588441</v>
      </c>
      <c r="Y346">
        <f t="shared" si="136"/>
        <v>114</v>
      </c>
      <c r="AA346">
        <v>0</v>
      </c>
      <c r="AB346">
        <v>102.11</v>
      </c>
      <c r="AC346">
        <v>0</v>
      </c>
      <c r="AD346">
        <v>0</v>
      </c>
      <c r="AE346">
        <v>0</v>
      </c>
      <c r="AF346">
        <v>7.11</v>
      </c>
      <c r="AG346">
        <v>0</v>
      </c>
      <c r="AH346">
        <v>0</v>
      </c>
      <c r="AI346">
        <v>1</v>
      </c>
      <c r="AJ346">
        <v>13.46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114</v>
      </c>
      <c r="AU346" t="s">
        <v>3</v>
      </c>
      <c r="AV346">
        <v>0</v>
      </c>
      <c r="AW346">
        <v>2</v>
      </c>
      <c r="AX346">
        <v>55748174</v>
      </c>
      <c r="AY346">
        <v>1</v>
      </c>
      <c r="AZ346">
        <v>0</v>
      </c>
      <c r="BA346">
        <v>381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f>ROUND(Y346*Source!I121*DO346,9)</f>
        <v>0</v>
      </c>
      <c r="CX346">
        <f>ROUND(Y346*Source!I121,9)</f>
        <v>3.42</v>
      </c>
      <c r="CY346">
        <f>AB346</f>
        <v>102.11</v>
      </c>
      <c r="CZ346">
        <f>AF346</f>
        <v>7.11</v>
      </c>
      <c r="DA346">
        <f>AJ346</f>
        <v>13.46</v>
      </c>
      <c r="DB346">
        <f t="shared" si="137"/>
        <v>810.54</v>
      </c>
      <c r="DC346">
        <f t="shared" si="138"/>
        <v>0</v>
      </c>
      <c r="DD346" t="s">
        <v>3</v>
      </c>
      <c r="DE346" t="s">
        <v>3</v>
      </c>
      <c r="DF346">
        <f t="shared" si="139"/>
        <v>0</v>
      </c>
      <c r="DG346">
        <f>ROUND(ROUND(AF346*AJ346,2)*CX346,2)</f>
        <v>327.29000000000002</v>
      </c>
      <c r="DH346">
        <f>ROUND(ROUND(AG346,2)*CX346,2)</f>
        <v>0</v>
      </c>
      <c r="DI346">
        <f t="shared" si="135"/>
        <v>0</v>
      </c>
      <c r="DJ346">
        <f>DG346</f>
        <v>327.29000000000002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ROW(Source!A121)</f>
        <v>121</v>
      </c>
      <c r="B347">
        <v>55747651</v>
      </c>
      <c r="C347">
        <v>55748154</v>
      </c>
      <c r="D347">
        <v>54768339</v>
      </c>
      <c r="E347">
        <v>1</v>
      </c>
      <c r="F347">
        <v>1</v>
      </c>
      <c r="G347">
        <v>1081</v>
      </c>
      <c r="H347">
        <v>2</v>
      </c>
      <c r="I347" t="s">
        <v>483</v>
      </c>
      <c r="J347" t="s">
        <v>484</v>
      </c>
      <c r="K347" t="s">
        <v>485</v>
      </c>
      <c r="L347">
        <v>1368</v>
      </c>
      <c r="N347">
        <v>1011</v>
      </c>
      <c r="O347" t="s">
        <v>479</v>
      </c>
      <c r="P347" t="s">
        <v>479</v>
      </c>
      <c r="Q347">
        <v>1</v>
      </c>
      <c r="W347">
        <v>0</v>
      </c>
      <c r="X347">
        <v>874612079</v>
      </c>
      <c r="Y347">
        <f t="shared" si="136"/>
        <v>5.36</v>
      </c>
      <c r="AA347">
        <v>0</v>
      </c>
      <c r="AB347">
        <v>1513.56</v>
      </c>
      <c r="AC347">
        <v>758.78</v>
      </c>
      <c r="AD347">
        <v>0</v>
      </c>
      <c r="AE347">
        <v>0</v>
      </c>
      <c r="AF347">
        <v>83.1</v>
      </c>
      <c r="AG347">
        <v>12.62</v>
      </c>
      <c r="AH347">
        <v>0</v>
      </c>
      <c r="AI347">
        <v>1</v>
      </c>
      <c r="AJ347">
        <v>17.07</v>
      </c>
      <c r="AK347">
        <v>56.35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5.36</v>
      </c>
      <c r="AU347" t="s">
        <v>3</v>
      </c>
      <c r="AV347">
        <v>0</v>
      </c>
      <c r="AW347">
        <v>2</v>
      </c>
      <c r="AX347">
        <v>55748175</v>
      </c>
      <c r="AY347">
        <v>1</v>
      </c>
      <c r="AZ347">
        <v>0</v>
      </c>
      <c r="BA347">
        <v>382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ROUND(Y347*Source!I121*DO347,9)</f>
        <v>2.029296</v>
      </c>
      <c r="CX347">
        <f>ROUND(Y347*Source!I121,9)</f>
        <v>0.1608</v>
      </c>
      <c r="CY347">
        <f>AB347</f>
        <v>1513.56</v>
      </c>
      <c r="CZ347">
        <f>AF347</f>
        <v>83.1</v>
      </c>
      <c r="DA347">
        <f>AJ347</f>
        <v>17.07</v>
      </c>
      <c r="DB347">
        <f t="shared" si="137"/>
        <v>445.42</v>
      </c>
      <c r="DC347">
        <f t="shared" si="138"/>
        <v>67.64</v>
      </c>
      <c r="DD347" t="s">
        <v>3</v>
      </c>
      <c r="DE347" t="s">
        <v>3</v>
      </c>
      <c r="DF347">
        <f t="shared" si="139"/>
        <v>0</v>
      </c>
      <c r="DG347">
        <f>ROUND(ROUND(AF347*AJ347,2)*CX347,2)</f>
        <v>228.1</v>
      </c>
      <c r="DH347">
        <f>ROUND(ROUND(AG347*AK347,2)*CX347,2)</f>
        <v>114.35</v>
      </c>
      <c r="DI347">
        <f t="shared" si="135"/>
        <v>0</v>
      </c>
      <c r="DJ347">
        <f>DG347</f>
        <v>228.1</v>
      </c>
      <c r="DK347">
        <v>0</v>
      </c>
      <c r="DL347" t="s">
        <v>486</v>
      </c>
      <c r="DM347">
        <v>0</v>
      </c>
      <c r="DN347" t="s">
        <v>475</v>
      </c>
      <c r="DO347">
        <v>12.62</v>
      </c>
    </row>
    <row r="348" spans="1:119" x14ac:dyDescent="0.2">
      <c r="A348">
        <f>ROW(Source!A121)</f>
        <v>121</v>
      </c>
      <c r="B348">
        <v>55747651</v>
      </c>
      <c r="C348">
        <v>55748154</v>
      </c>
      <c r="D348">
        <v>54767657</v>
      </c>
      <c r="E348">
        <v>1</v>
      </c>
      <c r="F348">
        <v>1</v>
      </c>
      <c r="G348">
        <v>1081</v>
      </c>
      <c r="H348">
        <v>2</v>
      </c>
      <c r="I348" t="s">
        <v>592</v>
      </c>
      <c r="J348" t="s">
        <v>593</v>
      </c>
      <c r="K348" t="s">
        <v>594</v>
      </c>
      <c r="L348">
        <v>1368</v>
      </c>
      <c r="N348">
        <v>1011</v>
      </c>
      <c r="O348" t="s">
        <v>479</v>
      </c>
      <c r="P348" t="s">
        <v>479</v>
      </c>
      <c r="Q348">
        <v>1</v>
      </c>
      <c r="W348">
        <v>0</v>
      </c>
      <c r="X348">
        <v>-1755828087</v>
      </c>
      <c r="Y348">
        <f t="shared" si="136"/>
        <v>4</v>
      </c>
      <c r="AA348">
        <v>0</v>
      </c>
      <c r="AB348">
        <v>34.85</v>
      </c>
      <c r="AC348">
        <v>0</v>
      </c>
      <c r="AD348">
        <v>0</v>
      </c>
      <c r="AE348">
        <v>0</v>
      </c>
      <c r="AF348">
        <v>3.18</v>
      </c>
      <c r="AG348">
        <v>0</v>
      </c>
      <c r="AH348">
        <v>0</v>
      </c>
      <c r="AI348">
        <v>1</v>
      </c>
      <c r="AJ348">
        <v>10.27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4</v>
      </c>
      <c r="AU348" t="s">
        <v>3</v>
      </c>
      <c r="AV348">
        <v>0</v>
      </c>
      <c r="AW348">
        <v>2</v>
      </c>
      <c r="AX348">
        <v>55748176</v>
      </c>
      <c r="AY348">
        <v>1</v>
      </c>
      <c r="AZ348">
        <v>0</v>
      </c>
      <c r="BA348">
        <v>383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ROUND(Y348*Source!I121*DO348,9)</f>
        <v>0</v>
      </c>
      <c r="CX348">
        <f>ROUND(Y348*Source!I121,9)</f>
        <v>0.12</v>
      </c>
      <c r="CY348">
        <f>AB348</f>
        <v>34.85</v>
      </c>
      <c r="CZ348">
        <f>AF348</f>
        <v>3.18</v>
      </c>
      <c r="DA348">
        <f>AJ348</f>
        <v>10.27</v>
      </c>
      <c r="DB348">
        <f t="shared" si="137"/>
        <v>12.72</v>
      </c>
      <c r="DC348">
        <f t="shared" si="138"/>
        <v>0</v>
      </c>
      <c r="DD348" t="s">
        <v>3</v>
      </c>
      <c r="DE348" t="s">
        <v>3</v>
      </c>
      <c r="DF348">
        <f t="shared" si="139"/>
        <v>0</v>
      </c>
      <c r="DG348">
        <f>ROUND(ROUND(AF348*AJ348,2)*CX348,2)</f>
        <v>3.92</v>
      </c>
      <c r="DH348">
        <f t="shared" ref="DH348:DH375" si="144">ROUND(ROUND(AG348,2)*CX348,2)</f>
        <v>0</v>
      </c>
      <c r="DI348">
        <f t="shared" si="135"/>
        <v>0</v>
      </c>
      <c r="DJ348">
        <f>DG348</f>
        <v>3.92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ROW(Source!A121)</f>
        <v>121</v>
      </c>
      <c r="B349">
        <v>55747651</v>
      </c>
      <c r="C349">
        <v>55748154</v>
      </c>
      <c r="D349">
        <v>54737367</v>
      </c>
      <c r="E349">
        <v>1</v>
      </c>
      <c r="F349">
        <v>1</v>
      </c>
      <c r="G349">
        <v>1081</v>
      </c>
      <c r="H349">
        <v>3</v>
      </c>
      <c r="I349" t="s">
        <v>538</v>
      </c>
      <c r="J349" t="s">
        <v>539</v>
      </c>
      <c r="K349" t="s">
        <v>540</v>
      </c>
      <c r="L349">
        <v>1339</v>
      </c>
      <c r="N349">
        <v>1007</v>
      </c>
      <c r="O349" t="s">
        <v>507</v>
      </c>
      <c r="P349" t="s">
        <v>507</v>
      </c>
      <c r="Q349">
        <v>1</v>
      </c>
      <c r="W349">
        <v>0</v>
      </c>
      <c r="X349">
        <v>-1622585150</v>
      </c>
      <c r="Y349">
        <f t="shared" si="136"/>
        <v>30</v>
      </c>
      <c r="AA349">
        <v>56.33</v>
      </c>
      <c r="AB349">
        <v>0</v>
      </c>
      <c r="AC349">
        <v>0</v>
      </c>
      <c r="AD349">
        <v>0</v>
      </c>
      <c r="AE349">
        <v>7.07</v>
      </c>
      <c r="AF349">
        <v>0</v>
      </c>
      <c r="AG349">
        <v>0</v>
      </c>
      <c r="AH349">
        <v>0</v>
      </c>
      <c r="AI349">
        <v>7.75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30</v>
      </c>
      <c r="AU349" t="s">
        <v>3</v>
      </c>
      <c r="AV349">
        <v>0</v>
      </c>
      <c r="AW349">
        <v>2</v>
      </c>
      <c r="AX349">
        <v>55748177</v>
      </c>
      <c r="AY349">
        <v>1</v>
      </c>
      <c r="AZ349">
        <v>0</v>
      </c>
      <c r="BA349">
        <v>384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ROUND(Y349*Source!I121,9)</f>
        <v>0.9</v>
      </c>
      <c r="CY349">
        <f t="shared" ref="CY349:CY358" si="145">AA349</f>
        <v>56.33</v>
      </c>
      <c r="CZ349">
        <f t="shared" ref="CZ349:CZ358" si="146">AE349</f>
        <v>7.07</v>
      </c>
      <c r="DA349">
        <f t="shared" ref="DA349:DA358" si="147">AI349</f>
        <v>7.75</v>
      </c>
      <c r="DB349">
        <f t="shared" si="137"/>
        <v>212.1</v>
      </c>
      <c r="DC349">
        <f t="shared" si="138"/>
        <v>0</v>
      </c>
      <c r="DD349" t="s">
        <v>3</v>
      </c>
      <c r="DE349" t="s">
        <v>3</v>
      </c>
      <c r="DF349">
        <f t="shared" ref="DF349:DF358" si="148">ROUND(ROUND(AE349*AI349,2)*CX349,2)</f>
        <v>49.31</v>
      </c>
      <c r="DG349">
        <f t="shared" ref="DG349:DG375" si="149">ROUND(ROUND(AF349,2)*CX349,2)</f>
        <v>0</v>
      </c>
      <c r="DH349">
        <f t="shared" si="144"/>
        <v>0</v>
      </c>
      <c r="DI349">
        <f t="shared" si="135"/>
        <v>0</v>
      </c>
      <c r="DJ349">
        <f t="shared" ref="DJ349:DJ358" si="150">DF349</f>
        <v>49.31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ROW(Source!A121)</f>
        <v>121</v>
      </c>
      <c r="B350">
        <v>55747651</v>
      </c>
      <c r="C350">
        <v>55748154</v>
      </c>
      <c r="D350">
        <v>54738430</v>
      </c>
      <c r="E350">
        <v>1</v>
      </c>
      <c r="F350">
        <v>1</v>
      </c>
      <c r="G350">
        <v>1081</v>
      </c>
      <c r="H350">
        <v>3</v>
      </c>
      <c r="I350" t="s">
        <v>562</v>
      </c>
      <c r="J350" t="s">
        <v>563</v>
      </c>
      <c r="K350" t="s">
        <v>564</v>
      </c>
      <c r="L350">
        <v>1348</v>
      </c>
      <c r="N350">
        <v>1009</v>
      </c>
      <c r="O350" t="s">
        <v>282</v>
      </c>
      <c r="P350" t="s">
        <v>282</v>
      </c>
      <c r="Q350">
        <v>1000</v>
      </c>
      <c r="W350">
        <v>0</v>
      </c>
      <c r="X350">
        <v>63955816</v>
      </c>
      <c r="Y350">
        <f t="shared" si="136"/>
        <v>2.3599999999999999E-2</v>
      </c>
      <c r="AA350">
        <v>99503.2</v>
      </c>
      <c r="AB350">
        <v>0</v>
      </c>
      <c r="AC350">
        <v>0</v>
      </c>
      <c r="AD350">
        <v>0</v>
      </c>
      <c r="AE350">
        <v>7185.82</v>
      </c>
      <c r="AF350">
        <v>0</v>
      </c>
      <c r="AG350">
        <v>0</v>
      </c>
      <c r="AH350">
        <v>0</v>
      </c>
      <c r="AI350">
        <v>13.47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2.3599999999999999E-2</v>
      </c>
      <c r="AU350" t="s">
        <v>3</v>
      </c>
      <c r="AV350">
        <v>0</v>
      </c>
      <c r="AW350">
        <v>2</v>
      </c>
      <c r="AX350">
        <v>55748178</v>
      </c>
      <c r="AY350">
        <v>1</v>
      </c>
      <c r="AZ350">
        <v>0</v>
      </c>
      <c r="BA350">
        <v>385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ROUND(Y350*Source!I121,9)</f>
        <v>7.0799999999999997E-4</v>
      </c>
      <c r="CY350">
        <f t="shared" si="145"/>
        <v>99503.2</v>
      </c>
      <c r="CZ350">
        <f t="shared" si="146"/>
        <v>7185.82</v>
      </c>
      <c r="DA350">
        <f t="shared" si="147"/>
        <v>13.47</v>
      </c>
      <c r="DB350">
        <f t="shared" si="137"/>
        <v>169.59</v>
      </c>
      <c r="DC350">
        <f t="shared" si="138"/>
        <v>0</v>
      </c>
      <c r="DD350" t="s">
        <v>3</v>
      </c>
      <c r="DE350" t="s">
        <v>3</v>
      </c>
      <c r="DF350">
        <f t="shared" si="148"/>
        <v>68.53</v>
      </c>
      <c r="DG350">
        <f t="shared" si="149"/>
        <v>0</v>
      </c>
      <c r="DH350">
        <f t="shared" si="144"/>
        <v>0</v>
      </c>
      <c r="DI350">
        <f t="shared" si="135"/>
        <v>0</v>
      </c>
      <c r="DJ350">
        <f t="shared" si="150"/>
        <v>68.53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ROW(Source!A121)</f>
        <v>121</v>
      </c>
      <c r="B351">
        <v>55747651</v>
      </c>
      <c r="C351">
        <v>55748154</v>
      </c>
      <c r="D351">
        <v>54738505</v>
      </c>
      <c r="E351">
        <v>1</v>
      </c>
      <c r="F351">
        <v>1</v>
      </c>
      <c r="G351">
        <v>1081</v>
      </c>
      <c r="H351">
        <v>3</v>
      </c>
      <c r="I351" t="s">
        <v>580</v>
      </c>
      <c r="J351" t="s">
        <v>581</v>
      </c>
      <c r="K351" t="s">
        <v>582</v>
      </c>
      <c r="L351">
        <v>1346</v>
      </c>
      <c r="N351">
        <v>1009</v>
      </c>
      <c r="O351" t="s">
        <v>503</v>
      </c>
      <c r="P351" t="s">
        <v>503</v>
      </c>
      <c r="Q351">
        <v>1</v>
      </c>
      <c r="W351">
        <v>0</v>
      </c>
      <c r="X351">
        <v>732400950</v>
      </c>
      <c r="Y351">
        <f t="shared" si="136"/>
        <v>11.6</v>
      </c>
      <c r="AA351">
        <v>94.12</v>
      </c>
      <c r="AB351">
        <v>0</v>
      </c>
      <c r="AC351">
        <v>0</v>
      </c>
      <c r="AD351">
        <v>0</v>
      </c>
      <c r="AE351">
        <v>21</v>
      </c>
      <c r="AF351">
        <v>0</v>
      </c>
      <c r="AG351">
        <v>0</v>
      </c>
      <c r="AH351">
        <v>0</v>
      </c>
      <c r="AI351">
        <v>4.3600000000000003</v>
      </c>
      <c r="AJ351">
        <v>1</v>
      </c>
      <c r="AK351">
        <v>1</v>
      </c>
      <c r="AL351">
        <v>1</v>
      </c>
      <c r="AM351">
        <v>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11.6</v>
      </c>
      <c r="AU351" t="s">
        <v>3</v>
      </c>
      <c r="AV351">
        <v>0</v>
      </c>
      <c r="AW351">
        <v>2</v>
      </c>
      <c r="AX351">
        <v>55748179</v>
      </c>
      <c r="AY351">
        <v>1</v>
      </c>
      <c r="AZ351">
        <v>0</v>
      </c>
      <c r="BA351">
        <v>386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ROUND(Y351*Source!I121,9)</f>
        <v>0.34799999999999998</v>
      </c>
      <c r="CY351">
        <f t="shared" si="145"/>
        <v>94.12</v>
      </c>
      <c r="CZ351">
        <f t="shared" si="146"/>
        <v>21</v>
      </c>
      <c r="DA351">
        <f t="shared" si="147"/>
        <v>4.3600000000000003</v>
      </c>
      <c r="DB351">
        <f t="shared" si="137"/>
        <v>243.6</v>
      </c>
      <c r="DC351">
        <f t="shared" si="138"/>
        <v>0</v>
      </c>
      <c r="DD351" t="s">
        <v>3</v>
      </c>
      <c r="DE351" t="s">
        <v>3</v>
      </c>
      <c r="DF351">
        <f t="shared" si="148"/>
        <v>31.86</v>
      </c>
      <c r="DG351">
        <f t="shared" si="149"/>
        <v>0</v>
      </c>
      <c r="DH351">
        <f t="shared" si="144"/>
        <v>0</v>
      </c>
      <c r="DI351">
        <f t="shared" si="135"/>
        <v>0</v>
      </c>
      <c r="DJ351">
        <f t="shared" si="150"/>
        <v>31.86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ROW(Source!A121)</f>
        <v>121</v>
      </c>
      <c r="B352">
        <v>55747651</v>
      </c>
      <c r="C352">
        <v>55748154</v>
      </c>
      <c r="D352">
        <v>54738703</v>
      </c>
      <c r="E352">
        <v>1</v>
      </c>
      <c r="F352">
        <v>1</v>
      </c>
      <c r="G352">
        <v>1081</v>
      </c>
      <c r="H352">
        <v>3</v>
      </c>
      <c r="I352" t="s">
        <v>595</v>
      </c>
      <c r="J352" t="s">
        <v>596</v>
      </c>
      <c r="K352" t="s">
        <v>597</v>
      </c>
      <c r="L352">
        <v>1355</v>
      </c>
      <c r="N352">
        <v>1010</v>
      </c>
      <c r="O352" t="s">
        <v>254</v>
      </c>
      <c r="P352" t="s">
        <v>254</v>
      </c>
      <c r="Q352">
        <v>100</v>
      </c>
      <c r="W352">
        <v>0</v>
      </c>
      <c r="X352">
        <v>1567739421</v>
      </c>
      <c r="Y352">
        <f t="shared" si="136"/>
        <v>3.6</v>
      </c>
      <c r="AA352">
        <v>480.06</v>
      </c>
      <c r="AB352">
        <v>0</v>
      </c>
      <c r="AC352">
        <v>0</v>
      </c>
      <c r="AD352">
        <v>0</v>
      </c>
      <c r="AE352">
        <v>496.79</v>
      </c>
      <c r="AF352">
        <v>0</v>
      </c>
      <c r="AG352">
        <v>0</v>
      </c>
      <c r="AH352">
        <v>0</v>
      </c>
      <c r="AI352">
        <v>0.94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3.6</v>
      </c>
      <c r="AU352" t="s">
        <v>3</v>
      </c>
      <c r="AV352">
        <v>0</v>
      </c>
      <c r="AW352">
        <v>2</v>
      </c>
      <c r="AX352">
        <v>55748180</v>
      </c>
      <c r="AY352">
        <v>1</v>
      </c>
      <c r="AZ352">
        <v>0</v>
      </c>
      <c r="BA352">
        <v>387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ROUND(Y352*Source!I121,9)</f>
        <v>0.108</v>
      </c>
      <c r="CY352">
        <f t="shared" si="145"/>
        <v>480.06</v>
      </c>
      <c r="CZ352">
        <f t="shared" si="146"/>
        <v>496.79</v>
      </c>
      <c r="DA352">
        <f t="shared" si="147"/>
        <v>0.94</v>
      </c>
      <c r="DB352">
        <f t="shared" si="137"/>
        <v>1788.44</v>
      </c>
      <c r="DC352">
        <f t="shared" si="138"/>
        <v>0</v>
      </c>
      <c r="DD352" t="s">
        <v>3</v>
      </c>
      <c r="DE352" t="s">
        <v>3</v>
      </c>
      <c r="DF352">
        <f t="shared" si="148"/>
        <v>50.43</v>
      </c>
      <c r="DG352">
        <f t="shared" si="149"/>
        <v>0</v>
      </c>
      <c r="DH352">
        <f t="shared" si="144"/>
        <v>0</v>
      </c>
      <c r="DI352">
        <f t="shared" si="135"/>
        <v>0</v>
      </c>
      <c r="DJ352">
        <f t="shared" si="150"/>
        <v>50.43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ROW(Source!A121)</f>
        <v>121</v>
      </c>
      <c r="B353">
        <v>55747651</v>
      </c>
      <c r="C353">
        <v>55748154</v>
      </c>
      <c r="D353">
        <v>54738704</v>
      </c>
      <c r="E353">
        <v>1</v>
      </c>
      <c r="F353">
        <v>1</v>
      </c>
      <c r="G353">
        <v>1081</v>
      </c>
      <c r="H353">
        <v>3</v>
      </c>
      <c r="I353" t="s">
        <v>598</v>
      </c>
      <c r="J353" t="s">
        <v>599</v>
      </c>
      <c r="K353" t="s">
        <v>600</v>
      </c>
      <c r="L353">
        <v>1355</v>
      </c>
      <c r="N353">
        <v>1010</v>
      </c>
      <c r="O353" t="s">
        <v>254</v>
      </c>
      <c r="P353" t="s">
        <v>254</v>
      </c>
      <c r="Q353">
        <v>100</v>
      </c>
      <c r="W353">
        <v>0</v>
      </c>
      <c r="X353">
        <v>-96727844</v>
      </c>
      <c r="Y353">
        <f t="shared" si="136"/>
        <v>3.6</v>
      </c>
      <c r="AA353">
        <v>578.83000000000004</v>
      </c>
      <c r="AB353">
        <v>0</v>
      </c>
      <c r="AC353">
        <v>0</v>
      </c>
      <c r="AD353">
        <v>0</v>
      </c>
      <c r="AE353">
        <v>243.75</v>
      </c>
      <c r="AF353">
        <v>0</v>
      </c>
      <c r="AG353">
        <v>0</v>
      </c>
      <c r="AH353">
        <v>0</v>
      </c>
      <c r="AI353">
        <v>2.31</v>
      </c>
      <c r="AJ353">
        <v>1</v>
      </c>
      <c r="AK353">
        <v>1</v>
      </c>
      <c r="AL353">
        <v>1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3.6</v>
      </c>
      <c r="AU353" t="s">
        <v>3</v>
      </c>
      <c r="AV353">
        <v>0</v>
      </c>
      <c r="AW353">
        <v>2</v>
      </c>
      <c r="AX353">
        <v>55748181</v>
      </c>
      <c r="AY353">
        <v>1</v>
      </c>
      <c r="AZ353">
        <v>0</v>
      </c>
      <c r="BA353">
        <v>388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ROUND(Y353*Source!I121,9)</f>
        <v>0.108</v>
      </c>
      <c r="CY353">
        <f t="shared" si="145"/>
        <v>578.83000000000004</v>
      </c>
      <c r="CZ353">
        <f t="shared" si="146"/>
        <v>243.75</v>
      </c>
      <c r="DA353">
        <f t="shared" si="147"/>
        <v>2.31</v>
      </c>
      <c r="DB353">
        <f t="shared" si="137"/>
        <v>877.5</v>
      </c>
      <c r="DC353">
        <f t="shared" si="138"/>
        <v>0</v>
      </c>
      <c r="DD353" t="s">
        <v>3</v>
      </c>
      <c r="DE353" t="s">
        <v>3</v>
      </c>
      <c r="DF353">
        <f t="shared" si="148"/>
        <v>60.81</v>
      </c>
      <c r="DG353">
        <f t="shared" si="149"/>
        <v>0</v>
      </c>
      <c r="DH353">
        <f t="shared" si="144"/>
        <v>0</v>
      </c>
      <c r="DI353">
        <f t="shared" si="135"/>
        <v>0</v>
      </c>
      <c r="DJ353">
        <f t="shared" si="150"/>
        <v>60.81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ROW(Source!A121)</f>
        <v>121</v>
      </c>
      <c r="B354">
        <v>55747651</v>
      </c>
      <c r="C354">
        <v>55748154</v>
      </c>
      <c r="D354">
        <v>54737299</v>
      </c>
      <c r="E354">
        <v>1</v>
      </c>
      <c r="F354">
        <v>1</v>
      </c>
      <c r="G354">
        <v>1081</v>
      </c>
      <c r="H354">
        <v>3</v>
      </c>
      <c r="I354" t="s">
        <v>583</v>
      </c>
      <c r="J354" t="s">
        <v>584</v>
      </c>
      <c r="K354" t="s">
        <v>585</v>
      </c>
      <c r="L354">
        <v>1339</v>
      </c>
      <c r="N354">
        <v>1007</v>
      </c>
      <c r="O354" t="s">
        <v>507</v>
      </c>
      <c r="P354" t="s">
        <v>507</v>
      </c>
      <c r="Q354">
        <v>1</v>
      </c>
      <c r="W354">
        <v>0</v>
      </c>
      <c r="X354">
        <v>-676034668</v>
      </c>
      <c r="Y354">
        <f t="shared" si="136"/>
        <v>9</v>
      </c>
      <c r="AA354">
        <v>781.45</v>
      </c>
      <c r="AB354">
        <v>0</v>
      </c>
      <c r="AC354">
        <v>0</v>
      </c>
      <c r="AD354">
        <v>0</v>
      </c>
      <c r="AE354">
        <v>53.42</v>
      </c>
      <c r="AF354">
        <v>0</v>
      </c>
      <c r="AG354">
        <v>0</v>
      </c>
      <c r="AH354">
        <v>0</v>
      </c>
      <c r="AI354">
        <v>14.23</v>
      </c>
      <c r="AJ354">
        <v>1</v>
      </c>
      <c r="AK354">
        <v>1</v>
      </c>
      <c r="AL354">
        <v>1</v>
      </c>
      <c r="AM354">
        <v>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9</v>
      </c>
      <c r="AU354" t="s">
        <v>3</v>
      </c>
      <c r="AV354">
        <v>0</v>
      </c>
      <c r="AW354">
        <v>2</v>
      </c>
      <c r="AX354">
        <v>55748182</v>
      </c>
      <c r="AY354">
        <v>1</v>
      </c>
      <c r="AZ354">
        <v>0</v>
      </c>
      <c r="BA354">
        <v>389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ROUND(Y354*Source!I121,9)</f>
        <v>0.27</v>
      </c>
      <c r="CY354">
        <f t="shared" si="145"/>
        <v>781.45</v>
      </c>
      <c r="CZ354">
        <f t="shared" si="146"/>
        <v>53.42</v>
      </c>
      <c r="DA354">
        <f t="shared" si="147"/>
        <v>14.23</v>
      </c>
      <c r="DB354">
        <f t="shared" si="137"/>
        <v>480.78</v>
      </c>
      <c r="DC354">
        <f t="shared" si="138"/>
        <v>0</v>
      </c>
      <c r="DD354" t="s">
        <v>3</v>
      </c>
      <c r="DE354" t="s">
        <v>3</v>
      </c>
      <c r="DF354">
        <f t="shared" si="148"/>
        <v>205.25</v>
      </c>
      <c r="DG354">
        <f t="shared" si="149"/>
        <v>0</v>
      </c>
      <c r="DH354">
        <f t="shared" si="144"/>
        <v>0</v>
      </c>
      <c r="DI354">
        <f t="shared" si="135"/>
        <v>0</v>
      </c>
      <c r="DJ354">
        <f t="shared" si="150"/>
        <v>205.25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ROW(Source!A121)</f>
        <v>121</v>
      </c>
      <c r="B355">
        <v>55747651</v>
      </c>
      <c r="C355">
        <v>55748154</v>
      </c>
      <c r="D355">
        <v>54737565</v>
      </c>
      <c r="E355">
        <v>1</v>
      </c>
      <c r="F355">
        <v>1</v>
      </c>
      <c r="G355">
        <v>1081</v>
      </c>
      <c r="H355">
        <v>3</v>
      </c>
      <c r="I355" t="s">
        <v>504</v>
      </c>
      <c r="J355" t="s">
        <v>505</v>
      </c>
      <c r="K355" t="s">
        <v>506</v>
      </c>
      <c r="L355">
        <v>1339</v>
      </c>
      <c r="N355">
        <v>1007</v>
      </c>
      <c r="O355" t="s">
        <v>507</v>
      </c>
      <c r="P355" t="s">
        <v>507</v>
      </c>
      <c r="Q355">
        <v>1</v>
      </c>
      <c r="W355">
        <v>0</v>
      </c>
      <c r="X355">
        <v>-1235260082</v>
      </c>
      <c r="Y355">
        <f t="shared" si="136"/>
        <v>11.6</v>
      </c>
      <c r="AA355">
        <v>104.16</v>
      </c>
      <c r="AB355">
        <v>0</v>
      </c>
      <c r="AC355">
        <v>0</v>
      </c>
      <c r="AD355">
        <v>0</v>
      </c>
      <c r="AE355">
        <v>5.82</v>
      </c>
      <c r="AF355">
        <v>0</v>
      </c>
      <c r="AG355">
        <v>0</v>
      </c>
      <c r="AH355">
        <v>0</v>
      </c>
      <c r="AI355">
        <v>17.41</v>
      </c>
      <c r="AJ355">
        <v>1</v>
      </c>
      <c r="AK355">
        <v>1</v>
      </c>
      <c r="AL355">
        <v>1</v>
      </c>
      <c r="AM355">
        <v>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11.6</v>
      </c>
      <c r="AU355" t="s">
        <v>3</v>
      </c>
      <c r="AV355">
        <v>0</v>
      </c>
      <c r="AW355">
        <v>2</v>
      </c>
      <c r="AX355">
        <v>55748183</v>
      </c>
      <c r="AY355">
        <v>1</v>
      </c>
      <c r="AZ355">
        <v>0</v>
      </c>
      <c r="BA355">
        <v>390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ROUND(Y355*Source!I121,9)</f>
        <v>0.34799999999999998</v>
      </c>
      <c r="CY355">
        <f t="shared" si="145"/>
        <v>104.16</v>
      </c>
      <c r="CZ355">
        <f t="shared" si="146"/>
        <v>5.82</v>
      </c>
      <c r="DA355">
        <f t="shared" si="147"/>
        <v>17.41</v>
      </c>
      <c r="DB355">
        <f t="shared" si="137"/>
        <v>67.510000000000005</v>
      </c>
      <c r="DC355">
        <f t="shared" si="138"/>
        <v>0</v>
      </c>
      <c r="DD355" t="s">
        <v>3</v>
      </c>
      <c r="DE355" t="s">
        <v>3</v>
      </c>
      <c r="DF355">
        <f t="shared" si="148"/>
        <v>35.26</v>
      </c>
      <c r="DG355">
        <f t="shared" si="149"/>
        <v>0</v>
      </c>
      <c r="DH355">
        <f t="shared" si="144"/>
        <v>0</v>
      </c>
      <c r="DI355">
        <f t="shared" si="135"/>
        <v>0</v>
      </c>
      <c r="DJ355">
        <f t="shared" si="150"/>
        <v>35.26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ROW(Source!A121)</f>
        <v>121</v>
      </c>
      <c r="B356">
        <v>55747651</v>
      </c>
      <c r="C356">
        <v>55748154</v>
      </c>
      <c r="D356">
        <v>54749865</v>
      </c>
      <c r="E356">
        <v>1</v>
      </c>
      <c r="F356">
        <v>1</v>
      </c>
      <c r="G356">
        <v>1081</v>
      </c>
      <c r="H356">
        <v>3</v>
      </c>
      <c r="I356" t="s">
        <v>227</v>
      </c>
      <c r="J356" t="s">
        <v>229</v>
      </c>
      <c r="K356" t="s">
        <v>228</v>
      </c>
      <c r="L356">
        <v>1301</v>
      </c>
      <c r="N356">
        <v>1003</v>
      </c>
      <c r="O356" t="s">
        <v>191</v>
      </c>
      <c r="P356" t="s">
        <v>191</v>
      </c>
      <c r="Q356">
        <v>1</v>
      </c>
      <c r="W356">
        <v>0</v>
      </c>
      <c r="X356">
        <v>-2048145394</v>
      </c>
      <c r="Y356">
        <f t="shared" si="136"/>
        <v>500</v>
      </c>
      <c r="AA356">
        <v>687.98</v>
      </c>
      <c r="AB356">
        <v>0</v>
      </c>
      <c r="AC356">
        <v>0</v>
      </c>
      <c r="AD356">
        <v>0</v>
      </c>
      <c r="AE356">
        <v>41.57</v>
      </c>
      <c r="AF356">
        <v>0</v>
      </c>
      <c r="AG356">
        <v>0</v>
      </c>
      <c r="AH356">
        <v>0</v>
      </c>
      <c r="AI356">
        <v>16.55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500</v>
      </c>
      <c r="AU356" t="s">
        <v>3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ROUND(Y356*Source!I121,9)</f>
        <v>15</v>
      </c>
      <c r="CY356">
        <f t="shared" si="145"/>
        <v>687.98</v>
      </c>
      <c r="CZ356">
        <f t="shared" si="146"/>
        <v>41.57</v>
      </c>
      <c r="DA356">
        <f t="shared" si="147"/>
        <v>16.55</v>
      </c>
      <c r="DB356">
        <f t="shared" si="137"/>
        <v>20785</v>
      </c>
      <c r="DC356">
        <f t="shared" si="138"/>
        <v>0</v>
      </c>
      <c r="DD356" t="s">
        <v>3</v>
      </c>
      <c r="DE356" t="s">
        <v>3</v>
      </c>
      <c r="DF356">
        <f t="shared" si="148"/>
        <v>10319.700000000001</v>
      </c>
      <c r="DG356">
        <f t="shared" si="149"/>
        <v>0</v>
      </c>
      <c r="DH356">
        <f t="shared" si="144"/>
        <v>0</v>
      </c>
      <c r="DI356">
        <f t="shared" si="135"/>
        <v>0</v>
      </c>
      <c r="DJ356">
        <f t="shared" si="150"/>
        <v>10319.700000000001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ROW(Source!A121)</f>
        <v>121</v>
      </c>
      <c r="B357">
        <v>55747651</v>
      </c>
      <c r="C357">
        <v>55748154</v>
      </c>
      <c r="D357">
        <v>54749866</v>
      </c>
      <c r="E357">
        <v>1</v>
      </c>
      <c r="F357">
        <v>1</v>
      </c>
      <c r="G357">
        <v>1081</v>
      </c>
      <c r="H357">
        <v>3</v>
      </c>
      <c r="I357" t="s">
        <v>224</v>
      </c>
      <c r="J357" t="s">
        <v>226</v>
      </c>
      <c r="K357" t="s">
        <v>225</v>
      </c>
      <c r="L357">
        <v>1301</v>
      </c>
      <c r="N357">
        <v>1003</v>
      </c>
      <c r="O357" t="s">
        <v>191</v>
      </c>
      <c r="P357" t="s">
        <v>191</v>
      </c>
      <c r="Q357">
        <v>1</v>
      </c>
      <c r="W357">
        <v>0</v>
      </c>
      <c r="X357">
        <v>-173671470</v>
      </c>
      <c r="Y357">
        <f t="shared" si="136"/>
        <v>500</v>
      </c>
      <c r="AA357">
        <v>1062.52</v>
      </c>
      <c r="AB357">
        <v>0</v>
      </c>
      <c r="AC357">
        <v>0</v>
      </c>
      <c r="AD357">
        <v>0</v>
      </c>
      <c r="AE357">
        <v>51.28</v>
      </c>
      <c r="AF357">
        <v>0</v>
      </c>
      <c r="AG357">
        <v>0</v>
      </c>
      <c r="AH357">
        <v>0</v>
      </c>
      <c r="AI357">
        <v>20.72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500</v>
      </c>
      <c r="AU357" t="s">
        <v>3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ROUND(Y357*Source!I121,9)</f>
        <v>15</v>
      </c>
      <c r="CY357">
        <f t="shared" si="145"/>
        <v>1062.52</v>
      </c>
      <c r="CZ357">
        <f t="shared" si="146"/>
        <v>51.28</v>
      </c>
      <c r="DA357">
        <f t="shared" si="147"/>
        <v>20.72</v>
      </c>
      <c r="DB357">
        <f t="shared" si="137"/>
        <v>25640</v>
      </c>
      <c r="DC357">
        <f t="shared" si="138"/>
        <v>0</v>
      </c>
      <c r="DD357" t="s">
        <v>3</v>
      </c>
      <c r="DE357" t="s">
        <v>3</v>
      </c>
      <c r="DF357">
        <f t="shared" si="148"/>
        <v>15937.8</v>
      </c>
      <c r="DG357">
        <f t="shared" si="149"/>
        <v>0</v>
      </c>
      <c r="DH357">
        <f t="shared" si="144"/>
        <v>0</v>
      </c>
      <c r="DI357">
        <f t="shared" si="135"/>
        <v>0</v>
      </c>
      <c r="DJ357">
        <f t="shared" si="150"/>
        <v>15937.8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ROW(Source!A121)</f>
        <v>121</v>
      </c>
      <c r="B358">
        <v>55747651</v>
      </c>
      <c r="C358">
        <v>55748154</v>
      </c>
      <c r="D358">
        <v>54759954</v>
      </c>
      <c r="E358">
        <v>1</v>
      </c>
      <c r="F358">
        <v>1</v>
      </c>
      <c r="G358">
        <v>1081</v>
      </c>
      <c r="H358">
        <v>3</v>
      </c>
      <c r="I358" t="s">
        <v>601</v>
      </c>
      <c r="J358" t="s">
        <v>602</v>
      </c>
      <c r="K358" t="s">
        <v>603</v>
      </c>
      <c r="L358">
        <v>1354</v>
      </c>
      <c r="N358">
        <v>1010</v>
      </c>
      <c r="O358" t="s">
        <v>118</v>
      </c>
      <c r="P358" t="s">
        <v>118</v>
      </c>
      <c r="Q358">
        <v>1</v>
      </c>
      <c r="W358">
        <v>0</v>
      </c>
      <c r="X358">
        <v>483106430</v>
      </c>
      <c r="Y358">
        <f t="shared" si="136"/>
        <v>360</v>
      </c>
      <c r="AA358">
        <v>17.47</v>
      </c>
      <c r="AB358">
        <v>0</v>
      </c>
      <c r="AC358">
        <v>0</v>
      </c>
      <c r="AD358">
        <v>0</v>
      </c>
      <c r="AE358">
        <v>14.28</v>
      </c>
      <c r="AF358">
        <v>0</v>
      </c>
      <c r="AG358">
        <v>0</v>
      </c>
      <c r="AH358">
        <v>0</v>
      </c>
      <c r="AI358">
        <v>1.19</v>
      </c>
      <c r="AJ358">
        <v>1</v>
      </c>
      <c r="AK358">
        <v>1</v>
      </c>
      <c r="AL358">
        <v>1</v>
      </c>
      <c r="AM358">
        <v>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360</v>
      </c>
      <c r="AU358" t="s">
        <v>3</v>
      </c>
      <c r="AV358">
        <v>0</v>
      </c>
      <c r="AW358">
        <v>2</v>
      </c>
      <c r="AX358">
        <v>55748184</v>
      </c>
      <c r="AY358">
        <v>1</v>
      </c>
      <c r="AZ358">
        <v>0</v>
      </c>
      <c r="BA358">
        <v>391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ROUND(Y358*Source!I121,9)</f>
        <v>10.8</v>
      </c>
      <c r="CY358">
        <f t="shared" si="145"/>
        <v>17.47</v>
      </c>
      <c r="CZ358">
        <f t="shared" si="146"/>
        <v>14.28</v>
      </c>
      <c r="DA358">
        <f t="shared" si="147"/>
        <v>1.19</v>
      </c>
      <c r="DB358">
        <f t="shared" si="137"/>
        <v>5140.8</v>
      </c>
      <c r="DC358">
        <f t="shared" si="138"/>
        <v>0</v>
      </c>
      <c r="DD358" t="s">
        <v>3</v>
      </c>
      <c r="DE358" t="s">
        <v>3</v>
      </c>
      <c r="DF358">
        <f t="shared" si="148"/>
        <v>183.49</v>
      </c>
      <c r="DG358">
        <f t="shared" si="149"/>
        <v>0</v>
      </c>
      <c r="DH358">
        <f t="shared" si="144"/>
        <v>0</v>
      </c>
      <c r="DI358">
        <f t="shared" si="135"/>
        <v>0</v>
      </c>
      <c r="DJ358">
        <f t="shared" si="150"/>
        <v>183.49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ROW(Source!A126)</f>
        <v>126</v>
      </c>
      <c r="B359">
        <v>55747649</v>
      </c>
      <c r="C359">
        <v>55748188</v>
      </c>
      <c r="D359">
        <v>54702434</v>
      </c>
      <c r="E359">
        <v>1081</v>
      </c>
      <c r="F359">
        <v>1</v>
      </c>
      <c r="G359">
        <v>1081</v>
      </c>
      <c r="H359">
        <v>1</v>
      </c>
      <c r="I359" t="s">
        <v>473</v>
      </c>
      <c r="J359" t="s">
        <v>3</v>
      </c>
      <c r="K359" t="s">
        <v>474</v>
      </c>
      <c r="L359">
        <v>1191</v>
      </c>
      <c r="N359">
        <v>1013</v>
      </c>
      <c r="O359" t="s">
        <v>475</v>
      </c>
      <c r="P359" t="s">
        <v>475</v>
      </c>
      <c r="Q359">
        <v>1</v>
      </c>
      <c r="W359">
        <v>0</v>
      </c>
      <c r="X359">
        <v>476480486</v>
      </c>
      <c r="Y359">
        <f t="shared" ref="Y359:Y364" si="151">(AT359*1.2)</f>
        <v>166.79999999999998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139</v>
      </c>
      <c r="AU359" t="s">
        <v>49</v>
      </c>
      <c r="AV359">
        <v>1</v>
      </c>
      <c r="AW359">
        <v>2</v>
      </c>
      <c r="AX359">
        <v>55748205</v>
      </c>
      <c r="AY359">
        <v>1</v>
      </c>
      <c r="AZ359">
        <v>0</v>
      </c>
      <c r="BA359">
        <v>393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ROUND(AT359*Source!I126*AH359*AL359,2)</f>
        <v>0</v>
      </c>
      <c r="CV359">
        <f>ROUND(Y359*Source!I126,9)</f>
        <v>50.04</v>
      </c>
      <c r="CW359">
        <v>0</v>
      </c>
      <c r="CX359">
        <f>ROUND(Y359*Source!I126,9)</f>
        <v>50.04</v>
      </c>
      <c r="CY359">
        <f>AD359</f>
        <v>0</v>
      </c>
      <c r="CZ359">
        <f>AH359</f>
        <v>0</v>
      </c>
      <c r="DA359">
        <f>AL359</f>
        <v>1</v>
      </c>
      <c r="DB359">
        <f t="shared" ref="DB359:DB364" si="152">ROUND((ROUND(AT359*CZ359,2)*1.2),6)</f>
        <v>0</v>
      </c>
      <c r="DC359">
        <f t="shared" ref="DC359:DC364" si="153">ROUND((ROUND(AT359*AG359,2)*1.2),6)</f>
        <v>0</v>
      </c>
      <c r="DD359" t="s">
        <v>3</v>
      </c>
      <c r="DE359" t="s">
        <v>3</v>
      </c>
      <c r="DF359">
        <f t="shared" ref="DF359:DF380" si="154">ROUND(ROUND(AE359,2)*CX359,2)</f>
        <v>0</v>
      </c>
      <c r="DG359">
        <f t="shared" si="149"/>
        <v>0</v>
      </c>
      <c r="DH359">
        <f t="shared" si="144"/>
        <v>0</v>
      </c>
      <c r="DI359">
        <f t="shared" si="135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ROW(Source!A126)</f>
        <v>126</v>
      </c>
      <c r="B360">
        <v>55747649</v>
      </c>
      <c r="C360">
        <v>55748188</v>
      </c>
      <c r="D360">
        <v>54767934</v>
      </c>
      <c r="E360">
        <v>1</v>
      </c>
      <c r="F360">
        <v>1</v>
      </c>
      <c r="G360">
        <v>1081</v>
      </c>
      <c r="H360">
        <v>2</v>
      </c>
      <c r="I360" t="s">
        <v>586</v>
      </c>
      <c r="J360" t="s">
        <v>587</v>
      </c>
      <c r="K360" t="s">
        <v>588</v>
      </c>
      <c r="L360">
        <v>1368</v>
      </c>
      <c r="N360">
        <v>1011</v>
      </c>
      <c r="O360" t="s">
        <v>479</v>
      </c>
      <c r="P360" t="s">
        <v>479</v>
      </c>
      <c r="Q360">
        <v>1</v>
      </c>
      <c r="W360">
        <v>0</v>
      </c>
      <c r="X360">
        <v>-1222619517</v>
      </c>
      <c r="Y360">
        <f t="shared" si="151"/>
        <v>9</v>
      </c>
      <c r="AA360">
        <v>0</v>
      </c>
      <c r="AB360">
        <v>51.29</v>
      </c>
      <c r="AC360">
        <v>13.47</v>
      </c>
      <c r="AD360">
        <v>0</v>
      </c>
      <c r="AE360">
        <v>0</v>
      </c>
      <c r="AF360">
        <v>48.07</v>
      </c>
      <c r="AG360">
        <v>12.62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7.5</v>
      </c>
      <c r="AU360" t="s">
        <v>49</v>
      </c>
      <c r="AV360">
        <v>0</v>
      </c>
      <c r="AW360">
        <v>2</v>
      </c>
      <c r="AX360">
        <v>55748206</v>
      </c>
      <c r="AY360">
        <v>1</v>
      </c>
      <c r="AZ360">
        <v>0</v>
      </c>
      <c r="BA360">
        <v>394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ROUND(Y360*Source!I126*DO360,9)</f>
        <v>34.073999999999998</v>
      </c>
      <c r="CX360">
        <f>ROUND(Y360*Source!I126,9)</f>
        <v>2.7</v>
      </c>
      <c r="CY360">
        <f>AB360</f>
        <v>51.29</v>
      </c>
      <c r="CZ360">
        <f>AF360</f>
        <v>48.07</v>
      </c>
      <c r="DA360">
        <f>AJ360</f>
        <v>1</v>
      </c>
      <c r="DB360">
        <f t="shared" si="152"/>
        <v>432.63600000000002</v>
      </c>
      <c r="DC360">
        <f t="shared" si="153"/>
        <v>113.58</v>
      </c>
      <c r="DD360" t="s">
        <v>3</v>
      </c>
      <c r="DE360" t="s">
        <v>3</v>
      </c>
      <c r="DF360">
        <f t="shared" si="154"/>
        <v>0</v>
      </c>
      <c r="DG360">
        <f t="shared" si="149"/>
        <v>129.79</v>
      </c>
      <c r="DH360">
        <f t="shared" si="144"/>
        <v>34.07</v>
      </c>
      <c r="DI360">
        <f t="shared" si="135"/>
        <v>0</v>
      </c>
      <c r="DJ360">
        <f>DG360</f>
        <v>129.79</v>
      </c>
      <c r="DK360">
        <v>0</v>
      </c>
      <c r="DL360" t="s">
        <v>486</v>
      </c>
      <c r="DM360">
        <v>0</v>
      </c>
      <c r="DN360" t="s">
        <v>475</v>
      </c>
      <c r="DO360">
        <v>12.62</v>
      </c>
    </row>
    <row r="361" spans="1:119" x14ac:dyDescent="0.2">
      <c r="A361">
        <f>ROW(Source!A126)</f>
        <v>126</v>
      </c>
      <c r="B361">
        <v>55747649</v>
      </c>
      <c r="C361">
        <v>55748188</v>
      </c>
      <c r="D361">
        <v>54767971</v>
      </c>
      <c r="E361">
        <v>1</v>
      </c>
      <c r="F361">
        <v>1</v>
      </c>
      <c r="G361">
        <v>1081</v>
      </c>
      <c r="H361">
        <v>2</v>
      </c>
      <c r="I361" t="s">
        <v>589</v>
      </c>
      <c r="J361" t="s">
        <v>590</v>
      </c>
      <c r="K361" t="s">
        <v>591</v>
      </c>
      <c r="L361">
        <v>1368</v>
      </c>
      <c r="N361">
        <v>1011</v>
      </c>
      <c r="O361" t="s">
        <v>479</v>
      </c>
      <c r="P361" t="s">
        <v>479</v>
      </c>
      <c r="Q361">
        <v>1</v>
      </c>
      <c r="W361">
        <v>0</v>
      </c>
      <c r="X361">
        <v>210297649</v>
      </c>
      <c r="Y361">
        <f t="shared" si="151"/>
        <v>8.4</v>
      </c>
      <c r="AA361">
        <v>0</v>
      </c>
      <c r="AB361">
        <v>6.18</v>
      </c>
      <c r="AC361">
        <v>0</v>
      </c>
      <c r="AD361">
        <v>0</v>
      </c>
      <c r="AE361">
        <v>0</v>
      </c>
      <c r="AF361">
        <v>5.79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7</v>
      </c>
      <c r="AU361" t="s">
        <v>49</v>
      </c>
      <c r="AV361">
        <v>0</v>
      </c>
      <c r="AW361">
        <v>2</v>
      </c>
      <c r="AX361">
        <v>55748207</v>
      </c>
      <c r="AY361">
        <v>1</v>
      </c>
      <c r="AZ361">
        <v>0</v>
      </c>
      <c r="BA361">
        <v>395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ROUND(Y361*Source!I126*DO361,9)</f>
        <v>0</v>
      </c>
      <c r="CX361">
        <f>ROUND(Y361*Source!I126,9)</f>
        <v>2.52</v>
      </c>
      <c r="CY361">
        <f>AB361</f>
        <v>6.18</v>
      </c>
      <c r="CZ361">
        <f>AF361</f>
        <v>5.79</v>
      </c>
      <c r="DA361">
        <f>AJ361</f>
        <v>1</v>
      </c>
      <c r="DB361">
        <f t="shared" si="152"/>
        <v>48.636000000000003</v>
      </c>
      <c r="DC361">
        <f t="shared" si="153"/>
        <v>0</v>
      </c>
      <c r="DD361" t="s">
        <v>3</v>
      </c>
      <c r="DE361" t="s">
        <v>3</v>
      </c>
      <c r="DF361">
        <f t="shared" si="154"/>
        <v>0</v>
      </c>
      <c r="DG361">
        <f t="shared" si="149"/>
        <v>14.59</v>
      </c>
      <c r="DH361">
        <f t="shared" si="144"/>
        <v>0</v>
      </c>
      <c r="DI361">
        <f t="shared" si="135"/>
        <v>0</v>
      </c>
      <c r="DJ361">
        <f>DG361</f>
        <v>14.59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ROW(Source!A126)</f>
        <v>126</v>
      </c>
      <c r="B362">
        <v>55747649</v>
      </c>
      <c r="C362">
        <v>55748188</v>
      </c>
      <c r="D362">
        <v>54768040</v>
      </c>
      <c r="E362">
        <v>1</v>
      </c>
      <c r="F362">
        <v>1</v>
      </c>
      <c r="G362">
        <v>1081</v>
      </c>
      <c r="H362">
        <v>2</v>
      </c>
      <c r="I362" t="s">
        <v>476</v>
      </c>
      <c r="J362" t="s">
        <v>477</v>
      </c>
      <c r="K362" t="s">
        <v>478</v>
      </c>
      <c r="L362">
        <v>1368</v>
      </c>
      <c r="N362">
        <v>1011</v>
      </c>
      <c r="O362" t="s">
        <v>479</v>
      </c>
      <c r="P362" t="s">
        <v>479</v>
      </c>
      <c r="Q362">
        <v>1</v>
      </c>
      <c r="W362">
        <v>0</v>
      </c>
      <c r="X362">
        <v>1498588441</v>
      </c>
      <c r="Y362">
        <f t="shared" si="151"/>
        <v>11.183999999999999</v>
      </c>
      <c r="AA362">
        <v>0</v>
      </c>
      <c r="AB362">
        <v>7.59</v>
      </c>
      <c r="AC362">
        <v>0</v>
      </c>
      <c r="AD362">
        <v>0</v>
      </c>
      <c r="AE362">
        <v>0</v>
      </c>
      <c r="AF362">
        <v>7.11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9.32</v>
      </c>
      <c r="AU362" t="s">
        <v>49</v>
      </c>
      <c r="AV362">
        <v>0</v>
      </c>
      <c r="AW362">
        <v>2</v>
      </c>
      <c r="AX362">
        <v>55748208</v>
      </c>
      <c r="AY362">
        <v>1</v>
      </c>
      <c r="AZ362">
        <v>0</v>
      </c>
      <c r="BA362">
        <v>396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f>ROUND(Y362*Source!I126*DO362,9)</f>
        <v>0</v>
      </c>
      <c r="CX362">
        <f>ROUND(Y362*Source!I126,9)</f>
        <v>3.3552</v>
      </c>
      <c r="CY362">
        <f>AB362</f>
        <v>7.59</v>
      </c>
      <c r="CZ362">
        <f>AF362</f>
        <v>7.11</v>
      </c>
      <c r="DA362">
        <f>AJ362</f>
        <v>1</v>
      </c>
      <c r="DB362">
        <f t="shared" si="152"/>
        <v>79.524000000000001</v>
      </c>
      <c r="DC362">
        <f t="shared" si="153"/>
        <v>0</v>
      </c>
      <c r="DD362" t="s">
        <v>3</v>
      </c>
      <c r="DE362" t="s">
        <v>3</v>
      </c>
      <c r="DF362">
        <f t="shared" si="154"/>
        <v>0</v>
      </c>
      <c r="DG362">
        <f t="shared" si="149"/>
        <v>23.86</v>
      </c>
      <c r="DH362">
        <f t="shared" si="144"/>
        <v>0</v>
      </c>
      <c r="DI362">
        <f t="shared" si="135"/>
        <v>0</v>
      </c>
      <c r="DJ362">
        <f>DG362</f>
        <v>23.86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ROW(Source!A126)</f>
        <v>126</v>
      </c>
      <c r="B363">
        <v>55747649</v>
      </c>
      <c r="C363">
        <v>55748188</v>
      </c>
      <c r="D363">
        <v>54768339</v>
      </c>
      <c r="E363">
        <v>1</v>
      </c>
      <c r="F363">
        <v>1</v>
      </c>
      <c r="G363">
        <v>1081</v>
      </c>
      <c r="H363">
        <v>2</v>
      </c>
      <c r="I363" t="s">
        <v>483</v>
      </c>
      <c r="J363" t="s">
        <v>484</v>
      </c>
      <c r="K363" t="s">
        <v>485</v>
      </c>
      <c r="L363">
        <v>1368</v>
      </c>
      <c r="N363">
        <v>1011</v>
      </c>
      <c r="O363" t="s">
        <v>479</v>
      </c>
      <c r="P363" t="s">
        <v>479</v>
      </c>
      <c r="Q363">
        <v>1</v>
      </c>
      <c r="W363">
        <v>0</v>
      </c>
      <c r="X363">
        <v>874612079</v>
      </c>
      <c r="Y363">
        <f t="shared" si="151"/>
        <v>0.64800000000000002</v>
      </c>
      <c r="AA363">
        <v>0</v>
      </c>
      <c r="AB363">
        <v>88.67</v>
      </c>
      <c r="AC363">
        <v>13.47</v>
      </c>
      <c r="AD363">
        <v>0</v>
      </c>
      <c r="AE363">
        <v>0</v>
      </c>
      <c r="AF363">
        <v>83.1</v>
      </c>
      <c r="AG363">
        <v>12.62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0.54</v>
      </c>
      <c r="AU363" t="s">
        <v>49</v>
      </c>
      <c r="AV363">
        <v>0</v>
      </c>
      <c r="AW363">
        <v>2</v>
      </c>
      <c r="AX363">
        <v>55748209</v>
      </c>
      <c r="AY363">
        <v>1</v>
      </c>
      <c r="AZ363">
        <v>0</v>
      </c>
      <c r="BA363">
        <v>397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f>ROUND(Y363*Source!I126*DO363,9)</f>
        <v>2.453328</v>
      </c>
      <c r="CX363">
        <f>ROUND(Y363*Source!I126,9)</f>
        <v>0.19439999999999999</v>
      </c>
      <c r="CY363">
        <f>AB363</f>
        <v>88.67</v>
      </c>
      <c r="CZ363">
        <f>AF363</f>
        <v>83.1</v>
      </c>
      <c r="DA363">
        <f>AJ363</f>
        <v>1</v>
      </c>
      <c r="DB363">
        <f t="shared" si="152"/>
        <v>53.844000000000001</v>
      </c>
      <c r="DC363">
        <f t="shared" si="153"/>
        <v>8.1720000000000006</v>
      </c>
      <c r="DD363" t="s">
        <v>3</v>
      </c>
      <c r="DE363" t="s">
        <v>3</v>
      </c>
      <c r="DF363">
        <f t="shared" si="154"/>
        <v>0</v>
      </c>
      <c r="DG363">
        <f t="shared" si="149"/>
        <v>16.149999999999999</v>
      </c>
      <c r="DH363">
        <f t="shared" si="144"/>
        <v>2.4500000000000002</v>
      </c>
      <c r="DI363">
        <f t="shared" si="135"/>
        <v>0</v>
      </c>
      <c r="DJ363">
        <f>DG363</f>
        <v>16.149999999999999</v>
      </c>
      <c r="DK363">
        <v>0</v>
      </c>
      <c r="DL363" t="s">
        <v>486</v>
      </c>
      <c r="DM363">
        <v>0</v>
      </c>
      <c r="DN363" t="s">
        <v>475</v>
      </c>
      <c r="DO363">
        <v>12.62</v>
      </c>
    </row>
    <row r="364" spans="1:119" x14ac:dyDescent="0.2">
      <c r="A364">
        <f>ROW(Source!A126)</f>
        <v>126</v>
      </c>
      <c r="B364">
        <v>55747649</v>
      </c>
      <c r="C364">
        <v>55748188</v>
      </c>
      <c r="D364">
        <v>54767657</v>
      </c>
      <c r="E364">
        <v>1</v>
      </c>
      <c r="F364">
        <v>1</v>
      </c>
      <c r="G364">
        <v>1081</v>
      </c>
      <c r="H364">
        <v>2</v>
      </c>
      <c r="I364" t="s">
        <v>592</v>
      </c>
      <c r="J364" t="s">
        <v>593</v>
      </c>
      <c r="K364" t="s">
        <v>594</v>
      </c>
      <c r="L364">
        <v>1368</v>
      </c>
      <c r="N364">
        <v>1011</v>
      </c>
      <c r="O364" t="s">
        <v>479</v>
      </c>
      <c r="P364" t="s">
        <v>479</v>
      </c>
      <c r="Q364">
        <v>1</v>
      </c>
      <c r="W364">
        <v>0</v>
      </c>
      <c r="X364">
        <v>-1755828087</v>
      </c>
      <c r="Y364">
        <f t="shared" si="151"/>
        <v>0.48</v>
      </c>
      <c r="AA364">
        <v>0</v>
      </c>
      <c r="AB364">
        <v>3.39</v>
      </c>
      <c r="AC364">
        <v>0</v>
      </c>
      <c r="AD364">
        <v>0</v>
      </c>
      <c r="AE364">
        <v>0</v>
      </c>
      <c r="AF364">
        <v>3.18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-2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0.4</v>
      </c>
      <c r="AU364" t="s">
        <v>49</v>
      </c>
      <c r="AV364">
        <v>0</v>
      </c>
      <c r="AW364">
        <v>2</v>
      </c>
      <c r="AX364">
        <v>55748210</v>
      </c>
      <c r="AY364">
        <v>1</v>
      </c>
      <c r="AZ364">
        <v>0</v>
      </c>
      <c r="BA364">
        <v>398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f>ROUND(Y364*Source!I126*DO364,9)</f>
        <v>0</v>
      </c>
      <c r="CX364">
        <f>ROUND(Y364*Source!I126,9)</f>
        <v>0.14399999999999999</v>
      </c>
      <c r="CY364">
        <f>AB364</f>
        <v>3.39</v>
      </c>
      <c r="CZ364">
        <f>AF364</f>
        <v>3.18</v>
      </c>
      <c r="DA364">
        <f>AJ364</f>
        <v>1</v>
      </c>
      <c r="DB364">
        <f t="shared" si="152"/>
        <v>1.524</v>
      </c>
      <c r="DC364">
        <f t="shared" si="153"/>
        <v>0</v>
      </c>
      <c r="DD364" t="s">
        <v>3</v>
      </c>
      <c r="DE364" t="s">
        <v>3</v>
      </c>
      <c r="DF364">
        <f t="shared" si="154"/>
        <v>0</v>
      </c>
      <c r="DG364">
        <f t="shared" si="149"/>
        <v>0.46</v>
      </c>
      <c r="DH364">
        <f t="shared" si="144"/>
        <v>0</v>
      </c>
      <c r="DI364">
        <f t="shared" si="135"/>
        <v>0</v>
      </c>
      <c r="DJ364">
        <f>DG364</f>
        <v>0.46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ROW(Source!A126)</f>
        <v>126</v>
      </c>
      <c r="B365">
        <v>55747649</v>
      </c>
      <c r="C365">
        <v>55748188</v>
      </c>
      <c r="D365">
        <v>54737367</v>
      </c>
      <c r="E365">
        <v>1</v>
      </c>
      <c r="F365">
        <v>1</v>
      </c>
      <c r="G365">
        <v>1081</v>
      </c>
      <c r="H365">
        <v>3</v>
      </c>
      <c r="I365" t="s">
        <v>538</v>
      </c>
      <c r="J365" t="s">
        <v>539</v>
      </c>
      <c r="K365" t="s">
        <v>540</v>
      </c>
      <c r="L365">
        <v>1339</v>
      </c>
      <c r="N365">
        <v>1007</v>
      </c>
      <c r="O365" t="s">
        <v>507</v>
      </c>
      <c r="P365" t="s">
        <v>507</v>
      </c>
      <c r="Q365">
        <v>1</v>
      </c>
      <c r="W365">
        <v>0</v>
      </c>
      <c r="X365">
        <v>-1622585150</v>
      </c>
      <c r="Y365">
        <f t="shared" ref="Y365:Y371" si="155">(AT365*1)</f>
        <v>3</v>
      </c>
      <c r="AA365">
        <v>7.27</v>
      </c>
      <c r="AB365">
        <v>0</v>
      </c>
      <c r="AC365">
        <v>0</v>
      </c>
      <c r="AD365">
        <v>0</v>
      </c>
      <c r="AE365">
        <v>7.07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3</v>
      </c>
      <c r="AU365" t="s">
        <v>48</v>
      </c>
      <c r="AV365">
        <v>0</v>
      </c>
      <c r="AW365">
        <v>2</v>
      </c>
      <c r="AX365">
        <v>55748211</v>
      </c>
      <c r="AY365">
        <v>1</v>
      </c>
      <c r="AZ365">
        <v>0</v>
      </c>
      <c r="BA365">
        <v>399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ROUND(Y365*Source!I126,9)</f>
        <v>0.9</v>
      </c>
      <c r="CY365">
        <f t="shared" ref="CY365:CY374" si="156">AA365</f>
        <v>7.27</v>
      </c>
      <c r="CZ365">
        <f t="shared" ref="CZ365:CZ374" si="157">AE365</f>
        <v>7.07</v>
      </c>
      <c r="DA365">
        <f t="shared" ref="DA365:DA374" si="158">AI365</f>
        <v>1</v>
      </c>
      <c r="DB365">
        <f t="shared" ref="DB365:DB371" si="159">ROUND((ROUND(AT365*CZ365,2)*1),6)</f>
        <v>21.21</v>
      </c>
      <c r="DC365">
        <f t="shared" ref="DC365:DC371" si="160">ROUND((ROUND(AT365*AG365,2)*1),6)</f>
        <v>0</v>
      </c>
      <c r="DD365" t="s">
        <v>3</v>
      </c>
      <c r="DE365" t="s">
        <v>3</v>
      </c>
      <c r="DF365">
        <f t="shared" si="154"/>
        <v>6.36</v>
      </c>
      <c r="DG365">
        <f t="shared" si="149"/>
        <v>0</v>
      </c>
      <c r="DH365">
        <f t="shared" si="144"/>
        <v>0</v>
      </c>
      <c r="DI365">
        <f t="shared" si="135"/>
        <v>0</v>
      </c>
      <c r="DJ365">
        <f t="shared" ref="DJ365:DJ374" si="161">DF365</f>
        <v>6.36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ROW(Source!A126)</f>
        <v>126</v>
      </c>
      <c r="B366">
        <v>55747649</v>
      </c>
      <c r="C366">
        <v>55748188</v>
      </c>
      <c r="D366">
        <v>54738430</v>
      </c>
      <c r="E366">
        <v>1</v>
      </c>
      <c r="F366">
        <v>1</v>
      </c>
      <c r="G366">
        <v>1081</v>
      </c>
      <c r="H366">
        <v>3</v>
      </c>
      <c r="I366" t="s">
        <v>562</v>
      </c>
      <c r="J366" t="s">
        <v>563</v>
      </c>
      <c r="K366" t="s">
        <v>564</v>
      </c>
      <c r="L366">
        <v>1348</v>
      </c>
      <c r="N366">
        <v>1009</v>
      </c>
      <c r="O366" t="s">
        <v>282</v>
      </c>
      <c r="P366" t="s">
        <v>282</v>
      </c>
      <c r="Q366">
        <v>1000</v>
      </c>
      <c r="W366">
        <v>0</v>
      </c>
      <c r="X366">
        <v>63955816</v>
      </c>
      <c r="Y366">
        <f t="shared" si="155"/>
        <v>1.56E-3</v>
      </c>
      <c r="AA366">
        <v>7387.02</v>
      </c>
      <c r="AB366">
        <v>0</v>
      </c>
      <c r="AC366">
        <v>0</v>
      </c>
      <c r="AD366">
        <v>0</v>
      </c>
      <c r="AE366">
        <v>7185.82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1.56E-3</v>
      </c>
      <c r="AU366" t="s">
        <v>48</v>
      </c>
      <c r="AV366">
        <v>0</v>
      </c>
      <c r="AW366">
        <v>2</v>
      </c>
      <c r="AX366">
        <v>55748212</v>
      </c>
      <c r="AY366">
        <v>1</v>
      </c>
      <c r="AZ366">
        <v>0</v>
      </c>
      <c r="BA366">
        <v>400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ROUND(Y366*Source!I126,9)</f>
        <v>4.6799999999999999E-4</v>
      </c>
      <c r="CY366">
        <f t="shared" si="156"/>
        <v>7387.02</v>
      </c>
      <c r="CZ366">
        <f t="shared" si="157"/>
        <v>7185.82</v>
      </c>
      <c r="DA366">
        <f t="shared" si="158"/>
        <v>1</v>
      </c>
      <c r="DB366">
        <f t="shared" si="159"/>
        <v>11.21</v>
      </c>
      <c r="DC366">
        <f t="shared" si="160"/>
        <v>0</v>
      </c>
      <c r="DD366" t="s">
        <v>3</v>
      </c>
      <c r="DE366" t="s">
        <v>3</v>
      </c>
      <c r="DF366">
        <f t="shared" si="154"/>
        <v>3.36</v>
      </c>
      <c r="DG366">
        <f t="shared" si="149"/>
        <v>0</v>
      </c>
      <c r="DH366">
        <f t="shared" si="144"/>
        <v>0</v>
      </c>
      <c r="DI366">
        <f t="shared" si="135"/>
        <v>0</v>
      </c>
      <c r="DJ366">
        <f t="shared" si="161"/>
        <v>3.36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ROW(Source!A126)</f>
        <v>126</v>
      </c>
      <c r="B367">
        <v>55747649</v>
      </c>
      <c r="C367">
        <v>55748188</v>
      </c>
      <c r="D367">
        <v>54738505</v>
      </c>
      <c r="E367">
        <v>1</v>
      </c>
      <c r="F367">
        <v>1</v>
      </c>
      <c r="G367">
        <v>1081</v>
      </c>
      <c r="H367">
        <v>3</v>
      </c>
      <c r="I367" t="s">
        <v>580</v>
      </c>
      <c r="J367" t="s">
        <v>581</v>
      </c>
      <c r="K367" t="s">
        <v>582</v>
      </c>
      <c r="L367">
        <v>1346</v>
      </c>
      <c r="N367">
        <v>1009</v>
      </c>
      <c r="O367" t="s">
        <v>503</v>
      </c>
      <c r="P367" t="s">
        <v>503</v>
      </c>
      <c r="Q367">
        <v>1</v>
      </c>
      <c r="W367">
        <v>0</v>
      </c>
      <c r="X367">
        <v>732400950</v>
      </c>
      <c r="Y367">
        <f t="shared" si="155"/>
        <v>0.76</v>
      </c>
      <c r="AA367">
        <v>21.59</v>
      </c>
      <c r="AB367">
        <v>0</v>
      </c>
      <c r="AC367">
        <v>0</v>
      </c>
      <c r="AD367">
        <v>0</v>
      </c>
      <c r="AE367">
        <v>21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0.76</v>
      </c>
      <c r="AU367" t="s">
        <v>48</v>
      </c>
      <c r="AV367">
        <v>0</v>
      </c>
      <c r="AW367">
        <v>2</v>
      </c>
      <c r="AX367">
        <v>55748213</v>
      </c>
      <c r="AY367">
        <v>1</v>
      </c>
      <c r="AZ367">
        <v>0</v>
      </c>
      <c r="BA367">
        <v>401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ROUND(Y367*Source!I126,9)</f>
        <v>0.22800000000000001</v>
      </c>
      <c r="CY367">
        <f t="shared" si="156"/>
        <v>21.59</v>
      </c>
      <c r="CZ367">
        <f t="shared" si="157"/>
        <v>21</v>
      </c>
      <c r="DA367">
        <f t="shared" si="158"/>
        <v>1</v>
      </c>
      <c r="DB367">
        <f t="shared" si="159"/>
        <v>15.96</v>
      </c>
      <c r="DC367">
        <f t="shared" si="160"/>
        <v>0</v>
      </c>
      <c r="DD367" t="s">
        <v>3</v>
      </c>
      <c r="DE367" t="s">
        <v>3</v>
      </c>
      <c r="DF367">
        <f t="shared" si="154"/>
        <v>4.79</v>
      </c>
      <c r="DG367">
        <f t="shared" si="149"/>
        <v>0</v>
      </c>
      <c r="DH367">
        <f t="shared" si="144"/>
        <v>0</v>
      </c>
      <c r="DI367">
        <f t="shared" si="135"/>
        <v>0</v>
      </c>
      <c r="DJ367">
        <f t="shared" si="161"/>
        <v>4.79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ROW(Source!A126)</f>
        <v>126</v>
      </c>
      <c r="B368">
        <v>55747649</v>
      </c>
      <c r="C368">
        <v>55748188</v>
      </c>
      <c r="D368">
        <v>54738703</v>
      </c>
      <c r="E368">
        <v>1</v>
      </c>
      <c r="F368">
        <v>1</v>
      </c>
      <c r="G368">
        <v>1081</v>
      </c>
      <c r="H368">
        <v>3</v>
      </c>
      <c r="I368" t="s">
        <v>595</v>
      </c>
      <c r="J368" t="s">
        <v>596</v>
      </c>
      <c r="K368" t="s">
        <v>597</v>
      </c>
      <c r="L368">
        <v>1355</v>
      </c>
      <c r="N368">
        <v>1010</v>
      </c>
      <c r="O368" t="s">
        <v>254</v>
      </c>
      <c r="P368" t="s">
        <v>254</v>
      </c>
      <c r="Q368">
        <v>100</v>
      </c>
      <c r="W368">
        <v>0</v>
      </c>
      <c r="X368">
        <v>1567739421</v>
      </c>
      <c r="Y368">
        <f t="shared" si="155"/>
        <v>0.36</v>
      </c>
      <c r="AA368">
        <v>510.7</v>
      </c>
      <c r="AB368">
        <v>0</v>
      </c>
      <c r="AC368">
        <v>0</v>
      </c>
      <c r="AD368">
        <v>0</v>
      </c>
      <c r="AE368">
        <v>496.79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0.36</v>
      </c>
      <c r="AU368" t="s">
        <v>48</v>
      </c>
      <c r="AV368">
        <v>0</v>
      </c>
      <c r="AW368">
        <v>2</v>
      </c>
      <c r="AX368">
        <v>55748214</v>
      </c>
      <c r="AY368">
        <v>1</v>
      </c>
      <c r="AZ368">
        <v>0</v>
      </c>
      <c r="BA368">
        <v>402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ROUND(Y368*Source!I126,9)</f>
        <v>0.108</v>
      </c>
      <c r="CY368">
        <f t="shared" si="156"/>
        <v>510.7</v>
      </c>
      <c r="CZ368">
        <f t="shared" si="157"/>
        <v>496.79</v>
      </c>
      <c r="DA368">
        <f t="shared" si="158"/>
        <v>1</v>
      </c>
      <c r="DB368">
        <f t="shared" si="159"/>
        <v>178.84</v>
      </c>
      <c r="DC368">
        <f t="shared" si="160"/>
        <v>0</v>
      </c>
      <c r="DD368" t="s">
        <v>3</v>
      </c>
      <c r="DE368" t="s">
        <v>3</v>
      </c>
      <c r="DF368">
        <f t="shared" si="154"/>
        <v>53.65</v>
      </c>
      <c r="DG368">
        <f t="shared" si="149"/>
        <v>0</v>
      </c>
      <c r="DH368">
        <f t="shared" si="144"/>
        <v>0</v>
      </c>
      <c r="DI368">
        <f t="shared" si="135"/>
        <v>0</v>
      </c>
      <c r="DJ368">
        <f t="shared" si="161"/>
        <v>53.65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ROW(Source!A126)</f>
        <v>126</v>
      </c>
      <c r="B369">
        <v>55747649</v>
      </c>
      <c r="C369">
        <v>55748188</v>
      </c>
      <c r="D369">
        <v>54738704</v>
      </c>
      <c r="E369">
        <v>1</v>
      </c>
      <c r="F369">
        <v>1</v>
      </c>
      <c r="G369">
        <v>1081</v>
      </c>
      <c r="H369">
        <v>3</v>
      </c>
      <c r="I369" t="s">
        <v>598</v>
      </c>
      <c r="J369" t="s">
        <v>599</v>
      </c>
      <c r="K369" t="s">
        <v>600</v>
      </c>
      <c r="L369">
        <v>1355</v>
      </c>
      <c r="N369">
        <v>1010</v>
      </c>
      <c r="O369" t="s">
        <v>254</v>
      </c>
      <c r="P369" t="s">
        <v>254</v>
      </c>
      <c r="Q369">
        <v>100</v>
      </c>
      <c r="W369">
        <v>0</v>
      </c>
      <c r="X369">
        <v>-96727844</v>
      </c>
      <c r="Y369">
        <f t="shared" si="155"/>
        <v>0.36</v>
      </c>
      <c r="AA369">
        <v>250.58</v>
      </c>
      <c r="AB369">
        <v>0</v>
      </c>
      <c r="AC369">
        <v>0</v>
      </c>
      <c r="AD369">
        <v>0</v>
      </c>
      <c r="AE369">
        <v>243.75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-2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0.36</v>
      </c>
      <c r="AU369" t="s">
        <v>48</v>
      </c>
      <c r="AV369">
        <v>0</v>
      </c>
      <c r="AW369">
        <v>2</v>
      </c>
      <c r="AX369">
        <v>55748215</v>
      </c>
      <c r="AY369">
        <v>1</v>
      </c>
      <c r="AZ369">
        <v>0</v>
      </c>
      <c r="BA369">
        <v>403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ROUND(Y369*Source!I126,9)</f>
        <v>0.108</v>
      </c>
      <c r="CY369">
        <f t="shared" si="156"/>
        <v>250.58</v>
      </c>
      <c r="CZ369">
        <f t="shared" si="157"/>
        <v>243.75</v>
      </c>
      <c r="DA369">
        <f t="shared" si="158"/>
        <v>1</v>
      </c>
      <c r="DB369">
        <f t="shared" si="159"/>
        <v>87.75</v>
      </c>
      <c r="DC369">
        <f t="shared" si="160"/>
        <v>0</v>
      </c>
      <c r="DD369" t="s">
        <v>3</v>
      </c>
      <c r="DE369" t="s">
        <v>3</v>
      </c>
      <c r="DF369">
        <f t="shared" si="154"/>
        <v>26.33</v>
      </c>
      <c r="DG369">
        <f t="shared" si="149"/>
        <v>0</v>
      </c>
      <c r="DH369">
        <f t="shared" si="144"/>
        <v>0</v>
      </c>
      <c r="DI369">
        <f t="shared" si="135"/>
        <v>0</v>
      </c>
      <c r="DJ369">
        <f t="shared" si="161"/>
        <v>26.33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ROW(Source!A126)</f>
        <v>126</v>
      </c>
      <c r="B370">
        <v>55747649</v>
      </c>
      <c r="C370">
        <v>55748188</v>
      </c>
      <c r="D370">
        <v>54737299</v>
      </c>
      <c r="E370">
        <v>1</v>
      </c>
      <c r="F370">
        <v>1</v>
      </c>
      <c r="G370">
        <v>1081</v>
      </c>
      <c r="H370">
        <v>3</v>
      </c>
      <c r="I370" t="s">
        <v>583</v>
      </c>
      <c r="J370" t="s">
        <v>584</v>
      </c>
      <c r="K370" t="s">
        <v>585</v>
      </c>
      <c r="L370">
        <v>1339</v>
      </c>
      <c r="N370">
        <v>1007</v>
      </c>
      <c r="O370" t="s">
        <v>507</v>
      </c>
      <c r="P370" t="s">
        <v>507</v>
      </c>
      <c r="Q370">
        <v>1</v>
      </c>
      <c r="W370">
        <v>0</v>
      </c>
      <c r="X370">
        <v>-676034668</v>
      </c>
      <c r="Y370">
        <f t="shared" si="155"/>
        <v>0.59</v>
      </c>
      <c r="AA370">
        <v>54.92</v>
      </c>
      <c r="AB370">
        <v>0</v>
      </c>
      <c r="AC370">
        <v>0</v>
      </c>
      <c r="AD370">
        <v>0</v>
      </c>
      <c r="AE370">
        <v>53.42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0.59</v>
      </c>
      <c r="AU370" t="s">
        <v>48</v>
      </c>
      <c r="AV370">
        <v>0</v>
      </c>
      <c r="AW370">
        <v>2</v>
      </c>
      <c r="AX370">
        <v>55748216</v>
      </c>
      <c r="AY370">
        <v>1</v>
      </c>
      <c r="AZ370">
        <v>0</v>
      </c>
      <c r="BA370">
        <v>404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ROUND(Y370*Source!I126,9)</f>
        <v>0.17699999999999999</v>
      </c>
      <c r="CY370">
        <f t="shared" si="156"/>
        <v>54.92</v>
      </c>
      <c r="CZ370">
        <f t="shared" si="157"/>
        <v>53.42</v>
      </c>
      <c r="DA370">
        <f t="shared" si="158"/>
        <v>1</v>
      </c>
      <c r="DB370">
        <f t="shared" si="159"/>
        <v>31.52</v>
      </c>
      <c r="DC370">
        <f t="shared" si="160"/>
        <v>0</v>
      </c>
      <c r="DD370" t="s">
        <v>3</v>
      </c>
      <c r="DE370" t="s">
        <v>3</v>
      </c>
      <c r="DF370">
        <f t="shared" si="154"/>
        <v>9.4600000000000009</v>
      </c>
      <c r="DG370">
        <f t="shared" si="149"/>
        <v>0</v>
      </c>
      <c r="DH370">
        <f t="shared" si="144"/>
        <v>0</v>
      </c>
      <c r="DI370">
        <f t="shared" si="135"/>
        <v>0</v>
      </c>
      <c r="DJ370">
        <f t="shared" si="161"/>
        <v>9.4600000000000009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ROW(Source!A126)</f>
        <v>126</v>
      </c>
      <c r="B371">
        <v>55747649</v>
      </c>
      <c r="C371">
        <v>55748188</v>
      </c>
      <c r="D371">
        <v>54737565</v>
      </c>
      <c r="E371">
        <v>1</v>
      </c>
      <c r="F371">
        <v>1</v>
      </c>
      <c r="G371">
        <v>1081</v>
      </c>
      <c r="H371">
        <v>3</v>
      </c>
      <c r="I371" t="s">
        <v>504</v>
      </c>
      <c r="J371" t="s">
        <v>505</v>
      </c>
      <c r="K371" t="s">
        <v>506</v>
      </c>
      <c r="L371">
        <v>1339</v>
      </c>
      <c r="N371">
        <v>1007</v>
      </c>
      <c r="O371" t="s">
        <v>507</v>
      </c>
      <c r="P371" t="s">
        <v>507</v>
      </c>
      <c r="Q371">
        <v>1</v>
      </c>
      <c r="W371">
        <v>0</v>
      </c>
      <c r="X371">
        <v>-1235260082</v>
      </c>
      <c r="Y371">
        <f t="shared" si="155"/>
        <v>0.76</v>
      </c>
      <c r="AA371">
        <v>5.98</v>
      </c>
      <c r="AB371">
        <v>0</v>
      </c>
      <c r="AC371">
        <v>0</v>
      </c>
      <c r="AD371">
        <v>0</v>
      </c>
      <c r="AE371">
        <v>5.82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0.76</v>
      </c>
      <c r="AU371" t="s">
        <v>48</v>
      </c>
      <c r="AV371">
        <v>0</v>
      </c>
      <c r="AW371">
        <v>2</v>
      </c>
      <c r="AX371">
        <v>55748217</v>
      </c>
      <c r="AY371">
        <v>1</v>
      </c>
      <c r="AZ371">
        <v>0</v>
      </c>
      <c r="BA371">
        <v>405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ROUND(Y371*Source!I126,9)</f>
        <v>0.22800000000000001</v>
      </c>
      <c r="CY371">
        <f t="shared" si="156"/>
        <v>5.98</v>
      </c>
      <c r="CZ371">
        <f t="shared" si="157"/>
        <v>5.82</v>
      </c>
      <c r="DA371">
        <f t="shared" si="158"/>
        <v>1</v>
      </c>
      <c r="DB371">
        <f t="shared" si="159"/>
        <v>4.42</v>
      </c>
      <c r="DC371">
        <f t="shared" si="160"/>
        <v>0</v>
      </c>
      <c r="DD371" t="s">
        <v>3</v>
      </c>
      <c r="DE371" t="s">
        <v>3</v>
      </c>
      <c r="DF371">
        <f t="shared" si="154"/>
        <v>1.33</v>
      </c>
      <c r="DG371">
        <f t="shared" si="149"/>
        <v>0</v>
      </c>
      <c r="DH371">
        <f t="shared" si="144"/>
        <v>0</v>
      </c>
      <c r="DI371">
        <f t="shared" si="135"/>
        <v>0</v>
      </c>
      <c r="DJ371">
        <f t="shared" si="161"/>
        <v>1.33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ROW(Source!A126)</f>
        <v>126</v>
      </c>
      <c r="B372">
        <v>55747649</v>
      </c>
      <c r="C372">
        <v>55748188</v>
      </c>
      <c r="D372">
        <v>54749865</v>
      </c>
      <c r="E372">
        <v>1</v>
      </c>
      <c r="F372">
        <v>1</v>
      </c>
      <c r="G372">
        <v>1081</v>
      </c>
      <c r="H372">
        <v>3</v>
      </c>
      <c r="I372" t="s">
        <v>227</v>
      </c>
      <c r="J372" t="s">
        <v>229</v>
      </c>
      <c r="K372" t="s">
        <v>228</v>
      </c>
      <c r="L372">
        <v>1301</v>
      </c>
      <c r="N372">
        <v>1003</v>
      </c>
      <c r="O372" t="s">
        <v>191</v>
      </c>
      <c r="P372" t="s">
        <v>191</v>
      </c>
      <c r="Q372">
        <v>1</v>
      </c>
      <c r="W372">
        <v>0</v>
      </c>
      <c r="X372">
        <v>-2048145394</v>
      </c>
      <c r="Y372">
        <f>AT372</f>
        <v>50.25</v>
      </c>
      <c r="AA372">
        <v>41.57</v>
      </c>
      <c r="AB372">
        <v>0</v>
      </c>
      <c r="AC372">
        <v>0</v>
      </c>
      <c r="AD372">
        <v>0</v>
      </c>
      <c r="AE372">
        <v>41.57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 t="s">
        <v>3</v>
      </c>
      <c r="AT372">
        <v>50.25</v>
      </c>
      <c r="AU372" t="s">
        <v>3</v>
      </c>
      <c r="AV372">
        <v>0</v>
      </c>
      <c r="AW372">
        <v>1</v>
      </c>
      <c r="AX372">
        <v>-1</v>
      </c>
      <c r="AY372">
        <v>0</v>
      </c>
      <c r="AZ372">
        <v>0</v>
      </c>
      <c r="BA372" t="s">
        <v>3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ROUND(Y372*Source!I126,9)</f>
        <v>15.074999999999999</v>
      </c>
      <c r="CY372">
        <f t="shared" si="156"/>
        <v>41.57</v>
      </c>
      <c r="CZ372">
        <f t="shared" si="157"/>
        <v>41.57</v>
      </c>
      <c r="DA372">
        <f t="shared" si="158"/>
        <v>1</v>
      </c>
      <c r="DB372">
        <f>ROUND(ROUND(AT372*CZ372,2),6)</f>
        <v>2088.89</v>
      </c>
      <c r="DC372">
        <f>ROUND(ROUND(AT372*AG372,2),6)</f>
        <v>0</v>
      </c>
      <c r="DD372" t="s">
        <v>3</v>
      </c>
      <c r="DE372" t="s">
        <v>3</v>
      </c>
      <c r="DF372">
        <f t="shared" si="154"/>
        <v>626.66999999999996</v>
      </c>
      <c r="DG372">
        <f t="shared" si="149"/>
        <v>0</v>
      </c>
      <c r="DH372">
        <f t="shared" si="144"/>
        <v>0</v>
      </c>
      <c r="DI372">
        <f t="shared" si="135"/>
        <v>0</v>
      </c>
      <c r="DJ372">
        <f t="shared" si="161"/>
        <v>626.66999999999996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ROW(Source!A126)</f>
        <v>126</v>
      </c>
      <c r="B373">
        <v>55747649</v>
      </c>
      <c r="C373">
        <v>55748188</v>
      </c>
      <c r="D373">
        <v>54749866</v>
      </c>
      <c r="E373">
        <v>1</v>
      </c>
      <c r="F373">
        <v>1</v>
      </c>
      <c r="G373">
        <v>1081</v>
      </c>
      <c r="H373">
        <v>3</v>
      </c>
      <c r="I373" t="s">
        <v>224</v>
      </c>
      <c r="J373" t="s">
        <v>226</v>
      </c>
      <c r="K373" t="s">
        <v>225</v>
      </c>
      <c r="L373">
        <v>1301</v>
      </c>
      <c r="N373">
        <v>1003</v>
      </c>
      <c r="O373" t="s">
        <v>191</v>
      </c>
      <c r="P373" t="s">
        <v>191</v>
      </c>
      <c r="Q373">
        <v>1</v>
      </c>
      <c r="W373">
        <v>0</v>
      </c>
      <c r="X373">
        <v>-173671470</v>
      </c>
      <c r="Y373">
        <f>AT373</f>
        <v>50.25</v>
      </c>
      <c r="AA373">
        <v>51.28</v>
      </c>
      <c r="AB373">
        <v>0</v>
      </c>
      <c r="AC373">
        <v>0</v>
      </c>
      <c r="AD373">
        <v>0</v>
      </c>
      <c r="AE373">
        <v>51.28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 t="s">
        <v>3</v>
      </c>
      <c r="AT373">
        <v>50.25</v>
      </c>
      <c r="AU373" t="s">
        <v>3</v>
      </c>
      <c r="AV373">
        <v>0</v>
      </c>
      <c r="AW373">
        <v>1</v>
      </c>
      <c r="AX373">
        <v>-1</v>
      </c>
      <c r="AY373">
        <v>0</v>
      </c>
      <c r="AZ373">
        <v>0</v>
      </c>
      <c r="BA373" t="s">
        <v>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ROUND(Y373*Source!I126,9)</f>
        <v>15.074999999999999</v>
      </c>
      <c r="CY373">
        <f t="shared" si="156"/>
        <v>51.28</v>
      </c>
      <c r="CZ373">
        <f t="shared" si="157"/>
        <v>51.28</v>
      </c>
      <c r="DA373">
        <f t="shared" si="158"/>
        <v>1</v>
      </c>
      <c r="DB373">
        <f>ROUND(ROUND(AT373*CZ373,2),6)</f>
        <v>2576.8200000000002</v>
      </c>
      <c r="DC373">
        <f>ROUND(ROUND(AT373*AG373,2),6)</f>
        <v>0</v>
      </c>
      <c r="DD373" t="s">
        <v>3</v>
      </c>
      <c r="DE373" t="s">
        <v>3</v>
      </c>
      <c r="DF373">
        <f t="shared" si="154"/>
        <v>773.05</v>
      </c>
      <c r="DG373">
        <f t="shared" si="149"/>
        <v>0</v>
      </c>
      <c r="DH373">
        <f t="shared" si="144"/>
        <v>0</v>
      </c>
      <c r="DI373">
        <f t="shared" si="135"/>
        <v>0</v>
      </c>
      <c r="DJ373">
        <f t="shared" si="161"/>
        <v>773.05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ROW(Source!A126)</f>
        <v>126</v>
      </c>
      <c r="B374">
        <v>55747649</v>
      </c>
      <c r="C374">
        <v>55748188</v>
      </c>
      <c r="D374">
        <v>54759954</v>
      </c>
      <c r="E374">
        <v>1</v>
      </c>
      <c r="F374">
        <v>1</v>
      </c>
      <c r="G374">
        <v>1081</v>
      </c>
      <c r="H374">
        <v>3</v>
      </c>
      <c r="I374" t="s">
        <v>601</v>
      </c>
      <c r="J374" t="s">
        <v>602</v>
      </c>
      <c r="K374" t="s">
        <v>603</v>
      </c>
      <c r="L374">
        <v>1354</v>
      </c>
      <c r="N374">
        <v>1010</v>
      </c>
      <c r="O374" t="s">
        <v>118</v>
      </c>
      <c r="P374" t="s">
        <v>118</v>
      </c>
      <c r="Q374">
        <v>1</v>
      </c>
      <c r="W374">
        <v>0</v>
      </c>
      <c r="X374">
        <v>483106430</v>
      </c>
      <c r="Y374">
        <f>(AT374*1)</f>
        <v>36</v>
      </c>
      <c r="AA374">
        <v>14.68</v>
      </c>
      <c r="AB374">
        <v>0</v>
      </c>
      <c r="AC374">
        <v>0</v>
      </c>
      <c r="AD374">
        <v>0</v>
      </c>
      <c r="AE374">
        <v>14.28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36</v>
      </c>
      <c r="AU374" t="s">
        <v>48</v>
      </c>
      <c r="AV374">
        <v>0</v>
      </c>
      <c r="AW374">
        <v>2</v>
      </c>
      <c r="AX374">
        <v>55748218</v>
      </c>
      <c r="AY374">
        <v>1</v>
      </c>
      <c r="AZ374">
        <v>0</v>
      </c>
      <c r="BA374">
        <v>406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ROUND(Y374*Source!I126,9)</f>
        <v>10.8</v>
      </c>
      <c r="CY374">
        <f t="shared" si="156"/>
        <v>14.68</v>
      </c>
      <c r="CZ374">
        <f t="shared" si="157"/>
        <v>14.28</v>
      </c>
      <c r="DA374">
        <f t="shared" si="158"/>
        <v>1</v>
      </c>
      <c r="DB374">
        <f>ROUND((ROUND(AT374*CZ374,2)*1),6)</f>
        <v>514.08000000000004</v>
      </c>
      <c r="DC374">
        <f>ROUND((ROUND(AT374*AG374,2)*1),6)</f>
        <v>0</v>
      </c>
      <c r="DD374" t="s">
        <v>3</v>
      </c>
      <c r="DE374" t="s">
        <v>3</v>
      </c>
      <c r="DF374">
        <f t="shared" si="154"/>
        <v>154.22</v>
      </c>
      <c r="DG374">
        <f t="shared" si="149"/>
        <v>0</v>
      </c>
      <c r="DH374">
        <f t="shared" si="144"/>
        <v>0</v>
      </c>
      <c r="DI374">
        <f t="shared" si="135"/>
        <v>0</v>
      </c>
      <c r="DJ374">
        <f t="shared" si="161"/>
        <v>154.22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ROW(Source!A127)</f>
        <v>127</v>
      </c>
      <c r="B375">
        <v>55747651</v>
      </c>
      <c r="C375">
        <v>55748188</v>
      </c>
      <c r="D375">
        <v>54702434</v>
      </c>
      <c r="E375">
        <v>1081</v>
      </c>
      <c r="F375">
        <v>1</v>
      </c>
      <c r="G375">
        <v>1081</v>
      </c>
      <c r="H375">
        <v>1</v>
      </c>
      <c r="I375" t="s">
        <v>473</v>
      </c>
      <c r="J375" t="s">
        <v>3</v>
      </c>
      <c r="K375" t="s">
        <v>474</v>
      </c>
      <c r="L375">
        <v>1191</v>
      </c>
      <c r="N375">
        <v>1013</v>
      </c>
      <c r="O375" t="s">
        <v>475</v>
      </c>
      <c r="P375" t="s">
        <v>475</v>
      </c>
      <c r="Q375">
        <v>1</v>
      </c>
      <c r="W375">
        <v>0</v>
      </c>
      <c r="X375">
        <v>476480486</v>
      </c>
      <c r="Y375">
        <f t="shared" ref="Y375:Y380" si="162">(AT375*1.2)</f>
        <v>166.79999999999998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5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139</v>
      </c>
      <c r="AU375" t="s">
        <v>49</v>
      </c>
      <c r="AV375">
        <v>1</v>
      </c>
      <c r="AW375">
        <v>2</v>
      </c>
      <c r="AX375">
        <v>55748205</v>
      </c>
      <c r="AY375">
        <v>1</v>
      </c>
      <c r="AZ375">
        <v>0</v>
      </c>
      <c r="BA375">
        <v>408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U375">
        <f>ROUND(AT375*Source!I127*AH375*AL375,2)</f>
        <v>0</v>
      </c>
      <c r="CV375">
        <f>ROUND(Y375*Source!I127,9)</f>
        <v>50.04</v>
      </c>
      <c r="CW375">
        <v>0</v>
      </c>
      <c r="CX375">
        <f>ROUND(Y375*Source!I127,9)</f>
        <v>50.04</v>
      </c>
      <c r="CY375">
        <f>AD375</f>
        <v>0</v>
      </c>
      <c r="CZ375">
        <f>AH375</f>
        <v>0</v>
      </c>
      <c r="DA375">
        <f>AL375</f>
        <v>1</v>
      </c>
      <c r="DB375">
        <f t="shared" ref="DB375:DB380" si="163">ROUND((ROUND(AT375*CZ375,2)*1.2),6)</f>
        <v>0</v>
      </c>
      <c r="DC375">
        <f t="shared" ref="DC375:DC380" si="164">ROUND((ROUND(AT375*AG375,2)*1.2),6)</f>
        <v>0</v>
      </c>
      <c r="DD375" t="s">
        <v>3</v>
      </c>
      <c r="DE375" t="s">
        <v>3</v>
      </c>
      <c r="DF375">
        <f t="shared" si="154"/>
        <v>0</v>
      </c>
      <c r="DG375">
        <f t="shared" si="149"/>
        <v>0</v>
      </c>
      <c r="DH375">
        <f t="shared" si="144"/>
        <v>0</v>
      </c>
      <c r="DI375">
        <f t="shared" si="135"/>
        <v>0</v>
      </c>
      <c r="DJ375">
        <f>DI375</f>
        <v>0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ROW(Source!A127)</f>
        <v>127</v>
      </c>
      <c r="B376">
        <v>55747651</v>
      </c>
      <c r="C376">
        <v>55748188</v>
      </c>
      <c r="D376">
        <v>54767934</v>
      </c>
      <c r="E376">
        <v>1</v>
      </c>
      <c r="F376">
        <v>1</v>
      </c>
      <c r="G376">
        <v>1081</v>
      </c>
      <c r="H376">
        <v>2</v>
      </c>
      <c r="I376" t="s">
        <v>586</v>
      </c>
      <c r="J376" t="s">
        <v>587</v>
      </c>
      <c r="K376" t="s">
        <v>588</v>
      </c>
      <c r="L376">
        <v>1368</v>
      </c>
      <c r="N376">
        <v>1011</v>
      </c>
      <c r="O376" t="s">
        <v>479</v>
      </c>
      <c r="P376" t="s">
        <v>479</v>
      </c>
      <c r="Q376">
        <v>1</v>
      </c>
      <c r="W376">
        <v>0</v>
      </c>
      <c r="X376">
        <v>-1222619517</v>
      </c>
      <c r="Y376">
        <f t="shared" si="162"/>
        <v>9</v>
      </c>
      <c r="AA376">
        <v>0</v>
      </c>
      <c r="AB376">
        <v>1209.95</v>
      </c>
      <c r="AC376">
        <v>758.78</v>
      </c>
      <c r="AD376">
        <v>0</v>
      </c>
      <c r="AE376">
        <v>0</v>
      </c>
      <c r="AF376">
        <v>48.07</v>
      </c>
      <c r="AG376">
        <v>12.62</v>
      </c>
      <c r="AH376">
        <v>0</v>
      </c>
      <c r="AI376">
        <v>1</v>
      </c>
      <c r="AJ376">
        <v>23.59</v>
      </c>
      <c r="AK376">
        <v>56.35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7.5</v>
      </c>
      <c r="AU376" t="s">
        <v>49</v>
      </c>
      <c r="AV376">
        <v>0</v>
      </c>
      <c r="AW376">
        <v>2</v>
      </c>
      <c r="AX376">
        <v>55748206</v>
      </c>
      <c r="AY376">
        <v>1</v>
      </c>
      <c r="AZ376">
        <v>0</v>
      </c>
      <c r="BA376">
        <v>409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f>ROUND(Y376*Source!I127*DO376,9)</f>
        <v>34.073999999999998</v>
      </c>
      <c r="CX376">
        <f>ROUND(Y376*Source!I127,9)</f>
        <v>2.7</v>
      </c>
      <c r="CY376">
        <f>AB376</f>
        <v>1209.95</v>
      </c>
      <c r="CZ376">
        <f>AF376</f>
        <v>48.07</v>
      </c>
      <c r="DA376">
        <f>AJ376</f>
        <v>23.59</v>
      </c>
      <c r="DB376">
        <f t="shared" si="163"/>
        <v>432.63600000000002</v>
      </c>
      <c r="DC376">
        <f t="shared" si="164"/>
        <v>113.58</v>
      </c>
      <c r="DD376" t="s">
        <v>3</v>
      </c>
      <c r="DE376" t="s">
        <v>3</v>
      </c>
      <c r="DF376">
        <f t="shared" si="154"/>
        <v>0</v>
      </c>
      <c r="DG376">
        <f>ROUND(ROUND(AF376*AJ376,2)*CX376,2)</f>
        <v>3061.72</v>
      </c>
      <c r="DH376">
        <f>ROUND(ROUND(AG376*AK376,2)*CX376,2)</f>
        <v>1920.08</v>
      </c>
      <c r="DI376">
        <f t="shared" si="135"/>
        <v>0</v>
      </c>
      <c r="DJ376">
        <f>DG376</f>
        <v>3061.72</v>
      </c>
      <c r="DK376">
        <v>0</v>
      </c>
      <c r="DL376" t="s">
        <v>486</v>
      </c>
      <c r="DM376">
        <v>0</v>
      </c>
      <c r="DN376" t="s">
        <v>475</v>
      </c>
      <c r="DO376">
        <v>12.62</v>
      </c>
    </row>
    <row r="377" spans="1:119" x14ac:dyDescent="0.2">
      <c r="A377">
        <f>ROW(Source!A127)</f>
        <v>127</v>
      </c>
      <c r="B377">
        <v>55747651</v>
      </c>
      <c r="C377">
        <v>55748188</v>
      </c>
      <c r="D377">
        <v>54767971</v>
      </c>
      <c r="E377">
        <v>1</v>
      </c>
      <c r="F377">
        <v>1</v>
      </c>
      <c r="G377">
        <v>1081</v>
      </c>
      <c r="H377">
        <v>2</v>
      </c>
      <c r="I377" t="s">
        <v>589</v>
      </c>
      <c r="J377" t="s">
        <v>590</v>
      </c>
      <c r="K377" t="s">
        <v>591</v>
      </c>
      <c r="L377">
        <v>1368</v>
      </c>
      <c r="N377">
        <v>1011</v>
      </c>
      <c r="O377" t="s">
        <v>479</v>
      </c>
      <c r="P377" t="s">
        <v>479</v>
      </c>
      <c r="Q377">
        <v>1</v>
      </c>
      <c r="W377">
        <v>0</v>
      </c>
      <c r="X377">
        <v>210297649</v>
      </c>
      <c r="Y377">
        <f t="shared" si="162"/>
        <v>8.4</v>
      </c>
      <c r="AA377">
        <v>0</v>
      </c>
      <c r="AB377">
        <v>65.790000000000006</v>
      </c>
      <c r="AC377">
        <v>0</v>
      </c>
      <c r="AD377">
        <v>0</v>
      </c>
      <c r="AE377">
        <v>0</v>
      </c>
      <c r="AF377">
        <v>5.79</v>
      </c>
      <c r="AG377">
        <v>0</v>
      </c>
      <c r="AH377">
        <v>0</v>
      </c>
      <c r="AI377">
        <v>1</v>
      </c>
      <c r="AJ377">
        <v>10.65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7</v>
      </c>
      <c r="AU377" t="s">
        <v>49</v>
      </c>
      <c r="AV377">
        <v>0</v>
      </c>
      <c r="AW377">
        <v>2</v>
      </c>
      <c r="AX377">
        <v>55748207</v>
      </c>
      <c r="AY377">
        <v>1</v>
      </c>
      <c r="AZ377">
        <v>0</v>
      </c>
      <c r="BA377">
        <v>410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f>ROUND(Y377*Source!I127*DO377,9)</f>
        <v>0</v>
      </c>
      <c r="CX377">
        <f>ROUND(Y377*Source!I127,9)</f>
        <v>2.52</v>
      </c>
      <c r="CY377">
        <f>AB377</f>
        <v>65.790000000000006</v>
      </c>
      <c r="CZ377">
        <f>AF377</f>
        <v>5.79</v>
      </c>
      <c r="DA377">
        <f>AJ377</f>
        <v>10.65</v>
      </c>
      <c r="DB377">
        <f t="shared" si="163"/>
        <v>48.636000000000003</v>
      </c>
      <c r="DC377">
        <f t="shared" si="164"/>
        <v>0</v>
      </c>
      <c r="DD377" t="s">
        <v>3</v>
      </c>
      <c r="DE377" t="s">
        <v>3</v>
      </c>
      <c r="DF377">
        <f t="shared" si="154"/>
        <v>0</v>
      </c>
      <c r="DG377">
        <f>ROUND(ROUND(AF377*AJ377,2)*CX377,2)</f>
        <v>155.38</v>
      </c>
      <c r="DH377">
        <f>ROUND(ROUND(AG377,2)*CX377,2)</f>
        <v>0</v>
      </c>
      <c r="DI377">
        <f t="shared" si="135"/>
        <v>0</v>
      </c>
      <c r="DJ377">
        <f>DG377</f>
        <v>155.38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ROW(Source!A127)</f>
        <v>127</v>
      </c>
      <c r="B378">
        <v>55747651</v>
      </c>
      <c r="C378">
        <v>55748188</v>
      </c>
      <c r="D378">
        <v>54768040</v>
      </c>
      <c r="E378">
        <v>1</v>
      </c>
      <c r="F378">
        <v>1</v>
      </c>
      <c r="G378">
        <v>1081</v>
      </c>
      <c r="H378">
        <v>2</v>
      </c>
      <c r="I378" t="s">
        <v>476</v>
      </c>
      <c r="J378" t="s">
        <v>477</v>
      </c>
      <c r="K378" t="s">
        <v>478</v>
      </c>
      <c r="L378">
        <v>1368</v>
      </c>
      <c r="N378">
        <v>1011</v>
      </c>
      <c r="O378" t="s">
        <v>479</v>
      </c>
      <c r="P378" t="s">
        <v>479</v>
      </c>
      <c r="Q378">
        <v>1</v>
      </c>
      <c r="W378">
        <v>0</v>
      </c>
      <c r="X378">
        <v>1498588441</v>
      </c>
      <c r="Y378">
        <f t="shared" si="162"/>
        <v>11.183999999999999</v>
      </c>
      <c r="AA378">
        <v>0</v>
      </c>
      <c r="AB378">
        <v>102.11</v>
      </c>
      <c r="AC378">
        <v>0</v>
      </c>
      <c r="AD378">
        <v>0</v>
      </c>
      <c r="AE378">
        <v>0</v>
      </c>
      <c r="AF378">
        <v>7.11</v>
      </c>
      <c r="AG378">
        <v>0</v>
      </c>
      <c r="AH378">
        <v>0</v>
      </c>
      <c r="AI378">
        <v>1</v>
      </c>
      <c r="AJ378">
        <v>13.46</v>
      </c>
      <c r="AK378">
        <v>1</v>
      </c>
      <c r="AL378">
        <v>1</v>
      </c>
      <c r="AM378">
        <v>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9.32</v>
      </c>
      <c r="AU378" t="s">
        <v>49</v>
      </c>
      <c r="AV378">
        <v>0</v>
      </c>
      <c r="AW378">
        <v>2</v>
      </c>
      <c r="AX378">
        <v>55748208</v>
      </c>
      <c r="AY378">
        <v>1</v>
      </c>
      <c r="AZ378">
        <v>0</v>
      </c>
      <c r="BA378">
        <v>411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ROUND(Y378*Source!I127*DO378,9)</f>
        <v>0</v>
      </c>
      <c r="CX378">
        <f>ROUND(Y378*Source!I127,9)</f>
        <v>3.3552</v>
      </c>
      <c r="CY378">
        <f>AB378</f>
        <v>102.11</v>
      </c>
      <c r="CZ378">
        <f>AF378</f>
        <v>7.11</v>
      </c>
      <c r="DA378">
        <f>AJ378</f>
        <v>13.46</v>
      </c>
      <c r="DB378">
        <f t="shared" si="163"/>
        <v>79.524000000000001</v>
      </c>
      <c r="DC378">
        <f t="shared" si="164"/>
        <v>0</v>
      </c>
      <c r="DD378" t="s">
        <v>3</v>
      </c>
      <c r="DE378" t="s">
        <v>3</v>
      </c>
      <c r="DF378">
        <f t="shared" si="154"/>
        <v>0</v>
      </c>
      <c r="DG378">
        <f>ROUND(ROUND(AF378*AJ378,2)*CX378,2)</f>
        <v>321.08999999999997</v>
      </c>
      <c r="DH378">
        <f>ROUND(ROUND(AG378,2)*CX378,2)</f>
        <v>0</v>
      </c>
      <c r="DI378">
        <f t="shared" si="135"/>
        <v>0</v>
      </c>
      <c r="DJ378">
        <f>DG378</f>
        <v>321.08999999999997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ROW(Source!A127)</f>
        <v>127</v>
      </c>
      <c r="B379">
        <v>55747651</v>
      </c>
      <c r="C379">
        <v>55748188</v>
      </c>
      <c r="D379">
        <v>54768339</v>
      </c>
      <c r="E379">
        <v>1</v>
      </c>
      <c r="F379">
        <v>1</v>
      </c>
      <c r="G379">
        <v>1081</v>
      </c>
      <c r="H379">
        <v>2</v>
      </c>
      <c r="I379" t="s">
        <v>483</v>
      </c>
      <c r="J379" t="s">
        <v>484</v>
      </c>
      <c r="K379" t="s">
        <v>485</v>
      </c>
      <c r="L379">
        <v>1368</v>
      </c>
      <c r="N379">
        <v>1011</v>
      </c>
      <c r="O379" t="s">
        <v>479</v>
      </c>
      <c r="P379" t="s">
        <v>479</v>
      </c>
      <c r="Q379">
        <v>1</v>
      </c>
      <c r="W379">
        <v>0</v>
      </c>
      <c r="X379">
        <v>874612079</v>
      </c>
      <c r="Y379">
        <f t="shared" si="162"/>
        <v>0.64800000000000002</v>
      </c>
      <c r="AA379">
        <v>0</v>
      </c>
      <c r="AB379">
        <v>1513.56</v>
      </c>
      <c r="AC379">
        <v>758.78</v>
      </c>
      <c r="AD379">
        <v>0</v>
      </c>
      <c r="AE379">
        <v>0</v>
      </c>
      <c r="AF379">
        <v>83.1</v>
      </c>
      <c r="AG379">
        <v>12.62</v>
      </c>
      <c r="AH379">
        <v>0</v>
      </c>
      <c r="AI379">
        <v>1</v>
      </c>
      <c r="AJ379">
        <v>17.07</v>
      </c>
      <c r="AK379">
        <v>56.35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0.54</v>
      </c>
      <c r="AU379" t="s">
        <v>49</v>
      </c>
      <c r="AV379">
        <v>0</v>
      </c>
      <c r="AW379">
        <v>2</v>
      </c>
      <c r="AX379">
        <v>55748209</v>
      </c>
      <c r="AY379">
        <v>1</v>
      </c>
      <c r="AZ379">
        <v>0</v>
      </c>
      <c r="BA379">
        <v>412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ROUND(Y379*Source!I127*DO379,9)</f>
        <v>2.453328</v>
      </c>
      <c r="CX379">
        <f>ROUND(Y379*Source!I127,9)</f>
        <v>0.19439999999999999</v>
      </c>
      <c r="CY379">
        <f>AB379</f>
        <v>1513.56</v>
      </c>
      <c r="CZ379">
        <f>AF379</f>
        <v>83.1</v>
      </c>
      <c r="DA379">
        <f>AJ379</f>
        <v>17.07</v>
      </c>
      <c r="DB379">
        <f t="shared" si="163"/>
        <v>53.844000000000001</v>
      </c>
      <c r="DC379">
        <f t="shared" si="164"/>
        <v>8.1720000000000006</v>
      </c>
      <c r="DD379" t="s">
        <v>3</v>
      </c>
      <c r="DE379" t="s">
        <v>3</v>
      </c>
      <c r="DF379">
        <f t="shared" si="154"/>
        <v>0</v>
      </c>
      <c r="DG379">
        <f>ROUND(ROUND(AF379*AJ379,2)*CX379,2)</f>
        <v>275.76</v>
      </c>
      <c r="DH379">
        <f>ROUND(ROUND(AG379*AK379,2)*CX379,2)</f>
        <v>138.25</v>
      </c>
      <c r="DI379">
        <f t="shared" si="135"/>
        <v>0</v>
      </c>
      <c r="DJ379">
        <f>DG379</f>
        <v>275.76</v>
      </c>
      <c r="DK379">
        <v>0</v>
      </c>
      <c r="DL379" t="s">
        <v>486</v>
      </c>
      <c r="DM379">
        <v>0</v>
      </c>
      <c r="DN379" t="s">
        <v>475</v>
      </c>
      <c r="DO379">
        <v>12.62</v>
      </c>
    </row>
    <row r="380" spans="1:119" x14ac:dyDescent="0.2">
      <c r="A380">
        <f>ROW(Source!A127)</f>
        <v>127</v>
      </c>
      <c r="B380">
        <v>55747651</v>
      </c>
      <c r="C380">
        <v>55748188</v>
      </c>
      <c r="D380">
        <v>54767657</v>
      </c>
      <c r="E380">
        <v>1</v>
      </c>
      <c r="F380">
        <v>1</v>
      </c>
      <c r="G380">
        <v>1081</v>
      </c>
      <c r="H380">
        <v>2</v>
      </c>
      <c r="I380" t="s">
        <v>592</v>
      </c>
      <c r="J380" t="s">
        <v>593</v>
      </c>
      <c r="K380" t="s">
        <v>594</v>
      </c>
      <c r="L380">
        <v>1368</v>
      </c>
      <c r="N380">
        <v>1011</v>
      </c>
      <c r="O380" t="s">
        <v>479</v>
      </c>
      <c r="P380" t="s">
        <v>479</v>
      </c>
      <c r="Q380">
        <v>1</v>
      </c>
      <c r="W380">
        <v>0</v>
      </c>
      <c r="X380">
        <v>-1755828087</v>
      </c>
      <c r="Y380">
        <f t="shared" si="162"/>
        <v>0.48</v>
      </c>
      <c r="AA380">
        <v>0</v>
      </c>
      <c r="AB380">
        <v>34.85</v>
      </c>
      <c r="AC380">
        <v>0</v>
      </c>
      <c r="AD380">
        <v>0</v>
      </c>
      <c r="AE380">
        <v>0</v>
      </c>
      <c r="AF380">
        <v>3.18</v>
      </c>
      <c r="AG380">
        <v>0</v>
      </c>
      <c r="AH380">
        <v>0</v>
      </c>
      <c r="AI380">
        <v>1</v>
      </c>
      <c r="AJ380">
        <v>10.27</v>
      </c>
      <c r="AK380">
        <v>1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0.4</v>
      </c>
      <c r="AU380" t="s">
        <v>49</v>
      </c>
      <c r="AV380">
        <v>0</v>
      </c>
      <c r="AW380">
        <v>2</v>
      </c>
      <c r="AX380">
        <v>55748210</v>
      </c>
      <c r="AY380">
        <v>1</v>
      </c>
      <c r="AZ380">
        <v>0</v>
      </c>
      <c r="BA380">
        <v>413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f>ROUND(Y380*Source!I127*DO380,9)</f>
        <v>0</v>
      </c>
      <c r="CX380">
        <f>ROUND(Y380*Source!I127,9)</f>
        <v>0.14399999999999999</v>
      </c>
      <c r="CY380">
        <f>AB380</f>
        <v>34.85</v>
      </c>
      <c r="CZ380">
        <f>AF380</f>
        <v>3.18</v>
      </c>
      <c r="DA380">
        <f>AJ380</f>
        <v>10.27</v>
      </c>
      <c r="DB380">
        <f t="shared" si="163"/>
        <v>1.524</v>
      </c>
      <c r="DC380">
        <f t="shared" si="164"/>
        <v>0</v>
      </c>
      <c r="DD380" t="s">
        <v>3</v>
      </c>
      <c r="DE380" t="s">
        <v>3</v>
      </c>
      <c r="DF380">
        <f t="shared" si="154"/>
        <v>0</v>
      </c>
      <c r="DG380">
        <f>ROUND(ROUND(AF380*AJ380,2)*CX380,2)</f>
        <v>4.7</v>
      </c>
      <c r="DH380">
        <f t="shared" ref="DH380:DH395" si="165">ROUND(ROUND(AG380,2)*CX380,2)</f>
        <v>0</v>
      </c>
      <c r="DI380">
        <f t="shared" si="135"/>
        <v>0</v>
      </c>
      <c r="DJ380">
        <f>DG380</f>
        <v>4.7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ROW(Source!A127)</f>
        <v>127</v>
      </c>
      <c r="B381">
        <v>55747651</v>
      </c>
      <c r="C381">
        <v>55748188</v>
      </c>
      <c r="D381">
        <v>54737367</v>
      </c>
      <c r="E381">
        <v>1</v>
      </c>
      <c r="F381">
        <v>1</v>
      </c>
      <c r="G381">
        <v>1081</v>
      </c>
      <c r="H381">
        <v>3</v>
      </c>
      <c r="I381" t="s">
        <v>538</v>
      </c>
      <c r="J381" t="s">
        <v>539</v>
      </c>
      <c r="K381" t="s">
        <v>540</v>
      </c>
      <c r="L381">
        <v>1339</v>
      </c>
      <c r="N381">
        <v>1007</v>
      </c>
      <c r="O381" t="s">
        <v>507</v>
      </c>
      <c r="P381" t="s">
        <v>507</v>
      </c>
      <c r="Q381">
        <v>1</v>
      </c>
      <c r="W381">
        <v>0</v>
      </c>
      <c r="X381">
        <v>-1622585150</v>
      </c>
      <c r="Y381">
        <f t="shared" ref="Y381:Y387" si="166">(AT381*1)</f>
        <v>3</v>
      </c>
      <c r="AA381">
        <v>56.33</v>
      </c>
      <c r="AB381">
        <v>0</v>
      </c>
      <c r="AC381">
        <v>0</v>
      </c>
      <c r="AD381">
        <v>0</v>
      </c>
      <c r="AE381">
        <v>7.07</v>
      </c>
      <c r="AF381">
        <v>0</v>
      </c>
      <c r="AG381">
        <v>0</v>
      </c>
      <c r="AH381">
        <v>0</v>
      </c>
      <c r="AI381">
        <v>7.75</v>
      </c>
      <c r="AJ381">
        <v>1</v>
      </c>
      <c r="AK381">
        <v>1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3</v>
      </c>
      <c r="AU381" t="s">
        <v>48</v>
      </c>
      <c r="AV381">
        <v>0</v>
      </c>
      <c r="AW381">
        <v>2</v>
      </c>
      <c r="AX381">
        <v>55748211</v>
      </c>
      <c r="AY381">
        <v>1</v>
      </c>
      <c r="AZ381">
        <v>0</v>
      </c>
      <c r="BA381">
        <v>414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ROUND(Y381*Source!I127,9)</f>
        <v>0.9</v>
      </c>
      <c r="CY381">
        <f t="shared" ref="CY381:CY390" si="167">AA381</f>
        <v>56.33</v>
      </c>
      <c r="CZ381">
        <f t="shared" ref="CZ381:CZ390" si="168">AE381</f>
        <v>7.07</v>
      </c>
      <c r="DA381">
        <f t="shared" ref="DA381:DA390" si="169">AI381</f>
        <v>7.75</v>
      </c>
      <c r="DB381">
        <f t="shared" ref="DB381:DB387" si="170">ROUND((ROUND(AT381*CZ381,2)*1),6)</f>
        <v>21.21</v>
      </c>
      <c r="DC381">
        <f t="shared" ref="DC381:DC387" si="171">ROUND((ROUND(AT381*AG381,2)*1),6)</f>
        <v>0</v>
      </c>
      <c r="DD381" t="s">
        <v>3</v>
      </c>
      <c r="DE381" t="s">
        <v>3</v>
      </c>
      <c r="DF381">
        <f t="shared" ref="DF381:DF390" si="172">ROUND(ROUND(AE381*AI381,2)*CX381,2)</f>
        <v>49.31</v>
      </c>
      <c r="DG381">
        <f t="shared" ref="DG381:DG395" si="173">ROUND(ROUND(AF381,2)*CX381,2)</f>
        <v>0</v>
      </c>
      <c r="DH381">
        <f t="shared" si="165"/>
        <v>0</v>
      </c>
      <c r="DI381">
        <f t="shared" si="135"/>
        <v>0</v>
      </c>
      <c r="DJ381">
        <f t="shared" ref="DJ381:DJ390" si="174">DF381</f>
        <v>49.31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ROW(Source!A127)</f>
        <v>127</v>
      </c>
      <c r="B382">
        <v>55747651</v>
      </c>
      <c r="C382">
        <v>55748188</v>
      </c>
      <c r="D382">
        <v>54738430</v>
      </c>
      <c r="E382">
        <v>1</v>
      </c>
      <c r="F382">
        <v>1</v>
      </c>
      <c r="G382">
        <v>1081</v>
      </c>
      <c r="H382">
        <v>3</v>
      </c>
      <c r="I382" t="s">
        <v>562</v>
      </c>
      <c r="J382" t="s">
        <v>563</v>
      </c>
      <c r="K382" t="s">
        <v>564</v>
      </c>
      <c r="L382">
        <v>1348</v>
      </c>
      <c r="N382">
        <v>1009</v>
      </c>
      <c r="O382" t="s">
        <v>282</v>
      </c>
      <c r="P382" t="s">
        <v>282</v>
      </c>
      <c r="Q382">
        <v>1000</v>
      </c>
      <c r="W382">
        <v>0</v>
      </c>
      <c r="X382">
        <v>63955816</v>
      </c>
      <c r="Y382">
        <f t="shared" si="166"/>
        <v>1.56E-3</v>
      </c>
      <c r="AA382">
        <v>99503.2</v>
      </c>
      <c r="AB382">
        <v>0</v>
      </c>
      <c r="AC382">
        <v>0</v>
      </c>
      <c r="AD382">
        <v>0</v>
      </c>
      <c r="AE382">
        <v>7185.82</v>
      </c>
      <c r="AF382">
        <v>0</v>
      </c>
      <c r="AG382">
        <v>0</v>
      </c>
      <c r="AH382">
        <v>0</v>
      </c>
      <c r="AI382">
        <v>13.47</v>
      </c>
      <c r="AJ382">
        <v>1</v>
      </c>
      <c r="AK382">
        <v>1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1.56E-3</v>
      </c>
      <c r="AU382" t="s">
        <v>48</v>
      </c>
      <c r="AV382">
        <v>0</v>
      </c>
      <c r="AW382">
        <v>2</v>
      </c>
      <c r="AX382">
        <v>55748212</v>
      </c>
      <c r="AY382">
        <v>1</v>
      </c>
      <c r="AZ382">
        <v>0</v>
      </c>
      <c r="BA382">
        <v>415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ROUND(Y382*Source!I127,9)</f>
        <v>4.6799999999999999E-4</v>
      </c>
      <c r="CY382">
        <f t="shared" si="167"/>
        <v>99503.2</v>
      </c>
      <c r="CZ382">
        <f t="shared" si="168"/>
        <v>7185.82</v>
      </c>
      <c r="DA382">
        <f t="shared" si="169"/>
        <v>13.47</v>
      </c>
      <c r="DB382">
        <f t="shared" si="170"/>
        <v>11.21</v>
      </c>
      <c r="DC382">
        <f t="shared" si="171"/>
        <v>0</v>
      </c>
      <c r="DD382" t="s">
        <v>3</v>
      </c>
      <c r="DE382" t="s">
        <v>3</v>
      </c>
      <c r="DF382">
        <f t="shared" si="172"/>
        <v>45.3</v>
      </c>
      <c r="DG382">
        <f t="shared" si="173"/>
        <v>0</v>
      </c>
      <c r="DH382">
        <f t="shared" si="165"/>
        <v>0</v>
      </c>
      <c r="DI382">
        <f t="shared" si="135"/>
        <v>0</v>
      </c>
      <c r="DJ382">
        <f t="shared" si="174"/>
        <v>45.3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ROW(Source!A127)</f>
        <v>127</v>
      </c>
      <c r="B383">
        <v>55747651</v>
      </c>
      <c r="C383">
        <v>55748188</v>
      </c>
      <c r="D383">
        <v>54738505</v>
      </c>
      <c r="E383">
        <v>1</v>
      </c>
      <c r="F383">
        <v>1</v>
      </c>
      <c r="G383">
        <v>1081</v>
      </c>
      <c r="H383">
        <v>3</v>
      </c>
      <c r="I383" t="s">
        <v>580</v>
      </c>
      <c r="J383" t="s">
        <v>581</v>
      </c>
      <c r="K383" t="s">
        <v>582</v>
      </c>
      <c r="L383">
        <v>1346</v>
      </c>
      <c r="N383">
        <v>1009</v>
      </c>
      <c r="O383" t="s">
        <v>503</v>
      </c>
      <c r="P383" t="s">
        <v>503</v>
      </c>
      <c r="Q383">
        <v>1</v>
      </c>
      <c r="W383">
        <v>0</v>
      </c>
      <c r="X383">
        <v>732400950</v>
      </c>
      <c r="Y383">
        <f t="shared" si="166"/>
        <v>0.76</v>
      </c>
      <c r="AA383">
        <v>94.12</v>
      </c>
      <c r="AB383">
        <v>0</v>
      </c>
      <c r="AC383">
        <v>0</v>
      </c>
      <c r="AD383">
        <v>0</v>
      </c>
      <c r="AE383">
        <v>21</v>
      </c>
      <c r="AF383">
        <v>0</v>
      </c>
      <c r="AG383">
        <v>0</v>
      </c>
      <c r="AH383">
        <v>0</v>
      </c>
      <c r="AI383">
        <v>4.3600000000000003</v>
      </c>
      <c r="AJ383">
        <v>1</v>
      </c>
      <c r="AK383">
        <v>1</v>
      </c>
      <c r="AL383">
        <v>1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0.76</v>
      </c>
      <c r="AU383" t="s">
        <v>48</v>
      </c>
      <c r="AV383">
        <v>0</v>
      </c>
      <c r="AW383">
        <v>2</v>
      </c>
      <c r="AX383">
        <v>55748213</v>
      </c>
      <c r="AY383">
        <v>1</v>
      </c>
      <c r="AZ383">
        <v>0</v>
      </c>
      <c r="BA383">
        <v>416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ROUND(Y383*Source!I127,9)</f>
        <v>0.22800000000000001</v>
      </c>
      <c r="CY383">
        <f t="shared" si="167"/>
        <v>94.12</v>
      </c>
      <c r="CZ383">
        <f t="shared" si="168"/>
        <v>21</v>
      </c>
      <c r="DA383">
        <f t="shared" si="169"/>
        <v>4.3600000000000003</v>
      </c>
      <c r="DB383">
        <f t="shared" si="170"/>
        <v>15.96</v>
      </c>
      <c r="DC383">
        <f t="shared" si="171"/>
        <v>0</v>
      </c>
      <c r="DD383" t="s">
        <v>3</v>
      </c>
      <c r="DE383" t="s">
        <v>3</v>
      </c>
      <c r="DF383">
        <f t="shared" si="172"/>
        <v>20.88</v>
      </c>
      <c r="DG383">
        <f t="shared" si="173"/>
        <v>0</v>
      </c>
      <c r="DH383">
        <f t="shared" si="165"/>
        <v>0</v>
      </c>
      <c r="DI383">
        <f t="shared" si="135"/>
        <v>0</v>
      </c>
      <c r="DJ383">
        <f t="shared" si="174"/>
        <v>20.88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ROW(Source!A127)</f>
        <v>127</v>
      </c>
      <c r="B384">
        <v>55747651</v>
      </c>
      <c r="C384">
        <v>55748188</v>
      </c>
      <c r="D384">
        <v>54738703</v>
      </c>
      <c r="E384">
        <v>1</v>
      </c>
      <c r="F384">
        <v>1</v>
      </c>
      <c r="G384">
        <v>1081</v>
      </c>
      <c r="H384">
        <v>3</v>
      </c>
      <c r="I384" t="s">
        <v>595</v>
      </c>
      <c r="J384" t="s">
        <v>596</v>
      </c>
      <c r="K384" t="s">
        <v>597</v>
      </c>
      <c r="L384">
        <v>1355</v>
      </c>
      <c r="N384">
        <v>1010</v>
      </c>
      <c r="O384" t="s">
        <v>254</v>
      </c>
      <c r="P384" t="s">
        <v>254</v>
      </c>
      <c r="Q384">
        <v>100</v>
      </c>
      <c r="W384">
        <v>0</v>
      </c>
      <c r="X384">
        <v>1567739421</v>
      </c>
      <c r="Y384">
        <f t="shared" si="166"/>
        <v>0.36</v>
      </c>
      <c r="AA384">
        <v>480.06</v>
      </c>
      <c r="AB384">
        <v>0</v>
      </c>
      <c r="AC384">
        <v>0</v>
      </c>
      <c r="AD384">
        <v>0</v>
      </c>
      <c r="AE384">
        <v>496.79</v>
      </c>
      <c r="AF384">
        <v>0</v>
      </c>
      <c r="AG384">
        <v>0</v>
      </c>
      <c r="AH384">
        <v>0</v>
      </c>
      <c r="AI384">
        <v>0.94</v>
      </c>
      <c r="AJ384">
        <v>1</v>
      </c>
      <c r="AK384">
        <v>1</v>
      </c>
      <c r="AL384">
        <v>1</v>
      </c>
      <c r="AM384">
        <v>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0.36</v>
      </c>
      <c r="AU384" t="s">
        <v>48</v>
      </c>
      <c r="AV384">
        <v>0</v>
      </c>
      <c r="AW384">
        <v>2</v>
      </c>
      <c r="AX384">
        <v>55748214</v>
      </c>
      <c r="AY384">
        <v>1</v>
      </c>
      <c r="AZ384">
        <v>0</v>
      </c>
      <c r="BA384">
        <v>417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ROUND(Y384*Source!I127,9)</f>
        <v>0.108</v>
      </c>
      <c r="CY384">
        <f t="shared" si="167"/>
        <v>480.06</v>
      </c>
      <c r="CZ384">
        <f t="shared" si="168"/>
        <v>496.79</v>
      </c>
      <c r="DA384">
        <f t="shared" si="169"/>
        <v>0.94</v>
      </c>
      <c r="DB384">
        <f t="shared" si="170"/>
        <v>178.84</v>
      </c>
      <c r="DC384">
        <f t="shared" si="171"/>
        <v>0</v>
      </c>
      <c r="DD384" t="s">
        <v>3</v>
      </c>
      <c r="DE384" t="s">
        <v>3</v>
      </c>
      <c r="DF384">
        <f t="shared" si="172"/>
        <v>50.43</v>
      </c>
      <c r="DG384">
        <f t="shared" si="173"/>
        <v>0</v>
      </c>
      <c r="DH384">
        <f t="shared" si="165"/>
        <v>0</v>
      </c>
      <c r="DI384">
        <f t="shared" si="135"/>
        <v>0</v>
      </c>
      <c r="DJ384">
        <f t="shared" si="174"/>
        <v>50.43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ROW(Source!A127)</f>
        <v>127</v>
      </c>
      <c r="B385">
        <v>55747651</v>
      </c>
      <c r="C385">
        <v>55748188</v>
      </c>
      <c r="D385">
        <v>54738704</v>
      </c>
      <c r="E385">
        <v>1</v>
      </c>
      <c r="F385">
        <v>1</v>
      </c>
      <c r="G385">
        <v>1081</v>
      </c>
      <c r="H385">
        <v>3</v>
      </c>
      <c r="I385" t="s">
        <v>598</v>
      </c>
      <c r="J385" t="s">
        <v>599</v>
      </c>
      <c r="K385" t="s">
        <v>600</v>
      </c>
      <c r="L385">
        <v>1355</v>
      </c>
      <c r="N385">
        <v>1010</v>
      </c>
      <c r="O385" t="s">
        <v>254</v>
      </c>
      <c r="P385" t="s">
        <v>254</v>
      </c>
      <c r="Q385">
        <v>100</v>
      </c>
      <c r="W385">
        <v>0</v>
      </c>
      <c r="X385">
        <v>-96727844</v>
      </c>
      <c r="Y385">
        <f t="shared" si="166"/>
        <v>0.36</v>
      </c>
      <c r="AA385">
        <v>578.83000000000004</v>
      </c>
      <c r="AB385">
        <v>0</v>
      </c>
      <c r="AC385">
        <v>0</v>
      </c>
      <c r="AD385">
        <v>0</v>
      </c>
      <c r="AE385">
        <v>243.75</v>
      </c>
      <c r="AF385">
        <v>0</v>
      </c>
      <c r="AG385">
        <v>0</v>
      </c>
      <c r="AH385">
        <v>0</v>
      </c>
      <c r="AI385">
        <v>2.31</v>
      </c>
      <c r="AJ385">
        <v>1</v>
      </c>
      <c r="AK385">
        <v>1</v>
      </c>
      <c r="AL385">
        <v>1</v>
      </c>
      <c r="AM385">
        <v>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0.36</v>
      </c>
      <c r="AU385" t="s">
        <v>48</v>
      </c>
      <c r="AV385">
        <v>0</v>
      </c>
      <c r="AW385">
        <v>2</v>
      </c>
      <c r="AX385">
        <v>55748215</v>
      </c>
      <c r="AY385">
        <v>1</v>
      </c>
      <c r="AZ385">
        <v>0</v>
      </c>
      <c r="BA385">
        <v>418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ROUND(Y385*Source!I127,9)</f>
        <v>0.108</v>
      </c>
      <c r="CY385">
        <f t="shared" si="167"/>
        <v>578.83000000000004</v>
      </c>
      <c r="CZ385">
        <f t="shared" si="168"/>
        <v>243.75</v>
      </c>
      <c r="DA385">
        <f t="shared" si="169"/>
        <v>2.31</v>
      </c>
      <c r="DB385">
        <f t="shared" si="170"/>
        <v>87.75</v>
      </c>
      <c r="DC385">
        <f t="shared" si="171"/>
        <v>0</v>
      </c>
      <c r="DD385" t="s">
        <v>3</v>
      </c>
      <c r="DE385" t="s">
        <v>3</v>
      </c>
      <c r="DF385">
        <f t="shared" si="172"/>
        <v>60.81</v>
      </c>
      <c r="DG385">
        <f t="shared" si="173"/>
        <v>0</v>
      </c>
      <c r="DH385">
        <f t="shared" si="165"/>
        <v>0</v>
      </c>
      <c r="DI385">
        <f t="shared" ref="DI385:DI448" si="175">ROUND(ROUND(AH385,2)*CX385,2)</f>
        <v>0</v>
      </c>
      <c r="DJ385">
        <f t="shared" si="174"/>
        <v>60.81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ROW(Source!A127)</f>
        <v>127</v>
      </c>
      <c r="B386">
        <v>55747651</v>
      </c>
      <c r="C386">
        <v>55748188</v>
      </c>
      <c r="D386">
        <v>54737299</v>
      </c>
      <c r="E386">
        <v>1</v>
      </c>
      <c r="F386">
        <v>1</v>
      </c>
      <c r="G386">
        <v>1081</v>
      </c>
      <c r="H386">
        <v>3</v>
      </c>
      <c r="I386" t="s">
        <v>583</v>
      </c>
      <c r="J386" t="s">
        <v>584</v>
      </c>
      <c r="K386" t="s">
        <v>585</v>
      </c>
      <c r="L386">
        <v>1339</v>
      </c>
      <c r="N386">
        <v>1007</v>
      </c>
      <c r="O386" t="s">
        <v>507</v>
      </c>
      <c r="P386" t="s">
        <v>507</v>
      </c>
      <c r="Q386">
        <v>1</v>
      </c>
      <c r="W386">
        <v>0</v>
      </c>
      <c r="X386">
        <v>-676034668</v>
      </c>
      <c r="Y386">
        <f t="shared" si="166"/>
        <v>0.59</v>
      </c>
      <c r="AA386">
        <v>781.45</v>
      </c>
      <c r="AB386">
        <v>0</v>
      </c>
      <c r="AC386">
        <v>0</v>
      </c>
      <c r="AD386">
        <v>0</v>
      </c>
      <c r="AE386">
        <v>53.42</v>
      </c>
      <c r="AF386">
        <v>0</v>
      </c>
      <c r="AG386">
        <v>0</v>
      </c>
      <c r="AH386">
        <v>0</v>
      </c>
      <c r="AI386">
        <v>14.23</v>
      </c>
      <c r="AJ386">
        <v>1</v>
      </c>
      <c r="AK386">
        <v>1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0.59</v>
      </c>
      <c r="AU386" t="s">
        <v>48</v>
      </c>
      <c r="AV386">
        <v>0</v>
      </c>
      <c r="AW386">
        <v>2</v>
      </c>
      <c r="AX386">
        <v>55748216</v>
      </c>
      <c r="AY386">
        <v>1</v>
      </c>
      <c r="AZ386">
        <v>0</v>
      </c>
      <c r="BA386">
        <v>419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ROUND(Y386*Source!I127,9)</f>
        <v>0.17699999999999999</v>
      </c>
      <c r="CY386">
        <f t="shared" si="167"/>
        <v>781.45</v>
      </c>
      <c r="CZ386">
        <f t="shared" si="168"/>
        <v>53.42</v>
      </c>
      <c r="DA386">
        <f t="shared" si="169"/>
        <v>14.23</v>
      </c>
      <c r="DB386">
        <f t="shared" si="170"/>
        <v>31.52</v>
      </c>
      <c r="DC386">
        <f t="shared" si="171"/>
        <v>0</v>
      </c>
      <c r="DD386" t="s">
        <v>3</v>
      </c>
      <c r="DE386" t="s">
        <v>3</v>
      </c>
      <c r="DF386">
        <f t="shared" si="172"/>
        <v>134.55000000000001</v>
      </c>
      <c r="DG386">
        <f t="shared" si="173"/>
        <v>0</v>
      </c>
      <c r="DH386">
        <f t="shared" si="165"/>
        <v>0</v>
      </c>
      <c r="DI386">
        <f t="shared" si="175"/>
        <v>0</v>
      </c>
      <c r="DJ386">
        <f t="shared" si="174"/>
        <v>134.55000000000001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ROW(Source!A127)</f>
        <v>127</v>
      </c>
      <c r="B387">
        <v>55747651</v>
      </c>
      <c r="C387">
        <v>55748188</v>
      </c>
      <c r="D387">
        <v>54737565</v>
      </c>
      <c r="E387">
        <v>1</v>
      </c>
      <c r="F387">
        <v>1</v>
      </c>
      <c r="G387">
        <v>1081</v>
      </c>
      <c r="H387">
        <v>3</v>
      </c>
      <c r="I387" t="s">
        <v>504</v>
      </c>
      <c r="J387" t="s">
        <v>505</v>
      </c>
      <c r="K387" t="s">
        <v>506</v>
      </c>
      <c r="L387">
        <v>1339</v>
      </c>
      <c r="N387">
        <v>1007</v>
      </c>
      <c r="O387" t="s">
        <v>507</v>
      </c>
      <c r="P387" t="s">
        <v>507</v>
      </c>
      <c r="Q387">
        <v>1</v>
      </c>
      <c r="W387">
        <v>0</v>
      </c>
      <c r="X387">
        <v>-1235260082</v>
      </c>
      <c r="Y387">
        <f t="shared" si="166"/>
        <v>0.76</v>
      </c>
      <c r="AA387">
        <v>104.16</v>
      </c>
      <c r="AB387">
        <v>0</v>
      </c>
      <c r="AC387">
        <v>0</v>
      </c>
      <c r="AD387">
        <v>0</v>
      </c>
      <c r="AE387">
        <v>5.82</v>
      </c>
      <c r="AF387">
        <v>0</v>
      </c>
      <c r="AG387">
        <v>0</v>
      </c>
      <c r="AH387">
        <v>0</v>
      </c>
      <c r="AI387">
        <v>17.41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0.76</v>
      </c>
      <c r="AU387" t="s">
        <v>48</v>
      </c>
      <c r="AV387">
        <v>0</v>
      </c>
      <c r="AW387">
        <v>2</v>
      </c>
      <c r="AX387">
        <v>55748217</v>
      </c>
      <c r="AY387">
        <v>1</v>
      </c>
      <c r="AZ387">
        <v>0</v>
      </c>
      <c r="BA387">
        <v>420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ROUND(Y387*Source!I127,9)</f>
        <v>0.22800000000000001</v>
      </c>
      <c r="CY387">
        <f t="shared" si="167"/>
        <v>104.16</v>
      </c>
      <c r="CZ387">
        <f t="shared" si="168"/>
        <v>5.82</v>
      </c>
      <c r="DA387">
        <f t="shared" si="169"/>
        <v>17.41</v>
      </c>
      <c r="DB387">
        <f t="shared" si="170"/>
        <v>4.42</v>
      </c>
      <c r="DC387">
        <f t="shared" si="171"/>
        <v>0</v>
      </c>
      <c r="DD387" t="s">
        <v>3</v>
      </c>
      <c r="DE387" t="s">
        <v>3</v>
      </c>
      <c r="DF387">
        <f t="shared" si="172"/>
        <v>23.1</v>
      </c>
      <c r="DG387">
        <f t="shared" si="173"/>
        <v>0</v>
      </c>
      <c r="DH387">
        <f t="shared" si="165"/>
        <v>0</v>
      </c>
      <c r="DI387">
        <f t="shared" si="175"/>
        <v>0</v>
      </c>
      <c r="DJ387">
        <f t="shared" si="174"/>
        <v>23.1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ROW(Source!A127)</f>
        <v>127</v>
      </c>
      <c r="B388">
        <v>55747651</v>
      </c>
      <c r="C388">
        <v>55748188</v>
      </c>
      <c r="D388">
        <v>54749865</v>
      </c>
      <c r="E388">
        <v>1</v>
      </c>
      <c r="F388">
        <v>1</v>
      </c>
      <c r="G388">
        <v>1081</v>
      </c>
      <c r="H388">
        <v>3</v>
      </c>
      <c r="I388" t="s">
        <v>227</v>
      </c>
      <c r="J388" t="s">
        <v>229</v>
      </c>
      <c r="K388" t="s">
        <v>228</v>
      </c>
      <c r="L388">
        <v>1301</v>
      </c>
      <c r="N388">
        <v>1003</v>
      </c>
      <c r="O388" t="s">
        <v>191</v>
      </c>
      <c r="P388" t="s">
        <v>191</v>
      </c>
      <c r="Q388">
        <v>1</v>
      </c>
      <c r="W388">
        <v>0</v>
      </c>
      <c r="X388">
        <v>-2048145394</v>
      </c>
      <c r="Y388">
        <f>AT388</f>
        <v>50.25</v>
      </c>
      <c r="AA388">
        <v>687.98</v>
      </c>
      <c r="AB388">
        <v>0</v>
      </c>
      <c r="AC388">
        <v>0</v>
      </c>
      <c r="AD388">
        <v>0</v>
      </c>
      <c r="AE388">
        <v>41.57</v>
      </c>
      <c r="AF388">
        <v>0</v>
      </c>
      <c r="AG388">
        <v>0</v>
      </c>
      <c r="AH388">
        <v>0</v>
      </c>
      <c r="AI388">
        <v>16.55</v>
      </c>
      <c r="AJ388">
        <v>1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 t="s">
        <v>3</v>
      </c>
      <c r="AT388">
        <v>50.25</v>
      </c>
      <c r="AU388" t="s">
        <v>3</v>
      </c>
      <c r="AV388">
        <v>0</v>
      </c>
      <c r="AW388">
        <v>1</v>
      </c>
      <c r="AX388">
        <v>-1</v>
      </c>
      <c r="AY388">
        <v>0</v>
      </c>
      <c r="AZ388">
        <v>0</v>
      </c>
      <c r="BA388" t="s">
        <v>3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ROUND(Y388*Source!I127,9)</f>
        <v>15.074999999999999</v>
      </c>
      <c r="CY388">
        <f t="shared" si="167"/>
        <v>687.98</v>
      </c>
      <c r="CZ388">
        <f t="shared" si="168"/>
        <v>41.57</v>
      </c>
      <c r="DA388">
        <f t="shared" si="169"/>
        <v>16.55</v>
      </c>
      <c r="DB388">
        <f>ROUND(ROUND(AT388*CZ388,2),6)</f>
        <v>2088.89</v>
      </c>
      <c r="DC388">
        <f>ROUND(ROUND(AT388*AG388,2),6)</f>
        <v>0</v>
      </c>
      <c r="DD388" t="s">
        <v>3</v>
      </c>
      <c r="DE388" t="s">
        <v>3</v>
      </c>
      <c r="DF388">
        <f t="shared" si="172"/>
        <v>10371.299999999999</v>
      </c>
      <c r="DG388">
        <f t="shared" si="173"/>
        <v>0</v>
      </c>
      <c r="DH388">
        <f t="shared" si="165"/>
        <v>0</v>
      </c>
      <c r="DI388">
        <f t="shared" si="175"/>
        <v>0</v>
      </c>
      <c r="DJ388">
        <f t="shared" si="174"/>
        <v>10371.299999999999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ROW(Source!A127)</f>
        <v>127</v>
      </c>
      <c r="B389">
        <v>55747651</v>
      </c>
      <c r="C389">
        <v>55748188</v>
      </c>
      <c r="D389">
        <v>54749866</v>
      </c>
      <c r="E389">
        <v>1</v>
      </c>
      <c r="F389">
        <v>1</v>
      </c>
      <c r="G389">
        <v>1081</v>
      </c>
      <c r="H389">
        <v>3</v>
      </c>
      <c r="I389" t="s">
        <v>224</v>
      </c>
      <c r="J389" t="s">
        <v>226</v>
      </c>
      <c r="K389" t="s">
        <v>225</v>
      </c>
      <c r="L389">
        <v>1301</v>
      </c>
      <c r="N389">
        <v>1003</v>
      </c>
      <c r="O389" t="s">
        <v>191</v>
      </c>
      <c r="P389" t="s">
        <v>191</v>
      </c>
      <c r="Q389">
        <v>1</v>
      </c>
      <c r="W389">
        <v>0</v>
      </c>
      <c r="X389">
        <v>-173671470</v>
      </c>
      <c r="Y389">
        <f>AT389</f>
        <v>50.25</v>
      </c>
      <c r="AA389">
        <v>1062.52</v>
      </c>
      <c r="AB389">
        <v>0</v>
      </c>
      <c r="AC389">
        <v>0</v>
      </c>
      <c r="AD389">
        <v>0</v>
      </c>
      <c r="AE389">
        <v>51.28</v>
      </c>
      <c r="AF389">
        <v>0</v>
      </c>
      <c r="AG389">
        <v>0</v>
      </c>
      <c r="AH389">
        <v>0</v>
      </c>
      <c r="AI389">
        <v>20.72</v>
      </c>
      <c r="AJ389">
        <v>1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 t="s">
        <v>3</v>
      </c>
      <c r="AT389">
        <v>50.25</v>
      </c>
      <c r="AU389" t="s">
        <v>3</v>
      </c>
      <c r="AV389">
        <v>0</v>
      </c>
      <c r="AW389">
        <v>1</v>
      </c>
      <c r="AX389">
        <v>-1</v>
      </c>
      <c r="AY389">
        <v>0</v>
      </c>
      <c r="AZ389">
        <v>0</v>
      </c>
      <c r="BA389" t="s">
        <v>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ROUND(Y389*Source!I127,9)</f>
        <v>15.074999999999999</v>
      </c>
      <c r="CY389">
        <f t="shared" si="167"/>
        <v>1062.52</v>
      </c>
      <c r="CZ389">
        <f t="shared" si="168"/>
        <v>51.28</v>
      </c>
      <c r="DA389">
        <f t="shared" si="169"/>
        <v>20.72</v>
      </c>
      <c r="DB389">
        <f>ROUND(ROUND(AT389*CZ389,2),6)</f>
        <v>2576.8200000000002</v>
      </c>
      <c r="DC389">
        <f>ROUND(ROUND(AT389*AG389,2),6)</f>
        <v>0</v>
      </c>
      <c r="DD389" t="s">
        <v>3</v>
      </c>
      <c r="DE389" t="s">
        <v>3</v>
      </c>
      <c r="DF389">
        <f t="shared" si="172"/>
        <v>16017.49</v>
      </c>
      <c r="DG389">
        <f t="shared" si="173"/>
        <v>0</v>
      </c>
      <c r="DH389">
        <f t="shared" si="165"/>
        <v>0</v>
      </c>
      <c r="DI389">
        <f t="shared" si="175"/>
        <v>0</v>
      </c>
      <c r="DJ389">
        <f t="shared" si="174"/>
        <v>16017.49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ROW(Source!A127)</f>
        <v>127</v>
      </c>
      <c r="B390">
        <v>55747651</v>
      </c>
      <c r="C390">
        <v>55748188</v>
      </c>
      <c r="D390">
        <v>54759954</v>
      </c>
      <c r="E390">
        <v>1</v>
      </c>
      <c r="F390">
        <v>1</v>
      </c>
      <c r="G390">
        <v>1081</v>
      </c>
      <c r="H390">
        <v>3</v>
      </c>
      <c r="I390" t="s">
        <v>601</v>
      </c>
      <c r="J390" t="s">
        <v>602</v>
      </c>
      <c r="K390" t="s">
        <v>603</v>
      </c>
      <c r="L390">
        <v>1354</v>
      </c>
      <c r="N390">
        <v>1010</v>
      </c>
      <c r="O390" t="s">
        <v>118</v>
      </c>
      <c r="P390" t="s">
        <v>118</v>
      </c>
      <c r="Q390">
        <v>1</v>
      </c>
      <c r="W390">
        <v>0</v>
      </c>
      <c r="X390">
        <v>483106430</v>
      </c>
      <c r="Y390">
        <f>(AT390*1)</f>
        <v>36</v>
      </c>
      <c r="AA390">
        <v>17.47</v>
      </c>
      <c r="AB390">
        <v>0</v>
      </c>
      <c r="AC390">
        <v>0</v>
      </c>
      <c r="AD390">
        <v>0</v>
      </c>
      <c r="AE390">
        <v>14.28</v>
      </c>
      <c r="AF390">
        <v>0</v>
      </c>
      <c r="AG390">
        <v>0</v>
      </c>
      <c r="AH390">
        <v>0</v>
      </c>
      <c r="AI390">
        <v>1.19</v>
      </c>
      <c r="AJ390">
        <v>1</v>
      </c>
      <c r="AK390">
        <v>1</v>
      </c>
      <c r="AL390">
        <v>1</v>
      </c>
      <c r="AM390">
        <v>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36</v>
      </c>
      <c r="AU390" t="s">
        <v>48</v>
      </c>
      <c r="AV390">
        <v>0</v>
      </c>
      <c r="AW390">
        <v>2</v>
      </c>
      <c r="AX390">
        <v>55748218</v>
      </c>
      <c r="AY390">
        <v>1</v>
      </c>
      <c r="AZ390">
        <v>0</v>
      </c>
      <c r="BA390">
        <v>421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ROUND(Y390*Source!I127,9)</f>
        <v>10.8</v>
      </c>
      <c r="CY390">
        <f t="shared" si="167"/>
        <v>17.47</v>
      </c>
      <c r="CZ390">
        <f t="shared" si="168"/>
        <v>14.28</v>
      </c>
      <c r="DA390">
        <f t="shared" si="169"/>
        <v>1.19</v>
      </c>
      <c r="DB390">
        <f>ROUND((ROUND(AT390*CZ390,2)*1),6)</f>
        <v>514.08000000000004</v>
      </c>
      <c r="DC390">
        <f>ROUND((ROUND(AT390*AG390,2)*1),6)</f>
        <v>0</v>
      </c>
      <c r="DD390" t="s">
        <v>3</v>
      </c>
      <c r="DE390" t="s">
        <v>3</v>
      </c>
      <c r="DF390">
        <f t="shared" si="172"/>
        <v>183.49</v>
      </c>
      <c r="DG390">
        <f t="shared" si="173"/>
        <v>0</v>
      </c>
      <c r="DH390">
        <f t="shared" si="165"/>
        <v>0</v>
      </c>
      <c r="DI390">
        <f t="shared" si="175"/>
        <v>0</v>
      </c>
      <c r="DJ390">
        <f t="shared" si="174"/>
        <v>183.49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ROW(Source!A140)</f>
        <v>140</v>
      </c>
      <c r="B391">
        <v>55747649</v>
      </c>
      <c r="C391">
        <v>55748227</v>
      </c>
      <c r="D391">
        <v>54702434</v>
      </c>
      <c r="E391">
        <v>1081</v>
      </c>
      <c r="F391">
        <v>1</v>
      </c>
      <c r="G391">
        <v>1081</v>
      </c>
      <c r="H391">
        <v>1</v>
      </c>
      <c r="I391" t="s">
        <v>473</v>
      </c>
      <c r="J391" t="s">
        <v>3</v>
      </c>
      <c r="K391" t="s">
        <v>474</v>
      </c>
      <c r="L391">
        <v>1191</v>
      </c>
      <c r="N391">
        <v>1013</v>
      </c>
      <c r="O391" t="s">
        <v>475</v>
      </c>
      <c r="P391" t="s">
        <v>475</v>
      </c>
      <c r="Q391">
        <v>1</v>
      </c>
      <c r="W391">
        <v>0</v>
      </c>
      <c r="X391">
        <v>476480486</v>
      </c>
      <c r="Y391">
        <f>((AT391*1.15)*1.2)</f>
        <v>18.491999999999997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13.4</v>
      </c>
      <c r="AU391" t="s">
        <v>98</v>
      </c>
      <c r="AV391">
        <v>1</v>
      </c>
      <c r="AW391">
        <v>2</v>
      </c>
      <c r="AX391">
        <v>55748232</v>
      </c>
      <c r="AY391">
        <v>1</v>
      </c>
      <c r="AZ391">
        <v>0</v>
      </c>
      <c r="BA391">
        <v>423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U391">
        <f>ROUND(AT391*Source!I140*AH391*AL391,2)</f>
        <v>0</v>
      </c>
      <c r="CV391">
        <f>ROUND(Y391*Source!I140,9)</f>
        <v>16.642800000000001</v>
      </c>
      <c r="CW391">
        <v>0</v>
      </c>
      <c r="CX391">
        <f>ROUND(Y391*Source!I140,9)</f>
        <v>16.642800000000001</v>
      </c>
      <c r="CY391">
        <f>AD391</f>
        <v>0</v>
      </c>
      <c r="CZ391">
        <f>AH391</f>
        <v>0</v>
      </c>
      <c r="DA391">
        <f>AL391</f>
        <v>1</v>
      </c>
      <c r="DB391">
        <f>ROUND(((ROUND(AT391*CZ391,2)*1.15)*1.2),6)</f>
        <v>0</v>
      </c>
      <c r="DC391">
        <f>ROUND(((ROUND(AT391*AG391,2)*1.15)*1.2),6)</f>
        <v>0</v>
      </c>
      <c r="DD391" t="s">
        <v>3</v>
      </c>
      <c r="DE391" t="s">
        <v>3</v>
      </c>
      <c r="DF391">
        <f t="shared" ref="DF391:DF396" si="176">ROUND(ROUND(AE391,2)*CX391,2)</f>
        <v>0</v>
      </c>
      <c r="DG391">
        <f t="shared" si="173"/>
        <v>0</v>
      </c>
      <c r="DH391">
        <f t="shared" si="165"/>
        <v>0</v>
      </c>
      <c r="DI391">
        <f t="shared" si="175"/>
        <v>0</v>
      </c>
      <c r="DJ391">
        <f>DI391</f>
        <v>0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ROW(Source!A140)</f>
        <v>140</v>
      </c>
      <c r="B392">
        <v>55747649</v>
      </c>
      <c r="C392">
        <v>55748227</v>
      </c>
      <c r="D392">
        <v>54768339</v>
      </c>
      <c r="E392">
        <v>1</v>
      </c>
      <c r="F392">
        <v>1</v>
      </c>
      <c r="G392">
        <v>1081</v>
      </c>
      <c r="H392">
        <v>2</v>
      </c>
      <c r="I392" t="s">
        <v>483</v>
      </c>
      <c r="J392" t="s">
        <v>484</v>
      </c>
      <c r="K392" t="s">
        <v>485</v>
      </c>
      <c r="L392">
        <v>1368</v>
      </c>
      <c r="N392">
        <v>1011</v>
      </c>
      <c r="O392" t="s">
        <v>479</v>
      </c>
      <c r="P392" t="s">
        <v>479</v>
      </c>
      <c r="Q392">
        <v>1</v>
      </c>
      <c r="W392">
        <v>0</v>
      </c>
      <c r="X392">
        <v>874612079</v>
      </c>
      <c r="Y392">
        <f>((AT392*1.25)*1.2)</f>
        <v>4.4999999999999998E-2</v>
      </c>
      <c r="AA392">
        <v>0</v>
      </c>
      <c r="AB392">
        <v>90.33</v>
      </c>
      <c r="AC392">
        <v>13.72</v>
      </c>
      <c r="AD392">
        <v>0</v>
      </c>
      <c r="AE392">
        <v>0</v>
      </c>
      <c r="AF392">
        <v>83.1</v>
      </c>
      <c r="AG392">
        <v>12.62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0.03</v>
      </c>
      <c r="AU392" t="s">
        <v>97</v>
      </c>
      <c r="AV392">
        <v>0</v>
      </c>
      <c r="AW392">
        <v>2</v>
      </c>
      <c r="AX392">
        <v>55748233</v>
      </c>
      <c r="AY392">
        <v>1</v>
      </c>
      <c r="AZ392">
        <v>0</v>
      </c>
      <c r="BA392">
        <v>424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ROUND(Y392*Source!I140*DO392,9)</f>
        <v>0.51110999999999995</v>
      </c>
      <c r="CX392">
        <f>ROUND(Y392*Source!I140,9)</f>
        <v>4.0500000000000001E-2</v>
      </c>
      <c r="CY392">
        <f>AB392</f>
        <v>90.33</v>
      </c>
      <c r="CZ392">
        <f>AF392</f>
        <v>83.1</v>
      </c>
      <c r="DA392">
        <f>AJ392</f>
        <v>1</v>
      </c>
      <c r="DB392">
        <f>ROUND(((ROUND(AT392*CZ392,2)*1.25)*1.2),6)</f>
        <v>3.7349999999999999</v>
      </c>
      <c r="DC392">
        <f>ROUND(((ROUND(AT392*AG392,2)*1.25)*1.2),6)</f>
        <v>0.56999999999999995</v>
      </c>
      <c r="DD392" t="s">
        <v>3</v>
      </c>
      <c r="DE392" t="s">
        <v>3</v>
      </c>
      <c r="DF392">
        <f t="shared" si="176"/>
        <v>0</v>
      </c>
      <c r="DG392">
        <f t="shared" si="173"/>
        <v>3.37</v>
      </c>
      <c r="DH392">
        <f t="shared" si="165"/>
        <v>0.51</v>
      </c>
      <c r="DI392">
        <f t="shared" si="175"/>
        <v>0</v>
      </c>
      <c r="DJ392">
        <f>DG392</f>
        <v>3.37</v>
      </c>
      <c r="DK392">
        <v>0</v>
      </c>
      <c r="DL392" t="s">
        <v>486</v>
      </c>
      <c r="DM392">
        <v>0</v>
      </c>
      <c r="DN392" t="s">
        <v>475</v>
      </c>
      <c r="DO392">
        <v>12.62</v>
      </c>
    </row>
    <row r="393" spans="1:119" x14ac:dyDescent="0.2">
      <c r="A393">
        <f>ROW(Source!A140)</f>
        <v>140</v>
      </c>
      <c r="B393">
        <v>55747649</v>
      </c>
      <c r="C393">
        <v>55748227</v>
      </c>
      <c r="D393">
        <v>54745210</v>
      </c>
      <c r="E393">
        <v>1</v>
      </c>
      <c r="F393">
        <v>1</v>
      </c>
      <c r="G393">
        <v>1081</v>
      </c>
      <c r="H393">
        <v>3</v>
      </c>
      <c r="I393" t="s">
        <v>258</v>
      </c>
      <c r="J393" t="s">
        <v>260</v>
      </c>
      <c r="K393" t="s">
        <v>259</v>
      </c>
      <c r="L393">
        <v>1354</v>
      </c>
      <c r="N393">
        <v>1010</v>
      </c>
      <c r="O393" t="s">
        <v>118</v>
      </c>
      <c r="P393" t="s">
        <v>118</v>
      </c>
      <c r="Q393">
        <v>1</v>
      </c>
      <c r="W393">
        <v>0</v>
      </c>
      <c r="X393">
        <v>-335723436</v>
      </c>
      <c r="Y393">
        <f>AT393</f>
        <v>50</v>
      </c>
      <c r="AA393">
        <v>13.23</v>
      </c>
      <c r="AB393">
        <v>0</v>
      </c>
      <c r="AC393">
        <v>0</v>
      </c>
      <c r="AD393">
        <v>0</v>
      </c>
      <c r="AE393">
        <v>13.23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 t="s">
        <v>3</v>
      </c>
      <c r="AT393">
        <v>50</v>
      </c>
      <c r="AU393" t="s">
        <v>3</v>
      </c>
      <c r="AV393">
        <v>0</v>
      </c>
      <c r="AW393">
        <v>1</v>
      </c>
      <c r="AX393">
        <v>-1</v>
      </c>
      <c r="AY393">
        <v>0</v>
      </c>
      <c r="AZ393">
        <v>0</v>
      </c>
      <c r="BA393" t="s">
        <v>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ROUND(Y393*Source!I140,9)</f>
        <v>45</v>
      </c>
      <c r="CY393">
        <f>AA393</f>
        <v>13.23</v>
      </c>
      <c r="CZ393">
        <f>AE393</f>
        <v>13.23</v>
      </c>
      <c r="DA393">
        <f>AI393</f>
        <v>1</v>
      </c>
      <c r="DB393">
        <f>ROUND(ROUND(AT393*CZ393,2),6)</f>
        <v>661.5</v>
      </c>
      <c r="DC393">
        <f>ROUND(ROUND(AT393*AG393,2),6)</f>
        <v>0</v>
      </c>
      <c r="DD393" t="s">
        <v>3</v>
      </c>
      <c r="DE393" t="s">
        <v>3</v>
      </c>
      <c r="DF393">
        <f t="shared" si="176"/>
        <v>595.35</v>
      </c>
      <c r="DG393">
        <f t="shared" si="173"/>
        <v>0</v>
      </c>
      <c r="DH393">
        <f t="shared" si="165"/>
        <v>0</v>
      </c>
      <c r="DI393">
        <f t="shared" si="175"/>
        <v>0</v>
      </c>
      <c r="DJ393">
        <f>DF393</f>
        <v>595.35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ROW(Source!A140)</f>
        <v>140</v>
      </c>
      <c r="B394">
        <v>55747649</v>
      </c>
      <c r="C394">
        <v>55748227</v>
      </c>
      <c r="D394">
        <v>54747601</v>
      </c>
      <c r="E394">
        <v>1</v>
      </c>
      <c r="F394">
        <v>1</v>
      </c>
      <c r="G394">
        <v>1081</v>
      </c>
      <c r="H394">
        <v>3</v>
      </c>
      <c r="I394" t="s">
        <v>261</v>
      </c>
      <c r="J394" t="s">
        <v>263</v>
      </c>
      <c r="K394" t="s">
        <v>262</v>
      </c>
      <c r="L394">
        <v>1355</v>
      </c>
      <c r="N394">
        <v>1010</v>
      </c>
      <c r="O394" t="s">
        <v>254</v>
      </c>
      <c r="P394" t="s">
        <v>254</v>
      </c>
      <c r="Q394">
        <v>100</v>
      </c>
      <c r="W394">
        <v>0</v>
      </c>
      <c r="X394">
        <v>745037488</v>
      </c>
      <c r="Y394">
        <f>AT394</f>
        <v>0.5</v>
      </c>
      <c r="AA394">
        <v>328.5</v>
      </c>
      <c r="AB394">
        <v>0</v>
      </c>
      <c r="AC394">
        <v>0</v>
      </c>
      <c r="AD394">
        <v>0</v>
      </c>
      <c r="AE394">
        <v>328.5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 t="s">
        <v>3</v>
      </c>
      <c r="AT394">
        <v>0.5</v>
      </c>
      <c r="AU394" t="s">
        <v>3</v>
      </c>
      <c r="AV394">
        <v>0</v>
      </c>
      <c r="AW394">
        <v>1</v>
      </c>
      <c r="AX394">
        <v>-1</v>
      </c>
      <c r="AY394">
        <v>0</v>
      </c>
      <c r="AZ394">
        <v>0</v>
      </c>
      <c r="BA394" t="s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ROUND(Y394*Source!I140,9)</f>
        <v>0.45</v>
      </c>
      <c r="CY394">
        <f>AA394</f>
        <v>328.5</v>
      </c>
      <c r="CZ394">
        <f>AE394</f>
        <v>328.5</v>
      </c>
      <c r="DA394">
        <f>AI394</f>
        <v>1</v>
      </c>
      <c r="DB394">
        <f>ROUND(ROUND(AT394*CZ394,2),6)</f>
        <v>164.25</v>
      </c>
      <c r="DC394">
        <f>ROUND(ROUND(AT394*AG394,2),6)</f>
        <v>0</v>
      </c>
      <c r="DD394" t="s">
        <v>3</v>
      </c>
      <c r="DE394" t="s">
        <v>3</v>
      </c>
      <c r="DF394">
        <f t="shared" si="176"/>
        <v>147.83000000000001</v>
      </c>
      <c r="DG394">
        <f t="shared" si="173"/>
        <v>0</v>
      </c>
      <c r="DH394">
        <f t="shared" si="165"/>
        <v>0</v>
      </c>
      <c r="DI394">
        <f t="shared" si="175"/>
        <v>0</v>
      </c>
      <c r="DJ394">
        <f>DF394</f>
        <v>147.83000000000001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ROW(Source!A141)</f>
        <v>141</v>
      </c>
      <c r="B395">
        <v>55747651</v>
      </c>
      <c r="C395">
        <v>55748227</v>
      </c>
      <c r="D395">
        <v>54702434</v>
      </c>
      <c r="E395">
        <v>1081</v>
      </c>
      <c r="F395">
        <v>1</v>
      </c>
      <c r="G395">
        <v>1081</v>
      </c>
      <c r="H395">
        <v>1</v>
      </c>
      <c r="I395" t="s">
        <v>473</v>
      </c>
      <c r="J395" t="s">
        <v>3</v>
      </c>
      <c r="K395" t="s">
        <v>474</v>
      </c>
      <c r="L395">
        <v>1191</v>
      </c>
      <c r="N395">
        <v>1013</v>
      </c>
      <c r="O395" t="s">
        <v>475</v>
      </c>
      <c r="P395" t="s">
        <v>475</v>
      </c>
      <c r="Q395">
        <v>1</v>
      </c>
      <c r="W395">
        <v>0</v>
      </c>
      <c r="X395">
        <v>476480486</v>
      </c>
      <c r="Y395">
        <f>((AT395*1.15)*1.2)</f>
        <v>18.491999999999997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5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13.4</v>
      </c>
      <c r="AU395" t="s">
        <v>98</v>
      </c>
      <c r="AV395">
        <v>1</v>
      </c>
      <c r="AW395">
        <v>2</v>
      </c>
      <c r="AX395">
        <v>55748232</v>
      </c>
      <c r="AY395">
        <v>1</v>
      </c>
      <c r="AZ395">
        <v>0</v>
      </c>
      <c r="BA395">
        <v>426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U395">
        <f>ROUND(AT395*Source!I141*AH395*AL395,2)</f>
        <v>0</v>
      </c>
      <c r="CV395">
        <f>ROUND(Y395*Source!I141,9)</f>
        <v>16.642800000000001</v>
      </c>
      <c r="CW395">
        <v>0</v>
      </c>
      <c r="CX395">
        <f>ROUND(Y395*Source!I141,9)</f>
        <v>16.642800000000001</v>
      </c>
      <c r="CY395">
        <f>AD395</f>
        <v>0</v>
      </c>
      <c r="CZ395">
        <f>AH395</f>
        <v>0</v>
      </c>
      <c r="DA395">
        <f>AL395</f>
        <v>1</v>
      </c>
      <c r="DB395">
        <f>ROUND(((ROUND(AT395*CZ395,2)*1.15)*1.2),6)</f>
        <v>0</v>
      </c>
      <c r="DC395">
        <f>ROUND(((ROUND(AT395*AG395,2)*1.15)*1.2),6)</f>
        <v>0</v>
      </c>
      <c r="DD395" t="s">
        <v>3</v>
      </c>
      <c r="DE395" t="s">
        <v>3</v>
      </c>
      <c r="DF395">
        <f t="shared" si="176"/>
        <v>0</v>
      </c>
      <c r="DG395">
        <f t="shared" si="173"/>
        <v>0</v>
      </c>
      <c r="DH395">
        <f t="shared" si="165"/>
        <v>0</v>
      </c>
      <c r="DI395">
        <f t="shared" si="175"/>
        <v>0</v>
      </c>
      <c r="DJ395">
        <f>DI395</f>
        <v>0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ROW(Source!A141)</f>
        <v>141</v>
      </c>
      <c r="B396">
        <v>55747651</v>
      </c>
      <c r="C396">
        <v>55748227</v>
      </c>
      <c r="D396">
        <v>54768339</v>
      </c>
      <c r="E396">
        <v>1</v>
      </c>
      <c r="F396">
        <v>1</v>
      </c>
      <c r="G396">
        <v>1081</v>
      </c>
      <c r="H396">
        <v>2</v>
      </c>
      <c r="I396" t="s">
        <v>483</v>
      </c>
      <c r="J396" t="s">
        <v>484</v>
      </c>
      <c r="K396" t="s">
        <v>485</v>
      </c>
      <c r="L396">
        <v>1368</v>
      </c>
      <c r="N396">
        <v>1011</v>
      </c>
      <c r="O396" t="s">
        <v>479</v>
      </c>
      <c r="P396" t="s">
        <v>479</v>
      </c>
      <c r="Q396">
        <v>1</v>
      </c>
      <c r="W396">
        <v>0</v>
      </c>
      <c r="X396">
        <v>874612079</v>
      </c>
      <c r="Y396">
        <f>((AT396*1.25)*1.2)</f>
        <v>4.4999999999999998E-2</v>
      </c>
      <c r="AA396">
        <v>0</v>
      </c>
      <c r="AB396">
        <v>1541.93</v>
      </c>
      <c r="AC396">
        <v>773.01</v>
      </c>
      <c r="AD396">
        <v>0</v>
      </c>
      <c r="AE396">
        <v>0</v>
      </c>
      <c r="AF396">
        <v>83.1</v>
      </c>
      <c r="AG396">
        <v>12.62</v>
      </c>
      <c r="AH396">
        <v>0</v>
      </c>
      <c r="AI396">
        <v>1</v>
      </c>
      <c r="AJ396">
        <v>17.07</v>
      </c>
      <c r="AK396">
        <v>56.35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0.03</v>
      </c>
      <c r="AU396" t="s">
        <v>97</v>
      </c>
      <c r="AV396">
        <v>0</v>
      </c>
      <c r="AW396">
        <v>2</v>
      </c>
      <c r="AX396">
        <v>55748233</v>
      </c>
      <c r="AY396">
        <v>1</v>
      </c>
      <c r="AZ396">
        <v>0</v>
      </c>
      <c r="BA396">
        <v>427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f>ROUND(Y396*Source!I141*DO396,9)</f>
        <v>0.51110999999999995</v>
      </c>
      <c r="CX396">
        <f>ROUND(Y396*Source!I141,9)</f>
        <v>4.0500000000000001E-2</v>
      </c>
      <c r="CY396">
        <f>AB396</f>
        <v>1541.93</v>
      </c>
      <c r="CZ396">
        <f>AF396</f>
        <v>83.1</v>
      </c>
      <c r="DA396">
        <f>AJ396</f>
        <v>17.07</v>
      </c>
      <c r="DB396">
        <f>ROUND(((ROUND(AT396*CZ396,2)*1.25)*1.2),6)</f>
        <v>3.7349999999999999</v>
      </c>
      <c r="DC396">
        <f>ROUND(((ROUND(AT396*AG396,2)*1.25)*1.2),6)</f>
        <v>0.56999999999999995</v>
      </c>
      <c r="DD396" t="s">
        <v>3</v>
      </c>
      <c r="DE396" t="s">
        <v>3</v>
      </c>
      <c r="DF396">
        <f t="shared" si="176"/>
        <v>0</v>
      </c>
      <c r="DG396">
        <f>ROUND(ROUND(AF396*AJ396,2)*CX396,2)</f>
        <v>57.45</v>
      </c>
      <c r="DH396">
        <f>ROUND(ROUND(AG396*AK396,2)*CX396,2)</f>
        <v>28.8</v>
      </c>
      <c r="DI396">
        <f t="shared" si="175"/>
        <v>0</v>
      </c>
      <c r="DJ396">
        <f>DG396</f>
        <v>57.45</v>
      </c>
      <c r="DK396">
        <v>0</v>
      </c>
      <c r="DL396" t="s">
        <v>486</v>
      </c>
      <c r="DM396">
        <v>0</v>
      </c>
      <c r="DN396" t="s">
        <v>475</v>
      </c>
      <c r="DO396">
        <v>12.62</v>
      </c>
    </row>
    <row r="397" spans="1:119" x14ac:dyDescent="0.2">
      <c r="A397">
        <f>ROW(Source!A141)</f>
        <v>141</v>
      </c>
      <c r="B397">
        <v>55747651</v>
      </c>
      <c r="C397">
        <v>55748227</v>
      </c>
      <c r="D397">
        <v>54745210</v>
      </c>
      <c r="E397">
        <v>1</v>
      </c>
      <c r="F397">
        <v>1</v>
      </c>
      <c r="G397">
        <v>1081</v>
      </c>
      <c r="H397">
        <v>3</v>
      </c>
      <c r="I397" t="s">
        <v>258</v>
      </c>
      <c r="J397" t="s">
        <v>260</v>
      </c>
      <c r="K397" t="s">
        <v>259</v>
      </c>
      <c r="L397">
        <v>1354</v>
      </c>
      <c r="N397">
        <v>1010</v>
      </c>
      <c r="O397" t="s">
        <v>118</v>
      </c>
      <c r="P397" t="s">
        <v>118</v>
      </c>
      <c r="Q397">
        <v>1</v>
      </c>
      <c r="W397">
        <v>0</v>
      </c>
      <c r="X397">
        <v>-335723436</v>
      </c>
      <c r="Y397">
        <f>AT397</f>
        <v>50</v>
      </c>
      <c r="AA397">
        <v>191.31</v>
      </c>
      <c r="AB397">
        <v>0</v>
      </c>
      <c r="AC397">
        <v>0</v>
      </c>
      <c r="AD397">
        <v>0</v>
      </c>
      <c r="AE397">
        <v>13.23</v>
      </c>
      <c r="AF397">
        <v>0</v>
      </c>
      <c r="AG397">
        <v>0</v>
      </c>
      <c r="AH397">
        <v>0</v>
      </c>
      <c r="AI397">
        <v>14.46</v>
      </c>
      <c r="AJ397">
        <v>1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 t="s">
        <v>3</v>
      </c>
      <c r="AT397">
        <v>50</v>
      </c>
      <c r="AU397" t="s">
        <v>3</v>
      </c>
      <c r="AV397">
        <v>0</v>
      </c>
      <c r="AW397">
        <v>1</v>
      </c>
      <c r="AX397">
        <v>-1</v>
      </c>
      <c r="AY397">
        <v>0</v>
      </c>
      <c r="AZ397">
        <v>0</v>
      </c>
      <c r="BA397" t="s">
        <v>3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ROUND(Y397*Source!I141,9)</f>
        <v>45</v>
      </c>
      <c r="CY397">
        <f>AA397</f>
        <v>191.31</v>
      </c>
      <c r="CZ397">
        <f>AE397</f>
        <v>13.23</v>
      </c>
      <c r="DA397">
        <f>AI397</f>
        <v>14.46</v>
      </c>
      <c r="DB397">
        <f>ROUND(ROUND(AT397*CZ397,2),6)</f>
        <v>661.5</v>
      </c>
      <c r="DC397">
        <f>ROUND(ROUND(AT397*AG397,2),6)</f>
        <v>0</v>
      </c>
      <c r="DD397" t="s">
        <v>3</v>
      </c>
      <c r="DE397" t="s">
        <v>3</v>
      </c>
      <c r="DF397">
        <f>ROUND(ROUND(AE397*AI397,2)*CX397,2)</f>
        <v>8608.9500000000007</v>
      </c>
      <c r="DG397">
        <f t="shared" ref="DG397:DG403" si="177">ROUND(ROUND(AF397,2)*CX397,2)</f>
        <v>0</v>
      </c>
      <c r="DH397">
        <f t="shared" ref="DH397:DH403" si="178">ROUND(ROUND(AG397,2)*CX397,2)</f>
        <v>0</v>
      </c>
      <c r="DI397">
        <f t="shared" si="175"/>
        <v>0</v>
      </c>
      <c r="DJ397">
        <f>DF397</f>
        <v>8608.9500000000007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ROW(Source!A141)</f>
        <v>141</v>
      </c>
      <c r="B398">
        <v>55747651</v>
      </c>
      <c r="C398">
        <v>55748227</v>
      </c>
      <c r="D398">
        <v>54747601</v>
      </c>
      <c r="E398">
        <v>1</v>
      </c>
      <c r="F398">
        <v>1</v>
      </c>
      <c r="G398">
        <v>1081</v>
      </c>
      <c r="H398">
        <v>3</v>
      </c>
      <c r="I398" t="s">
        <v>261</v>
      </c>
      <c r="J398" t="s">
        <v>263</v>
      </c>
      <c r="K398" t="s">
        <v>262</v>
      </c>
      <c r="L398">
        <v>1355</v>
      </c>
      <c r="N398">
        <v>1010</v>
      </c>
      <c r="O398" t="s">
        <v>254</v>
      </c>
      <c r="P398" t="s">
        <v>254</v>
      </c>
      <c r="Q398">
        <v>100</v>
      </c>
      <c r="W398">
        <v>0</v>
      </c>
      <c r="X398">
        <v>745037488</v>
      </c>
      <c r="Y398">
        <f>AT398</f>
        <v>0.5</v>
      </c>
      <c r="AA398">
        <v>5285.57</v>
      </c>
      <c r="AB398">
        <v>0</v>
      </c>
      <c r="AC398">
        <v>0</v>
      </c>
      <c r="AD398">
        <v>0</v>
      </c>
      <c r="AE398">
        <v>328.5</v>
      </c>
      <c r="AF398">
        <v>0</v>
      </c>
      <c r="AG398">
        <v>0</v>
      </c>
      <c r="AH398">
        <v>0</v>
      </c>
      <c r="AI398">
        <v>16.09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0.5</v>
      </c>
      <c r="AU398" t="s">
        <v>3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ROUND(Y398*Source!I141,9)</f>
        <v>0.45</v>
      </c>
      <c r="CY398">
        <f>AA398</f>
        <v>5285.57</v>
      </c>
      <c r="CZ398">
        <f>AE398</f>
        <v>328.5</v>
      </c>
      <c r="DA398">
        <f>AI398</f>
        <v>16.09</v>
      </c>
      <c r="DB398">
        <f>ROUND(ROUND(AT398*CZ398,2),6)</f>
        <v>164.25</v>
      </c>
      <c r="DC398">
        <f>ROUND(ROUND(AT398*AG398,2),6)</f>
        <v>0</v>
      </c>
      <c r="DD398" t="s">
        <v>3</v>
      </c>
      <c r="DE398" t="s">
        <v>3</v>
      </c>
      <c r="DF398">
        <f>ROUND(ROUND(AE398*AI398,2)*CX398,2)</f>
        <v>2378.5100000000002</v>
      </c>
      <c r="DG398">
        <f t="shared" si="177"/>
        <v>0</v>
      </c>
      <c r="DH398">
        <f t="shared" si="178"/>
        <v>0</v>
      </c>
      <c r="DI398">
        <f t="shared" si="175"/>
        <v>0</v>
      </c>
      <c r="DJ398">
        <f>DF398</f>
        <v>2378.5100000000002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ROW(Source!A146)</f>
        <v>146</v>
      </c>
      <c r="B399">
        <v>55747649</v>
      </c>
      <c r="C399">
        <v>57263910</v>
      </c>
      <c r="D399">
        <v>54702434</v>
      </c>
      <c r="E399">
        <v>1081</v>
      </c>
      <c r="F399">
        <v>1</v>
      </c>
      <c r="G399">
        <v>1081</v>
      </c>
      <c r="H399">
        <v>1</v>
      </c>
      <c r="I399" t="s">
        <v>473</v>
      </c>
      <c r="J399" t="s">
        <v>3</v>
      </c>
      <c r="K399" t="s">
        <v>474</v>
      </c>
      <c r="L399">
        <v>1191</v>
      </c>
      <c r="N399">
        <v>1013</v>
      </c>
      <c r="O399" t="s">
        <v>475</v>
      </c>
      <c r="P399" t="s">
        <v>475</v>
      </c>
      <c r="Q399">
        <v>1</v>
      </c>
      <c r="W399">
        <v>0</v>
      </c>
      <c r="X399">
        <v>476480486</v>
      </c>
      <c r="Y399">
        <f>((AT399*1.2)*1.15)</f>
        <v>18.491999999999997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13.4</v>
      </c>
      <c r="AU399" t="s">
        <v>40</v>
      </c>
      <c r="AV399">
        <v>1</v>
      </c>
      <c r="AW399">
        <v>2</v>
      </c>
      <c r="AX399">
        <v>57263911</v>
      </c>
      <c r="AY399">
        <v>1</v>
      </c>
      <c r="AZ399">
        <v>0</v>
      </c>
      <c r="BA399">
        <v>429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ROUND(AT399*Source!I146*AH399*AL399,2)</f>
        <v>0</v>
      </c>
      <c r="CV399">
        <f>ROUND(Y399*Source!I146,9)</f>
        <v>16.642800000000001</v>
      </c>
      <c r="CW399">
        <v>0</v>
      </c>
      <c r="CX399">
        <f>ROUND(Y399*Source!I146,9)</f>
        <v>16.642800000000001</v>
      </c>
      <c r="CY399">
        <f>AD399</f>
        <v>0</v>
      </c>
      <c r="CZ399">
        <f>AH399</f>
        <v>0</v>
      </c>
      <c r="DA399">
        <f>AL399</f>
        <v>1</v>
      </c>
      <c r="DB399">
        <f>ROUND(((ROUND(AT399*CZ399,2)*1.2)*1.15),6)</f>
        <v>0</v>
      </c>
      <c r="DC399">
        <f>ROUND(((ROUND(AT399*AG399,2)*1.2)*1.15),6)</f>
        <v>0</v>
      </c>
      <c r="DD399" t="s">
        <v>3</v>
      </c>
      <c r="DE399" t="s">
        <v>3</v>
      </c>
      <c r="DF399">
        <f t="shared" ref="DF399:DF404" si="179">ROUND(ROUND(AE399,2)*CX399,2)</f>
        <v>0</v>
      </c>
      <c r="DG399">
        <f t="shared" si="177"/>
        <v>0</v>
      </c>
      <c r="DH399">
        <f t="shared" si="178"/>
        <v>0</v>
      </c>
      <c r="DI399">
        <f t="shared" si="175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ROW(Source!A146)</f>
        <v>146</v>
      </c>
      <c r="B400">
        <v>55747649</v>
      </c>
      <c r="C400">
        <v>57263910</v>
      </c>
      <c r="D400">
        <v>54768339</v>
      </c>
      <c r="E400">
        <v>1</v>
      </c>
      <c r="F400">
        <v>1</v>
      </c>
      <c r="G400">
        <v>1081</v>
      </c>
      <c r="H400">
        <v>2</v>
      </c>
      <c r="I400" t="s">
        <v>483</v>
      </c>
      <c r="J400" t="s">
        <v>484</v>
      </c>
      <c r="K400" t="s">
        <v>485</v>
      </c>
      <c r="L400">
        <v>1368</v>
      </c>
      <c r="N400">
        <v>1011</v>
      </c>
      <c r="O400" t="s">
        <v>479</v>
      </c>
      <c r="P400" t="s">
        <v>479</v>
      </c>
      <c r="Q400">
        <v>1</v>
      </c>
      <c r="W400">
        <v>0</v>
      </c>
      <c r="X400">
        <v>874612079</v>
      </c>
      <c r="Y400">
        <f>((AT400*1.2)*1.25)</f>
        <v>4.4999999999999998E-2</v>
      </c>
      <c r="AA400">
        <v>0</v>
      </c>
      <c r="AB400">
        <v>90.33</v>
      </c>
      <c r="AC400">
        <v>13.72</v>
      </c>
      <c r="AD400">
        <v>0</v>
      </c>
      <c r="AE400">
        <v>0</v>
      </c>
      <c r="AF400">
        <v>83.1</v>
      </c>
      <c r="AG400">
        <v>12.62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0.03</v>
      </c>
      <c r="AU400" t="s">
        <v>39</v>
      </c>
      <c r="AV400">
        <v>0</v>
      </c>
      <c r="AW400">
        <v>2</v>
      </c>
      <c r="AX400">
        <v>57263912</v>
      </c>
      <c r="AY400">
        <v>1</v>
      </c>
      <c r="AZ400">
        <v>0</v>
      </c>
      <c r="BA400">
        <v>430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ROUND(Y400*Source!I146*DO400,9)</f>
        <v>0.51110999999999995</v>
      </c>
      <c r="CX400">
        <f>ROUND(Y400*Source!I146,9)</f>
        <v>4.0500000000000001E-2</v>
      </c>
      <c r="CY400">
        <f>AB400</f>
        <v>90.33</v>
      </c>
      <c r="CZ400">
        <f>AF400</f>
        <v>83.1</v>
      </c>
      <c r="DA400">
        <f>AJ400</f>
        <v>1</v>
      </c>
      <c r="DB400">
        <f>ROUND(((ROUND(AT400*CZ400,2)*1.2)*1.25),6)</f>
        <v>3.7349999999999999</v>
      </c>
      <c r="DC400">
        <f>ROUND(((ROUND(AT400*AG400,2)*1.2)*1.25),6)</f>
        <v>0.56999999999999995</v>
      </c>
      <c r="DD400" t="s">
        <v>3</v>
      </c>
      <c r="DE400" t="s">
        <v>3</v>
      </c>
      <c r="DF400">
        <f t="shared" si="179"/>
        <v>0</v>
      </c>
      <c r="DG400">
        <f t="shared" si="177"/>
        <v>3.37</v>
      </c>
      <c r="DH400">
        <f t="shared" si="178"/>
        <v>0.51</v>
      </c>
      <c r="DI400">
        <f t="shared" si="175"/>
        <v>0</v>
      </c>
      <c r="DJ400">
        <f>DG400</f>
        <v>3.37</v>
      </c>
      <c r="DK400">
        <v>0</v>
      </c>
      <c r="DL400" t="s">
        <v>486</v>
      </c>
      <c r="DM400">
        <v>0</v>
      </c>
      <c r="DN400" t="s">
        <v>475</v>
      </c>
      <c r="DO400">
        <v>12.62</v>
      </c>
    </row>
    <row r="401" spans="1:119" x14ac:dyDescent="0.2">
      <c r="A401">
        <f>ROW(Source!A146)</f>
        <v>146</v>
      </c>
      <c r="B401">
        <v>55747649</v>
      </c>
      <c r="C401">
        <v>57263910</v>
      </c>
      <c r="D401">
        <v>54745210</v>
      </c>
      <c r="E401">
        <v>1</v>
      </c>
      <c r="F401">
        <v>1</v>
      </c>
      <c r="G401">
        <v>1081</v>
      </c>
      <c r="H401">
        <v>3</v>
      </c>
      <c r="I401" t="s">
        <v>258</v>
      </c>
      <c r="J401" t="s">
        <v>260</v>
      </c>
      <c r="K401" t="s">
        <v>259</v>
      </c>
      <c r="L401">
        <v>1354</v>
      </c>
      <c r="N401">
        <v>1010</v>
      </c>
      <c r="O401" t="s">
        <v>118</v>
      </c>
      <c r="P401" t="s">
        <v>118</v>
      </c>
      <c r="Q401">
        <v>1</v>
      </c>
      <c r="W401">
        <v>0</v>
      </c>
      <c r="X401">
        <v>-335723436</v>
      </c>
      <c r="Y401">
        <f>((AT401*1)*1)</f>
        <v>50</v>
      </c>
      <c r="AA401">
        <v>13.23</v>
      </c>
      <c r="AB401">
        <v>0</v>
      </c>
      <c r="AC401">
        <v>0</v>
      </c>
      <c r="AD401">
        <v>0</v>
      </c>
      <c r="AE401">
        <v>13.23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 t="s">
        <v>3</v>
      </c>
      <c r="AT401">
        <v>50</v>
      </c>
      <c r="AU401" t="s">
        <v>38</v>
      </c>
      <c r="AV401">
        <v>0</v>
      </c>
      <c r="AW401">
        <v>1</v>
      </c>
      <c r="AX401">
        <v>-1</v>
      </c>
      <c r="AY401">
        <v>0</v>
      </c>
      <c r="AZ401">
        <v>0</v>
      </c>
      <c r="BA401" t="s">
        <v>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ROUND(Y401*Source!I146,9)</f>
        <v>45</v>
      </c>
      <c r="CY401">
        <f>AA401</f>
        <v>13.23</v>
      </c>
      <c r="CZ401">
        <f>AE401</f>
        <v>13.23</v>
      </c>
      <c r="DA401">
        <f>AI401</f>
        <v>1</v>
      </c>
      <c r="DB401">
        <f>ROUND(((ROUND(AT401*CZ401,2)*1)*1),6)</f>
        <v>661.5</v>
      </c>
      <c r="DC401">
        <f>ROUND(((ROUND(AT401*AG401,2)*1)*1),6)</f>
        <v>0</v>
      </c>
      <c r="DD401" t="s">
        <v>3</v>
      </c>
      <c r="DE401" t="s">
        <v>3</v>
      </c>
      <c r="DF401">
        <f t="shared" si="179"/>
        <v>595.35</v>
      </c>
      <c r="DG401">
        <f t="shared" si="177"/>
        <v>0</v>
      </c>
      <c r="DH401">
        <f t="shared" si="178"/>
        <v>0</v>
      </c>
      <c r="DI401">
        <f t="shared" si="175"/>
        <v>0</v>
      </c>
      <c r="DJ401">
        <f>DF401</f>
        <v>595.35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ROW(Source!A146)</f>
        <v>146</v>
      </c>
      <c r="B402">
        <v>55747649</v>
      </c>
      <c r="C402">
        <v>57263910</v>
      </c>
      <c r="D402">
        <v>54747601</v>
      </c>
      <c r="E402">
        <v>1</v>
      </c>
      <c r="F402">
        <v>1</v>
      </c>
      <c r="G402">
        <v>1081</v>
      </c>
      <c r="H402">
        <v>3</v>
      </c>
      <c r="I402" t="s">
        <v>261</v>
      </c>
      <c r="J402" t="s">
        <v>263</v>
      </c>
      <c r="K402" t="s">
        <v>262</v>
      </c>
      <c r="L402">
        <v>1355</v>
      </c>
      <c r="N402">
        <v>1010</v>
      </c>
      <c r="O402" t="s">
        <v>254</v>
      </c>
      <c r="P402" t="s">
        <v>254</v>
      </c>
      <c r="Q402">
        <v>100</v>
      </c>
      <c r="W402">
        <v>0</v>
      </c>
      <c r="X402">
        <v>745037488</v>
      </c>
      <c r="Y402">
        <f>((AT402*1)*1)</f>
        <v>0.5</v>
      </c>
      <c r="AA402">
        <v>328.5</v>
      </c>
      <c r="AB402">
        <v>0</v>
      </c>
      <c r="AC402">
        <v>0</v>
      </c>
      <c r="AD402">
        <v>0</v>
      </c>
      <c r="AE402">
        <v>328.5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3</v>
      </c>
      <c r="AT402">
        <v>0.5</v>
      </c>
      <c r="AU402" t="s">
        <v>38</v>
      </c>
      <c r="AV402">
        <v>0</v>
      </c>
      <c r="AW402">
        <v>1</v>
      </c>
      <c r="AX402">
        <v>-1</v>
      </c>
      <c r="AY402">
        <v>0</v>
      </c>
      <c r="AZ402">
        <v>0</v>
      </c>
      <c r="BA402" t="s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ROUND(Y402*Source!I146,9)</f>
        <v>0.45</v>
      </c>
      <c r="CY402">
        <f>AA402</f>
        <v>328.5</v>
      </c>
      <c r="CZ402">
        <f>AE402</f>
        <v>328.5</v>
      </c>
      <c r="DA402">
        <f>AI402</f>
        <v>1</v>
      </c>
      <c r="DB402">
        <f>ROUND(((ROUND(AT402*CZ402,2)*1)*1),6)</f>
        <v>164.25</v>
      </c>
      <c r="DC402">
        <f>ROUND(((ROUND(AT402*AG402,2)*1)*1),6)</f>
        <v>0</v>
      </c>
      <c r="DD402" t="s">
        <v>3</v>
      </c>
      <c r="DE402" t="s">
        <v>3</v>
      </c>
      <c r="DF402">
        <f t="shared" si="179"/>
        <v>147.83000000000001</v>
      </c>
      <c r="DG402">
        <f t="shared" si="177"/>
        <v>0</v>
      </c>
      <c r="DH402">
        <f t="shared" si="178"/>
        <v>0</v>
      </c>
      <c r="DI402">
        <f t="shared" si="175"/>
        <v>0</v>
      </c>
      <c r="DJ402">
        <f>DF402</f>
        <v>147.83000000000001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ROW(Source!A147)</f>
        <v>147</v>
      </c>
      <c r="B403">
        <v>55747651</v>
      </c>
      <c r="C403">
        <v>57263910</v>
      </c>
      <c r="D403">
        <v>54702434</v>
      </c>
      <c r="E403">
        <v>1081</v>
      </c>
      <c r="F403">
        <v>1</v>
      </c>
      <c r="G403">
        <v>1081</v>
      </c>
      <c r="H403">
        <v>1</v>
      </c>
      <c r="I403" t="s">
        <v>473</v>
      </c>
      <c r="J403" t="s">
        <v>3</v>
      </c>
      <c r="K403" t="s">
        <v>474</v>
      </c>
      <c r="L403">
        <v>1191</v>
      </c>
      <c r="N403">
        <v>1013</v>
      </c>
      <c r="O403" t="s">
        <v>475</v>
      </c>
      <c r="P403" t="s">
        <v>475</v>
      </c>
      <c r="Q403">
        <v>1</v>
      </c>
      <c r="W403">
        <v>0</v>
      </c>
      <c r="X403">
        <v>476480486</v>
      </c>
      <c r="Y403">
        <f>((AT403*1.2)*1.15)</f>
        <v>18.491999999999997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5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13.4</v>
      </c>
      <c r="AU403" t="s">
        <v>40</v>
      </c>
      <c r="AV403">
        <v>1</v>
      </c>
      <c r="AW403">
        <v>2</v>
      </c>
      <c r="AX403">
        <v>57263911</v>
      </c>
      <c r="AY403">
        <v>1</v>
      </c>
      <c r="AZ403">
        <v>0</v>
      </c>
      <c r="BA403">
        <v>432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U403">
        <f>ROUND(AT403*Source!I147*AH403*AL403,2)</f>
        <v>0</v>
      </c>
      <c r="CV403">
        <f>ROUND(Y403*Source!I147,9)</f>
        <v>16.642800000000001</v>
      </c>
      <c r="CW403">
        <v>0</v>
      </c>
      <c r="CX403">
        <f>ROUND(Y403*Source!I147,9)</f>
        <v>16.642800000000001</v>
      </c>
      <c r="CY403">
        <f>AD403</f>
        <v>0</v>
      </c>
      <c r="CZ403">
        <f>AH403</f>
        <v>0</v>
      </c>
      <c r="DA403">
        <f>AL403</f>
        <v>1</v>
      </c>
      <c r="DB403">
        <f>ROUND(((ROUND(AT403*CZ403,2)*1.2)*1.15),6)</f>
        <v>0</v>
      </c>
      <c r="DC403">
        <f>ROUND(((ROUND(AT403*AG403,2)*1.2)*1.15),6)</f>
        <v>0</v>
      </c>
      <c r="DD403" t="s">
        <v>3</v>
      </c>
      <c r="DE403" t="s">
        <v>3</v>
      </c>
      <c r="DF403">
        <f t="shared" si="179"/>
        <v>0</v>
      </c>
      <c r="DG403">
        <f t="shared" si="177"/>
        <v>0</v>
      </c>
      <c r="DH403">
        <f t="shared" si="178"/>
        <v>0</v>
      </c>
      <c r="DI403">
        <f t="shared" si="175"/>
        <v>0</v>
      </c>
      <c r="DJ403">
        <f>DI403</f>
        <v>0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ROW(Source!A147)</f>
        <v>147</v>
      </c>
      <c r="B404">
        <v>55747651</v>
      </c>
      <c r="C404">
        <v>57263910</v>
      </c>
      <c r="D404">
        <v>54768339</v>
      </c>
      <c r="E404">
        <v>1</v>
      </c>
      <c r="F404">
        <v>1</v>
      </c>
      <c r="G404">
        <v>1081</v>
      </c>
      <c r="H404">
        <v>2</v>
      </c>
      <c r="I404" t="s">
        <v>483</v>
      </c>
      <c r="J404" t="s">
        <v>484</v>
      </c>
      <c r="K404" t="s">
        <v>485</v>
      </c>
      <c r="L404">
        <v>1368</v>
      </c>
      <c r="N404">
        <v>1011</v>
      </c>
      <c r="O404" t="s">
        <v>479</v>
      </c>
      <c r="P404" t="s">
        <v>479</v>
      </c>
      <c r="Q404">
        <v>1</v>
      </c>
      <c r="W404">
        <v>0</v>
      </c>
      <c r="X404">
        <v>874612079</v>
      </c>
      <c r="Y404">
        <f>((AT404*1.2)*1.25)</f>
        <v>4.4999999999999998E-2</v>
      </c>
      <c r="AA404">
        <v>0</v>
      </c>
      <c r="AB404">
        <v>1541.93</v>
      </c>
      <c r="AC404">
        <v>773.01</v>
      </c>
      <c r="AD404">
        <v>0</v>
      </c>
      <c r="AE404">
        <v>0</v>
      </c>
      <c r="AF404">
        <v>83.1</v>
      </c>
      <c r="AG404">
        <v>12.62</v>
      </c>
      <c r="AH404">
        <v>0</v>
      </c>
      <c r="AI404">
        <v>1</v>
      </c>
      <c r="AJ404">
        <v>17.07</v>
      </c>
      <c r="AK404">
        <v>56.35</v>
      </c>
      <c r="AL404">
        <v>1</v>
      </c>
      <c r="AM404">
        <v>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0.03</v>
      </c>
      <c r="AU404" t="s">
        <v>39</v>
      </c>
      <c r="AV404">
        <v>0</v>
      </c>
      <c r="AW404">
        <v>2</v>
      </c>
      <c r="AX404">
        <v>57263912</v>
      </c>
      <c r="AY404">
        <v>1</v>
      </c>
      <c r="AZ404">
        <v>0</v>
      </c>
      <c r="BA404">
        <v>433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f>ROUND(Y404*Source!I147*DO404,9)</f>
        <v>0.51110999999999995</v>
      </c>
      <c r="CX404">
        <f>ROUND(Y404*Source!I147,9)</f>
        <v>4.0500000000000001E-2</v>
      </c>
      <c r="CY404">
        <f>AB404</f>
        <v>1541.93</v>
      </c>
      <c r="CZ404">
        <f>AF404</f>
        <v>83.1</v>
      </c>
      <c r="DA404">
        <f>AJ404</f>
        <v>17.07</v>
      </c>
      <c r="DB404">
        <f>ROUND(((ROUND(AT404*CZ404,2)*1.2)*1.25),6)</f>
        <v>3.7349999999999999</v>
      </c>
      <c r="DC404">
        <f>ROUND(((ROUND(AT404*AG404,2)*1.2)*1.25),6)</f>
        <v>0.56999999999999995</v>
      </c>
      <c r="DD404" t="s">
        <v>3</v>
      </c>
      <c r="DE404" t="s">
        <v>3</v>
      </c>
      <c r="DF404">
        <f t="shared" si="179"/>
        <v>0</v>
      </c>
      <c r="DG404">
        <f>ROUND(ROUND(AF404*AJ404,2)*CX404,2)</f>
        <v>57.45</v>
      </c>
      <c r="DH404">
        <f>ROUND(ROUND(AG404*AK404,2)*CX404,2)</f>
        <v>28.8</v>
      </c>
      <c r="DI404">
        <f t="shared" si="175"/>
        <v>0</v>
      </c>
      <c r="DJ404">
        <f>DG404</f>
        <v>57.45</v>
      </c>
      <c r="DK404">
        <v>0</v>
      </c>
      <c r="DL404" t="s">
        <v>486</v>
      </c>
      <c r="DM404">
        <v>0</v>
      </c>
      <c r="DN404" t="s">
        <v>475</v>
      </c>
      <c r="DO404">
        <v>12.62</v>
      </c>
    </row>
    <row r="405" spans="1:119" x14ac:dyDescent="0.2">
      <c r="A405">
        <f>ROW(Source!A147)</f>
        <v>147</v>
      </c>
      <c r="B405">
        <v>55747651</v>
      </c>
      <c r="C405">
        <v>57263910</v>
      </c>
      <c r="D405">
        <v>54745210</v>
      </c>
      <c r="E405">
        <v>1</v>
      </c>
      <c r="F405">
        <v>1</v>
      </c>
      <c r="G405">
        <v>1081</v>
      </c>
      <c r="H405">
        <v>3</v>
      </c>
      <c r="I405" t="s">
        <v>258</v>
      </c>
      <c r="J405" t="s">
        <v>260</v>
      </c>
      <c r="K405" t="s">
        <v>259</v>
      </c>
      <c r="L405">
        <v>1354</v>
      </c>
      <c r="N405">
        <v>1010</v>
      </c>
      <c r="O405" t="s">
        <v>118</v>
      </c>
      <c r="P405" t="s">
        <v>118</v>
      </c>
      <c r="Q405">
        <v>1</v>
      </c>
      <c r="W405">
        <v>0</v>
      </c>
      <c r="X405">
        <v>-335723436</v>
      </c>
      <c r="Y405">
        <f>((AT405*1)*1)</f>
        <v>50</v>
      </c>
      <c r="AA405">
        <v>191.31</v>
      </c>
      <c r="AB405">
        <v>0</v>
      </c>
      <c r="AC405">
        <v>0</v>
      </c>
      <c r="AD405">
        <v>0</v>
      </c>
      <c r="AE405">
        <v>13.23</v>
      </c>
      <c r="AF405">
        <v>0</v>
      </c>
      <c r="AG405">
        <v>0</v>
      </c>
      <c r="AH405">
        <v>0</v>
      </c>
      <c r="AI405">
        <v>14.46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50</v>
      </c>
      <c r="AU405" t="s">
        <v>38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ROUND(Y405*Source!I147,9)</f>
        <v>45</v>
      </c>
      <c r="CY405">
        <f>AA405</f>
        <v>191.31</v>
      </c>
      <c r="CZ405">
        <f>AE405</f>
        <v>13.23</v>
      </c>
      <c r="DA405">
        <f>AI405</f>
        <v>14.46</v>
      </c>
      <c r="DB405">
        <f>ROUND(((ROUND(AT405*CZ405,2)*1)*1),6)</f>
        <v>661.5</v>
      </c>
      <c r="DC405">
        <f>ROUND(((ROUND(AT405*AG405,2)*1)*1),6)</f>
        <v>0</v>
      </c>
      <c r="DD405" t="s">
        <v>3</v>
      </c>
      <c r="DE405" t="s">
        <v>3</v>
      </c>
      <c r="DF405">
        <f>ROUND(ROUND(AE405*AI405,2)*CX405,2)</f>
        <v>8608.9500000000007</v>
      </c>
      <c r="DG405">
        <f t="shared" ref="DG405:DG414" si="180">ROUND(ROUND(AF405,2)*CX405,2)</f>
        <v>0</v>
      </c>
      <c r="DH405">
        <f t="shared" ref="DH405:DH415" si="181">ROUND(ROUND(AG405,2)*CX405,2)</f>
        <v>0</v>
      </c>
      <c r="DI405">
        <f t="shared" si="175"/>
        <v>0</v>
      </c>
      <c r="DJ405">
        <f>DF405</f>
        <v>8608.9500000000007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ROW(Source!A147)</f>
        <v>147</v>
      </c>
      <c r="B406">
        <v>55747651</v>
      </c>
      <c r="C406">
        <v>57263910</v>
      </c>
      <c r="D406">
        <v>54747601</v>
      </c>
      <c r="E406">
        <v>1</v>
      </c>
      <c r="F406">
        <v>1</v>
      </c>
      <c r="G406">
        <v>1081</v>
      </c>
      <c r="H406">
        <v>3</v>
      </c>
      <c r="I406" t="s">
        <v>261</v>
      </c>
      <c r="J406" t="s">
        <v>263</v>
      </c>
      <c r="K406" t="s">
        <v>262</v>
      </c>
      <c r="L406">
        <v>1355</v>
      </c>
      <c r="N406">
        <v>1010</v>
      </c>
      <c r="O406" t="s">
        <v>254</v>
      </c>
      <c r="P406" t="s">
        <v>254</v>
      </c>
      <c r="Q406">
        <v>100</v>
      </c>
      <c r="W406">
        <v>0</v>
      </c>
      <c r="X406">
        <v>745037488</v>
      </c>
      <c r="Y406">
        <f>((AT406*1)*1)</f>
        <v>0.5</v>
      </c>
      <c r="AA406">
        <v>5285.57</v>
      </c>
      <c r="AB406">
        <v>0</v>
      </c>
      <c r="AC406">
        <v>0</v>
      </c>
      <c r="AD406">
        <v>0</v>
      </c>
      <c r="AE406">
        <v>328.5</v>
      </c>
      <c r="AF406">
        <v>0</v>
      </c>
      <c r="AG406">
        <v>0</v>
      </c>
      <c r="AH406">
        <v>0</v>
      </c>
      <c r="AI406">
        <v>16.09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0.5</v>
      </c>
      <c r="AU406" t="s">
        <v>38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ROUND(Y406*Source!I147,9)</f>
        <v>0.45</v>
      </c>
      <c r="CY406">
        <f>AA406</f>
        <v>5285.57</v>
      </c>
      <c r="CZ406">
        <f>AE406</f>
        <v>328.5</v>
      </c>
      <c r="DA406">
        <f>AI406</f>
        <v>16.09</v>
      </c>
      <c r="DB406">
        <f>ROUND(((ROUND(AT406*CZ406,2)*1)*1),6)</f>
        <v>164.25</v>
      </c>
      <c r="DC406">
        <f>ROUND(((ROUND(AT406*AG406,2)*1)*1),6)</f>
        <v>0</v>
      </c>
      <c r="DD406" t="s">
        <v>3</v>
      </c>
      <c r="DE406" t="s">
        <v>3</v>
      </c>
      <c r="DF406">
        <f>ROUND(ROUND(AE406*AI406,2)*CX406,2)</f>
        <v>2378.5100000000002</v>
      </c>
      <c r="DG406">
        <f t="shared" si="180"/>
        <v>0</v>
      </c>
      <c r="DH406">
        <f t="shared" si="181"/>
        <v>0</v>
      </c>
      <c r="DI406">
        <f t="shared" si="175"/>
        <v>0</v>
      </c>
      <c r="DJ406">
        <f>DF406</f>
        <v>2378.5100000000002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ROW(Source!A152)</f>
        <v>152</v>
      </c>
      <c r="B407">
        <v>55747649</v>
      </c>
      <c r="C407">
        <v>55748238</v>
      </c>
      <c r="D407">
        <v>54702434</v>
      </c>
      <c r="E407">
        <v>1081</v>
      </c>
      <c r="F407">
        <v>1</v>
      </c>
      <c r="G407">
        <v>1081</v>
      </c>
      <c r="H407">
        <v>1</v>
      </c>
      <c r="I407" t="s">
        <v>473</v>
      </c>
      <c r="J407" t="s">
        <v>3</v>
      </c>
      <c r="K407" t="s">
        <v>474</v>
      </c>
      <c r="L407">
        <v>1191</v>
      </c>
      <c r="N407">
        <v>1013</v>
      </c>
      <c r="O407" t="s">
        <v>475</v>
      </c>
      <c r="P407" t="s">
        <v>475</v>
      </c>
      <c r="Q407">
        <v>1</v>
      </c>
      <c r="W407">
        <v>0</v>
      </c>
      <c r="X407">
        <v>476480486</v>
      </c>
      <c r="Y407">
        <f>((AT407*1.2)*1.15)</f>
        <v>7.3277999999999981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-2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5.31</v>
      </c>
      <c r="AU407" t="s">
        <v>40</v>
      </c>
      <c r="AV407">
        <v>1</v>
      </c>
      <c r="AW407">
        <v>2</v>
      </c>
      <c r="AX407">
        <v>57263926</v>
      </c>
      <c r="AY407">
        <v>1</v>
      </c>
      <c r="AZ407">
        <v>0</v>
      </c>
      <c r="BA407">
        <v>435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U407">
        <f>ROUND(AT407*Source!I152*AH407*AL407,2)</f>
        <v>0</v>
      </c>
      <c r="CV407">
        <f>ROUND(Y407*Source!I152,9)</f>
        <v>4.7484143999999997</v>
      </c>
      <c r="CW407">
        <v>0</v>
      </c>
      <c r="CX407">
        <f>ROUND(Y407*Source!I152,9)</f>
        <v>4.7484143999999997</v>
      </c>
      <c r="CY407">
        <f>AD407</f>
        <v>0</v>
      </c>
      <c r="CZ407">
        <f>AH407</f>
        <v>0</v>
      </c>
      <c r="DA407">
        <f>AL407</f>
        <v>1</v>
      </c>
      <c r="DB407">
        <f>ROUND(((ROUND(AT407*CZ407,2)*1.2)*1.15),6)</f>
        <v>0</v>
      </c>
      <c r="DC407">
        <f>ROUND(((ROUND(AT407*AG407,2)*1.2)*1.15),6)</f>
        <v>0</v>
      </c>
      <c r="DD407" t="s">
        <v>3</v>
      </c>
      <c r="DE407" t="s">
        <v>3</v>
      </c>
      <c r="DF407">
        <f t="shared" ref="DF407:DF418" si="182">ROUND(ROUND(AE407,2)*CX407,2)</f>
        <v>0</v>
      </c>
      <c r="DG407">
        <f t="shared" si="180"/>
        <v>0</v>
      </c>
      <c r="DH407">
        <f t="shared" si="181"/>
        <v>0</v>
      </c>
      <c r="DI407">
        <f t="shared" si="175"/>
        <v>0</v>
      </c>
      <c r="DJ407">
        <f>DI407</f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ROW(Source!A152)</f>
        <v>152</v>
      </c>
      <c r="B408">
        <v>55747649</v>
      </c>
      <c r="C408">
        <v>55748238</v>
      </c>
      <c r="D408">
        <v>54767939</v>
      </c>
      <c r="E408">
        <v>1</v>
      </c>
      <c r="F408">
        <v>1</v>
      </c>
      <c r="G408">
        <v>1081</v>
      </c>
      <c r="H408">
        <v>2</v>
      </c>
      <c r="I408" t="s">
        <v>604</v>
      </c>
      <c r="J408" t="s">
        <v>605</v>
      </c>
      <c r="K408" t="s">
        <v>606</v>
      </c>
      <c r="L408">
        <v>1368</v>
      </c>
      <c r="N408">
        <v>1011</v>
      </c>
      <c r="O408" t="s">
        <v>479</v>
      </c>
      <c r="P408" t="s">
        <v>479</v>
      </c>
      <c r="Q408">
        <v>1</v>
      </c>
      <c r="W408">
        <v>0</v>
      </c>
      <c r="X408">
        <v>1878265227</v>
      </c>
      <c r="Y408">
        <f>((AT408*1.2)*1.25)</f>
        <v>1.6800000000000002</v>
      </c>
      <c r="AA408">
        <v>0</v>
      </c>
      <c r="AB408">
        <v>10.89</v>
      </c>
      <c r="AC408">
        <v>0</v>
      </c>
      <c r="AD408">
        <v>0</v>
      </c>
      <c r="AE408">
        <v>0</v>
      </c>
      <c r="AF408">
        <v>10.4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-2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1.1200000000000001</v>
      </c>
      <c r="AU408" t="s">
        <v>39</v>
      </c>
      <c r="AV408">
        <v>0</v>
      </c>
      <c r="AW408">
        <v>2</v>
      </c>
      <c r="AX408">
        <v>57263927</v>
      </c>
      <c r="AY408">
        <v>1</v>
      </c>
      <c r="AZ408">
        <v>0</v>
      </c>
      <c r="BA408">
        <v>436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f>ROUND(Y408*Source!I152*DO408,9)</f>
        <v>0</v>
      </c>
      <c r="CX408">
        <f>ROUND(Y408*Source!I152,9)</f>
        <v>1.0886400000000001</v>
      </c>
      <c r="CY408">
        <f>AB408</f>
        <v>10.89</v>
      </c>
      <c r="CZ408">
        <f>AF408</f>
        <v>10.4</v>
      </c>
      <c r="DA408">
        <f>AJ408</f>
        <v>1</v>
      </c>
      <c r="DB408">
        <f>ROUND(((ROUND(AT408*CZ408,2)*1.2)*1.25),6)</f>
        <v>17.475000000000001</v>
      </c>
      <c r="DC408">
        <f>ROUND(((ROUND(AT408*AG408,2)*1.2)*1.25),6)</f>
        <v>0</v>
      </c>
      <c r="DD408" t="s">
        <v>3</v>
      </c>
      <c r="DE408" t="s">
        <v>3</v>
      </c>
      <c r="DF408">
        <f t="shared" si="182"/>
        <v>0</v>
      </c>
      <c r="DG408">
        <f t="shared" si="180"/>
        <v>11.32</v>
      </c>
      <c r="DH408">
        <f t="shared" si="181"/>
        <v>0</v>
      </c>
      <c r="DI408">
        <f t="shared" si="175"/>
        <v>0</v>
      </c>
      <c r="DJ408">
        <f>DG408</f>
        <v>11.32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ROW(Source!A152)</f>
        <v>152</v>
      </c>
      <c r="B409">
        <v>55747649</v>
      </c>
      <c r="C409">
        <v>55748238</v>
      </c>
      <c r="D409">
        <v>54768339</v>
      </c>
      <c r="E409">
        <v>1</v>
      </c>
      <c r="F409">
        <v>1</v>
      </c>
      <c r="G409">
        <v>1081</v>
      </c>
      <c r="H409">
        <v>2</v>
      </c>
      <c r="I409" t="s">
        <v>483</v>
      </c>
      <c r="J409" t="s">
        <v>484</v>
      </c>
      <c r="K409" t="s">
        <v>485</v>
      </c>
      <c r="L409">
        <v>1368</v>
      </c>
      <c r="N409">
        <v>1011</v>
      </c>
      <c r="O409" t="s">
        <v>479</v>
      </c>
      <c r="P409" t="s">
        <v>479</v>
      </c>
      <c r="Q409">
        <v>1</v>
      </c>
      <c r="W409">
        <v>0</v>
      </c>
      <c r="X409">
        <v>874612079</v>
      </c>
      <c r="Y409">
        <f>((AT409*1.2)*1.25)</f>
        <v>1.4999999999999999E-2</v>
      </c>
      <c r="AA409">
        <v>0</v>
      </c>
      <c r="AB409">
        <v>87.01</v>
      </c>
      <c r="AC409">
        <v>13.21</v>
      </c>
      <c r="AD409">
        <v>0</v>
      </c>
      <c r="AE409">
        <v>0</v>
      </c>
      <c r="AF409">
        <v>83.1</v>
      </c>
      <c r="AG409">
        <v>12.62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0.01</v>
      </c>
      <c r="AU409" t="s">
        <v>39</v>
      </c>
      <c r="AV409">
        <v>0</v>
      </c>
      <c r="AW409">
        <v>2</v>
      </c>
      <c r="AX409">
        <v>57263928</v>
      </c>
      <c r="AY409">
        <v>1</v>
      </c>
      <c r="AZ409">
        <v>0</v>
      </c>
      <c r="BA409">
        <v>437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f>ROUND(Y409*Source!I152*DO409,9)</f>
        <v>0.12266639999999999</v>
      </c>
      <c r="CX409">
        <f>ROUND(Y409*Source!I152,9)</f>
        <v>9.7199999999999995E-3</v>
      </c>
      <c r="CY409">
        <f>AB409</f>
        <v>87.01</v>
      </c>
      <c r="CZ409">
        <f>AF409</f>
        <v>83.1</v>
      </c>
      <c r="DA409">
        <f>AJ409</f>
        <v>1</v>
      </c>
      <c r="DB409">
        <f>ROUND(((ROUND(AT409*CZ409,2)*1.2)*1.25),6)</f>
        <v>1.2450000000000001</v>
      </c>
      <c r="DC409">
        <f>ROUND(((ROUND(AT409*AG409,2)*1.2)*1.25),6)</f>
        <v>0.19500000000000001</v>
      </c>
      <c r="DD409" t="s">
        <v>3</v>
      </c>
      <c r="DE409" t="s">
        <v>3</v>
      </c>
      <c r="DF409">
        <f t="shared" si="182"/>
        <v>0</v>
      </c>
      <c r="DG409">
        <f t="shared" si="180"/>
        <v>0.81</v>
      </c>
      <c r="DH409">
        <f t="shared" si="181"/>
        <v>0.12</v>
      </c>
      <c r="DI409">
        <f t="shared" si="175"/>
        <v>0</v>
      </c>
      <c r="DJ409">
        <f>DG409</f>
        <v>0.81</v>
      </c>
      <c r="DK409">
        <v>0</v>
      </c>
      <c r="DL409" t="s">
        <v>486</v>
      </c>
      <c r="DM409">
        <v>0</v>
      </c>
      <c r="DN409" t="s">
        <v>475</v>
      </c>
      <c r="DO409">
        <v>12.62</v>
      </c>
    </row>
    <row r="410" spans="1:119" x14ac:dyDescent="0.2">
      <c r="A410">
        <f>ROW(Source!A152)</f>
        <v>152</v>
      </c>
      <c r="B410">
        <v>55747649</v>
      </c>
      <c r="C410">
        <v>55748238</v>
      </c>
      <c r="D410">
        <v>54767643</v>
      </c>
      <c r="E410">
        <v>1</v>
      </c>
      <c r="F410">
        <v>1</v>
      </c>
      <c r="G410">
        <v>1081</v>
      </c>
      <c r="H410">
        <v>2</v>
      </c>
      <c r="I410" t="s">
        <v>607</v>
      </c>
      <c r="J410" t="s">
        <v>608</v>
      </c>
      <c r="K410" t="s">
        <v>609</v>
      </c>
      <c r="L410">
        <v>1368</v>
      </c>
      <c r="N410">
        <v>1011</v>
      </c>
      <c r="O410" t="s">
        <v>479</v>
      </c>
      <c r="P410" t="s">
        <v>479</v>
      </c>
      <c r="Q410">
        <v>1</v>
      </c>
      <c r="W410">
        <v>0</v>
      </c>
      <c r="X410">
        <v>-1520980008</v>
      </c>
      <c r="Y410">
        <f>((AT410*1.2)*1.25)</f>
        <v>1.4999999999999999E-2</v>
      </c>
      <c r="AA410">
        <v>0</v>
      </c>
      <c r="AB410">
        <v>120.23</v>
      </c>
      <c r="AC410">
        <v>13.21</v>
      </c>
      <c r="AD410">
        <v>0</v>
      </c>
      <c r="AE410">
        <v>0</v>
      </c>
      <c r="AF410">
        <v>114.83</v>
      </c>
      <c r="AG410">
        <v>12.62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-2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0.01</v>
      </c>
      <c r="AU410" t="s">
        <v>39</v>
      </c>
      <c r="AV410">
        <v>0</v>
      </c>
      <c r="AW410">
        <v>2</v>
      </c>
      <c r="AX410">
        <v>57263929</v>
      </c>
      <c r="AY410">
        <v>1</v>
      </c>
      <c r="AZ410">
        <v>0</v>
      </c>
      <c r="BA410">
        <v>438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ROUND(Y410*Source!I152*DO410,9)</f>
        <v>0.12266639999999999</v>
      </c>
      <c r="CX410">
        <f>ROUND(Y410*Source!I152,9)</f>
        <v>9.7199999999999995E-3</v>
      </c>
      <c r="CY410">
        <f>AB410</f>
        <v>120.23</v>
      </c>
      <c r="CZ410">
        <f>AF410</f>
        <v>114.83</v>
      </c>
      <c r="DA410">
        <f>AJ410</f>
        <v>1</v>
      </c>
      <c r="DB410">
        <f>ROUND(((ROUND(AT410*CZ410,2)*1.2)*1.25),6)</f>
        <v>1.7250000000000001</v>
      </c>
      <c r="DC410">
        <f>ROUND(((ROUND(AT410*AG410,2)*1.2)*1.25),6)</f>
        <v>0.19500000000000001</v>
      </c>
      <c r="DD410" t="s">
        <v>3</v>
      </c>
      <c r="DE410" t="s">
        <v>3</v>
      </c>
      <c r="DF410">
        <f t="shared" si="182"/>
        <v>0</v>
      </c>
      <c r="DG410">
        <f t="shared" si="180"/>
        <v>1.1200000000000001</v>
      </c>
      <c r="DH410">
        <f t="shared" si="181"/>
        <v>0.12</v>
      </c>
      <c r="DI410">
        <f t="shared" si="175"/>
        <v>0</v>
      </c>
      <c r="DJ410">
        <f>DG410</f>
        <v>1.1200000000000001</v>
      </c>
      <c r="DK410">
        <v>0</v>
      </c>
      <c r="DL410" t="s">
        <v>486</v>
      </c>
      <c r="DM410">
        <v>0</v>
      </c>
      <c r="DN410" t="s">
        <v>475</v>
      </c>
      <c r="DO410">
        <v>12.62</v>
      </c>
    </row>
    <row r="411" spans="1:119" x14ac:dyDescent="0.2">
      <c r="A411">
        <f>ROW(Source!A152)</f>
        <v>152</v>
      </c>
      <c r="B411">
        <v>55747649</v>
      </c>
      <c r="C411">
        <v>55748238</v>
      </c>
      <c r="D411">
        <v>54767655</v>
      </c>
      <c r="E411">
        <v>1</v>
      </c>
      <c r="F411">
        <v>1</v>
      </c>
      <c r="G411">
        <v>1081</v>
      </c>
      <c r="H411">
        <v>2</v>
      </c>
      <c r="I411" t="s">
        <v>610</v>
      </c>
      <c r="J411" t="s">
        <v>611</v>
      </c>
      <c r="K411" t="s">
        <v>612</v>
      </c>
      <c r="L411">
        <v>1368</v>
      </c>
      <c r="N411">
        <v>1011</v>
      </c>
      <c r="O411" t="s">
        <v>479</v>
      </c>
      <c r="P411" t="s">
        <v>479</v>
      </c>
      <c r="Q411">
        <v>1</v>
      </c>
      <c r="W411">
        <v>0</v>
      </c>
      <c r="X411">
        <v>444068027</v>
      </c>
      <c r="Y411">
        <f>((AT411*1.2)*1.25)</f>
        <v>1.4999999999999999E-2</v>
      </c>
      <c r="AA411">
        <v>0</v>
      </c>
      <c r="AB411">
        <v>0.81</v>
      </c>
      <c r="AC411">
        <v>0</v>
      </c>
      <c r="AD411">
        <v>0</v>
      </c>
      <c r="AE411">
        <v>0</v>
      </c>
      <c r="AF411">
        <v>0.77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-2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0.01</v>
      </c>
      <c r="AU411" t="s">
        <v>39</v>
      </c>
      <c r="AV411">
        <v>0</v>
      </c>
      <c r="AW411">
        <v>2</v>
      </c>
      <c r="AX411">
        <v>57263930</v>
      </c>
      <c r="AY411">
        <v>1</v>
      </c>
      <c r="AZ411">
        <v>0</v>
      </c>
      <c r="BA411">
        <v>439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ROUND(Y411*Source!I152*DO411,9)</f>
        <v>0</v>
      </c>
      <c r="CX411">
        <f>ROUND(Y411*Source!I152,9)</f>
        <v>9.7199999999999995E-3</v>
      </c>
      <c r="CY411">
        <f>AB411</f>
        <v>0.81</v>
      </c>
      <c r="CZ411">
        <f>AF411</f>
        <v>0.77</v>
      </c>
      <c r="DA411">
        <f>AJ411</f>
        <v>1</v>
      </c>
      <c r="DB411">
        <f>ROUND(((ROUND(AT411*CZ411,2)*1.2)*1.25),6)</f>
        <v>1.4999999999999999E-2</v>
      </c>
      <c r="DC411">
        <f>ROUND(((ROUND(AT411*AG411,2)*1.2)*1.25),6)</f>
        <v>0</v>
      </c>
      <c r="DD411" t="s">
        <v>3</v>
      </c>
      <c r="DE411" t="s">
        <v>3</v>
      </c>
      <c r="DF411">
        <f t="shared" si="182"/>
        <v>0</v>
      </c>
      <c r="DG411">
        <f t="shared" si="180"/>
        <v>0.01</v>
      </c>
      <c r="DH411">
        <f t="shared" si="181"/>
        <v>0</v>
      </c>
      <c r="DI411">
        <f t="shared" si="175"/>
        <v>0</v>
      </c>
      <c r="DJ411">
        <f>DG411</f>
        <v>0.01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ROW(Source!A152)</f>
        <v>152</v>
      </c>
      <c r="B412">
        <v>55747649</v>
      </c>
      <c r="C412">
        <v>55748238</v>
      </c>
      <c r="D412">
        <v>54737410</v>
      </c>
      <c r="E412">
        <v>1</v>
      </c>
      <c r="F412">
        <v>1</v>
      </c>
      <c r="G412">
        <v>1081</v>
      </c>
      <c r="H412">
        <v>3</v>
      </c>
      <c r="I412" t="s">
        <v>280</v>
      </c>
      <c r="J412" t="s">
        <v>283</v>
      </c>
      <c r="K412" t="s">
        <v>281</v>
      </c>
      <c r="L412">
        <v>1348</v>
      </c>
      <c r="N412">
        <v>1009</v>
      </c>
      <c r="O412" t="s">
        <v>282</v>
      </c>
      <c r="P412" t="s">
        <v>282</v>
      </c>
      <c r="Q412">
        <v>1000</v>
      </c>
      <c r="W412">
        <v>0</v>
      </c>
      <c r="X412">
        <v>650902129</v>
      </c>
      <c r="Y412">
        <f>((AT412*1)*1)</f>
        <v>8.9999999999999993E-3</v>
      </c>
      <c r="AA412">
        <v>18653.07</v>
      </c>
      <c r="AB412">
        <v>0</v>
      </c>
      <c r="AC412">
        <v>0</v>
      </c>
      <c r="AD412">
        <v>0</v>
      </c>
      <c r="AE412">
        <v>18653.07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 t="s">
        <v>3</v>
      </c>
      <c r="AT412">
        <v>8.9999999999999993E-3</v>
      </c>
      <c r="AU412" t="s">
        <v>38</v>
      </c>
      <c r="AV412">
        <v>0</v>
      </c>
      <c r="AW412">
        <v>1</v>
      </c>
      <c r="AX412">
        <v>-1</v>
      </c>
      <c r="AY412">
        <v>0</v>
      </c>
      <c r="AZ412">
        <v>0</v>
      </c>
      <c r="BA412" t="s">
        <v>3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ROUND(Y412*Source!I152,9)</f>
        <v>5.8320000000000004E-3</v>
      </c>
      <c r="CY412">
        <f>AA412</f>
        <v>18653.07</v>
      </c>
      <c r="CZ412">
        <f>AE412</f>
        <v>18653.07</v>
      </c>
      <c r="DA412">
        <f>AI412</f>
        <v>1</v>
      </c>
      <c r="DB412">
        <f>ROUND(((ROUND(AT412*CZ412,2)*1)*1),6)</f>
        <v>167.88</v>
      </c>
      <c r="DC412">
        <f>ROUND(((ROUND(AT412*AG412,2)*1)*1),6)</f>
        <v>0</v>
      </c>
      <c r="DD412" t="s">
        <v>3</v>
      </c>
      <c r="DE412" t="s">
        <v>3</v>
      </c>
      <c r="DF412">
        <f t="shared" si="182"/>
        <v>108.78</v>
      </c>
      <c r="DG412">
        <f t="shared" si="180"/>
        <v>0</v>
      </c>
      <c r="DH412">
        <f t="shared" si="181"/>
        <v>0</v>
      </c>
      <c r="DI412">
        <f t="shared" si="175"/>
        <v>0</v>
      </c>
      <c r="DJ412">
        <f>DF412</f>
        <v>108.78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ROW(Source!A152)</f>
        <v>152</v>
      </c>
      <c r="B413">
        <v>55747649</v>
      </c>
      <c r="C413">
        <v>55748238</v>
      </c>
      <c r="D413">
        <v>54737642</v>
      </c>
      <c r="E413">
        <v>1</v>
      </c>
      <c r="F413">
        <v>1</v>
      </c>
      <c r="G413">
        <v>1081</v>
      </c>
      <c r="H413">
        <v>3</v>
      </c>
      <c r="I413" t="s">
        <v>613</v>
      </c>
      <c r="J413" t="s">
        <v>614</v>
      </c>
      <c r="K413" t="s">
        <v>615</v>
      </c>
      <c r="L413">
        <v>1348</v>
      </c>
      <c r="N413">
        <v>1009</v>
      </c>
      <c r="O413" t="s">
        <v>282</v>
      </c>
      <c r="P413" t="s">
        <v>282</v>
      </c>
      <c r="Q413">
        <v>1000</v>
      </c>
      <c r="W413">
        <v>0</v>
      </c>
      <c r="X413">
        <v>1089536089</v>
      </c>
      <c r="Y413">
        <f>((AT413*1)*1)</f>
        <v>1.5E-3</v>
      </c>
      <c r="AA413">
        <v>6290.61</v>
      </c>
      <c r="AB413">
        <v>0</v>
      </c>
      <c r="AC413">
        <v>0</v>
      </c>
      <c r="AD413">
        <v>0</v>
      </c>
      <c r="AE413">
        <v>6290.61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1.5E-3</v>
      </c>
      <c r="AU413" t="s">
        <v>38</v>
      </c>
      <c r="AV413">
        <v>0</v>
      </c>
      <c r="AW413">
        <v>2</v>
      </c>
      <c r="AX413">
        <v>57263931</v>
      </c>
      <c r="AY413">
        <v>1</v>
      </c>
      <c r="AZ413">
        <v>0</v>
      </c>
      <c r="BA413">
        <v>440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ROUND(Y413*Source!I152,9)</f>
        <v>9.7199999999999999E-4</v>
      </c>
      <c r="CY413">
        <f>AA413</f>
        <v>6290.61</v>
      </c>
      <c r="CZ413">
        <f>AE413</f>
        <v>6290.61</v>
      </c>
      <c r="DA413">
        <f>AI413</f>
        <v>1</v>
      </c>
      <c r="DB413">
        <f>ROUND(((ROUND(AT413*CZ413,2)*1)*1),6)</f>
        <v>9.44</v>
      </c>
      <c r="DC413">
        <f>ROUND(((ROUND(AT413*AG413,2)*1)*1),6)</f>
        <v>0</v>
      </c>
      <c r="DD413" t="s">
        <v>3</v>
      </c>
      <c r="DE413" t="s">
        <v>3</v>
      </c>
      <c r="DF413">
        <f t="shared" si="182"/>
        <v>6.11</v>
      </c>
      <c r="DG413">
        <f t="shared" si="180"/>
        <v>0</v>
      </c>
      <c r="DH413">
        <f t="shared" si="181"/>
        <v>0</v>
      </c>
      <c r="DI413">
        <f t="shared" si="175"/>
        <v>0</v>
      </c>
      <c r="DJ413">
        <f>DF413</f>
        <v>6.11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ROW(Source!A153)</f>
        <v>153</v>
      </c>
      <c r="B414">
        <v>55747651</v>
      </c>
      <c r="C414">
        <v>55748238</v>
      </c>
      <c r="D414">
        <v>54702434</v>
      </c>
      <c r="E414">
        <v>1081</v>
      </c>
      <c r="F414">
        <v>1</v>
      </c>
      <c r="G414">
        <v>1081</v>
      </c>
      <c r="H414">
        <v>1</v>
      </c>
      <c r="I414" t="s">
        <v>473</v>
      </c>
      <c r="J414" t="s">
        <v>3</v>
      </c>
      <c r="K414" t="s">
        <v>474</v>
      </c>
      <c r="L414">
        <v>1191</v>
      </c>
      <c r="N414">
        <v>1013</v>
      </c>
      <c r="O414" t="s">
        <v>475</v>
      </c>
      <c r="P414" t="s">
        <v>475</v>
      </c>
      <c r="Q414">
        <v>1</v>
      </c>
      <c r="W414">
        <v>0</v>
      </c>
      <c r="X414">
        <v>476480486</v>
      </c>
      <c r="Y414">
        <f>((AT414*1.2)*1.15)</f>
        <v>7.3277999999999981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5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5.31</v>
      </c>
      <c r="AU414" t="s">
        <v>40</v>
      </c>
      <c r="AV414">
        <v>1</v>
      </c>
      <c r="AW414">
        <v>2</v>
      </c>
      <c r="AX414">
        <v>57263926</v>
      </c>
      <c r="AY414">
        <v>1</v>
      </c>
      <c r="AZ414">
        <v>0</v>
      </c>
      <c r="BA414">
        <v>442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U414">
        <f>ROUND(AT414*Source!I153*AH414*AL414,2)</f>
        <v>0</v>
      </c>
      <c r="CV414">
        <f>ROUND(Y414*Source!I153,9)</f>
        <v>4.7484143999999997</v>
      </c>
      <c r="CW414">
        <v>0</v>
      </c>
      <c r="CX414">
        <f>ROUND(Y414*Source!I153,9)</f>
        <v>4.7484143999999997</v>
      </c>
      <c r="CY414">
        <f>AD414</f>
        <v>0</v>
      </c>
      <c r="CZ414">
        <f>AH414</f>
        <v>0</v>
      </c>
      <c r="DA414">
        <f>AL414</f>
        <v>1</v>
      </c>
      <c r="DB414">
        <f>ROUND(((ROUND(AT414*CZ414,2)*1.2)*1.15),6)</f>
        <v>0</v>
      </c>
      <c r="DC414">
        <f>ROUND(((ROUND(AT414*AG414,2)*1.2)*1.15),6)</f>
        <v>0</v>
      </c>
      <c r="DD414" t="s">
        <v>3</v>
      </c>
      <c r="DE414" t="s">
        <v>3</v>
      </c>
      <c r="DF414">
        <f t="shared" si="182"/>
        <v>0</v>
      </c>
      <c r="DG414">
        <f t="shared" si="180"/>
        <v>0</v>
      </c>
      <c r="DH414">
        <f t="shared" si="181"/>
        <v>0</v>
      </c>
      <c r="DI414">
        <f t="shared" si="175"/>
        <v>0</v>
      </c>
      <c r="DJ414">
        <f>DI414</f>
        <v>0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ROW(Source!A153)</f>
        <v>153</v>
      </c>
      <c r="B415">
        <v>55747651</v>
      </c>
      <c r="C415">
        <v>55748238</v>
      </c>
      <c r="D415">
        <v>54767939</v>
      </c>
      <c r="E415">
        <v>1</v>
      </c>
      <c r="F415">
        <v>1</v>
      </c>
      <c r="G415">
        <v>1081</v>
      </c>
      <c r="H415">
        <v>2</v>
      </c>
      <c r="I415" t="s">
        <v>604</v>
      </c>
      <c r="J415" t="s">
        <v>605</v>
      </c>
      <c r="K415" t="s">
        <v>606</v>
      </c>
      <c r="L415">
        <v>1368</v>
      </c>
      <c r="N415">
        <v>1011</v>
      </c>
      <c r="O415" t="s">
        <v>479</v>
      </c>
      <c r="P415" t="s">
        <v>479</v>
      </c>
      <c r="Q415">
        <v>1</v>
      </c>
      <c r="W415">
        <v>0</v>
      </c>
      <c r="X415">
        <v>1878265227</v>
      </c>
      <c r="Y415">
        <f>((AT415*1.2)*1.25)</f>
        <v>1.6800000000000002</v>
      </c>
      <c r="AA415">
        <v>0</v>
      </c>
      <c r="AB415">
        <v>120.54</v>
      </c>
      <c r="AC415">
        <v>0</v>
      </c>
      <c r="AD415">
        <v>0</v>
      </c>
      <c r="AE415">
        <v>0</v>
      </c>
      <c r="AF415">
        <v>10.4</v>
      </c>
      <c r="AG415">
        <v>0</v>
      </c>
      <c r="AH415">
        <v>0</v>
      </c>
      <c r="AI415">
        <v>1</v>
      </c>
      <c r="AJ415">
        <v>11.07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1.1200000000000001</v>
      </c>
      <c r="AU415" t="s">
        <v>39</v>
      </c>
      <c r="AV415">
        <v>0</v>
      </c>
      <c r="AW415">
        <v>2</v>
      </c>
      <c r="AX415">
        <v>57263927</v>
      </c>
      <c r="AY415">
        <v>1</v>
      </c>
      <c r="AZ415">
        <v>0</v>
      </c>
      <c r="BA415">
        <v>443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ROUND(Y415*Source!I153*DO415,9)</f>
        <v>0</v>
      </c>
      <c r="CX415">
        <f>ROUND(Y415*Source!I153,9)</f>
        <v>1.0886400000000001</v>
      </c>
      <c r="CY415">
        <f>AB415</f>
        <v>120.54</v>
      </c>
      <c r="CZ415">
        <f>AF415</f>
        <v>10.4</v>
      </c>
      <c r="DA415">
        <f>AJ415</f>
        <v>11.07</v>
      </c>
      <c r="DB415">
        <f>ROUND(((ROUND(AT415*CZ415,2)*1.2)*1.25),6)</f>
        <v>17.475000000000001</v>
      </c>
      <c r="DC415">
        <f>ROUND(((ROUND(AT415*AG415,2)*1.2)*1.25),6)</f>
        <v>0</v>
      </c>
      <c r="DD415" t="s">
        <v>3</v>
      </c>
      <c r="DE415" t="s">
        <v>3</v>
      </c>
      <c r="DF415">
        <f t="shared" si="182"/>
        <v>0</v>
      </c>
      <c r="DG415">
        <f>ROUND(ROUND(AF415*AJ415,2)*CX415,2)</f>
        <v>125.34</v>
      </c>
      <c r="DH415">
        <f t="shared" si="181"/>
        <v>0</v>
      </c>
      <c r="DI415">
        <f t="shared" si="175"/>
        <v>0</v>
      </c>
      <c r="DJ415">
        <f>DG415</f>
        <v>125.34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ROW(Source!A153)</f>
        <v>153</v>
      </c>
      <c r="B416">
        <v>55747651</v>
      </c>
      <c r="C416">
        <v>55748238</v>
      </c>
      <c r="D416">
        <v>54768339</v>
      </c>
      <c r="E416">
        <v>1</v>
      </c>
      <c r="F416">
        <v>1</v>
      </c>
      <c r="G416">
        <v>1081</v>
      </c>
      <c r="H416">
        <v>2</v>
      </c>
      <c r="I416" t="s">
        <v>483</v>
      </c>
      <c r="J416" t="s">
        <v>484</v>
      </c>
      <c r="K416" t="s">
        <v>485</v>
      </c>
      <c r="L416">
        <v>1368</v>
      </c>
      <c r="N416">
        <v>1011</v>
      </c>
      <c r="O416" t="s">
        <v>479</v>
      </c>
      <c r="P416" t="s">
        <v>479</v>
      </c>
      <c r="Q416">
        <v>1</v>
      </c>
      <c r="W416">
        <v>0</v>
      </c>
      <c r="X416">
        <v>874612079</v>
      </c>
      <c r="Y416">
        <f>((AT416*1.2)*1.25)</f>
        <v>1.4999999999999999E-2</v>
      </c>
      <c r="AA416">
        <v>0</v>
      </c>
      <c r="AB416">
        <v>1485.19</v>
      </c>
      <c r="AC416">
        <v>744.56</v>
      </c>
      <c r="AD416">
        <v>0</v>
      </c>
      <c r="AE416">
        <v>0</v>
      </c>
      <c r="AF416">
        <v>83.1</v>
      </c>
      <c r="AG416">
        <v>12.62</v>
      </c>
      <c r="AH416">
        <v>0</v>
      </c>
      <c r="AI416">
        <v>1</v>
      </c>
      <c r="AJ416">
        <v>17.07</v>
      </c>
      <c r="AK416">
        <v>56.35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0.01</v>
      </c>
      <c r="AU416" t="s">
        <v>39</v>
      </c>
      <c r="AV416">
        <v>0</v>
      </c>
      <c r="AW416">
        <v>2</v>
      </c>
      <c r="AX416">
        <v>57263928</v>
      </c>
      <c r="AY416">
        <v>1</v>
      </c>
      <c r="AZ416">
        <v>0</v>
      </c>
      <c r="BA416">
        <v>444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f>ROUND(Y416*Source!I153*DO416,9)</f>
        <v>0.12266639999999999</v>
      </c>
      <c r="CX416">
        <f>ROUND(Y416*Source!I153,9)</f>
        <v>9.7199999999999995E-3</v>
      </c>
      <c r="CY416">
        <f>AB416</f>
        <v>1485.19</v>
      </c>
      <c r="CZ416">
        <f>AF416</f>
        <v>83.1</v>
      </c>
      <c r="DA416">
        <f>AJ416</f>
        <v>17.07</v>
      </c>
      <c r="DB416">
        <f>ROUND(((ROUND(AT416*CZ416,2)*1.2)*1.25),6)</f>
        <v>1.2450000000000001</v>
      </c>
      <c r="DC416">
        <f>ROUND(((ROUND(AT416*AG416,2)*1.2)*1.25),6)</f>
        <v>0.19500000000000001</v>
      </c>
      <c r="DD416" t="s">
        <v>3</v>
      </c>
      <c r="DE416" t="s">
        <v>3</v>
      </c>
      <c r="DF416">
        <f t="shared" si="182"/>
        <v>0</v>
      </c>
      <c r="DG416">
        <f>ROUND(ROUND(AF416*AJ416,2)*CX416,2)</f>
        <v>13.79</v>
      </c>
      <c r="DH416">
        <f>ROUND(ROUND(AG416*AK416,2)*CX416,2)</f>
        <v>6.91</v>
      </c>
      <c r="DI416">
        <f t="shared" si="175"/>
        <v>0</v>
      </c>
      <c r="DJ416">
        <f>DG416</f>
        <v>13.79</v>
      </c>
      <c r="DK416">
        <v>0</v>
      </c>
      <c r="DL416" t="s">
        <v>486</v>
      </c>
      <c r="DM416">
        <v>0</v>
      </c>
      <c r="DN416" t="s">
        <v>475</v>
      </c>
      <c r="DO416">
        <v>12.62</v>
      </c>
    </row>
    <row r="417" spans="1:119" x14ac:dyDescent="0.2">
      <c r="A417">
        <f>ROW(Source!A153)</f>
        <v>153</v>
      </c>
      <c r="B417">
        <v>55747651</v>
      </c>
      <c r="C417">
        <v>55748238</v>
      </c>
      <c r="D417">
        <v>54767643</v>
      </c>
      <c r="E417">
        <v>1</v>
      </c>
      <c r="F417">
        <v>1</v>
      </c>
      <c r="G417">
        <v>1081</v>
      </c>
      <c r="H417">
        <v>2</v>
      </c>
      <c r="I417" t="s">
        <v>607</v>
      </c>
      <c r="J417" t="s">
        <v>608</v>
      </c>
      <c r="K417" t="s">
        <v>609</v>
      </c>
      <c r="L417">
        <v>1368</v>
      </c>
      <c r="N417">
        <v>1011</v>
      </c>
      <c r="O417" t="s">
        <v>479</v>
      </c>
      <c r="P417" t="s">
        <v>479</v>
      </c>
      <c r="Q417">
        <v>1</v>
      </c>
      <c r="W417">
        <v>0</v>
      </c>
      <c r="X417">
        <v>-1520980008</v>
      </c>
      <c r="Y417">
        <f>((AT417*1.2)*1.25)</f>
        <v>1.4999999999999999E-2</v>
      </c>
      <c r="AA417">
        <v>0</v>
      </c>
      <c r="AB417">
        <v>1942.87</v>
      </c>
      <c r="AC417">
        <v>744.56</v>
      </c>
      <c r="AD417">
        <v>0</v>
      </c>
      <c r="AE417">
        <v>0</v>
      </c>
      <c r="AF417">
        <v>114.83</v>
      </c>
      <c r="AG417">
        <v>12.62</v>
      </c>
      <c r="AH417">
        <v>0</v>
      </c>
      <c r="AI417">
        <v>1</v>
      </c>
      <c r="AJ417">
        <v>16.16</v>
      </c>
      <c r="AK417">
        <v>56.35</v>
      </c>
      <c r="AL417">
        <v>1</v>
      </c>
      <c r="AM417">
        <v>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0.01</v>
      </c>
      <c r="AU417" t="s">
        <v>39</v>
      </c>
      <c r="AV417">
        <v>0</v>
      </c>
      <c r="AW417">
        <v>2</v>
      </c>
      <c r="AX417">
        <v>57263929</v>
      </c>
      <c r="AY417">
        <v>1</v>
      </c>
      <c r="AZ417">
        <v>0</v>
      </c>
      <c r="BA417">
        <v>445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f>ROUND(Y417*Source!I153*DO417,9)</f>
        <v>0.12266639999999999</v>
      </c>
      <c r="CX417">
        <f>ROUND(Y417*Source!I153,9)</f>
        <v>9.7199999999999995E-3</v>
      </c>
      <c r="CY417">
        <f>AB417</f>
        <v>1942.87</v>
      </c>
      <c r="CZ417">
        <f>AF417</f>
        <v>114.83</v>
      </c>
      <c r="DA417">
        <f>AJ417</f>
        <v>16.16</v>
      </c>
      <c r="DB417">
        <f>ROUND(((ROUND(AT417*CZ417,2)*1.2)*1.25),6)</f>
        <v>1.7250000000000001</v>
      </c>
      <c r="DC417">
        <f>ROUND(((ROUND(AT417*AG417,2)*1.2)*1.25),6)</f>
        <v>0.19500000000000001</v>
      </c>
      <c r="DD417" t="s">
        <v>3</v>
      </c>
      <c r="DE417" t="s">
        <v>3</v>
      </c>
      <c r="DF417">
        <f t="shared" si="182"/>
        <v>0</v>
      </c>
      <c r="DG417">
        <f>ROUND(ROUND(AF417*AJ417,2)*CX417,2)</f>
        <v>18.04</v>
      </c>
      <c r="DH417">
        <f>ROUND(ROUND(AG417*AK417,2)*CX417,2)</f>
        <v>6.91</v>
      </c>
      <c r="DI417">
        <f t="shared" si="175"/>
        <v>0</v>
      </c>
      <c r="DJ417">
        <f>DG417</f>
        <v>18.04</v>
      </c>
      <c r="DK417">
        <v>0</v>
      </c>
      <c r="DL417" t="s">
        <v>486</v>
      </c>
      <c r="DM417">
        <v>0</v>
      </c>
      <c r="DN417" t="s">
        <v>475</v>
      </c>
      <c r="DO417">
        <v>12.62</v>
      </c>
    </row>
    <row r="418" spans="1:119" x14ac:dyDescent="0.2">
      <c r="A418">
        <f>ROW(Source!A153)</f>
        <v>153</v>
      </c>
      <c r="B418">
        <v>55747651</v>
      </c>
      <c r="C418">
        <v>55748238</v>
      </c>
      <c r="D418">
        <v>54767655</v>
      </c>
      <c r="E418">
        <v>1</v>
      </c>
      <c r="F418">
        <v>1</v>
      </c>
      <c r="G418">
        <v>1081</v>
      </c>
      <c r="H418">
        <v>2</v>
      </c>
      <c r="I418" t="s">
        <v>610</v>
      </c>
      <c r="J418" t="s">
        <v>611</v>
      </c>
      <c r="K418" t="s">
        <v>612</v>
      </c>
      <c r="L418">
        <v>1368</v>
      </c>
      <c r="N418">
        <v>1011</v>
      </c>
      <c r="O418" t="s">
        <v>479</v>
      </c>
      <c r="P418" t="s">
        <v>479</v>
      </c>
      <c r="Q418">
        <v>1</v>
      </c>
      <c r="W418">
        <v>0</v>
      </c>
      <c r="X418">
        <v>444068027</v>
      </c>
      <c r="Y418">
        <f>((AT418*1.2)*1.25)</f>
        <v>1.4999999999999999E-2</v>
      </c>
      <c r="AA418">
        <v>0</v>
      </c>
      <c r="AB418">
        <v>7.96</v>
      </c>
      <c r="AC418">
        <v>0</v>
      </c>
      <c r="AD418">
        <v>0</v>
      </c>
      <c r="AE418">
        <v>0</v>
      </c>
      <c r="AF418">
        <v>0.77</v>
      </c>
      <c r="AG418">
        <v>0</v>
      </c>
      <c r="AH418">
        <v>0</v>
      </c>
      <c r="AI418">
        <v>1</v>
      </c>
      <c r="AJ418">
        <v>9.8699999999999992</v>
      </c>
      <c r="AK418">
        <v>1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0.01</v>
      </c>
      <c r="AU418" t="s">
        <v>39</v>
      </c>
      <c r="AV418">
        <v>0</v>
      </c>
      <c r="AW418">
        <v>2</v>
      </c>
      <c r="AX418">
        <v>57263930</v>
      </c>
      <c r="AY418">
        <v>1</v>
      </c>
      <c r="AZ418">
        <v>0</v>
      </c>
      <c r="BA418">
        <v>446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f>ROUND(Y418*Source!I153*DO418,9)</f>
        <v>0</v>
      </c>
      <c r="CX418">
        <f>ROUND(Y418*Source!I153,9)</f>
        <v>9.7199999999999995E-3</v>
      </c>
      <c r="CY418">
        <f>AB418</f>
        <v>7.96</v>
      </c>
      <c r="CZ418">
        <f>AF418</f>
        <v>0.77</v>
      </c>
      <c r="DA418">
        <f>AJ418</f>
        <v>9.8699999999999992</v>
      </c>
      <c r="DB418">
        <f>ROUND(((ROUND(AT418*CZ418,2)*1.2)*1.25),6)</f>
        <v>1.4999999999999999E-2</v>
      </c>
      <c r="DC418">
        <f>ROUND(((ROUND(AT418*AG418,2)*1.2)*1.25),6)</f>
        <v>0</v>
      </c>
      <c r="DD418" t="s">
        <v>3</v>
      </c>
      <c r="DE418" t="s">
        <v>3</v>
      </c>
      <c r="DF418">
        <f t="shared" si="182"/>
        <v>0</v>
      </c>
      <c r="DG418">
        <f>ROUND(ROUND(AF418*AJ418,2)*CX418,2)</f>
        <v>7.0000000000000007E-2</v>
      </c>
      <c r="DH418">
        <f t="shared" ref="DH418:DH426" si="183">ROUND(ROUND(AG418,2)*CX418,2)</f>
        <v>0</v>
      </c>
      <c r="DI418">
        <f t="shared" si="175"/>
        <v>0</v>
      </c>
      <c r="DJ418">
        <f>DG418</f>
        <v>7.0000000000000007E-2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ROW(Source!A153)</f>
        <v>153</v>
      </c>
      <c r="B419">
        <v>55747651</v>
      </c>
      <c r="C419">
        <v>55748238</v>
      </c>
      <c r="D419">
        <v>54737410</v>
      </c>
      <c r="E419">
        <v>1</v>
      </c>
      <c r="F419">
        <v>1</v>
      </c>
      <c r="G419">
        <v>1081</v>
      </c>
      <c r="H419">
        <v>3</v>
      </c>
      <c r="I419" t="s">
        <v>280</v>
      </c>
      <c r="J419" t="s">
        <v>283</v>
      </c>
      <c r="K419" t="s">
        <v>281</v>
      </c>
      <c r="L419">
        <v>1348</v>
      </c>
      <c r="N419">
        <v>1009</v>
      </c>
      <c r="O419" t="s">
        <v>282</v>
      </c>
      <c r="P419" t="s">
        <v>282</v>
      </c>
      <c r="Q419">
        <v>1000</v>
      </c>
      <c r="W419">
        <v>0</v>
      </c>
      <c r="X419">
        <v>650902129</v>
      </c>
      <c r="Y419">
        <f>((AT419*1)*1)</f>
        <v>8.9999999999999993E-3</v>
      </c>
      <c r="AA419">
        <v>66964.52</v>
      </c>
      <c r="AB419">
        <v>0</v>
      </c>
      <c r="AC419">
        <v>0</v>
      </c>
      <c r="AD419">
        <v>0</v>
      </c>
      <c r="AE419">
        <v>18653.07</v>
      </c>
      <c r="AF419">
        <v>0</v>
      </c>
      <c r="AG419">
        <v>0</v>
      </c>
      <c r="AH419">
        <v>0</v>
      </c>
      <c r="AI419">
        <v>3.59</v>
      </c>
      <c r="AJ419">
        <v>1</v>
      </c>
      <c r="AK419">
        <v>1</v>
      </c>
      <c r="AL419">
        <v>1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 t="s">
        <v>3</v>
      </c>
      <c r="AT419">
        <v>8.9999999999999993E-3</v>
      </c>
      <c r="AU419" t="s">
        <v>38</v>
      </c>
      <c r="AV419">
        <v>0</v>
      </c>
      <c r="AW419">
        <v>1</v>
      </c>
      <c r="AX419">
        <v>-1</v>
      </c>
      <c r="AY419">
        <v>0</v>
      </c>
      <c r="AZ419">
        <v>0</v>
      </c>
      <c r="BA419" t="s">
        <v>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ROUND(Y419*Source!I153,9)</f>
        <v>5.8320000000000004E-3</v>
      </c>
      <c r="CY419">
        <f>AA419</f>
        <v>66964.52</v>
      </c>
      <c r="CZ419">
        <f>AE419</f>
        <v>18653.07</v>
      </c>
      <c r="DA419">
        <f>AI419</f>
        <v>3.59</v>
      </c>
      <c r="DB419">
        <f>ROUND(((ROUND(AT419*CZ419,2)*1)*1),6)</f>
        <v>167.88</v>
      </c>
      <c r="DC419">
        <f>ROUND(((ROUND(AT419*AG419,2)*1)*1),6)</f>
        <v>0</v>
      </c>
      <c r="DD419" t="s">
        <v>3</v>
      </c>
      <c r="DE419" t="s">
        <v>3</v>
      </c>
      <c r="DF419">
        <f>ROUND(ROUND(AE419*AI419,2)*CX419,2)</f>
        <v>390.54</v>
      </c>
      <c r="DG419">
        <f t="shared" ref="DG419:DG426" si="184">ROUND(ROUND(AF419,2)*CX419,2)</f>
        <v>0</v>
      </c>
      <c r="DH419">
        <f t="shared" si="183"/>
        <v>0</v>
      </c>
      <c r="DI419">
        <f t="shared" si="175"/>
        <v>0</v>
      </c>
      <c r="DJ419">
        <f>DF419</f>
        <v>390.54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ROW(Source!A153)</f>
        <v>153</v>
      </c>
      <c r="B420">
        <v>55747651</v>
      </c>
      <c r="C420">
        <v>55748238</v>
      </c>
      <c r="D420">
        <v>54737642</v>
      </c>
      <c r="E420">
        <v>1</v>
      </c>
      <c r="F420">
        <v>1</v>
      </c>
      <c r="G420">
        <v>1081</v>
      </c>
      <c r="H420">
        <v>3</v>
      </c>
      <c r="I420" t="s">
        <v>613</v>
      </c>
      <c r="J420" t="s">
        <v>614</v>
      </c>
      <c r="K420" t="s">
        <v>615</v>
      </c>
      <c r="L420">
        <v>1348</v>
      </c>
      <c r="N420">
        <v>1009</v>
      </c>
      <c r="O420" t="s">
        <v>282</v>
      </c>
      <c r="P420" t="s">
        <v>282</v>
      </c>
      <c r="Q420">
        <v>1000</v>
      </c>
      <c r="W420">
        <v>0</v>
      </c>
      <c r="X420">
        <v>1089536089</v>
      </c>
      <c r="Y420">
        <f>((AT420*1)*1)</f>
        <v>1.5E-3</v>
      </c>
      <c r="AA420">
        <v>219101.95</v>
      </c>
      <c r="AB420">
        <v>0</v>
      </c>
      <c r="AC420">
        <v>0</v>
      </c>
      <c r="AD420">
        <v>0</v>
      </c>
      <c r="AE420">
        <v>6290.61</v>
      </c>
      <c r="AF420">
        <v>0</v>
      </c>
      <c r="AG420">
        <v>0</v>
      </c>
      <c r="AH420">
        <v>0</v>
      </c>
      <c r="AI420">
        <v>34.83</v>
      </c>
      <c r="AJ420">
        <v>1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1.5E-3</v>
      </c>
      <c r="AU420" t="s">
        <v>38</v>
      </c>
      <c r="AV420">
        <v>0</v>
      </c>
      <c r="AW420">
        <v>2</v>
      </c>
      <c r="AX420">
        <v>57263931</v>
      </c>
      <c r="AY420">
        <v>1</v>
      </c>
      <c r="AZ420">
        <v>0</v>
      </c>
      <c r="BA420">
        <v>447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ROUND(Y420*Source!I153,9)</f>
        <v>9.7199999999999999E-4</v>
      </c>
      <c r="CY420">
        <f>AA420</f>
        <v>219101.95</v>
      </c>
      <c r="CZ420">
        <f>AE420</f>
        <v>6290.61</v>
      </c>
      <c r="DA420">
        <f>AI420</f>
        <v>34.83</v>
      </c>
      <c r="DB420">
        <f>ROUND(((ROUND(AT420*CZ420,2)*1)*1),6)</f>
        <v>9.44</v>
      </c>
      <c r="DC420">
        <f>ROUND(((ROUND(AT420*AG420,2)*1)*1),6)</f>
        <v>0</v>
      </c>
      <c r="DD420" t="s">
        <v>3</v>
      </c>
      <c r="DE420" t="s">
        <v>3</v>
      </c>
      <c r="DF420">
        <f>ROUND(ROUND(AE420*AI420,2)*CX420,2)</f>
        <v>212.97</v>
      </c>
      <c r="DG420">
        <f t="shared" si="184"/>
        <v>0</v>
      </c>
      <c r="DH420">
        <f t="shared" si="183"/>
        <v>0</v>
      </c>
      <c r="DI420">
        <f t="shared" si="175"/>
        <v>0</v>
      </c>
      <c r="DJ420">
        <f>DF420</f>
        <v>212.97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ROW(Source!A156)</f>
        <v>156</v>
      </c>
      <c r="B421">
        <v>55747649</v>
      </c>
      <c r="C421">
        <v>55748254</v>
      </c>
      <c r="D421">
        <v>54702434</v>
      </c>
      <c r="E421">
        <v>1081</v>
      </c>
      <c r="F421">
        <v>1</v>
      </c>
      <c r="G421">
        <v>1081</v>
      </c>
      <c r="H421">
        <v>1</v>
      </c>
      <c r="I421" t="s">
        <v>473</v>
      </c>
      <c r="J421" t="s">
        <v>3</v>
      </c>
      <c r="K421" t="s">
        <v>474</v>
      </c>
      <c r="L421">
        <v>1191</v>
      </c>
      <c r="N421">
        <v>1013</v>
      </c>
      <c r="O421" t="s">
        <v>475</v>
      </c>
      <c r="P421" t="s">
        <v>475</v>
      </c>
      <c r="Q421">
        <v>1</v>
      </c>
      <c r="W421">
        <v>0</v>
      </c>
      <c r="X421">
        <v>476480486</v>
      </c>
      <c r="Y421">
        <f>((AT421*1.2)*1.15)</f>
        <v>2.9393999999999991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-2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2.13</v>
      </c>
      <c r="AU421" t="s">
        <v>40</v>
      </c>
      <c r="AV421">
        <v>1</v>
      </c>
      <c r="AW421">
        <v>2</v>
      </c>
      <c r="AX421">
        <v>57263934</v>
      </c>
      <c r="AY421">
        <v>1</v>
      </c>
      <c r="AZ421">
        <v>0</v>
      </c>
      <c r="BA421">
        <v>449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U421">
        <f>ROUND(AT421*Source!I156*AH421*AL421,2)</f>
        <v>0</v>
      </c>
      <c r="CV421">
        <f>ROUND(Y421*Source!I156,9)</f>
        <v>1.9047312000000001</v>
      </c>
      <c r="CW421">
        <v>0</v>
      </c>
      <c r="CX421">
        <f>ROUND(Y421*Source!I156,9)</f>
        <v>1.9047312000000001</v>
      </c>
      <c r="CY421">
        <f>AD421</f>
        <v>0</v>
      </c>
      <c r="CZ421">
        <f>AH421</f>
        <v>0</v>
      </c>
      <c r="DA421">
        <f>AL421</f>
        <v>1</v>
      </c>
      <c r="DB421">
        <f>ROUND(((ROUND(AT421*CZ421,2)*1.2)*1.15),6)</f>
        <v>0</v>
      </c>
      <c r="DC421">
        <f>ROUND(((ROUND(AT421*AG421,2)*1.2)*1.15),6)</f>
        <v>0</v>
      </c>
      <c r="DD421" t="s">
        <v>3</v>
      </c>
      <c r="DE421" t="s">
        <v>3</v>
      </c>
      <c r="DF421">
        <f t="shared" ref="DF421:DF428" si="185">ROUND(ROUND(AE421,2)*CX421,2)</f>
        <v>0</v>
      </c>
      <c r="DG421">
        <f t="shared" si="184"/>
        <v>0</v>
      </c>
      <c r="DH421">
        <f t="shared" si="183"/>
        <v>0</v>
      </c>
      <c r="DI421">
        <f t="shared" si="175"/>
        <v>0</v>
      </c>
      <c r="DJ421">
        <f>DI421</f>
        <v>0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ROW(Source!A156)</f>
        <v>156</v>
      </c>
      <c r="B422">
        <v>55747649</v>
      </c>
      <c r="C422">
        <v>55748254</v>
      </c>
      <c r="D422">
        <v>54768339</v>
      </c>
      <c r="E422">
        <v>1</v>
      </c>
      <c r="F422">
        <v>1</v>
      </c>
      <c r="G422">
        <v>1081</v>
      </c>
      <c r="H422">
        <v>2</v>
      </c>
      <c r="I422" t="s">
        <v>483</v>
      </c>
      <c r="J422" t="s">
        <v>484</v>
      </c>
      <c r="K422" t="s">
        <v>485</v>
      </c>
      <c r="L422">
        <v>1368</v>
      </c>
      <c r="N422">
        <v>1011</v>
      </c>
      <c r="O422" t="s">
        <v>479</v>
      </c>
      <c r="P422" t="s">
        <v>479</v>
      </c>
      <c r="Q422">
        <v>1</v>
      </c>
      <c r="W422">
        <v>0</v>
      </c>
      <c r="X422">
        <v>874612079</v>
      </c>
      <c r="Y422">
        <f>((AT422*1.2)*1.25)</f>
        <v>1.4999999999999999E-2</v>
      </c>
      <c r="AA422">
        <v>0</v>
      </c>
      <c r="AB422">
        <v>87.01</v>
      </c>
      <c r="AC422">
        <v>13.21</v>
      </c>
      <c r="AD422">
        <v>0</v>
      </c>
      <c r="AE422">
        <v>0</v>
      </c>
      <c r="AF422">
        <v>83.1</v>
      </c>
      <c r="AG422">
        <v>12.62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-2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0.01</v>
      </c>
      <c r="AU422" t="s">
        <v>39</v>
      </c>
      <c r="AV422">
        <v>0</v>
      </c>
      <c r="AW422">
        <v>2</v>
      </c>
      <c r="AX422">
        <v>57263935</v>
      </c>
      <c r="AY422">
        <v>1</v>
      </c>
      <c r="AZ422">
        <v>0</v>
      </c>
      <c r="BA422">
        <v>450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f>ROUND(Y422*Source!I156*DO422,9)</f>
        <v>0.12266639999999999</v>
      </c>
      <c r="CX422">
        <f>ROUND(Y422*Source!I156,9)</f>
        <v>9.7199999999999995E-3</v>
      </c>
      <c r="CY422">
        <f>AB422</f>
        <v>87.01</v>
      </c>
      <c r="CZ422">
        <f>AF422</f>
        <v>83.1</v>
      </c>
      <c r="DA422">
        <f>AJ422</f>
        <v>1</v>
      </c>
      <c r="DB422">
        <f>ROUND(((ROUND(AT422*CZ422,2)*1.2)*1.25),6)</f>
        <v>1.2450000000000001</v>
      </c>
      <c r="DC422">
        <f>ROUND(((ROUND(AT422*AG422,2)*1.2)*1.25),6)</f>
        <v>0.19500000000000001</v>
      </c>
      <c r="DD422" t="s">
        <v>3</v>
      </c>
      <c r="DE422" t="s">
        <v>3</v>
      </c>
      <c r="DF422">
        <f t="shared" si="185"/>
        <v>0</v>
      </c>
      <c r="DG422">
        <f t="shared" si="184"/>
        <v>0.81</v>
      </c>
      <c r="DH422">
        <f t="shared" si="183"/>
        <v>0.12</v>
      </c>
      <c r="DI422">
        <f t="shared" si="175"/>
        <v>0</v>
      </c>
      <c r="DJ422">
        <f>DG422</f>
        <v>0.81</v>
      </c>
      <c r="DK422">
        <v>0</v>
      </c>
      <c r="DL422" t="s">
        <v>486</v>
      </c>
      <c r="DM422">
        <v>0</v>
      </c>
      <c r="DN422" t="s">
        <v>475</v>
      </c>
      <c r="DO422">
        <v>12.62</v>
      </c>
    </row>
    <row r="423" spans="1:119" x14ac:dyDescent="0.2">
      <c r="A423">
        <f>ROW(Source!A156)</f>
        <v>156</v>
      </c>
      <c r="B423">
        <v>55747649</v>
      </c>
      <c r="C423">
        <v>55748254</v>
      </c>
      <c r="D423">
        <v>54767643</v>
      </c>
      <c r="E423">
        <v>1</v>
      </c>
      <c r="F423">
        <v>1</v>
      </c>
      <c r="G423">
        <v>1081</v>
      </c>
      <c r="H423">
        <v>2</v>
      </c>
      <c r="I423" t="s">
        <v>607</v>
      </c>
      <c r="J423" t="s">
        <v>608</v>
      </c>
      <c r="K423" t="s">
        <v>609</v>
      </c>
      <c r="L423">
        <v>1368</v>
      </c>
      <c r="N423">
        <v>1011</v>
      </c>
      <c r="O423" t="s">
        <v>479</v>
      </c>
      <c r="P423" t="s">
        <v>479</v>
      </c>
      <c r="Q423">
        <v>1</v>
      </c>
      <c r="W423">
        <v>0</v>
      </c>
      <c r="X423">
        <v>-1520980008</v>
      </c>
      <c r="Y423">
        <f>((AT423*1.2)*1.25)</f>
        <v>1.4999999999999999E-2</v>
      </c>
      <c r="AA423">
        <v>0</v>
      </c>
      <c r="AB423">
        <v>120.23</v>
      </c>
      <c r="AC423">
        <v>13.21</v>
      </c>
      <c r="AD423">
        <v>0</v>
      </c>
      <c r="AE423">
        <v>0</v>
      </c>
      <c r="AF423">
        <v>114.83</v>
      </c>
      <c r="AG423">
        <v>12.62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-2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0.01</v>
      </c>
      <c r="AU423" t="s">
        <v>39</v>
      </c>
      <c r="AV423">
        <v>0</v>
      </c>
      <c r="AW423">
        <v>2</v>
      </c>
      <c r="AX423">
        <v>57263936</v>
      </c>
      <c r="AY423">
        <v>1</v>
      </c>
      <c r="AZ423">
        <v>0</v>
      </c>
      <c r="BA423">
        <v>451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f>ROUND(Y423*Source!I156*DO423,9)</f>
        <v>0.12266639999999999</v>
      </c>
      <c r="CX423">
        <f>ROUND(Y423*Source!I156,9)</f>
        <v>9.7199999999999995E-3</v>
      </c>
      <c r="CY423">
        <f>AB423</f>
        <v>120.23</v>
      </c>
      <c r="CZ423">
        <f>AF423</f>
        <v>114.83</v>
      </c>
      <c r="DA423">
        <f>AJ423</f>
        <v>1</v>
      </c>
      <c r="DB423">
        <f>ROUND(((ROUND(AT423*CZ423,2)*1.2)*1.25),6)</f>
        <v>1.7250000000000001</v>
      </c>
      <c r="DC423">
        <f>ROUND(((ROUND(AT423*AG423,2)*1.2)*1.25),6)</f>
        <v>0.19500000000000001</v>
      </c>
      <c r="DD423" t="s">
        <v>3</v>
      </c>
      <c r="DE423" t="s">
        <v>3</v>
      </c>
      <c r="DF423">
        <f t="shared" si="185"/>
        <v>0</v>
      </c>
      <c r="DG423">
        <f t="shared" si="184"/>
        <v>1.1200000000000001</v>
      </c>
      <c r="DH423">
        <f t="shared" si="183"/>
        <v>0.12</v>
      </c>
      <c r="DI423">
        <f t="shared" si="175"/>
        <v>0</v>
      </c>
      <c r="DJ423">
        <f>DG423</f>
        <v>1.1200000000000001</v>
      </c>
      <c r="DK423">
        <v>0</v>
      </c>
      <c r="DL423" t="s">
        <v>486</v>
      </c>
      <c r="DM423">
        <v>0</v>
      </c>
      <c r="DN423" t="s">
        <v>475</v>
      </c>
      <c r="DO423">
        <v>12.62</v>
      </c>
    </row>
    <row r="424" spans="1:119" x14ac:dyDescent="0.2">
      <c r="A424">
        <f>ROW(Source!A156)</f>
        <v>156</v>
      </c>
      <c r="B424">
        <v>55747649</v>
      </c>
      <c r="C424">
        <v>55748254</v>
      </c>
      <c r="D424">
        <v>54738440</v>
      </c>
      <c r="E424">
        <v>1</v>
      </c>
      <c r="F424">
        <v>1</v>
      </c>
      <c r="G424">
        <v>1081</v>
      </c>
      <c r="H424">
        <v>3</v>
      </c>
      <c r="I424" t="s">
        <v>556</v>
      </c>
      <c r="J424" t="s">
        <v>557</v>
      </c>
      <c r="K424" t="s">
        <v>558</v>
      </c>
      <c r="L424">
        <v>1346</v>
      </c>
      <c r="N424">
        <v>1009</v>
      </c>
      <c r="O424" t="s">
        <v>503</v>
      </c>
      <c r="P424" t="s">
        <v>503</v>
      </c>
      <c r="Q424">
        <v>1</v>
      </c>
      <c r="W424">
        <v>0</v>
      </c>
      <c r="X424">
        <v>-1097873860</v>
      </c>
      <c r="Y424">
        <f>((AT424*1)*1)</f>
        <v>9</v>
      </c>
      <c r="AA424">
        <v>29.89</v>
      </c>
      <c r="AB424">
        <v>0</v>
      </c>
      <c r="AC424">
        <v>0</v>
      </c>
      <c r="AD424">
        <v>0</v>
      </c>
      <c r="AE424">
        <v>29.89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-2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9</v>
      </c>
      <c r="AU424" t="s">
        <v>38</v>
      </c>
      <c r="AV424">
        <v>0</v>
      </c>
      <c r="AW424">
        <v>2</v>
      </c>
      <c r="AX424">
        <v>57263937</v>
      </c>
      <c r="AY424">
        <v>1</v>
      </c>
      <c r="AZ424">
        <v>0</v>
      </c>
      <c r="BA424">
        <v>452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ROUND(Y424*Source!I156,9)</f>
        <v>5.8319999999999999</v>
      </c>
      <c r="CY424">
        <f>AA424</f>
        <v>29.89</v>
      </c>
      <c r="CZ424">
        <f>AE424</f>
        <v>29.89</v>
      </c>
      <c r="DA424">
        <f>AI424</f>
        <v>1</v>
      </c>
      <c r="DB424">
        <f>ROUND(((ROUND(AT424*CZ424,2)*1)*1),6)</f>
        <v>269.01</v>
      </c>
      <c r="DC424">
        <f>ROUND(((ROUND(AT424*AG424,2)*1)*1),6)</f>
        <v>0</v>
      </c>
      <c r="DD424" t="s">
        <v>3</v>
      </c>
      <c r="DE424" t="s">
        <v>3</v>
      </c>
      <c r="DF424">
        <f t="shared" si="185"/>
        <v>174.32</v>
      </c>
      <c r="DG424">
        <f t="shared" si="184"/>
        <v>0</v>
      </c>
      <c r="DH424">
        <f t="shared" si="183"/>
        <v>0</v>
      </c>
      <c r="DI424">
        <f t="shared" si="175"/>
        <v>0</v>
      </c>
      <c r="DJ424">
        <f>DF424</f>
        <v>174.32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ROW(Source!A156)</f>
        <v>156</v>
      </c>
      <c r="B425">
        <v>55747649</v>
      </c>
      <c r="C425">
        <v>55748254</v>
      </c>
      <c r="D425">
        <v>54737965</v>
      </c>
      <c r="E425">
        <v>1</v>
      </c>
      <c r="F425">
        <v>1</v>
      </c>
      <c r="G425">
        <v>1081</v>
      </c>
      <c r="H425">
        <v>3</v>
      </c>
      <c r="I425" t="s">
        <v>577</v>
      </c>
      <c r="J425" t="s">
        <v>578</v>
      </c>
      <c r="K425" t="s">
        <v>579</v>
      </c>
      <c r="L425">
        <v>1348</v>
      </c>
      <c r="N425">
        <v>1009</v>
      </c>
      <c r="O425" t="s">
        <v>282</v>
      </c>
      <c r="P425" t="s">
        <v>282</v>
      </c>
      <c r="Q425">
        <v>1000</v>
      </c>
      <c r="W425">
        <v>0</v>
      </c>
      <c r="X425">
        <v>-1860917919</v>
      </c>
      <c r="Y425">
        <f>((AT425*1)*1)</f>
        <v>1.48E-3</v>
      </c>
      <c r="AA425">
        <v>12521.99</v>
      </c>
      <c r="AB425">
        <v>0</v>
      </c>
      <c r="AC425">
        <v>0</v>
      </c>
      <c r="AD425">
        <v>0</v>
      </c>
      <c r="AE425">
        <v>12521.99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1.48E-3</v>
      </c>
      <c r="AU425" t="s">
        <v>38</v>
      </c>
      <c r="AV425">
        <v>0</v>
      </c>
      <c r="AW425">
        <v>2</v>
      </c>
      <c r="AX425">
        <v>57263938</v>
      </c>
      <c r="AY425">
        <v>1</v>
      </c>
      <c r="AZ425">
        <v>0</v>
      </c>
      <c r="BA425">
        <v>453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ROUND(Y425*Source!I156,9)</f>
        <v>9.5903999999999998E-4</v>
      </c>
      <c r="CY425">
        <f>AA425</f>
        <v>12521.99</v>
      </c>
      <c r="CZ425">
        <f>AE425</f>
        <v>12521.99</v>
      </c>
      <c r="DA425">
        <f>AI425</f>
        <v>1</v>
      </c>
      <c r="DB425">
        <f>ROUND(((ROUND(AT425*CZ425,2)*1)*1),6)</f>
        <v>18.53</v>
      </c>
      <c r="DC425">
        <f>ROUND(((ROUND(AT425*AG425,2)*1)*1),6)</f>
        <v>0</v>
      </c>
      <c r="DD425" t="s">
        <v>3</v>
      </c>
      <c r="DE425" t="s">
        <v>3</v>
      </c>
      <c r="DF425">
        <f t="shared" si="185"/>
        <v>12.01</v>
      </c>
      <c r="DG425">
        <f t="shared" si="184"/>
        <v>0</v>
      </c>
      <c r="DH425">
        <f t="shared" si="183"/>
        <v>0</v>
      </c>
      <c r="DI425">
        <f t="shared" si="175"/>
        <v>0</v>
      </c>
      <c r="DJ425">
        <f>DF425</f>
        <v>12.01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ROW(Source!A157)</f>
        <v>157</v>
      </c>
      <c r="B426">
        <v>55747651</v>
      </c>
      <c r="C426">
        <v>55748254</v>
      </c>
      <c r="D426">
        <v>54702434</v>
      </c>
      <c r="E426">
        <v>1081</v>
      </c>
      <c r="F426">
        <v>1</v>
      </c>
      <c r="G426">
        <v>1081</v>
      </c>
      <c r="H426">
        <v>1</v>
      </c>
      <c r="I426" t="s">
        <v>473</v>
      </c>
      <c r="J426" t="s">
        <v>3</v>
      </c>
      <c r="K426" t="s">
        <v>474</v>
      </c>
      <c r="L426">
        <v>1191</v>
      </c>
      <c r="N426">
        <v>1013</v>
      </c>
      <c r="O426" t="s">
        <v>475</v>
      </c>
      <c r="P426" t="s">
        <v>475</v>
      </c>
      <c r="Q426">
        <v>1</v>
      </c>
      <c r="W426">
        <v>0</v>
      </c>
      <c r="X426">
        <v>476480486</v>
      </c>
      <c r="Y426">
        <f>((AT426*1.2)*1.15)</f>
        <v>2.9393999999999991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5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2.13</v>
      </c>
      <c r="AU426" t="s">
        <v>40</v>
      </c>
      <c r="AV426">
        <v>1</v>
      </c>
      <c r="AW426">
        <v>2</v>
      </c>
      <c r="AX426">
        <v>57263934</v>
      </c>
      <c r="AY426">
        <v>1</v>
      </c>
      <c r="AZ426">
        <v>0</v>
      </c>
      <c r="BA426">
        <v>454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U426">
        <f>ROUND(AT426*Source!I157*AH426*AL426,2)</f>
        <v>0</v>
      </c>
      <c r="CV426">
        <f>ROUND(Y426*Source!I157,9)</f>
        <v>1.9047312000000001</v>
      </c>
      <c r="CW426">
        <v>0</v>
      </c>
      <c r="CX426">
        <f>ROUND(Y426*Source!I157,9)</f>
        <v>1.9047312000000001</v>
      </c>
      <c r="CY426">
        <f>AD426</f>
        <v>0</v>
      </c>
      <c r="CZ426">
        <f>AH426</f>
        <v>0</v>
      </c>
      <c r="DA426">
        <f>AL426</f>
        <v>1</v>
      </c>
      <c r="DB426">
        <f>ROUND(((ROUND(AT426*CZ426,2)*1.2)*1.15),6)</f>
        <v>0</v>
      </c>
      <c r="DC426">
        <f>ROUND(((ROUND(AT426*AG426,2)*1.2)*1.15),6)</f>
        <v>0</v>
      </c>
      <c r="DD426" t="s">
        <v>3</v>
      </c>
      <c r="DE426" t="s">
        <v>3</v>
      </c>
      <c r="DF426">
        <f t="shared" si="185"/>
        <v>0</v>
      </c>
      <c r="DG426">
        <f t="shared" si="184"/>
        <v>0</v>
      </c>
      <c r="DH426">
        <f t="shared" si="183"/>
        <v>0</v>
      </c>
      <c r="DI426">
        <f t="shared" si="175"/>
        <v>0</v>
      </c>
      <c r="DJ426">
        <f>DI426</f>
        <v>0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ROW(Source!A157)</f>
        <v>157</v>
      </c>
      <c r="B427">
        <v>55747651</v>
      </c>
      <c r="C427">
        <v>55748254</v>
      </c>
      <c r="D427">
        <v>54768339</v>
      </c>
      <c r="E427">
        <v>1</v>
      </c>
      <c r="F427">
        <v>1</v>
      </c>
      <c r="G427">
        <v>1081</v>
      </c>
      <c r="H427">
        <v>2</v>
      </c>
      <c r="I427" t="s">
        <v>483</v>
      </c>
      <c r="J427" t="s">
        <v>484</v>
      </c>
      <c r="K427" t="s">
        <v>485</v>
      </c>
      <c r="L427">
        <v>1368</v>
      </c>
      <c r="N427">
        <v>1011</v>
      </c>
      <c r="O427" t="s">
        <v>479</v>
      </c>
      <c r="P427" t="s">
        <v>479</v>
      </c>
      <c r="Q427">
        <v>1</v>
      </c>
      <c r="W427">
        <v>0</v>
      </c>
      <c r="X427">
        <v>874612079</v>
      </c>
      <c r="Y427">
        <f>((AT427*1.2)*1.25)</f>
        <v>1.4999999999999999E-2</v>
      </c>
      <c r="AA427">
        <v>0</v>
      </c>
      <c r="AB427">
        <v>1485.19</v>
      </c>
      <c r="AC427">
        <v>744.56</v>
      </c>
      <c r="AD427">
        <v>0</v>
      </c>
      <c r="AE427">
        <v>0</v>
      </c>
      <c r="AF427">
        <v>83.1</v>
      </c>
      <c r="AG427">
        <v>12.62</v>
      </c>
      <c r="AH427">
        <v>0</v>
      </c>
      <c r="AI427">
        <v>1</v>
      </c>
      <c r="AJ427">
        <v>17.07</v>
      </c>
      <c r="AK427">
        <v>56.35</v>
      </c>
      <c r="AL427">
        <v>1</v>
      </c>
      <c r="AM427">
        <v>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0.01</v>
      </c>
      <c r="AU427" t="s">
        <v>39</v>
      </c>
      <c r="AV427">
        <v>0</v>
      </c>
      <c r="AW427">
        <v>2</v>
      </c>
      <c r="AX427">
        <v>57263935</v>
      </c>
      <c r="AY427">
        <v>1</v>
      </c>
      <c r="AZ427">
        <v>0</v>
      </c>
      <c r="BA427">
        <v>455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f>ROUND(Y427*Source!I157*DO427,9)</f>
        <v>0.12266639999999999</v>
      </c>
      <c r="CX427">
        <f>ROUND(Y427*Source!I157,9)</f>
        <v>9.7199999999999995E-3</v>
      </c>
      <c r="CY427">
        <f>AB427</f>
        <v>1485.19</v>
      </c>
      <c r="CZ427">
        <f>AF427</f>
        <v>83.1</v>
      </c>
      <c r="DA427">
        <f>AJ427</f>
        <v>17.07</v>
      </c>
      <c r="DB427">
        <f>ROUND(((ROUND(AT427*CZ427,2)*1.2)*1.25),6)</f>
        <v>1.2450000000000001</v>
      </c>
      <c r="DC427">
        <f>ROUND(((ROUND(AT427*AG427,2)*1.2)*1.25),6)</f>
        <v>0.19500000000000001</v>
      </c>
      <c r="DD427" t="s">
        <v>3</v>
      </c>
      <c r="DE427" t="s">
        <v>3</v>
      </c>
      <c r="DF427">
        <f t="shared" si="185"/>
        <v>0</v>
      </c>
      <c r="DG427">
        <f>ROUND(ROUND(AF427*AJ427,2)*CX427,2)</f>
        <v>13.79</v>
      </c>
      <c r="DH427">
        <f>ROUND(ROUND(AG427*AK427,2)*CX427,2)</f>
        <v>6.91</v>
      </c>
      <c r="DI427">
        <f t="shared" si="175"/>
        <v>0</v>
      </c>
      <c r="DJ427">
        <f>DG427</f>
        <v>13.79</v>
      </c>
      <c r="DK427">
        <v>0</v>
      </c>
      <c r="DL427" t="s">
        <v>486</v>
      </c>
      <c r="DM427">
        <v>0</v>
      </c>
      <c r="DN427" t="s">
        <v>475</v>
      </c>
      <c r="DO427">
        <v>12.62</v>
      </c>
    </row>
    <row r="428" spans="1:119" x14ac:dyDescent="0.2">
      <c r="A428">
        <f>ROW(Source!A157)</f>
        <v>157</v>
      </c>
      <c r="B428">
        <v>55747651</v>
      </c>
      <c r="C428">
        <v>55748254</v>
      </c>
      <c r="D428">
        <v>54767643</v>
      </c>
      <c r="E428">
        <v>1</v>
      </c>
      <c r="F428">
        <v>1</v>
      </c>
      <c r="G428">
        <v>1081</v>
      </c>
      <c r="H428">
        <v>2</v>
      </c>
      <c r="I428" t="s">
        <v>607</v>
      </c>
      <c r="J428" t="s">
        <v>608</v>
      </c>
      <c r="K428" t="s">
        <v>609</v>
      </c>
      <c r="L428">
        <v>1368</v>
      </c>
      <c r="N428">
        <v>1011</v>
      </c>
      <c r="O428" t="s">
        <v>479</v>
      </c>
      <c r="P428" t="s">
        <v>479</v>
      </c>
      <c r="Q428">
        <v>1</v>
      </c>
      <c r="W428">
        <v>0</v>
      </c>
      <c r="X428">
        <v>-1520980008</v>
      </c>
      <c r="Y428">
        <f>((AT428*1.2)*1.25)</f>
        <v>1.4999999999999999E-2</v>
      </c>
      <c r="AA428">
        <v>0</v>
      </c>
      <c r="AB428">
        <v>1942.87</v>
      </c>
      <c r="AC428">
        <v>744.56</v>
      </c>
      <c r="AD428">
        <v>0</v>
      </c>
      <c r="AE428">
        <v>0</v>
      </c>
      <c r="AF428">
        <v>114.83</v>
      </c>
      <c r="AG428">
        <v>12.62</v>
      </c>
      <c r="AH428">
        <v>0</v>
      </c>
      <c r="AI428">
        <v>1</v>
      </c>
      <c r="AJ428">
        <v>16.16</v>
      </c>
      <c r="AK428">
        <v>56.35</v>
      </c>
      <c r="AL428">
        <v>1</v>
      </c>
      <c r="AM428">
        <v>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0.01</v>
      </c>
      <c r="AU428" t="s">
        <v>39</v>
      </c>
      <c r="AV428">
        <v>0</v>
      </c>
      <c r="AW428">
        <v>2</v>
      </c>
      <c r="AX428">
        <v>57263936</v>
      </c>
      <c r="AY428">
        <v>1</v>
      </c>
      <c r="AZ428">
        <v>0</v>
      </c>
      <c r="BA428">
        <v>456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ROUND(Y428*Source!I157*DO428,9)</f>
        <v>0.12266639999999999</v>
      </c>
      <c r="CX428">
        <f>ROUND(Y428*Source!I157,9)</f>
        <v>9.7199999999999995E-3</v>
      </c>
      <c r="CY428">
        <f>AB428</f>
        <v>1942.87</v>
      </c>
      <c r="CZ428">
        <f>AF428</f>
        <v>114.83</v>
      </c>
      <c r="DA428">
        <f>AJ428</f>
        <v>16.16</v>
      </c>
      <c r="DB428">
        <f>ROUND(((ROUND(AT428*CZ428,2)*1.2)*1.25),6)</f>
        <v>1.7250000000000001</v>
      </c>
      <c r="DC428">
        <f>ROUND(((ROUND(AT428*AG428,2)*1.2)*1.25),6)</f>
        <v>0.19500000000000001</v>
      </c>
      <c r="DD428" t="s">
        <v>3</v>
      </c>
      <c r="DE428" t="s">
        <v>3</v>
      </c>
      <c r="DF428">
        <f t="shared" si="185"/>
        <v>0</v>
      </c>
      <c r="DG428">
        <f>ROUND(ROUND(AF428*AJ428,2)*CX428,2)</f>
        <v>18.04</v>
      </c>
      <c r="DH428">
        <f>ROUND(ROUND(AG428*AK428,2)*CX428,2)</f>
        <v>6.91</v>
      </c>
      <c r="DI428">
        <f t="shared" si="175"/>
        <v>0</v>
      </c>
      <c r="DJ428">
        <f>DG428</f>
        <v>18.04</v>
      </c>
      <c r="DK428">
        <v>0</v>
      </c>
      <c r="DL428" t="s">
        <v>486</v>
      </c>
      <c r="DM428">
        <v>0</v>
      </c>
      <c r="DN428" t="s">
        <v>475</v>
      </c>
      <c r="DO428">
        <v>12.62</v>
      </c>
    </row>
    <row r="429" spans="1:119" x14ac:dyDescent="0.2">
      <c r="A429">
        <f>ROW(Source!A157)</f>
        <v>157</v>
      </c>
      <c r="B429">
        <v>55747651</v>
      </c>
      <c r="C429">
        <v>55748254</v>
      </c>
      <c r="D429">
        <v>54738440</v>
      </c>
      <c r="E429">
        <v>1</v>
      </c>
      <c r="F429">
        <v>1</v>
      </c>
      <c r="G429">
        <v>1081</v>
      </c>
      <c r="H429">
        <v>3</v>
      </c>
      <c r="I429" t="s">
        <v>556</v>
      </c>
      <c r="J429" t="s">
        <v>557</v>
      </c>
      <c r="K429" t="s">
        <v>558</v>
      </c>
      <c r="L429">
        <v>1346</v>
      </c>
      <c r="N429">
        <v>1009</v>
      </c>
      <c r="O429" t="s">
        <v>503</v>
      </c>
      <c r="P429" t="s">
        <v>503</v>
      </c>
      <c r="Q429">
        <v>1</v>
      </c>
      <c r="W429">
        <v>0</v>
      </c>
      <c r="X429">
        <v>-1097873860</v>
      </c>
      <c r="Y429">
        <f>((AT429*1)*1)</f>
        <v>9</v>
      </c>
      <c r="AA429">
        <v>101.03</v>
      </c>
      <c r="AB429">
        <v>0</v>
      </c>
      <c r="AC429">
        <v>0</v>
      </c>
      <c r="AD429">
        <v>0</v>
      </c>
      <c r="AE429">
        <v>29.89</v>
      </c>
      <c r="AF429">
        <v>0</v>
      </c>
      <c r="AG429">
        <v>0</v>
      </c>
      <c r="AH429">
        <v>0</v>
      </c>
      <c r="AI429">
        <v>3.38</v>
      </c>
      <c r="AJ429">
        <v>1</v>
      </c>
      <c r="AK429">
        <v>1</v>
      </c>
      <c r="AL429">
        <v>1</v>
      </c>
      <c r="AM429">
        <v>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9</v>
      </c>
      <c r="AU429" t="s">
        <v>38</v>
      </c>
      <c r="AV429">
        <v>0</v>
      </c>
      <c r="AW429">
        <v>2</v>
      </c>
      <c r="AX429">
        <v>57263937</v>
      </c>
      <c r="AY429">
        <v>1</v>
      </c>
      <c r="AZ429">
        <v>0</v>
      </c>
      <c r="BA429">
        <v>457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ROUND(Y429*Source!I157,9)</f>
        <v>5.8319999999999999</v>
      </c>
      <c r="CY429">
        <f>AA429</f>
        <v>101.03</v>
      </c>
      <c r="CZ429">
        <f>AE429</f>
        <v>29.89</v>
      </c>
      <c r="DA429">
        <f>AI429</f>
        <v>3.38</v>
      </c>
      <c r="DB429">
        <f>ROUND(((ROUND(AT429*CZ429,2)*1)*1),6)</f>
        <v>269.01</v>
      </c>
      <c r="DC429">
        <f>ROUND(((ROUND(AT429*AG429,2)*1)*1),6)</f>
        <v>0</v>
      </c>
      <c r="DD429" t="s">
        <v>3</v>
      </c>
      <c r="DE429" t="s">
        <v>3</v>
      </c>
      <c r="DF429">
        <f>ROUND(ROUND(AE429*AI429,2)*CX429,2)</f>
        <v>589.21</v>
      </c>
      <c r="DG429">
        <f t="shared" ref="DG429:DG438" si="186">ROUND(ROUND(AF429,2)*CX429,2)</f>
        <v>0</v>
      </c>
      <c r="DH429">
        <f t="shared" ref="DH429:DH439" si="187">ROUND(ROUND(AG429,2)*CX429,2)</f>
        <v>0</v>
      </c>
      <c r="DI429">
        <f t="shared" si="175"/>
        <v>0</v>
      </c>
      <c r="DJ429">
        <f>DF429</f>
        <v>589.21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ROW(Source!A157)</f>
        <v>157</v>
      </c>
      <c r="B430">
        <v>55747651</v>
      </c>
      <c r="C430">
        <v>55748254</v>
      </c>
      <c r="D430">
        <v>54737965</v>
      </c>
      <c r="E430">
        <v>1</v>
      </c>
      <c r="F430">
        <v>1</v>
      </c>
      <c r="G430">
        <v>1081</v>
      </c>
      <c r="H430">
        <v>3</v>
      </c>
      <c r="I430" t="s">
        <v>577</v>
      </c>
      <c r="J430" t="s">
        <v>578</v>
      </c>
      <c r="K430" t="s">
        <v>579</v>
      </c>
      <c r="L430">
        <v>1348</v>
      </c>
      <c r="N430">
        <v>1009</v>
      </c>
      <c r="O430" t="s">
        <v>282</v>
      </c>
      <c r="P430" t="s">
        <v>282</v>
      </c>
      <c r="Q430">
        <v>1000</v>
      </c>
      <c r="W430">
        <v>0</v>
      </c>
      <c r="X430">
        <v>-1860917919</v>
      </c>
      <c r="Y430">
        <f>((AT430*1)*1)</f>
        <v>1.48E-3</v>
      </c>
      <c r="AA430">
        <v>56975.05</v>
      </c>
      <c r="AB430">
        <v>0</v>
      </c>
      <c r="AC430">
        <v>0</v>
      </c>
      <c r="AD430">
        <v>0</v>
      </c>
      <c r="AE430">
        <v>12521.99</v>
      </c>
      <c r="AF430">
        <v>0</v>
      </c>
      <c r="AG430">
        <v>0</v>
      </c>
      <c r="AH430">
        <v>0</v>
      </c>
      <c r="AI430">
        <v>4.55</v>
      </c>
      <c r="AJ430">
        <v>1</v>
      </c>
      <c r="AK430">
        <v>1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1.48E-3</v>
      </c>
      <c r="AU430" t="s">
        <v>38</v>
      </c>
      <c r="AV430">
        <v>0</v>
      </c>
      <c r="AW430">
        <v>2</v>
      </c>
      <c r="AX430">
        <v>57263938</v>
      </c>
      <c r="AY430">
        <v>1</v>
      </c>
      <c r="AZ430">
        <v>0</v>
      </c>
      <c r="BA430">
        <v>458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ROUND(Y430*Source!I157,9)</f>
        <v>9.5903999999999998E-4</v>
      </c>
      <c r="CY430">
        <f>AA430</f>
        <v>56975.05</v>
      </c>
      <c r="CZ430">
        <f>AE430</f>
        <v>12521.99</v>
      </c>
      <c r="DA430">
        <f>AI430</f>
        <v>4.55</v>
      </c>
      <c r="DB430">
        <f>ROUND(((ROUND(AT430*CZ430,2)*1)*1),6)</f>
        <v>18.53</v>
      </c>
      <c r="DC430">
        <f>ROUND(((ROUND(AT430*AG430,2)*1)*1),6)</f>
        <v>0</v>
      </c>
      <c r="DD430" t="s">
        <v>3</v>
      </c>
      <c r="DE430" t="s">
        <v>3</v>
      </c>
      <c r="DF430">
        <f>ROUND(ROUND(AE430*AI430,2)*CX430,2)</f>
        <v>54.64</v>
      </c>
      <c r="DG430">
        <f t="shared" si="186"/>
        <v>0</v>
      </c>
      <c r="DH430">
        <f t="shared" si="187"/>
        <v>0</v>
      </c>
      <c r="DI430">
        <f t="shared" si="175"/>
        <v>0</v>
      </c>
      <c r="DJ430">
        <f>DF430</f>
        <v>54.64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ROW(Source!A158)</f>
        <v>158</v>
      </c>
      <c r="B431">
        <v>55747649</v>
      </c>
      <c r="C431">
        <v>55748265</v>
      </c>
      <c r="D431">
        <v>54702434</v>
      </c>
      <c r="E431">
        <v>1081</v>
      </c>
      <c r="F431">
        <v>1</v>
      </c>
      <c r="G431">
        <v>1081</v>
      </c>
      <c r="H431">
        <v>1</v>
      </c>
      <c r="I431" t="s">
        <v>473</v>
      </c>
      <c r="J431" t="s">
        <v>3</v>
      </c>
      <c r="K431" t="s">
        <v>474</v>
      </c>
      <c r="L431">
        <v>1191</v>
      </c>
      <c r="N431">
        <v>1013</v>
      </c>
      <c r="O431" t="s">
        <v>475</v>
      </c>
      <c r="P431" t="s">
        <v>475</v>
      </c>
      <c r="Q431">
        <v>1</v>
      </c>
      <c r="W431">
        <v>0</v>
      </c>
      <c r="X431">
        <v>476480486</v>
      </c>
      <c r="Y431">
        <f>(AT431*1.2)</f>
        <v>10.199999999999999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8.5</v>
      </c>
      <c r="AU431" t="s">
        <v>49</v>
      </c>
      <c r="AV431">
        <v>1</v>
      </c>
      <c r="AW431">
        <v>2</v>
      </c>
      <c r="AX431">
        <v>55748274</v>
      </c>
      <c r="AY431">
        <v>1</v>
      </c>
      <c r="AZ431">
        <v>0</v>
      </c>
      <c r="BA431">
        <v>459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U431">
        <f>ROUND(AT431*Source!I158*AH431*AL431,2)</f>
        <v>0</v>
      </c>
      <c r="CV431">
        <f>ROUND(Y431*Source!I158,9)</f>
        <v>10.199999999999999</v>
      </c>
      <c r="CW431">
        <v>0</v>
      </c>
      <c r="CX431">
        <f>ROUND(Y431*Source!I158,9)</f>
        <v>10.199999999999999</v>
      </c>
      <c r="CY431">
        <f>AD431</f>
        <v>0</v>
      </c>
      <c r="CZ431">
        <f>AH431</f>
        <v>0</v>
      </c>
      <c r="DA431">
        <f>AL431</f>
        <v>1</v>
      </c>
      <c r="DB431">
        <f>ROUND((ROUND(AT431*CZ431,2)*1.2),6)</f>
        <v>0</v>
      </c>
      <c r="DC431">
        <f>ROUND((ROUND(AT431*AG431,2)*1.2),6)</f>
        <v>0</v>
      </c>
      <c r="DD431" t="s">
        <v>3</v>
      </c>
      <c r="DE431" t="s">
        <v>3</v>
      </c>
      <c r="DF431">
        <f t="shared" ref="DF431:DF440" si="188">ROUND(ROUND(AE431,2)*CX431,2)</f>
        <v>0</v>
      </c>
      <c r="DG431">
        <f t="shared" si="186"/>
        <v>0</v>
      </c>
      <c r="DH431">
        <f t="shared" si="187"/>
        <v>0</v>
      </c>
      <c r="DI431">
        <f t="shared" si="175"/>
        <v>0</v>
      </c>
      <c r="DJ431">
        <f>DI431</f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ROW(Source!A158)</f>
        <v>158</v>
      </c>
      <c r="B432">
        <v>55747649</v>
      </c>
      <c r="C432">
        <v>55748265</v>
      </c>
      <c r="D432">
        <v>54768040</v>
      </c>
      <c r="E432">
        <v>1</v>
      </c>
      <c r="F432">
        <v>1</v>
      </c>
      <c r="G432">
        <v>1081</v>
      </c>
      <c r="H432">
        <v>2</v>
      </c>
      <c r="I432" t="s">
        <v>476</v>
      </c>
      <c r="J432" t="s">
        <v>477</v>
      </c>
      <c r="K432" t="s">
        <v>478</v>
      </c>
      <c r="L432">
        <v>1368</v>
      </c>
      <c r="N432">
        <v>1011</v>
      </c>
      <c r="O432" t="s">
        <v>479</v>
      </c>
      <c r="P432" t="s">
        <v>479</v>
      </c>
      <c r="Q432">
        <v>1</v>
      </c>
      <c r="W432">
        <v>0</v>
      </c>
      <c r="X432">
        <v>1498588441</v>
      </c>
      <c r="Y432">
        <f>(AT432*1.2)</f>
        <v>1.56</v>
      </c>
      <c r="AA432">
        <v>0</v>
      </c>
      <c r="AB432">
        <v>7.59</v>
      </c>
      <c r="AC432">
        <v>0</v>
      </c>
      <c r="AD432">
        <v>0</v>
      </c>
      <c r="AE432">
        <v>0</v>
      </c>
      <c r="AF432">
        <v>7.11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1.3</v>
      </c>
      <c r="AU432" t="s">
        <v>49</v>
      </c>
      <c r="AV432">
        <v>0</v>
      </c>
      <c r="AW432">
        <v>2</v>
      </c>
      <c r="AX432">
        <v>55748275</v>
      </c>
      <c r="AY432">
        <v>1</v>
      </c>
      <c r="AZ432">
        <v>0</v>
      </c>
      <c r="BA432">
        <v>460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f>ROUND(Y432*Source!I158*DO432,9)</f>
        <v>0</v>
      </c>
      <c r="CX432">
        <f>ROUND(Y432*Source!I158,9)</f>
        <v>1.56</v>
      </c>
      <c r="CY432">
        <f>AB432</f>
        <v>7.59</v>
      </c>
      <c r="CZ432">
        <f>AF432</f>
        <v>7.11</v>
      </c>
      <c r="DA432">
        <f>AJ432</f>
        <v>1</v>
      </c>
      <c r="DB432">
        <f>ROUND((ROUND(AT432*CZ432,2)*1.2),6)</f>
        <v>11.087999999999999</v>
      </c>
      <c r="DC432">
        <f>ROUND((ROUND(AT432*AG432,2)*1.2),6)</f>
        <v>0</v>
      </c>
      <c r="DD432" t="s">
        <v>3</v>
      </c>
      <c r="DE432" t="s">
        <v>3</v>
      </c>
      <c r="DF432">
        <f t="shared" si="188"/>
        <v>0</v>
      </c>
      <c r="DG432">
        <f t="shared" si="186"/>
        <v>11.09</v>
      </c>
      <c r="DH432">
        <f t="shared" si="187"/>
        <v>0</v>
      </c>
      <c r="DI432">
        <f t="shared" si="175"/>
        <v>0</v>
      </c>
      <c r="DJ432">
        <f>DG432</f>
        <v>11.09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ROW(Source!A158)</f>
        <v>158</v>
      </c>
      <c r="B433">
        <v>55747649</v>
      </c>
      <c r="C433">
        <v>55748265</v>
      </c>
      <c r="D433">
        <v>54768339</v>
      </c>
      <c r="E433">
        <v>1</v>
      </c>
      <c r="F433">
        <v>1</v>
      </c>
      <c r="G433">
        <v>1081</v>
      </c>
      <c r="H433">
        <v>2</v>
      </c>
      <c r="I433" t="s">
        <v>483</v>
      </c>
      <c r="J433" t="s">
        <v>484</v>
      </c>
      <c r="K433" t="s">
        <v>485</v>
      </c>
      <c r="L433">
        <v>1368</v>
      </c>
      <c r="N433">
        <v>1011</v>
      </c>
      <c r="O433" t="s">
        <v>479</v>
      </c>
      <c r="P433" t="s">
        <v>479</v>
      </c>
      <c r="Q433">
        <v>1</v>
      </c>
      <c r="W433">
        <v>0</v>
      </c>
      <c r="X433">
        <v>874612079</v>
      </c>
      <c r="Y433">
        <f>(AT433*1.2)</f>
        <v>3.5999999999999997E-2</v>
      </c>
      <c r="AA433">
        <v>0</v>
      </c>
      <c r="AB433">
        <v>88.67</v>
      </c>
      <c r="AC433">
        <v>13.47</v>
      </c>
      <c r="AD433">
        <v>0</v>
      </c>
      <c r="AE433">
        <v>0</v>
      </c>
      <c r="AF433">
        <v>83.1</v>
      </c>
      <c r="AG433">
        <v>12.62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0.03</v>
      </c>
      <c r="AU433" t="s">
        <v>49</v>
      </c>
      <c r="AV433">
        <v>0</v>
      </c>
      <c r="AW433">
        <v>2</v>
      </c>
      <c r="AX433">
        <v>55748276</v>
      </c>
      <c r="AY433">
        <v>1</v>
      </c>
      <c r="AZ433">
        <v>0</v>
      </c>
      <c r="BA433">
        <v>461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f>ROUND(Y433*Source!I158*DO433,9)</f>
        <v>0.45432</v>
      </c>
      <c r="CX433">
        <f>ROUND(Y433*Source!I158,9)</f>
        <v>3.5999999999999997E-2</v>
      </c>
      <c r="CY433">
        <f>AB433</f>
        <v>88.67</v>
      </c>
      <c r="CZ433">
        <f>AF433</f>
        <v>83.1</v>
      </c>
      <c r="DA433">
        <f>AJ433</f>
        <v>1</v>
      </c>
      <c r="DB433">
        <f>ROUND((ROUND(AT433*CZ433,2)*1.2),6)</f>
        <v>2.988</v>
      </c>
      <c r="DC433">
        <f>ROUND((ROUND(AT433*AG433,2)*1.2),6)</f>
        <v>0.45600000000000002</v>
      </c>
      <c r="DD433" t="s">
        <v>3</v>
      </c>
      <c r="DE433" t="s">
        <v>3</v>
      </c>
      <c r="DF433">
        <f t="shared" si="188"/>
        <v>0</v>
      </c>
      <c r="DG433">
        <f t="shared" si="186"/>
        <v>2.99</v>
      </c>
      <c r="DH433">
        <f t="shared" si="187"/>
        <v>0.45</v>
      </c>
      <c r="DI433">
        <f t="shared" si="175"/>
        <v>0</v>
      </c>
      <c r="DJ433">
        <f>DG433</f>
        <v>2.99</v>
      </c>
      <c r="DK433">
        <v>0</v>
      </c>
      <c r="DL433" t="s">
        <v>486</v>
      </c>
      <c r="DM433">
        <v>0</v>
      </c>
      <c r="DN433" t="s">
        <v>475</v>
      </c>
      <c r="DO433">
        <v>12.62</v>
      </c>
    </row>
    <row r="434" spans="1:119" x14ac:dyDescent="0.2">
      <c r="A434">
        <f>ROW(Source!A158)</f>
        <v>158</v>
      </c>
      <c r="B434">
        <v>55747649</v>
      </c>
      <c r="C434">
        <v>55748265</v>
      </c>
      <c r="D434">
        <v>54738518</v>
      </c>
      <c r="E434">
        <v>1</v>
      </c>
      <c r="F434">
        <v>1</v>
      </c>
      <c r="G434">
        <v>1081</v>
      </c>
      <c r="H434">
        <v>3</v>
      </c>
      <c r="I434" t="s">
        <v>493</v>
      </c>
      <c r="J434" t="s">
        <v>494</v>
      </c>
      <c r="K434" t="s">
        <v>495</v>
      </c>
      <c r="L434">
        <v>1348</v>
      </c>
      <c r="N434">
        <v>1009</v>
      </c>
      <c r="O434" t="s">
        <v>282</v>
      </c>
      <c r="P434" t="s">
        <v>282</v>
      </c>
      <c r="Q434">
        <v>1000</v>
      </c>
      <c r="W434">
        <v>0</v>
      </c>
      <c r="X434">
        <v>205566664</v>
      </c>
      <c r="Y434">
        <f>(AT434*1)</f>
        <v>4.4000000000000002E-4</v>
      </c>
      <c r="AA434">
        <v>9367.64</v>
      </c>
      <c r="AB434">
        <v>0</v>
      </c>
      <c r="AC434">
        <v>0</v>
      </c>
      <c r="AD434">
        <v>0</v>
      </c>
      <c r="AE434">
        <v>9112.49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4.4000000000000002E-4</v>
      </c>
      <c r="AU434" t="s">
        <v>48</v>
      </c>
      <c r="AV434">
        <v>0</v>
      </c>
      <c r="AW434">
        <v>2</v>
      </c>
      <c r="AX434">
        <v>55748277</v>
      </c>
      <c r="AY434">
        <v>1</v>
      </c>
      <c r="AZ434">
        <v>0</v>
      </c>
      <c r="BA434">
        <v>462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ROUND(Y434*Source!I158,9)</f>
        <v>4.4000000000000002E-4</v>
      </c>
      <c r="CY434">
        <f>AA434</f>
        <v>9367.64</v>
      </c>
      <c r="CZ434">
        <f>AE434</f>
        <v>9112.49</v>
      </c>
      <c r="DA434">
        <f>AI434</f>
        <v>1</v>
      </c>
      <c r="DB434">
        <f>ROUND((ROUND(AT434*CZ434,2)*1),6)</f>
        <v>4.01</v>
      </c>
      <c r="DC434">
        <f>ROUND((ROUND(AT434*AG434,2)*1),6)</f>
        <v>0</v>
      </c>
      <c r="DD434" t="s">
        <v>3</v>
      </c>
      <c r="DE434" t="s">
        <v>3</v>
      </c>
      <c r="DF434">
        <f t="shared" si="188"/>
        <v>4.01</v>
      </c>
      <c r="DG434">
        <f t="shared" si="186"/>
        <v>0</v>
      </c>
      <c r="DH434">
        <f t="shared" si="187"/>
        <v>0</v>
      </c>
      <c r="DI434">
        <f t="shared" si="175"/>
        <v>0</v>
      </c>
      <c r="DJ434">
        <f>DF434</f>
        <v>4.01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ROW(Source!A158)</f>
        <v>158</v>
      </c>
      <c r="B435">
        <v>55747649</v>
      </c>
      <c r="C435">
        <v>55748265</v>
      </c>
      <c r="D435">
        <v>54739191</v>
      </c>
      <c r="E435">
        <v>1</v>
      </c>
      <c r="F435">
        <v>1</v>
      </c>
      <c r="G435">
        <v>1081</v>
      </c>
      <c r="H435">
        <v>3</v>
      </c>
      <c r="I435" t="s">
        <v>500</v>
      </c>
      <c r="J435" t="s">
        <v>501</v>
      </c>
      <c r="K435" t="s">
        <v>502</v>
      </c>
      <c r="L435">
        <v>1346</v>
      </c>
      <c r="N435">
        <v>1009</v>
      </c>
      <c r="O435" t="s">
        <v>503</v>
      </c>
      <c r="P435" t="s">
        <v>503</v>
      </c>
      <c r="Q435">
        <v>1</v>
      </c>
      <c r="W435">
        <v>0</v>
      </c>
      <c r="X435">
        <v>-2132327540</v>
      </c>
      <c r="Y435">
        <f>(AT435*1)</f>
        <v>1.0999999999999999E-2</v>
      </c>
      <c r="AA435">
        <v>6.43</v>
      </c>
      <c r="AB435">
        <v>0</v>
      </c>
      <c r="AC435">
        <v>0</v>
      </c>
      <c r="AD435">
        <v>0</v>
      </c>
      <c r="AE435">
        <v>6.25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1.0999999999999999E-2</v>
      </c>
      <c r="AU435" t="s">
        <v>48</v>
      </c>
      <c r="AV435">
        <v>0</v>
      </c>
      <c r="AW435">
        <v>2</v>
      </c>
      <c r="AX435">
        <v>55748278</v>
      </c>
      <c r="AY435">
        <v>1</v>
      </c>
      <c r="AZ435">
        <v>0</v>
      </c>
      <c r="BA435">
        <v>463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ROUND(Y435*Source!I158,9)</f>
        <v>1.0999999999999999E-2</v>
      </c>
      <c r="CY435">
        <f>AA435</f>
        <v>6.43</v>
      </c>
      <c r="CZ435">
        <f>AE435</f>
        <v>6.25</v>
      </c>
      <c r="DA435">
        <f>AI435</f>
        <v>1</v>
      </c>
      <c r="DB435">
        <f>ROUND((ROUND(AT435*CZ435,2)*1),6)</f>
        <v>7.0000000000000007E-2</v>
      </c>
      <c r="DC435">
        <f>ROUND((ROUND(AT435*AG435,2)*1),6)</f>
        <v>0</v>
      </c>
      <c r="DD435" t="s">
        <v>3</v>
      </c>
      <c r="DE435" t="s">
        <v>3</v>
      </c>
      <c r="DF435">
        <f t="shared" si="188"/>
        <v>7.0000000000000007E-2</v>
      </c>
      <c r="DG435">
        <f t="shared" si="186"/>
        <v>0</v>
      </c>
      <c r="DH435">
        <f t="shared" si="187"/>
        <v>0</v>
      </c>
      <c r="DI435">
        <f t="shared" si="175"/>
        <v>0</v>
      </c>
      <c r="DJ435">
        <f>DF435</f>
        <v>7.0000000000000007E-2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ROW(Source!A158)</f>
        <v>158</v>
      </c>
      <c r="B436">
        <v>55747649</v>
      </c>
      <c r="C436">
        <v>55748265</v>
      </c>
      <c r="D436">
        <v>54737565</v>
      </c>
      <c r="E436">
        <v>1</v>
      </c>
      <c r="F436">
        <v>1</v>
      </c>
      <c r="G436">
        <v>1081</v>
      </c>
      <c r="H436">
        <v>3</v>
      </c>
      <c r="I436" t="s">
        <v>504</v>
      </c>
      <c r="J436" t="s">
        <v>505</v>
      </c>
      <c r="K436" t="s">
        <v>506</v>
      </c>
      <c r="L436">
        <v>1339</v>
      </c>
      <c r="N436">
        <v>1007</v>
      </c>
      <c r="O436" t="s">
        <v>507</v>
      </c>
      <c r="P436" t="s">
        <v>507</v>
      </c>
      <c r="Q436">
        <v>1</v>
      </c>
      <c r="W436">
        <v>0</v>
      </c>
      <c r="X436">
        <v>-1235260082</v>
      </c>
      <c r="Y436">
        <f>(AT436*1)</f>
        <v>4.3999999999999997E-2</v>
      </c>
      <c r="AA436">
        <v>5.98</v>
      </c>
      <c r="AB436">
        <v>0</v>
      </c>
      <c r="AC436">
        <v>0</v>
      </c>
      <c r="AD436">
        <v>0</v>
      </c>
      <c r="AE436">
        <v>5.82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4.3999999999999997E-2</v>
      </c>
      <c r="AU436" t="s">
        <v>48</v>
      </c>
      <c r="AV436">
        <v>0</v>
      </c>
      <c r="AW436">
        <v>2</v>
      </c>
      <c r="AX436">
        <v>55748279</v>
      </c>
      <c r="AY436">
        <v>1</v>
      </c>
      <c r="AZ436">
        <v>0</v>
      </c>
      <c r="BA436">
        <v>464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ROUND(Y436*Source!I158,9)</f>
        <v>4.3999999999999997E-2</v>
      </c>
      <c r="CY436">
        <f>AA436</f>
        <v>5.98</v>
      </c>
      <c r="CZ436">
        <f>AE436</f>
        <v>5.82</v>
      </c>
      <c r="DA436">
        <f>AI436</f>
        <v>1</v>
      </c>
      <c r="DB436">
        <f>ROUND((ROUND(AT436*CZ436,2)*1),6)</f>
        <v>0.26</v>
      </c>
      <c r="DC436">
        <f>ROUND((ROUND(AT436*AG436,2)*1),6)</f>
        <v>0</v>
      </c>
      <c r="DD436" t="s">
        <v>3</v>
      </c>
      <c r="DE436" t="s">
        <v>3</v>
      </c>
      <c r="DF436">
        <f t="shared" si="188"/>
        <v>0.26</v>
      </c>
      <c r="DG436">
        <f t="shared" si="186"/>
        <v>0</v>
      </c>
      <c r="DH436">
        <f t="shared" si="187"/>
        <v>0</v>
      </c>
      <c r="DI436">
        <f t="shared" si="175"/>
        <v>0</v>
      </c>
      <c r="DJ436">
        <f>DF436</f>
        <v>0.26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ROW(Source!A158)</f>
        <v>158</v>
      </c>
      <c r="B437">
        <v>55747649</v>
      </c>
      <c r="C437">
        <v>55748265</v>
      </c>
      <c r="D437">
        <v>0</v>
      </c>
      <c r="E437">
        <v>0</v>
      </c>
      <c r="F437">
        <v>1</v>
      </c>
      <c r="G437">
        <v>1081</v>
      </c>
      <c r="H437">
        <v>3</v>
      </c>
      <c r="I437" t="s">
        <v>291</v>
      </c>
      <c r="J437" t="s">
        <v>3</v>
      </c>
      <c r="K437" t="s">
        <v>292</v>
      </c>
      <c r="L437">
        <v>1354</v>
      </c>
      <c r="N437">
        <v>1010</v>
      </c>
      <c r="O437" t="s">
        <v>118</v>
      </c>
      <c r="P437" t="s">
        <v>118</v>
      </c>
      <c r="Q437">
        <v>1</v>
      </c>
      <c r="W437">
        <v>0</v>
      </c>
      <c r="X437">
        <v>988859924</v>
      </c>
      <c r="Y437">
        <f>(AT437*1)</f>
        <v>1</v>
      </c>
      <c r="AA437">
        <v>2638.17</v>
      </c>
      <c r="AB437">
        <v>0</v>
      </c>
      <c r="AC437">
        <v>0</v>
      </c>
      <c r="AD437">
        <v>0</v>
      </c>
      <c r="AE437">
        <v>2638.17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</v>
      </c>
      <c r="AU437" t="s">
        <v>48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ROUND(Y437*Source!I158,9)</f>
        <v>1</v>
      </c>
      <c r="CY437">
        <f>AA437</f>
        <v>2638.17</v>
      </c>
      <c r="CZ437">
        <f>AE437</f>
        <v>2638.17</v>
      </c>
      <c r="DA437">
        <f>AI437</f>
        <v>1</v>
      </c>
      <c r="DB437">
        <f>ROUND((ROUND(AT437*CZ437,2)*1),6)</f>
        <v>2638.17</v>
      </c>
      <c r="DC437">
        <f>ROUND((ROUND(AT437*AG437,2)*1),6)</f>
        <v>0</v>
      </c>
      <c r="DD437" t="s">
        <v>3</v>
      </c>
      <c r="DE437" t="s">
        <v>3</v>
      </c>
      <c r="DF437">
        <f t="shared" si="188"/>
        <v>2638.17</v>
      </c>
      <c r="DG437">
        <f t="shared" si="186"/>
        <v>0</v>
      </c>
      <c r="DH437">
        <f t="shared" si="187"/>
        <v>0</v>
      </c>
      <c r="DI437">
        <f t="shared" si="175"/>
        <v>0</v>
      </c>
      <c r="DJ437">
        <f>DF437</f>
        <v>2638.17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ROW(Source!A159)</f>
        <v>159</v>
      </c>
      <c r="B438">
        <v>55747651</v>
      </c>
      <c r="C438">
        <v>55748265</v>
      </c>
      <c r="D438">
        <v>54702434</v>
      </c>
      <c r="E438">
        <v>1081</v>
      </c>
      <c r="F438">
        <v>1</v>
      </c>
      <c r="G438">
        <v>1081</v>
      </c>
      <c r="H438">
        <v>1</v>
      </c>
      <c r="I438" t="s">
        <v>473</v>
      </c>
      <c r="J438" t="s">
        <v>3</v>
      </c>
      <c r="K438" t="s">
        <v>474</v>
      </c>
      <c r="L438">
        <v>1191</v>
      </c>
      <c r="N438">
        <v>1013</v>
      </c>
      <c r="O438" t="s">
        <v>475</v>
      </c>
      <c r="P438" t="s">
        <v>475</v>
      </c>
      <c r="Q438">
        <v>1</v>
      </c>
      <c r="W438">
        <v>0</v>
      </c>
      <c r="X438">
        <v>476480486</v>
      </c>
      <c r="Y438">
        <f>(AT438*1.2)</f>
        <v>10.199999999999999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5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8.5</v>
      </c>
      <c r="AU438" t="s">
        <v>49</v>
      </c>
      <c r="AV438">
        <v>1</v>
      </c>
      <c r="AW438">
        <v>2</v>
      </c>
      <c r="AX438">
        <v>55748274</v>
      </c>
      <c r="AY438">
        <v>1</v>
      </c>
      <c r="AZ438">
        <v>0</v>
      </c>
      <c r="BA438">
        <v>466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U438">
        <f>ROUND(AT438*Source!I159*AH438*AL438,2)</f>
        <v>0</v>
      </c>
      <c r="CV438">
        <f>ROUND(Y438*Source!I159,9)</f>
        <v>10.199999999999999</v>
      </c>
      <c r="CW438">
        <v>0</v>
      </c>
      <c r="CX438">
        <f>ROUND(Y438*Source!I159,9)</f>
        <v>10.199999999999999</v>
      </c>
      <c r="CY438">
        <f>AD438</f>
        <v>0</v>
      </c>
      <c r="CZ438">
        <f>AH438</f>
        <v>0</v>
      </c>
      <c r="DA438">
        <f>AL438</f>
        <v>1</v>
      </c>
      <c r="DB438">
        <f>ROUND((ROUND(AT438*CZ438,2)*1.2),6)</f>
        <v>0</v>
      </c>
      <c r="DC438">
        <f>ROUND((ROUND(AT438*AG438,2)*1.2),6)</f>
        <v>0</v>
      </c>
      <c r="DD438" t="s">
        <v>3</v>
      </c>
      <c r="DE438" t="s">
        <v>3</v>
      </c>
      <c r="DF438">
        <f t="shared" si="188"/>
        <v>0</v>
      </c>
      <c r="DG438">
        <f t="shared" si="186"/>
        <v>0</v>
      </c>
      <c r="DH438">
        <f t="shared" si="187"/>
        <v>0</v>
      </c>
      <c r="DI438">
        <f t="shared" si="175"/>
        <v>0</v>
      </c>
      <c r="DJ438">
        <f>DI438</f>
        <v>0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ROW(Source!A159)</f>
        <v>159</v>
      </c>
      <c r="B439">
        <v>55747651</v>
      </c>
      <c r="C439">
        <v>55748265</v>
      </c>
      <c r="D439">
        <v>54768040</v>
      </c>
      <c r="E439">
        <v>1</v>
      </c>
      <c r="F439">
        <v>1</v>
      </c>
      <c r="G439">
        <v>1081</v>
      </c>
      <c r="H439">
        <v>2</v>
      </c>
      <c r="I439" t="s">
        <v>476</v>
      </c>
      <c r="J439" t="s">
        <v>477</v>
      </c>
      <c r="K439" t="s">
        <v>478</v>
      </c>
      <c r="L439">
        <v>1368</v>
      </c>
      <c r="N439">
        <v>1011</v>
      </c>
      <c r="O439" t="s">
        <v>479</v>
      </c>
      <c r="P439" t="s">
        <v>479</v>
      </c>
      <c r="Q439">
        <v>1</v>
      </c>
      <c r="W439">
        <v>0</v>
      </c>
      <c r="X439">
        <v>1498588441</v>
      </c>
      <c r="Y439">
        <f>(AT439*1.2)</f>
        <v>1.56</v>
      </c>
      <c r="AA439">
        <v>0</v>
      </c>
      <c r="AB439">
        <v>102.11</v>
      </c>
      <c r="AC439">
        <v>0</v>
      </c>
      <c r="AD439">
        <v>0</v>
      </c>
      <c r="AE439">
        <v>0</v>
      </c>
      <c r="AF439">
        <v>7.11</v>
      </c>
      <c r="AG439">
        <v>0</v>
      </c>
      <c r="AH439">
        <v>0</v>
      </c>
      <c r="AI439">
        <v>1</v>
      </c>
      <c r="AJ439">
        <v>13.46</v>
      </c>
      <c r="AK439">
        <v>1</v>
      </c>
      <c r="AL439">
        <v>1</v>
      </c>
      <c r="AM439">
        <v>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1.3</v>
      </c>
      <c r="AU439" t="s">
        <v>49</v>
      </c>
      <c r="AV439">
        <v>0</v>
      </c>
      <c r="AW439">
        <v>2</v>
      </c>
      <c r="AX439">
        <v>55748275</v>
      </c>
      <c r="AY439">
        <v>1</v>
      </c>
      <c r="AZ439">
        <v>0</v>
      </c>
      <c r="BA439">
        <v>467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f>ROUND(Y439*Source!I159*DO439,9)</f>
        <v>0</v>
      </c>
      <c r="CX439">
        <f>ROUND(Y439*Source!I159,9)</f>
        <v>1.56</v>
      </c>
      <c r="CY439">
        <f>AB439</f>
        <v>102.11</v>
      </c>
      <c r="CZ439">
        <f>AF439</f>
        <v>7.11</v>
      </c>
      <c r="DA439">
        <f>AJ439</f>
        <v>13.46</v>
      </c>
      <c r="DB439">
        <f>ROUND((ROUND(AT439*CZ439,2)*1.2),6)</f>
        <v>11.087999999999999</v>
      </c>
      <c r="DC439">
        <f>ROUND((ROUND(AT439*AG439,2)*1.2),6)</f>
        <v>0</v>
      </c>
      <c r="DD439" t="s">
        <v>3</v>
      </c>
      <c r="DE439" t="s">
        <v>3</v>
      </c>
      <c r="DF439">
        <f t="shared" si="188"/>
        <v>0</v>
      </c>
      <c r="DG439">
        <f>ROUND(ROUND(AF439*AJ439,2)*CX439,2)</f>
        <v>149.29</v>
      </c>
      <c r="DH439">
        <f t="shared" si="187"/>
        <v>0</v>
      </c>
      <c r="DI439">
        <f t="shared" si="175"/>
        <v>0</v>
      </c>
      <c r="DJ439">
        <f>DG439</f>
        <v>149.29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ROW(Source!A159)</f>
        <v>159</v>
      </c>
      <c r="B440">
        <v>55747651</v>
      </c>
      <c r="C440">
        <v>55748265</v>
      </c>
      <c r="D440">
        <v>54768339</v>
      </c>
      <c r="E440">
        <v>1</v>
      </c>
      <c r="F440">
        <v>1</v>
      </c>
      <c r="G440">
        <v>1081</v>
      </c>
      <c r="H440">
        <v>2</v>
      </c>
      <c r="I440" t="s">
        <v>483</v>
      </c>
      <c r="J440" t="s">
        <v>484</v>
      </c>
      <c r="K440" t="s">
        <v>485</v>
      </c>
      <c r="L440">
        <v>1368</v>
      </c>
      <c r="N440">
        <v>1011</v>
      </c>
      <c r="O440" t="s">
        <v>479</v>
      </c>
      <c r="P440" t="s">
        <v>479</v>
      </c>
      <c r="Q440">
        <v>1</v>
      </c>
      <c r="W440">
        <v>0</v>
      </c>
      <c r="X440">
        <v>874612079</v>
      </c>
      <c r="Y440">
        <f>(AT440*1.2)</f>
        <v>3.5999999999999997E-2</v>
      </c>
      <c r="AA440">
        <v>0</v>
      </c>
      <c r="AB440">
        <v>1513.56</v>
      </c>
      <c r="AC440">
        <v>758.78</v>
      </c>
      <c r="AD440">
        <v>0</v>
      </c>
      <c r="AE440">
        <v>0</v>
      </c>
      <c r="AF440">
        <v>83.1</v>
      </c>
      <c r="AG440">
        <v>12.62</v>
      </c>
      <c r="AH440">
        <v>0</v>
      </c>
      <c r="AI440">
        <v>1</v>
      </c>
      <c r="AJ440">
        <v>17.07</v>
      </c>
      <c r="AK440">
        <v>56.35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0.03</v>
      </c>
      <c r="AU440" t="s">
        <v>49</v>
      </c>
      <c r="AV440">
        <v>0</v>
      </c>
      <c r="AW440">
        <v>2</v>
      </c>
      <c r="AX440">
        <v>55748276</v>
      </c>
      <c r="AY440">
        <v>1</v>
      </c>
      <c r="AZ440">
        <v>0</v>
      </c>
      <c r="BA440">
        <v>468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f>ROUND(Y440*Source!I159*DO440,9)</f>
        <v>0.45432</v>
      </c>
      <c r="CX440">
        <f>ROUND(Y440*Source!I159,9)</f>
        <v>3.5999999999999997E-2</v>
      </c>
      <c r="CY440">
        <f>AB440</f>
        <v>1513.56</v>
      </c>
      <c r="CZ440">
        <f>AF440</f>
        <v>83.1</v>
      </c>
      <c r="DA440">
        <f>AJ440</f>
        <v>17.07</v>
      </c>
      <c r="DB440">
        <f>ROUND((ROUND(AT440*CZ440,2)*1.2),6)</f>
        <v>2.988</v>
      </c>
      <c r="DC440">
        <f>ROUND((ROUND(AT440*AG440,2)*1.2),6)</f>
        <v>0.45600000000000002</v>
      </c>
      <c r="DD440" t="s">
        <v>3</v>
      </c>
      <c r="DE440" t="s">
        <v>3</v>
      </c>
      <c r="DF440">
        <f t="shared" si="188"/>
        <v>0</v>
      </c>
      <c r="DG440">
        <f>ROUND(ROUND(AF440*AJ440,2)*CX440,2)</f>
        <v>51.07</v>
      </c>
      <c r="DH440">
        <f>ROUND(ROUND(AG440*AK440,2)*CX440,2)</f>
        <v>25.6</v>
      </c>
      <c r="DI440">
        <f t="shared" si="175"/>
        <v>0</v>
      </c>
      <c r="DJ440">
        <f>DG440</f>
        <v>51.07</v>
      </c>
      <c r="DK440">
        <v>0</v>
      </c>
      <c r="DL440" t="s">
        <v>486</v>
      </c>
      <c r="DM440">
        <v>0</v>
      </c>
      <c r="DN440" t="s">
        <v>475</v>
      </c>
      <c r="DO440">
        <v>12.62</v>
      </c>
    </row>
    <row r="441" spans="1:119" x14ac:dyDescent="0.2">
      <c r="A441">
        <f>ROW(Source!A159)</f>
        <v>159</v>
      </c>
      <c r="B441">
        <v>55747651</v>
      </c>
      <c r="C441">
        <v>55748265</v>
      </c>
      <c r="D441">
        <v>54738518</v>
      </c>
      <c r="E441">
        <v>1</v>
      </c>
      <c r="F441">
        <v>1</v>
      </c>
      <c r="G441">
        <v>1081</v>
      </c>
      <c r="H441">
        <v>3</v>
      </c>
      <c r="I441" t="s">
        <v>493</v>
      </c>
      <c r="J441" t="s">
        <v>494</v>
      </c>
      <c r="K441" t="s">
        <v>495</v>
      </c>
      <c r="L441">
        <v>1348</v>
      </c>
      <c r="N441">
        <v>1009</v>
      </c>
      <c r="O441" t="s">
        <v>282</v>
      </c>
      <c r="P441" t="s">
        <v>282</v>
      </c>
      <c r="Q441">
        <v>1000</v>
      </c>
      <c r="W441">
        <v>0</v>
      </c>
      <c r="X441">
        <v>205566664</v>
      </c>
      <c r="Y441">
        <f>(AT441*1)</f>
        <v>4.4000000000000002E-4</v>
      </c>
      <c r="AA441">
        <v>95081.54</v>
      </c>
      <c r="AB441">
        <v>0</v>
      </c>
      <c r="AC441">
        <v>0</v>
      </c>
      <c r="AD441">
        <v>0</v>
      </c>
      <c r="AE441">
        <v>9112.49</v>
      </c>
      <c r="AF441">
        <v>0</v>
      </c>
      <c r="AG441">
        <v>0</v>
      </c>
      <c r="AH441">
        <v>0</v>
      </c>
      <c r="AI441">
        <v>10.15</v>
      </c>
      <c r="AJ441">
        <v>1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4.4000000000000002E-4</v>
      </c>
      <c r="AU441" t="s">
        <v>48</v>
      </c>
      <c r="AV441">
        <v>0</v>
      </c>
      <c r="AW441">
        <v>2</v>
      </c>
      <c r="AX441">
        <v>55748277</v>
      </c>
      <c r="AY441">
        <v>1</v>
      </c>
      <c r="AZ441">
        <v>0</v>
      </c>
      <c r="BA441">
        <v>469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ROUND(Y441*Source!I159,9)</f>
        <v>4.4000000000000002E-4</v>
      </c>
      <c r="CY441">
        <f>AA441</f>
        <v>95081.54</v>
      </c>
      <c r="CZ441">
        <f>AE441</f>
        <v>9112.49</v>
      </c>
      <c r="DA441">
        <f>AI441</f>
        <v>10.15</v>
      </c>
      <c r="DB441">
        <f>ROUND((ROUND(AT441*CZ441,2)*1),6)</f>
        <v>4.01</v>
      </c>
      <c r="DC441">
        <f>ROUND((ROUND(AT441*AG441,2)*1),6)</f>
        <v>0</v>
      </c>
      <c r="DD441" t="s">
        <v>3</v>
      </c>
      <c r="DE441" t="s">
        <v>3</v>
      </c>
      <c r="DF441">
        <f>ROUND(ROUND(AE441*AI441,2)*CX441,2)</f>
        <v>40.700000000000003</v>
      </c>
      <c r="DG441">
        <f t="shared" ref="DG441:DG451" si="189">ROUND(ROUND(AF441,2)*CX441,2)</f>
        <v>0</v>
      </c>
      <c r="DH441">
        <f t="shared" ref="DH441:DH452" si="190">ROUND(ROUND(AG441,2)*CX441,2)</f>
        <v>0</v>
      </c>
      <c r="DI441">
        <f t="shared" si="175"/>
        <v>0</v>
      </c>
      <c r="DJ441">
        <f>DF441</f>
        <v>40.700000000000003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ROW(Source!A159)</f>
        <v>159</v>
      </c>
      <c r="B442">
        <v>55747651</v>
      </c>
      <c r="C442">
        <v>55748265</v>
      </c>
      <c r="D442">
        <v>54739191</v>
      </c>
      <c r="E442">
        <v>1</v>
      </c>
      <c r="F442">
        <v>1</v>
      </c>
      <c r="G442">
        <v>1081</v>
      </c>
      <c r="H442">
        <v>3</v>
      </c>
      <c r="I442" t="s">
        <v>500</v>
      </c>
      <c r="J442" t="s">
        <v>501</v>
      </c>
      <c r="K442" t="s">
        <v>502</v>
      </c>
      <c r="L442">
        <v>1346</v>
      </c>
      <c r="N442">
        <v>1009</v>
      </c>
      <c r="O442" t="s">
        <v>503</v>
      </c>
      <c r="P442" t="s">
        <v>503</v>
      </c>
      <c r="Q442">
        <v>1</v>
      </c>
      <c r="W442">
        <v>0</v>
      </c>
      <c r="X442">
        <v>-2132327540</v>
      </c>
      <c r="Y442">
        <f>(AT442*1)</f>
        <v>1.0999999999999999E-2</v>
      </c>
      <c r="AA442">
        <v>64.760000000000005</v>
      </c>
      <c r="AB442">
        <v>0</v>
      </c>
      <c r="AC442">
        <v>0</v>
      </c>
      <c r="AD442">
        <v>0</v>
      </c>
      <c r="AE442">
        <v>6.25</v>
      </c>
      <c r="AF442">
        <v>0</v>
      </c>
      <c r="AG442">
        <v>0</v>
      </c>
      <c r="AH442">
        <v>0</v>
      </c>
      <c r="AI442">
        <v>10.08</v>
      </c>
      <c r="AJ442">
        <v>1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1.0999999999999999E-2</v>
      </c>
      <c r="AU442" t="s">
        <v>48</v>
      </c>
      <c r="AV442">
        <v>0</v>
      </c>
      <c r="AW442">
        <v>2</v>
      </c>
      <c r="AX442">
        <v>55748278</v>
      </c>
      <c r="AY442">
        <v>1</v>
      </c>
      <c r="AZ442">
        <v>0</v>
      </c>
      <c r="BA442">
        <v>470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ROUND(Y442*Source!I159,9)</f>
        <v>1.0999999999999999E-2</v>
      </c>
      <c r="CY442">
        <f>AA442</f>
        <v>64.760000000000005</v>
      </c>
      <c r="CZ442">
        <f>AE442</f>
        <v>6.25</v>
      </c>
      <c r="DA442">
        <f>AI442</f>
        <v>10.08</v>
      </c>
      <c r="DB442">
        <f>ROUND((ROUND(AT442*CZ442,2)*1),6)</f>
        <v>7.0000000000000007E-2</v>
      </c>
      <c r="DC442">
        <f>ROUND((ROUND(AT442*AG442,2)*1),6)</f>
        <v>0</v>
      </c>
      <c r="DD442" t="s">
        <v>3</v>
      </c>
      <c r="DE442" t="s">
        <v>3</v>
      </c>
      <c r="DF442">
        <f>ROUND(ROUND(AE442*AI442,2)*CX442,2)</f>
        <v>0.69</v>
      </c>
      <c r="DG442">
        <f t="shared" si="189"/>
        <v>0</v>
      </c>
      <c r="DH442">
        <f t="shared" si="190"/>
        <v>0</v>
      </c>
      <c r="DI442">
        <f t="shared" si="175"/>
        <v>0</v>
      </c>
      <c r="DJ442">
        <f>DF442</f>
        <v>0.69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ROW(Source!A159)</f>
        <v>159</v>
      </c>
      <c r="B443">
        <v>55747651</v>
      </c>
      <c r="C443">
        <v>55748265</v>
      </c>
      <c r="D443">
        <v>54737565</v>
      </c>
      <c r="E443">
        <v>1</v>
      </c>
      <c r="F443">
        <v>1</v>
      </c>
      <c r="G443">
        <v>1081</v>
      </c>
      <c r="H443">
        <v>3</v>
      </c>
      <c r="I443" t="s">
        <v>504</v>
      </c>
      <c r="J443" t="s">
        <v>505</v>
      </c>
      <c r="K443" t="s">
        <v>506</v>
      </c>
      <c r="L443">
        <v>1339</v>
      </c>
      <c r="N443">
        <v>1007</v>
      </c>
      <c r="O443" t="s">
        <v>507</v>
      </c>
      <c r="P443" t="s">
        <v>507</v>
      </c>
      <c r="Q443">
        <v>1</v>
      </c>
      <c r="W443">
        <v>0</v>
      </c>
      <c r="X443">
        <v>-1235260082</v>
      </c>
      <c r="Y443">
        <f>(AT443*1)</f>
        <v>4.3999999999999997E-2</v>
      </c>
      <c r="AA443">
        <v>104.16</v>
      </c>
      <c r="AB443">
        <v>0</v>
      </c>
      <c r="AC443">
        <v>0</v>
      </c>
      <c r="AD443">
        <v>0</v>
      </c>
      <c r="AE443">
        <v>5.82</v>
      </c>
      <c r="AF443">
        <v>0</v>
      </c>
      <c r="AG443">
        <v>0</v>
      </c>
      <c r="AH443">
        <v>0</v>
      </c>
      <c r="AI443">
        <v>17.41</v>
      </c>
      <c r="AJ443">
        <v>1</v>
      </c>
      <c r="AK443">
        <v>1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4.3999999999999997E-2</v>
      </c>
      <c r="AU443" t="s">
        <v>48</v>
      </c>
      <c r="AV443">
        <v>0</v>
      </c>
      <c r="AW443">
        <v>2</v>
      </c>
      <c r="AX443">
        <v>55748279</v>
      </c>
      <c r="AY443">
        <v>1</v>
      </c>
      <c r="AZ443">
        <v>0</v>
      </c>
      <c r="BA443">
        <v>471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ROUND(Y443*Source!I159,9)</f>
        <v>4.3999999999999997E-2</v>
      </c>
      <c r="CY443">
        <f>AA443</f>
        <v>104.16</v>
      </c>
      <c r="CZ443">
        <f>AE443</f>
        <v>5.82</v>
      </c>
      <c r="DA443">
        <f>AI443</f>
        <v>17.41</v>
      </c>
      <c r="DB443">
        <f>ROUND((ROUND(AT443*CZ443,2)*1),6)</f>
        <v>0.26</v>
      </c>
      <c r="DC443">
        <f>ROUND((ROUND(AT443*AG443,2)*1),6)</f>
        <v>0</v>
      </c>
      <c r="DD443" t="s">
        <v>3</v>
      </c>
      <c r="DE443" t="s">
        <v>3</v>
      </c>
      <c r="DF443">
        <f>ROUND(ROUND(AE443*AI443,2)*CX443,2)</f>
        <v>4.46</v>
      </c>
      <c r="DG443">
        <f t="shared" si="189"/>
        <v>0</v>
      </c>
      <c r="DH443">
        <f t="shared" si="190"/>
        <v>0</v>
      </c>
      <c r="DI443">
        <f t="shared" si="175"/>
        <v>0</v>
      </c>
      <c r="DJ443">
        <f>DF443</f>
        <v>4.46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ROW(Source!A159)</f>
        <v>159</v>
      </c>
      <c r="B444">
        <v>55747651</v>
      </c>
      <c r="C444">
        <v>55748265</v>
      </c>
      <c r="D444">
        <v>0</v>
      </c>
      <c r="E444">
        <v>0</v>
      </c>
      <c r="F444">
        <v>1</v>
      </c>
      <c r="G444">
        <v>1081</v>
      </c>
      <c r="H444">
        <v>3</v>
      </c>
      <c r="I444" t="s">
        <v>291</v>
      </c>
      <c r="J444" t="s">
        <v>3</v>
      </c>
      <c r="K444" t="s">
        <v>292</v>
      </c>
      <c r="L444">
        <v>1354</v>
      </c>
      <c r="N444">
        <v>1010</v>
      </c>
      <c r="O444" t="s">
        <v>118</v>
      </c>
      <c r="P444" t="s">
        <v>118</v>
      </c>
      <c r="Q444">
        <v>1</v>
      </c>
      <c r="W444">
        <v>0</v>
      </c>
      <c r="X444">
        <v>988859924</v>
      </c>
      <c r="Y444">
        <f>(AT444*1)</f>
        <v>1</v>
      </c>
      <c r="AA444">
        <v>25959.59</v>
      </c>
      <c r="AB444">
        <v>0</v>
      </c>
      <c r="AC444">
        <v>0</v>
      </c>
      <c r="AD444">
        <v>0</v>
      </c>
      <c r="AE444">
        <v>2638.17</v>
      </c>
      <c r="AF444">
        <v>0</v>
      </c>
      <c r="AG444">
        <v>0</v>
      </c>
      <c r="AH444">
        <v>0</v>
      </c>
      <c r="AI444">
        <v>9.84</v>
      </c>
      <c r="AJ444">
        <v>1</v>
      </c>
      <c r="AK444">
        <v>1</v>
      </c>
      <c r="AL444">
        <v>1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 t="s">
        <v>3</v>
      </c>
      <c r="AT444">
        <v>1</v>
      </c>
      <c r="AU444" t="s">
        <v>48</v>
      </c>
      <c r="AV444">
        <v>0</v>
      </c>
      <c r="AW444">
        <v>1</v>
      </c>
      <c r="AX444">
        <v>-1</v>
      </c>
      <c r="AY444">
        <v>0</v>
      </c>
      <c r="AZ444">
        <v>0</v>
      </c>
      <c r="BA444" t="s">
        <v>3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ROUND(Y444*Source!I159,9)</f>
        <v>1</v>
      </c>
      <c r="CY444">
        <f>AA444</f>
        <v>25959.59</v>
      </c>
      <c r="CZ444">
        <f>AE444</f>
        <v>2638.17</v>
      </c>
      <c r="DA444">
        <f>AI444</f>
        <v>9.84</v>
      </c>
      <c r="DB444">
        <f>ROUND((ROUND(AT444*CZ444,2)*1),6)</f>
        <v>2638.17</v>
      </c>
      <c r="DC444">
        <f>ROUND((ROUND(AT444*AG444,2)*1),6)</f>
        <v>0</v>
      </c>
      <c r="DD444" t="s">
        <v>3</v>
      </c>
      <c r="DE444" t="s">
        <v>3</v>
      </c>
      <c r="DF444">
        <f>ROUND(ROUND(AE444*AI444,2)*CX444,2)</f>
        <v>25959.59</v>
      </c>
      <c r="DG444">
        <f t="shared" si="189"/>
        <v>0</v>
      </c>
      <c r="DH444">
        <f t="shared" si="190"/>
        <v>0</v>
      </c>
      <c r="DI444">
        <f t="shared" si="175"/>
        <v>0</v>
      </c>
      <c r="DJ444">
        <f>DF444</f>
        <v>25959.59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ROW(Source!A162)</f>
        <v>162</v>
      </c>
      <c r="B445">
        <v>55747649</v>
      </c>
      <c r="C445">
        <v>57261071</v>
      </c>
      <c r="D445">
        <v>54702434</v>
      </c>
      <c r="E445">
        <v>1081</v>
      </c>
      <c r="F445">
        <v>1</v>
      </c>
      <c r="G445">
        <v>1081</v>
      </c>
      <c r="H445">
        <v>1</v>
      </c>
      <c r="I445" t="s">
        <v>473</v>
      </c>
      <c r="J445" t="s">
        <v>3</v>
      </c>
      <c r="K445" t="s">
        <v>474</v>
      </c>
      <c r="L445">
        <v>1191</v>
      </c>
      <c r="N445">
        <v>1013</v>
      </c>
      <c r="O445" t="s">
        <v>475</v>
      </c>
      <c r="P445" t="s">
        <v>475</v>
      </c>
      <c r="Q445">
        <v>1</v>
      </c>
      <c r="W445">
        <v>0</v>
      </c>
      <c r="X445">
        <v>476480486</v>
      </c>
      <c r="Y445">
        <f>(AT445*1.2)</f>
        <v>6.48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5.4</v>
      </c>
      <c r="AU445" t="s">
        <v>49</v>
      </c>
      <c r="AV445">
        <v>1</v>
      </c>
      <c r="AW445">
        <v>2</v>
      </c>
      <c r="AX445">
        <v>57261072</v>
      </c>
      <c r="AY445">
        <v>1</v>
      </c>
      <c r="AZ445">
        <v>0</v>
      </c>
      <c r="BA445">
        <v>473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U445">
        <f>ROUND(AT445*Source!I162*AH445*AL445,2)</f>
        <v>0</v>
      </c>
      <c r="CV445">
        <f>ROUND(Y445*Source!I162,9)</f>
        <v>6.48</v>
      </c>
      <c r="CW445">
        <v>0</v>
      </c>
      <c r="CX445">
        <f>ROUND(Y445*Source!I162,9)</f>
        <v>6.48</v>
      </c>
      <c r="CY445">
        <f>AD445</f>
        <v>0</v>
      </c>
      <c r="CZ445">
        <f>AH445</f>
        <v>0</v>
      </c>
      <c r="DA445">
        <f>AL445</f>
        <v>1</v>
      </c>
      <c r="DB445">
        <f>ROUND((ROUND(AT445*CZ445,2)*1.2),6)</f>
        <v>0</v>
      </c>
      <c r="DC445">
        <f>ROUND((ROUND(AT445*AG445,2)*1.2),6)</f>
        <v>0</v>
      </c>
      <c r="DD445" t="s">
        <v>3</v>
      </c>
      <c r="DE445" t="s">
        <v>3</v>
      </c>
      <c r="DF445">
        <f t="shared" ref="DF445:DF453" si="191">ROUND(ROUND(AE445,2)*CX445,2)</f>
        <v>0</v>
      </c>
      <c r="DG445">
        <f t="shared" si="189"/>
        <v>0</v>
      </c>
      <c r="DH445">
        <f t="shared" si="190"/>
        <v>0</v>
      </c>
      <c r="DI445">
        <f t="shared" si="175"/>
        <v>0</v>
      </c>
      <c r="DJ445">
        <f>DI445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ROW(Source!A162)</f>
        <v>162</v>
      </c>
      <c r="B446">
        <v>55747649</v>
      </c>
      <c r="C446">
        <v>57261071</v>
      </c>
      <c r="D446">
        <v>54768040</v>
      </c>
      <c r="E446">
        <v>1</v>
      </c>
      <c r="F446">
        <v>1</v>
      </c>
      <c r="G446">
        <v>1081</v>
      </c>
      <c r="H446">
        <v>2</v>
      </c>
      <c r="I446" t="s">
        <v>476</v>
      </c>
      <c r="J446" t="s">
        <v>477</v>
      </c>
      <c r="K446" t="s">
        <v>478</v>
      </c>
      <c r="L446">
        <v>1368</v>
      </c>
      <c r="N446">
        <v>1011</v>
      </c>
      <c r="O446" t="s">
        <v>479</v>
      </c>
      <c r="P446" t="s">
        <v>479</v>
      </c>
      <c r="Q446">
        <v>1</v>
      </c>
      <c r="W446">
        <v>0</v>
      </c>
      <c r="X446">
        <v>1498588441</v>
      </c>
      <c r="Y446">
        <f>(AT446*1.2)</f>
        <v>1.08</v>
      </c>
      <c r="AA446">
        <v>0</v>
      </c>
      <c r="AB446">
        <v>7.59</v>
      </c>
      <c r="AC446">
        <v>0</v>
      </c>
      <c r="AD446">
        <v>0</v>
      </c>
      <c r="AE446">
        <v>0</v>
      </c>
      <c r="AF446">
        <v>7.11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0.9</v>
      </c>
      <c r="AU446" t="s">
        <v>49</v>
      </c>
      <c r="AV446">
        <v>0</v>
      </c>
      <c r="AW446">
        <v>2</v>
      </c>
      <c r="AX446">
        <v>57261073</v>
      </c>
      <c r="AY446">
        <v>1</v>
      </c>
      <c r="AZ446">
        <v>0</v>
      </c>
      <c r="BA446">
        <v>474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ROUND(Y446*Source!I162*DO446,9)</f>
        <v>0</v>
      </c>
      <c r="CX446">
        <f>ROUND(Y446*Source!I162,9)</f>
        <v>1.08</v>
      </c>
      <c r="CY446">
        <f>AB446</f>
        <v>7.59</v>
      </c>
      <c r="CZ446">
        <f>AF446</f>
        <v>7.11</v>
      </c>
      <c r="DA446">
        <f>AJ446</f>
        <v>1</v>
      </c>
      <c r="DB446">
        <f>ROUND((ROUND(AT446*CZ446,2)*1.2),6)</f>
        <v>7.68</v>
      </c>
      <c r="DC446">
        <f>ROUND((ROUND(AT446*AG446,2)*1.2),6)</f>
        <v>0</v>
      </c>
      <c r="DD446" t="s">
        <v>3</v>
      </c>
      <c r="DE446" t="s">
        <v>3</v>
      </c>
      <c r="DF446">
        <f t="shared" si="191"/>
        <v>0</v>
      </c>
      <c r="DG446">
        <f t="shared" si="189"/>
        <v>7.68</v>
      </c>
      <c r="DH446">
        <f t="shared" si="190"/>
        <v>0</v>
      </c>
      <c r="DI446">
        <f t="shared" si="175"/>
        <v>0</v>
      </c>
      <c r="DJ446">
        <f>DG446</f>
        <v>7.68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ROW(Source!A162)</f>
        <v>162</v>
      </c>
      <c r="B447">
        <v>55747649</v>
      </c>
      <c r="C447">
        <v>57261071</v>
      </c>
      <c r="D447">
        <v>54768339</v>
      </c>
      <c r="E447">
        <v>1</v>
      </c>
      <c r="F447">
        <v>1</v>
      </c>
      <c r="G447">
        <v>1081</v>
      </c>
      <c r="H447">
        <v>2</v>
      </c>
      <c r="I447" t="s">
        <v>483</v>
      </c>
      <c r="J447" t="s">
        <v>484</v>
      </c>
      <c r="K447" t="s">
        <v>485</v>
      </c>
      <c r="L447">
        <v>1368</v>
      </c>
      <c r="N447">
        <v>1011</v>
      </c>
      <c r="O447" t="s">
        <v>479</v>
      </c>
      <c r="P447" t="s">
        <v>479</v>
      </c>
      <c r="Q447">
        <v>1</v>
      </c>
      <c r="W447">
        <v>0</v>
      </c>
      <c r="X447">
        <v>874612079</v>
      </c>
      <c r="Y447">
        <f>(AT447*1.2)</f>
        <v>2.4E-2</v>
      </c>
      <c r="AA447">
        <v>0</v>
      </c>
      <c r="AB447">
        <v>88.67</v>
      </c>
      <c r="AC447">
        <v>13.47</v>
      </c>
      <c r="AD447">
        <v>0</v>
      </c>
      <c r="AE447">
        <v>0</v>
      </c>
      <c r="AF447">
        <v>83.1</v>
      </c>
      <c r="AG447">
        <v>12.62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0.02</v>
      </c>
      <c r="AU447" t="s">
        <v>49</v>
      </c>
      <c r="AV447">
        <v>0</v>
      </c>
      <c r="AW447">
        <v>2</v>
      </c>
      <c r="AX447">
        <v>57261074</v>
      </c>
      <c r="AY447">
        <v>1</v>
      </c>
      <c r="AZ447">
        <v>0</v>
      </c>
      <c r="BA447">
        <v>475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f>ROUND(Y447*Source!I162*DO447,9)</f>
        <v>0.30287999999999998</v>
      </c>
      <c r="CX447">
        <f>ROUND(Y447*Source!I162,9)</f>
        <v>2.4E-2</v>
      </c>
      <c r="CY447">
        <f>AB447</f>
        <v>88.67</v>
      </c>
      <c r="CZ447">
        <f>AF447</f>
        <v>83.1</v>
      </c>
      <c r="DA447">
        <f>AJ447</f>
        <v>1</v>
      </c>
      <c r="DB447">
        <f>ROUND((ROUND(AT447*CZ447,2)*1.2),6)</f>
        <v>1.992</v>
      </c>
      <c r="DC447">
        <f>ROUND((ROUND(AT447*AG447,2)*1.2),6)</f>
        <v>0.3</v>
      </c>
      <c r="DD447" t="s">
        <v>3</v>
      </c>
      <c r="DE447" t="s">
        <v>3</v>
      </c>
      <c r="DF447">
        <f t="shared" si="191"/>
        <v>0</v>
      </c>
      <c r="DG447">
        <f t="shared" si="189"/>
        <v>1.99</v>
      </c>
      <c r="DH447">
        <f t="shared" si="190"/>
        <v>0.3</v>
      </c>
      <c r="DI447">
        <f t="shared" si="175"/>
        <v>0</v>
      </c>
      <c r="DJ447">
        <f>DG447</f>
        <v>1.99</v>
      </c>
      <c r="DK447">
        <v>0</v>
      </c>
      <c r="DL447" t="s">
        <v>486</v>
      </c>
      <c r="DM447">
        <v>0</v>
      </c>
      <c r="DN447" t="s">
        <v>475</v>
      </c>
      <c r="DO447">
        <v>12.62</v>
      </c>
    </row>
    <row r="448" spans="1:119" x14ac:dyDescent="0.2">
      <c r="A448">
        <f>ROW(Source!A162)</f>
        <v>162</v>
      </c>
      <c r="B448">
        <v>55747649</v>
      </c>
      <c r="C448">
        <v>57261071</v>
      </c>
      <c r="D448">
        <v>54738518</v>
      </c>
      <c r="E448">
        <v>1</v>
      </c>
      <c r="F448">
        <v>1</v>
      </c>
      <c r="G448">
        <v>1081</v>
      </c>
      <c r="H448">
        <v>3</v>
      </c>
      <c r="I448" t="s">
        <v>493</v>
      </c>
      <c r="J448" t="s">
        <v>494</v>
      </c>
      <c r="K448" t="s">
        <v>495</v>
      </c>
      <c r="L448">
        <v>1348</v>
      </c>
      <c r="N448">
        <v>1009</v>
      </c>
      <c r="O448" t="s">
        <v>282</v>
      </c>
      <c r="P448" t="s">
        <v>282</v>
      </c>
      <c r="Q448">
        <v>1000</v>
      </c>
      <c r="W448">
        <v>0</v>
      </c>
      <c r="X448">
        <v>205566664</v>
      </c>
      <c r="Y448">
        <f>(AT448*1)</f>
        <v>4.4000000000000002E-4</v>
      </c>
      <c r="AA448">
        <v>9367.64</v>
      </c>
      <c r="AB448">
        <v>0</v>
      </c>
      <c r="AC448">
        <v>0</v>
      </c>
      <c r="AD448">
        <v>0</v>
      </c>
      <c r="AE448">
        <v>9112.49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-2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4.4000000000000002E-4</v>
      </c>
      <c r="AU448" t="s">
        <v>48</v>
      </c>
      <c r="AV448">
        <v>0</v>
      </c>
      <c r="AW448">
        <v>2</v>
      </c>
      <c r="AX448">
        <v>57261075</v>
      </c>
      <c r="AY448">
        <v>1</v>
      </c>
      <c r="AZ448">
        <v>0</v>
      </c>
      <c r="BA448">
        <v>476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ROUND(Y448*Source!I162,9)</f>
        <v>4.4000000000000002E-4</v>
      </c>
      <c r="CY448">
        <f>AA448</f>
        <v>9367.64</v>
      </c>
      <c r="CZ448">
        <f>AE448</f>
        <v>9112.49</v>
      </c>
      <c r="DA448">
        <f>AI448</f>
        <v>1</v>
      </c>
      <c r="DB448">
        <f>ROUND((ROUND(AT448*CZ448,2)*1),6)</f>
        <v>4.01</v>
      </c>
      <c r="DC448">
        <f>ROUND((ROUND(AT448*AG448,2)*1),6)</f>
        <v>0</v>
      </c>
      <c r="DD448" t="s">
        <v>3</v>
      </c>
      <c r="DE448" t="s">
        <v>3</v>
      </c>
      <c r="DF448">
        <f t="shared" si="191"/>
        <v>4.01</v>
      </c>
      <c r="DG448">
        <f t="shared" si="189"/>
        <v>0</v>
      </c>
      <c r="DH448">
        <f t="shared" si="190"/>
        <v>0</v>
      </c>
      <c r="DI448">
        <f t="shared" si="175"/>
        <v>0</v>
      </c>
      <c r="DJ448">
        <f>DF448</f>
        <v>4.01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ROW(Source!A162)</f>
        <v>162</v>
      </c>
      <c r="B449">
        <v>55747649</v>
      </c>
      <c r="C449">
        <v>57261071</v>
      </c>
      <c r="D449">
        <v>54739191</v>
      </c>
      <c r="E449">
        <v>1</v>
      </c>
      <c r="F449">
        <v>1</v>
      </c>
      <c r="G449">
        <v>1081</v>
      </c>
      <c r="H449">
        <v>3</v>
      </c>
      <c r="I449" t="s">
        <v>500</v>
      </c>
      <c r="J449" t="s">
        <v>501</v>
      </c>
      <c r="K449" t="s">
        <v>502</v>
      </c>
      <c r="L449">
        <v>1346</v>
      </c>
      <c r="N449">
        <v>1009</v>
      </c>
      <c r="O449" t="s">
        <v>503</v>
      </c>
      <c r="P449" t="s">
        <v>503</v>
      </c>
      <c r="Q449">
        <v>1</v>
      </c>
      <c r="W449">
        <v>0</v>
      </c>
      <c r="X449">
        <v>-2132327540</v>
      </c>
      <c r="Y449">
        <f>(AT449*1)</f>
        <v>1.0999999999999999E-2</v>
      </c>
      <c r="AA449">
        <v>6.43</v>
      </c>
      <c r="AB449">
        <v>0</v>
      </c>
      <c r="AC449">
        <v>0</v>
      </c>
      <c r="AD449">
        <v>0</v>
      </c>
      <c r="AE449">
        <v>6.25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1.0999999999999999E-2</v>
      </c>
      <c r="AU449" t="s">
        <v>48</v>
      </c>
      <c r="AV449">
        <v>0</v>
      </c>
      <c r="AW449">
        <v>2</v>
      </c>
      <c r="AX449">
        <v>57261076</v>
      </c>
      <c r="AY449">
        <v>1</v>
      </c>
      <c r="AZ449">
        <v>0</v>
      </c>
      <c r="BA449">
        <v>477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ROUND(Y449*Source!I162,9)</f>
        <v>1.0999999999999999E-2</v>
      </c>
      <c r="CY449">
        <f>AA449</f>
        <v>6.43</v>
      </c>
      <c r="CZ449">
        <f>AE449</f>
        <v>6.25</v>
      </c>
      <c r="DA449">
        <f>AI449</f>
        <v>1</v>
      </c>
      <c r="DB449">
        <f>ROUND((ROUND(AT449*CZ449,2)*1),6)</f>
        <v>7.0000000000000007E-2</v>
      </c>
      <c r="DC449">
        <f>ROUND((ROUND(AT449*AG449,2)*1),6)</f>
        <v>0</v>
      </c>
      <c r="DD449" t="s">
        <v>3</v>
      </c>
      <c r="DE449" t="s">
        <v>3</v>
      </c>
      <c r="DF449">
        <f t="shared" si="191"/>
        <v>7.0000000000000007E-2</v>
      </c>
      <c r="DG449">
        <f t="shared" si="189"/>
        <v>0</v>
      </c>
      <c r="DH449">
        <f t="shared" si="190"/>
        <v>0</v>
      </c>
      <c r="DI449">
        <f t="shared" ref="DI449:DI512" si="192">ROUND(ROUND(AH449,2)*CX449,2)</f>
        <v>0</v>
      </c>
      <c r="DJ449">
        <f>DF449</f>
        <v>7.0000000000000007E-2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ROW(Source!A162)</f>
        <v>162</v>
      </c>
      <c r="B450">
        <v>55747649</v>
      </c>
      <c r="C450">
        <v>57261071</v>
      </c>
      <c r="D450">
        <v>54737565</v>
      </c>
      <c r="E450">
        <v>1</v>
      </c>
      <c r="F450">
        <v>1</v>
      </c>
      <c r="G450">
        <v>1081</v>
      </c>
      <c r="H450">
        <v>3</v>
      </c>
      <c r="I450" t="s">
        <v>504</v>
      </c>
      <c r="J450" t="s">
        <v>505</v>
      </c>
      <c r="K450" t="s">
        <v>506</v>
      </c>
      <c r="L450">
        <v>1339</v>
      </c>
      <c r="N450">
        <v>1007</v>
      </c>
      <c r="O450" t="s">
        <v>507</v>
      </c>
      <c r="P450" t="s">
        <v>507</v>
      </c>
      <c r="Q450">
        <v>1</v>
      </c>
      <c r="W450">
        <v>0</v>
      </c>
      <c r="X450">
        <v>-1235260082</v>
      </c>
      <c r="Y450">
        <f>(AT450*1)</f>
        <v>4.3999999999999997E-2</v>
      </c>
      <c r="AA450">
        <v>5.98</v>
      </c>
      <c r="AB450">
        <v>0</v>
      </c>
      <c r="AC450">
        <v>0</v>
      </c>
      <c r="AD450">
        <v>0</v>
      </c>
      <c r="AE450">
        <v>5.82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-2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4.3999999999999997E-2</v>
      </c>
      <c r="AU450" t="s">
        <v>48</v>
      </c>
      <c r="AV450">
        <v>0</v>
      </c>
      <c r="AW450">
        <v>2</v>
      </c>
      <c r="AX450">
        <v>57261077</v>
      </c>
      <c r="AY450">
        <v>1</v>
      </c>
      <c r="AZ450">
        <v>0</v>
      </c>
      <c r="BA450">
        <v>478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ROUND(Y450*Source!I162,9)</f>
        <v>4.3999999999999997E-2</v>
      </c>
      <c r="CY450">
        <f>AA450</f>
        <v>5.98</v>
      </c>
      <c r="CZ450">
        <f>AE450</f>
        <v>5.82</v>
      </c>
      <c r="DA450">
        <f>AI450</f>
        <v>1</v>
      </c>
      <c r="DB450">
        <f>ROUND((ROUND(AT450*CZ450,2)*1),6)</f>
        <v>0.26</v>
      </c>
      <c r="DC450">
        <f>ROUND((ROUND(AT450*AG450,2)*1),6)</f>
        <v>0</v>
      </c>
      <c r="DD450" t="s">
        <v>3</v>
      </c>
      <c r="DE450" t="s">
        <v>3</v>
      </c>
      <c r="DF450">
        <f t="shared" si="191"/>
        <v>0.26</v>
      </c>
      <c r="DG450">
        <f t="shared" si="189"/>
        <v>0</v>
      </c>
      <c r="DH450">
        <f t="shared" si="190"/>
        <v>0</v>
      </c>
      <c r="DI450">
        <f t="shared" si="192"/>
        <v>0</v>
      </c>
      <c r="DJ450">
        <f>DF450</f>
        <v>0.26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ROW(Source!A163)</f>
        <v>163</v>
      </c>
      <c r="B451">
        <v>55747651</v>
      </c>
      <c r="C451">
        <v>57261071</v>
      </c>
      <c r="D451">
        <v>54702434</v>
      </c>
      <c r="E451">
        <v>1081</v>
      </c>
      <c r="F451">
        <v>1</v>
      </c>
      <c r="G451">
        <v>1081</v>
      </c>
      <c r="H451">
        <v>1</v>
      </c>
      <c r="I451" t="s">
        <v>473</v>
      </c>
      <c r="J451" t="s">
        <v>3</v>
      </c>
      <c r="K451" t="s">
        <v>474</v>
      </c>
      <c r="L451">
        <v>1191</v>
      </c>
      <c r="N451">
        <v>1013</v>
      </c>
      <c r="O451" t="s">
        <v>475</v>
      </c>
      <c r="P451" t="s">
        <v>475</v>
      </c>
      <c r="Q451">
        <v>1</v>
      </c>
      <c r="W451">
        <v>0</v>
      </c>
      <c r="X451">
        <v>476480486</v>
      </c>
      <c r="Y451">
        <f>(AT451*1.2)</f>
        <v>6.48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5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5.4</v>
      </c>
      <c r="AU451" t="s">
        <v>49</v>
      </c>
      <c r="AV451">
        <v>1</v>
      </c>
      <c r="AW451">
        <v>2</v>
      </c>
      <c r="AX451">
        <v>57261072</v>
      </c>
      <c r="AY451">
        <v>1</v>
      </c>
      <c r="AZ451">
        <v>0</v>
      </c>
      <c r="BA451">
        <v>480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ROUND(AT451*Source!I163*AH451*AL451,2)</f>
        <v>0</v>
      </c>
      <c r="CV451">
        <f>ROUND(Y451*Source!I163,9)</f>
        <v>6.48</v>
      </c>
      <c r="CW451">
        <v>0</v>
      </c>
      <c r="CX451">
        <f>ROUND(Y451*Source!I163,9)</f>
        <v>6.48</v>
      </c>
      <c r="CY451">
        <f>AD451</f>
        <v>0</v>
      </c>
      <c r="CZ451">
        <f>AH451</f>
        <v>0</v>
      </c>
      <c r="DA451">
        <f>AL451</f>
        <v>1</v>
      </c>
      <c r="DB451">
        <f>ROUND((ROUND(AT451*CZ451,2)*1.2),6)</f>
        <v>0</v>
      </c>
      <c r="DC451">
        <f>ROUND((ROUND(AT451*AG451,2)*1.2),6)</f>
        <v>0</v>
      </c>
      <c r="DD451" t="s">
        <v>3</v>
      </c>
      <c r="DE451" t="s">
        <v>3</v>
      </c>
      <c r="DF451">
        <f t="shared" si="191"/>
        <v>0</v>
      </c>
      <c r="DG451">
        <f t="shared" si="189"/>
        <v>0</v>
      </c>
      <c r="DH451">
        <f t="shared" si="190"/>
        <v>0</v>
      </c>
      <c r="DI451">
        <f t="shared" si="192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ROW(Source!A163)</f>
        <v>163</v>
      </c>
      <c r="B452">
        <v>55747651</v>
      </c>
      <c r="C452">
        <v>57261071</v>
      </c>
      <c r="D452">
        <v>54768040</v>
      </c>
      <c r="E452">
        <v>1</v>
      </c>
      <c r="F452">
        <v>1</v>
      </c>
      <c r="G452">
        <v>1081</v>
      </c>
      <c r="H452">
        <v>2</v>
      </c>
      <c r="I452" t="s">
        <v>476</v>
      </c>
      <c r="J452" t="s">
        <v>477</v>
      </c>
      <c r="K452" t="s">
        <v>478</v>
      </c>
      <c r="L452">
        <v>1368</v>
      </c>
      <c r="N452">
        <v>1011</v>
      </c>
      <c r="O452" t="s">
        <v>479</v>
      </c>
      <c r="P452" t="s">
        <v>479</v>
      </c>
      <c r="Q452">
        <v>1</v>
      </c>
      <c r="W452">
        <v>0</v>
      </c>
      <c r="X452">
        <v>1498588441</v>
      </c>
      <c r="Y452">
        <f>(AT452*1.2)</f>
        <v>1.08</v>
      </c>
      <c r="AA452">
        <v>0</v>
      </c>
      <c r="AB452">
        <v>102.11</v>
      </c>
      <c r="AC452">
        <v>0</v>
      </c>
      <c r="AD452">
        <v>0</v>
      </c>
      <c r="AE452">
        <v>0</v>
      </c>
      <c r="AF452">
        <v>7.11</v>
      </c>
      <c r="AG452">
        <v>0</v>
      </c>
      <c r="AH452">
        <v>0</v>
      </c>
      <c r="AI452">
        <v>1</v>
      </c>
      <c r="AJ452">
        <v>13.46</v>
      </c>
      <c r="AK452">
        <v>1</v>
      </c>
      <c r="AL452">
        <v>1</v>
      </c>
      <c r="AM452">
        <v>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0.9</v>
      </c>
      <c r="AU452" t="s">
        <v>49</v>
      </c>
      <c r="AV452">
        <v>0</v>
      </c>
      <c r="AW452">
        <v>2</v>
      </c>
      <c r="AX452">
        <v>57261073</v>
      </c>
      <c r="AY452">
        <v>1</v>
      </c>
      <c r="AZ452">
        <v>0</v>
      </c>
      <c r="BA452">
        <v>481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ROUND(Y452*Source!I163*DO452,9)</f>
        <v>0</v>
      </c>
      <c r="CX452">
        <f>ROUND(Y452*Source!I163,9)</f>
        <v>1.08</v>
      </c>
      <c r="CY452">
        <f>AB452</f>
        <v>102.11</v>
      </c>
      <c r="CZ452">
        <f>AF452</f>
        <v>7.11</v>
      </c>
      <c r="DA452">
        <f>AJ452</f>
        <v>13.46</v>
      </c>
      <c r="DB452">
        <f>ROUND((ROUND(AT452*CZ452,2)*1.2),6)</f>
        <v>7.68</v>
      </c>
      <c r="DC452">
        <f>ROUND((ROUND(AT452*AG452,2)*1.2),6)</f>
        <v>0</v>
      </c>
      <c r="DD452" t="s">
        <v>3</v>
      </c>
      <c r="DE452" t="s">
        <v>3</v>
      </c>
      <c r="DF452">
        <f t="shared" si="191"/>
        <v>0</v>
      </c>
      <c r="DG452">
        <f>ROUND(ROUND(AF452*AJ452,2)*CX452,2)</f>
        <v>103.36</v>
      </c>
      <c r="DH452">
        <f t="shared" si="190"/>
        <v>0</v>
      </c>
      <c r="DI452">
        <f t="shared" si="192"/>
        <v>0</v>
      </c>
      <c r="DJ452">
        <f>DG452</f>
        <v>103.36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ROW(Source!A163)</f>
        <v>163</v>
      </c>
      <c r="B453">
        <v>55747651</v>
      </c>
      <c r="C453">
        <v>57261071</v>
      </c>
      <c r="D453">
        <v>54768339</v>
      </c>
      <c r="E453">
        <v>1</v>
      </c>
      <c r="F453">
        <v>1</v>
      </c>
      <c r="G453">
        <v>1081</v>
      </c>
      <c r="H453">
        <v>2</v>
      </c>
      <c r="I453" t="s">
        <v>483</v>
      </c>
      <c r="J453" t="s">
        <v>484</v>
      </c>
      <c r="K453" t="s">
        <v>485</v>
      </c>
      <c r="L453">
        <v>1368</v>
      </c>
      <c r="N453">
        <v>1011</v>
      </c>
      <c r="O453" t="s">
        <v>479</v>
      </c>
      <c r="P453" t="s">
        <v>479</v>
      </c>
      <c r="Q453">
        <v>1</v>
      </c>
      <c r="W453">
        <v>0</v>
      </c>
      <c r="X453">
        <v>874612079</v>
      </c>
      <c r="Y453">
        <f>(AT453*1.2)</f>
        <v>2.4E-2</v>
      </c>
      <c r="AA453">
        <v>0</v>
      </c>
      <c r="AB453">
        <v>1513.56</v>
      </c>
      <c r="AC453">
        <v>758.78</v>
      </c>
      <c r="AD453">
        <v>0</v>
      </c>
      <c r="AE453">
        <v>0</v>
      </c>
      <c r="AF453">
        <v>83.1</v>
      </c>
      <c r="AG453">
        <v>12.62</v>
      </c>
      <c r="AH453">
        <v>0</v>
      </c>
      <c r="AI453">
        <v>1</v>
      </c>
      <c r="AJ453">
        <v>17.07</v>
      </c>
      <c r="AK453">
        <v>56.35</v>
      </c>
      <c r="AL453">
        <v>1</v>
      </c>
      <c r="AM453">
        <v>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0.02</v>
      </c>
      <c r="AU453" t="s">
        <v>49</v>
      </c>
      <c r="AV453">
        <v>0</v>
      </c>
      <c r="AW453">
        <v>2</v>
      </c>
      <c r="AX453">
        <v>57261074</v>
      </c>
      <c r="AY453">
        <v>1</v>
      </c>
      <c r="AZ453">
        <v>0</v>
      </c>
      <c r="BA453">
        <v>482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ROUND(Y453*Source!I163*DO453,9)</f>
        <v>0.30287999999999998</v>
      </c>
      <c r="CX453">
        <f>ROUND(Y453*Source!I163,9)</f>
        <v>2.4E-2</v>
      </c>
      <c r="CY453">
        <f>AB453</f>
        <v>1513.56</v>
      </c>
      <c r="CZ453">
        <f>AF453</f>
        <v>83.1</v>
      </c>
      <c r="DA453">
        <f>AJ453</f>
        <v>17.07</v>
      </c>
      <c r="DB453">
        <f>ROUND((ROUND(AT453*CZ453,2)*1.2),6)</f>
        <v>1.992</v>
      </c>
      <c r="DC453">
        <f>ROUND((ROUND(AT453*AG453,2)*1.2),6)</f>
        <v>0.3</v>
      </c>
      <c r="DD453" t="s">
        <v>3</v>
      </c>
      <c r="DE453" t="s">
        <v>3</v>
      </c>
      <c r="DF453">
        <f t="shared" si="191"/>
        <v>0</v>
      </c>
      <c r="DG453">
        <f>ROUND(ROUND(AF453*AJ453,2)*CX453,2)</f>
        <v>34.04</v>
      </c>
      <c r="DH453">
        <f>ROUND(ROUND(AG453*AK453,2)*CX453,2)</f>
        <v>17.07</v>
      </c>
      <c r="DI453">
        <f t="shared" si="192"/>
        <v>0</v>
      </c>
      <c r="DJ453">
        <f>DG453</f>
        <v>34.04</v>
      </c>
      <c r="DK453">
        <v>0</v>
      </c>
      <c r="DL453" t="s">
        <v>486</v>
      </c>
      <c r="DM453">
        <v>0</v>
      </c>
      <c r="DN453" t="s">
        <v>475</v>
      </c>
      <c r="DO453">
        <v>12.62</v>
      </c>
    </row>
    <row r="454" spans="1:119" x14ac:dyDescent="0.2">
      <c r="A454">
        <f>ROW(Source!A163)</f>
        <v>163</v>
      </c>
      <c r="B454">
        <v>55747651</v>
      </c>
      <c r="C454">
        <v>57261071</v>
      </c>
      <c r="D454">
        <v>54738518</v>
      </c>
      <c r="E454">
        <v>1</v>
      </c>
      <c r="F454">
        <v>1</v>
      </c>
      <c r="G454">
        <v>1081</v>
      </c>
      <c r="H454">
        <v>3</v>
      </c>
      <c r="I454" t="s">
        <v>493</v>
      </c>
      <c r="J454" t="s">
        <v>494</v>
      </c>
      <c r="K454" t="s">
        <v>495</v>
      </c>
      <c r="L454">
        <v>1348</v>
      </c>
      <c r="N454">
        <v>1009</v>
      </c>
      <c r="O454" t="s">
        <v>282</v>
      </c>
      <c r="P454" t="s">
        <v>282</v>
      </c>
      <c r="Q454">
        <v>1000</v>
      </c>
      <c r="W454">
        <v>0</v>
      </c>
      <c r="X454">
        <v>205566664</v>
      </c>
      <c r="Y454">
        <f>(AT454*1)</f>
        <v>4.4000000000000002E-4</v>
      </c>
      <c r="AA454">
        <v>95081.54</v>
      </c>
      <c r="AB454">
        <v>0</v>
      </c>
      <c r="AC454">
        <v>0</v>
      </c>
      <c r="AD454">
        <v>0</v>
      </c>
      <c r="AE454">
        <v>9112.49</v>
      </c>
      <c r="AF454">
        <v>0</v>
      </c>
      <c r="AG454">
        <v>0</v>
      </c>
      <c r="AH454">
        <v>0</v>
      </c>
      <c r="AI454">
        <v>10.15</v>
      </c>
      <c r="AJ454">
        <v>1</v>
      </c>
      <c r="AK454">
        <v>1</v>
      </c>
      <c r="AL454">
        <v>1</v>
      </c>
      <c r="AM454">
        <v>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4.4000000000000002E-4</v>
      </c>
      <c r="AU454" t="s">
        <v>48</v>
      </c>
      <c r="AV454">
        <v>0</v>
      </c>
      <c r="AW454">
        <v>2</v>
      </c>
      <c r="AX454">
        <v>57261075</v>
      </c>
      <c r="AY454">
        <v>1</v>
      </c>
      <c r="AZ454">
        <v>0</v>
      </c>
      <c r="BA454">
        <v>483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ROUND(Y454*Source!I163,9)</f>
        <v>4.4000000000000002E-4</v>
      </c>
      <c r="CY454">
        <f>AA454</f>
        <v>95081.54</v>
      </c>
      <c r="CZ454">
        <f>AE454</f>
        <v>9112.49</v>
      </c>
      <c r="DA454">
        <f>AI454</f>
        <v>10.15</v>
      </c>
      <c r="DB454">
        <f>ROUND((ROUND(AT454*CZ454,2)*1),6)</f>
        <v>4.01</v>
      </c>
      <c r="DC454">
        <f>ROUND((ROUND(AT454*AG454,2)*1),6)</f>
        <v>0</v>
      </c>
      <c r="DD454" t="s">
        <v>3</v>
      </c>
      <c r="DE454" t="s">
        <v>3</v>
      </c>
      <c r="DF454">
        <f>ROUND(ROUND(AE454*AI454,2)*CX454,2)</f>
        <v>40.700000000000003</v>
      </c>
      <c r="DG454">
        <f t="shared" ref="DG454:DG468" si="193">ROUND(ROUND(AF454,2)*CX454,2)</f>
        <v>0</v>
      </c>
      <c r="DH454">
        <f t="shared" ref="DH454:DH468" si="194">ROUND(ROUND(AG454,2)*CX454,2)</f>
        <v>0</v>
      </c>
      <c r="DI454">
        <f t="shared" si="192"/>
        <v>0</v>
      </c>
      <c r="DJ454">
        <f>DF454</f>
        <v>40.700000000000003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ROW(Source!A163)</f>
        <v>163</v>
      </c>
      <c r="B455">
        <v>55747651</v>
      </c>
      <c r="C455">
        <v>57261071</v>
      </c>
      <c r="D455">
        <v>54739191</v>
      </c>
      <c r="E455">
        <v>1</v>
      </c>
      <c r="F455">
        <v>1</v>
      </c>
      <c r="G455">
        <v>1081</v>
      </c>
      <c r="H455">
        <v>3</v>
      </c>
      <c r="I455" t="s">
        <v>500</v>
      </c>
      <c r="J455" t="s">
        <v>501</v>
      </c>
      <c r="K455" t="s">
        <v>502</v>
      </c>
      <c r="L455">
        <v>1346</v>
      </c>
      <c r="N455">
        <v>1009</v>
      </c>
      <c r="O455" t="s">
        <v>503</v>
      </c>
      <c r="P455" t="s">
        <v>503</v>
      </c>
      <c r="Q455">
        <v>1</v>
      </c>
      <c r="W455">
        <v>0</v>
      </c>
      <c r="X455">
        <v>-2132327540</v>
      </c>
      <c r="Y455">
        <f>(AT455*1)</f>
        <v>1.0999999999999999E-2</v>
      </c>
      <c r="AA455">
        <v>64.760000000000005</v>
      </c>
      <c r="AB455">
        <v>0</v>
      </c>
      <c r="AC455">
        <v>0</v>
      </c>
      <c r="AD455">
        <v>0</v>
      </c>
      <c r="AE455">
        <v>6.25</v>
      </c>
      <c r="AF455">
        <v>0</v>
      </c>
      <c r="AG455">
        <v>0</v>
      </c>
      <c r="AH455">
        <v>0</v>
      </c>
      <c r="AI455">
        <v>10.08</v>
      </c>
      <c r="AJ455">
        <v>1</v>
      </c>
      <c r="AK455">
        <v>1</v>
      </c>
      <c r="AL455">
        <v>1</v>
      </c>
      <c r="AM455">
        <v>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1.0999999999999999E-2</v>
      </c>
      <c r="AU455" t="s">
        <v>48</v>
      </c>
      <c r="AV455">
        <v>0</v>
      </c>
      <c r="AW455">
        <v>2</v>
      </c>
      <c r="AX455">
        <v>57261076</v>
      </c>
      <c r="AY455">
        <v>1</v>
      </c>
      <c r="AZ455">
        <v>0</v>
      </c>
      <c r="BA455">
        <v>484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ROUND(Y455*Source!I163,9)</f>
        <v>1.0999999999999999E-2</v>
      </c>
      <c r="CY455">
        <f>AA455</f>
        <v>64.760000000000005</v>
      </c>
      <c r="CZ455">
        <f>AE455</f>
        <v>6.25</v>
      </c>
      <c r="DA455">
        <f>AI455</f>
        <v>10.08</v>
      </c>
      <c r="DB455">
        <f>ROUND((ROUND(AT455*CZ455,2)*1),6)</f>
        <v>7.0000000000000007E-2</v>
      </c>
      <c r="DC455">
        <f>ROUND((ROUND(AT455*AG455,2)*1),6)</f>
        <v>0</v>
      </c>
      <c r="DD455" t="s">
        <v>3</v>
      </c>
      <c r="DE455" t="s">
        <v>3</v>
      </c>
      <c r="DF455">
        <f>ROUND(ROUND(AE455*AI455,2)*CX455,2)</f>
        <v>0.69</v>
      </c>
      <c r="DG455">
        <f t="shared" si="193"/>
        <v>0</v>
      </c>
      <c r="DH455">
        <f t="shared" si="194"/>
        <v>0</v>
      </c>
      <c r="DI455">
        <f t="shared" si="192"/>
        <v>0</v>
      </c>
      <c r="DJ455">
        <f>DF455</f>
        <v>0.69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ROW(Source!A163)</f>
        <v>163</v>
      </c>
      <c r="B456">
        <v>55747651</v>
      </c>
      <c r="C456">
        <v>57261071</v>
      </c>
      <c r="D456">
        <v>54737565</v>
      </c>
      <c r="E456">
        <v>1</v>
      </c>
      <c r="F456">
        <v>1</v>
      </c>
      <c r="G456">
        <v>1081</v>
      </c>
      <c r="H456">
        <v>3</v>
      </c>
      <c r="I456" t="s">
        <v>504</v>
      </c>
      <c r="J456" t="s">
        <v>505</v>
      </c>
      <c r="K456" t="s">
        <v>506</v>
      </c>
      <c r="L456">
        <v>1339</v>
      </c>
      <c r="N456">
        <v>1007</v>
      </c>
      <c r="O456" t="s">
        <v>507</v>
      </c>
      <c r="P456" t="s">
        <v>507</v>
      </c>
      <c r="Q456">
        <v>1</v>
      </c>
      <c r="W456">
        <v>0</v>
      </c>
      <c r="X456">
        <v>-1235260082</v>
      </c>
      <c r="Y456">
        <f>(AT456*1)</f>
        <v>4.3999999999999997E-2</v>
      </c>
      <c r="AA456">
        <v>104.16</v>
      </c>
      <c r="AB456">
        <v>0</v>
      </c>
      <c r="AC456">
        <v>0</v>
      </c>
      <c r="AD456">
        <v>0</v>
      </c>
      <c r="AE456">
        <v>5.82</v>
      </c>
      <c r="AF456">
        <v>0</v>
      </c>
      <c r="AG456">
        <v>0</v>
      </c>
      <c r="AH456">
        <v>0</v>
      </c>
      <c r="AI456">
        <v>17.41</v>
      </c>
      <c r="AJ456">
        <v>1</v>
      </c>
      <c r="AK456">
        <v>1</v>
      </c>
      <c r="AL456">
        <v>1</v>
      </c>
      <c r="AM456">
        <v>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4.3999999999999997E-2</v>
      </c>
      <c r="AU456" t="s">
        <v>48</v>
      </c>
      <c r="AV456">
        <v>0</v>
      </c>
      <c r="AW456">
        <v>2</v>
      </c>
      <c r="AX456">
        <v>57261077</v>
      </c>
      <c r="AY456">
        <v>1</v>
      </c>
      <c r="AZ456">
        <v>0</v>
      </c>
      <c r="BA456">
        <v>485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ROUND(Y456*Source!I163,9)</f>
        <v>4.3999999999999997E-2</v>
      </c>
      <c r="CY456">
        <f>AA456</f>
        <v>104.16</v>
      </c>
      <c r="CZ456">
        <f>AE456</f>
        <v>5.82</v>
      </c>
      <c r="DA456">
        <f>AI456</f>
        <v>17.41</v>
      </c>
      <c r="DB456">
        <f>ROUND((ROUND(AT456*CZ456,2)*1),6)</f>
        <v>0.26</v>
      </c>
      <c r="DC456">
        <f>ROUND((ROUND(AT456*AG456,2)*1),6)</f>
        <v>0</v>
      </c>
      <c r="DD456" t="s">
        <v>3</v>
      </c>
      <c r="DE456" t="s">
        <v>3</v>
      </c>
      <c r="DF456">
        <f>ROUND(ROUND(AE456*AI456,2)*CX456,2)</f>
        <v>4.46</v>
      </c>
      <c r="DG456">
        <f t="shared" si="193"/>
        <v>0</v>
      </c>
      <c r="DH456">
        <f t="shared" si="194"/>
        <v>0</v>
      </c>
      <c r="DI456">
        <f t="shared" si="192"/>
        <v>0</v>
      </c>
      <c r="DJ456">
        <f>DF456</f>
        <v>4.46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ROW(Source!A201)</f>
        <v>201</v>
      </c>
      <c r="B457">
        <v>55747649</v>
      </c>
      <c r="C457">
        <v>55748282</v>
      </c>
      <c r="D457">
        <v>54702434</v>
      </c>
      <c r="E457">
        <v>1081</v>
      </c>
      <c r="F457">
        <v>1</v>
      </c>
      <c r="G457">
        <v>1081</v>
      </c>
      <c r="H457">
        <v>1</v>
      </c>
      <c r="I457" t="s">
        <v>473</v>
      </c>
      <c r="J457" t="s">
        <v>3</v>
      </c>
      <c r="K457" t="s">
        <v>474</v>
      </c>
      <c r="L457">
        <v>1191</v>
      </c>
      <c r="N457">
        <v>1013</v>
      </c>
      <c r="O457" t="s">
        <v>475</v>
      </c>
      <c r="P457" t="s">
        <v>475</v>
      </c>
      <c r="Q457">
        <v>1</v>
      </c>
      <c r="W457">
        <v>0</v>
      </c>
      <c r="X457">
        <v>476480486</v>
      </c>
      <c r="Y457">
        <f>(AT457*1.2)</f>
        <v>66.131999999999991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55.11</v>
      </c>
      <c r="AU457" t="s">
        <v>49</v>
      </c>
      <c r="AV457">
        <v>1</v>
      </c>
      <c r="AW457">
        <v>2</v>
      </c>
      <c r="AX457">
        <v>55748297</v>
      </c>
      <c r="AY457">
        <v>1</v>
      </c>
      <c r="AZ457">
        <v>0</v>
      </c>
      <c r="BA457">
        <v>487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U457">
        <f>ROUND(AT457*Source!I201*AH457*AL457,2)</f>
        <v>0</v>
      </c>
      <c r="CV457">
        <f>ROUND(Y457*Source!I201,9)</f>
        <v>514.50696000000005</v>
      </c>
      <c r="CW457">
        <v>0</v>
      </c>
      <c r="CX457">
        <f>ROUND(Y457*Source!I201,9)</f>
        <v>514.50696000000005</v>
      </c>
      <c r="CY457">
        <f>AD457</f>
        <v>0</v>
      </c>
      <c r="CZ457">
        <f>AH457</f>
        <v>0</v>
      </c>
      <c r="DA457">
        <f>AL457</f>
        <v>1</v>
      </c>
      <c r="DB457">
        <f>ROUND((ROUND(AT457*CZ457,2)*1.2),6)</f>
        <v>0</v>
      </c>
      <c r="DC457">
        <f>ROUND((ROUND(AT457*AG457,2)*1.2),6)</f>
        <v>0</v>
      </c>
      <c r="DD457" t="s">
        <v>3</v>
      </c>
      <c r="DE457" t="s">
        <v>3</v>
      </c>
      <c r="DF457">
        <f t="shared" ref="DF457:DF470" si="195">ROUND(ROUND(AE457,2)*CX457,2)</f>
        <v>0</v>
      </c>
      <c r="DG457">
        <f t="shared" si="193"/>
        <v>0</v>
      </c>
      <c r="DH457">
        <f t="shared" si="194"/>
        <v>0</v>
      </c>
      <c r="DI457">
        <f t="shared" si="192"/>
        <v>0</v>
      </c>
      <c r="DJ457">
        <f>DI457</f>
        <v>0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ROW(Source!A201)</f>
        <v>201</v>
      </c>
      <c r="B458">
        <v>55747649</v>
      </c>
      <c r="C458">
        <v>55748282</v>
      </c>
      <c r="D458">
        <v>54768339</v>
      </c>
      <c r="E458">
        <v>1</v>
      </c>
      <c r="F458">
        <v>1</v>
      </c>
      <c r="G458">
        <v>1081</v>
      </c>
      <c r="H458">
        <v>2</v>
      </c>
      <c r="I458" t="s">
        <v>483</v>
      </c>
      <c r="J458" t="s">
        <v>484</v>
      </c>
      <c r="K458" t="s">
        <v>485</v>
      </c>
      <c r="L458">
        <v>1368</v>
      </c>
      <c r="N458">
        <v>1011</v>
      </c>
      <c r="O458" t="s">
        <v>479</v>
      </c>
      <c r="P458" t="s">
        <v>479</v>
      </c>
      <c r="Q458">
        <v>1</v>
      </c>
      <c r="W458">
        <v>0</v>
      </c>
      <c r="X458">
        <v>874612079</v>
      </c>
      <c r="Y458">
        <f>(AT458*1.2)</f>
        <v>0.14399999999999999</v>
      </c>
      <c r="AA458">
        <v>0</v>
      </c>
      <c r="AB458">
        <v>88.67</v>
      </c>
      <c r="AC458">
        <v>13.47</v>
      </c>
      <c r="AD458">
        <v>0</v>
      </c>
      <c r="AE458">
        <v>0</v>
      </c>
      <c r="AF458">
        <v>83.1</v>
      </c>
      <c r="AG458">
        <v>12.62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0.12</v>
      </c>
      <c r="AU458" t="s">
        <v>49</v>
      </c>
      <c r="AV458">
        <v>0</v>
      </c>
      <c r="AW458">
        <v>2</v>
      </c>
      <c r="AX458">
        <v>55748298</v>
      </c>
      <c r="AY458">
        <v>1</v>
      </c>
      <c r="AZ458">
        <v>0</v>
      </c>
      <c r="BA458">
        <v>488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ROUND(Y458*Source!I201*DO458,9)</f>
        <v>14.1384384</v>
      </c>
      <c r="CX458">
        <f>ROUND(Y458*Source!I201,9)</f>
        <v>1.12032</v>
      </c>
      <c r="CY458">
        <f>AB458</f>
        <v>88.67</v>
      </c>
      <c r="CZ458">
        <f>AF458</f>
        <v>83.1</v>
      </c>
      <c r="DA458">
        <f>AJ458</f>
        <v>1</v>
      </c>
      <c r="DB458">
        <f>ROUND((ROUND(AT458*CZ458,2)*1.2),6)</f>
        <v>11.964</v>
      </c>
      <c r="DC458">
        <f>ROUND((ROUND(AT458*AG458,2)*1.2),6)</f>
        <v>1.8120000000000001</v>
      </c>
      <c r="DD458" t="s">
        <v>3</v>
      </c>
      <c r="DE458" t="s">
        <v>3</v>
      </c>
      <c r="DF458">
        <f t="shared" si="195"/>
        <v>0</v>
      </c>
      <c r="DG458">
        <f t="shared" si="193"/>
        <v>93.1</v>
      </c>
      <c r="DH458">
        <f t="shared" si="194"/>
        <v>14.14</v>
      </c>
      <c r="DI458">
        <f t="shared" si="192"/>
        <v>0</v>
      </c>
      <c r="DJ458">
        <f>DG458</f>
        <v>93.1</v>
      </c>
      <c r="DK458">
        <v>0</v>
      </c>
      <c r="DL458" t="s">
        <v>486</v>
      </c>
      <c r="DM458">
        <v>0</v>
      </c>
      <c r="DN458" t="s">
        <v>475</v>
      </c>
      <c r="DO458">
        <v>12.62</v>
      </c>
    </row>
    <row r="459" spans="1:119" x14ac:dyDescent="0.2">
      <c r="A459">
        <f>ROW(Source!A201)</f>
        <v>201</v>
      </c>
      <c r="B459">
        <v>55747649</v>
      </c>
      <c r="C459">
        <v>55748282</v>
      </c>
      <c r="D459">
        <v>54768426</v>
      </c>
      <c r="E459">
        <v>1</v>
      </c>
      <c r="F459">
        <v>1</v>
      </c>
      <c r="G459">
        <v>1081</v>
      </c>
      <c r="H459">
        <v>2</v>
      </c>
      <c r="I459" t="s">
        <v>616</v>
      </c>
      <c r="J459" t="s">
        <v>617</v>
      </c>
      <c r="K459" t="s">
        <v>618</v>
      </c>
      <c r="L459">
        <v>1368</v>
      </c>
      <c r="N459">
        <v>1011</v>
      </c>
      <c r="O459" t="s">
        <v>479</v>
      </c>
      <c r="P459" t="s">
        <v>479</v>
      </c>
      <c r="Q459">
        <v>1</v>
      </c>
      <c r="W459">
        <v>0</v>
      </c>
      <c r="X459">
        <v>-643591644</v>
      </c>
      <c r="Y459">
        <f>(AT459*1.2)</f>
        <v>0.39600000000000002</v>
      </c>
      <c r="AA459">
        <v>0</v>
      </c>
      <c r="AB459">
        <v>0.5</v>
      </c>
      <c r="AC459">
        <v>0</v>
      </c>
      <c r="AD459">
        <v>0</v>
      </c>
      <c r="AE459">
        <v>0</v>
      </c>
      <c r="AF459">
        <v>0.47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0.33</v>
      </c>
      <c r="AU459" t="s">
        <v>49</v>
      </c>
      <c r="AV459">
        <v>0</v>
      </c>
      <c r="AW459">
        <v>2</v>
      </c>
      <c r="AX459">
        <v>55748299</v>
      </c>
      <c r="AY459">
        <v>1</v>
      </c>
      <c r="AZ459">
        <v>0</v>
      </c>
      <c r="BA459">
        <v>489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f>ROUND(Y459*Source!I201*DO459,9)</f>
        <v>0</v>
      </c>
      <c r="CX459">
        <f>ROUND(Y459*Source!I201,9)</f>
        <v>3.0808800000000001</v>
      </c>
      <c r="CY459">
        <f>AB459</f>
        <v>0.5</v>
      </c>
      <c r="CZ459">
        <f>AF459</f>
        <v>0.47</v>
      </c>
      <c r="DA459">
        <f>AJ459</f>
        <v>1</v>
      </c>
      <c r="DB459">
        <f>ROUND((ROUND(AT459*CZ459,2)*1.2),6)</f>
        <v>0.192</v>
      </c>
      <c r="DC459">
        <f>ROUND((ROUND(AT459*AG459,2)*1.2),6)</f>
        <v>0</v>
      </c>
      <c r="DD459" t="s">
        <v>3</v>
      </c>
      <c r="DE459" t="s">
        <v>3</v>
      </c>
      <c r="DF459">
        <f t="shared" si="195"/>
        <v>0</v>
      </c>
      <c r="DG459">
        <f t="shared" si="193"/>
        <v>1.45</v>
      </c>
      <c r="DH459">
        <f t="shared" si="194"/>
        <v>0</v>
      </c>
      <c r="DI459">
        <f t="shared" si="192"/>
        <v>0</v>
      </c>
      <c r="DJ459">
        <f>DG459</f>
        <v>1.45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ROW(Source!A201)</f>
        <v>201</v>
      </c>
      <c r="B460">
        <v>55747649</v>
      </c>
      <c r="C460">
        <v>55748282</v>
      </c>
      <c r="D460">
        <v>54739078</v>
      </c>
      <c r="E460">
        <v>1</v>
      </c>
      <c r="F460">
        <v>1</v>
      </c>
      <c r="G460">
        <v>1081</v>
      </c>
      <c r="H460">
        <v>3</v>
      </c>
      <c r="I460" t="s">
        <v>541</v>
      </c>
      <c r="J460" t="s">
        <v>542</v>
      </c>
      <c r="K460" t="s">
        <v>543</v>
      </c>
      <c r="L460">
        <v>1346</v>
      </c>
      <c r="N460">
        <v>1009</v>
      </c>
      <c r="O460" t="s">
        <v>503</v>
      </c>
      <c r="P460" t="s">
        <v>503</v>
      </c>
      <c r="Q460">
        <v>1</v>
      </c>
      <c r="W460">
        <v>0</v>
      </c>
      <c r="X460">
        <v>1021383118</v>
      </c>
      <c r="Y460">
        <f t="shared" ref="Y460:Y465" si="196">(AT460*1)</f>
        <v>0.50900000000000001</v>
      </c>
      <c r="AA460">
        <v>39.04</v>
      </c>
      <c r="AB460">
        <v>0</v>
      </c>
      <c r="AC460">
        <v>0</v>
      </c>
      <c r="AD460">
        <v>0</v>
      </c>
      <c r="AE460">
        <v>37.979999999999997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0.50900000000000001</v>
      </c>
      <c r="AU460" t="s">
        <v>48</v>
      </c>
      <c r="AV460">
        <v>0</v>
      </c>
      <c r="AW460">
        <v>2</v>
      </c>
      <c r="AX460">
        <v>55748300</v>
      </c>
      <c r="AY460">
        <v>1</v>
      </c>
      <c r="AZ460">
        <v>0</v>
      </c>
      <c r="BA460">
        <v>490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ROUND(Y460*Source!I201,9)</f>
        <v>3.9600200000000001</v>
      </c>
      <c r="CY460">
        <f t="shared" ref="CY460:CY467" si="197">AA460</f>
        <v>39.04</v>
      </c>
      <c r="CZ460">
        <f t="shared" ref="CZ460:CZ467" si="198">AE460</f>
        <v>37.979999999999997</v>
      </c>
      <c r="DA460">
        <f t="shared" ref="DA460:DA467" si="199">AI460</f>
        <v>1</v>
      </c>
      <c r="DB460">
        <f t="shared" ref="DB460:DB465" si="200">ROUND((ROUND(AT460*CZ460,2)*1),6)</f>
        <v>19.329999999999998</v>
      </c>
      <c r="DC460">
        <f t="shared" ref="DC460:DC465" si="201">ROUND((ROUND(AT460*AG460,2)*1),6)</f>
        <v>0</v>
      </c>
      <c r="DD460" t="s">
        <v>3</v>
      </c>
      <c r="DE460" t="s">
        <v>3</v>
      </c>
      <c r="DF460">
        <f t="shared" si="195"/>
        <v>150.4</v>
      </c>
      <c r="DG460">
        <f t="shared" si="193"/>
        <v>0</v>
      </c>
      <c r="DH460">
        <f t="shared" si="194"/>
        <v>0</v>
      </c>
      <c r="DI460">
        <f t="shared" si="192"/>
        <v>0</v>
      </c>
      <c r="DJ460">
        <f t="shared" ref="DJ460:DJ467" si="202">DF460</f>
        <v>150.4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ROW(Source!A201)</f>
        <v>201</v>
      </c>
      <c r="B461">
        <v>55747649</v>
      </c>
      <c r="C461">
        <v>55748282</v>
      </c>
      <c r="D461">
        <v>54744157</v>
      </c>
      <c r="E461">
        <v>1</v>
      </c>
      <c r="F461">
        <v>1</v>
      </c>
      <c r="G461">
        <v>1081</v>
      </c>
      <c r="H461">
        <v>3</v>
      </c>
      <c r="I461" t="s">
        <v>619</v>
      </c>
      <c r="J461" t="s">
        <v>620</v>
      </c>
      <c r="K461" t="s">
        <v>621</v>
      </c>
      <c r="L461">
        <v>1346</v>
      </c>
      <c r="N461">
        <v>1009</v>
      </c>
      <c r="O461" t="s">
        <v>503</v>
      </c>
      <c r="P461" t="s">
        <v>503</v>
      </c>
      <c r="Q461">
        <v>1</v>
      </c>
      <c r="W461">
        <v>0</v>
      </c>
      <c r="X461">
        <v>-1002316563</v>
      </c>
      <c r="Y461">
        <f t="shared" si="196"/>
        <v>1.575</v>
      </c>
      <c r="AA461">
        <v>80.77</v>
      </c>
      <c r="AB461">
        <v>0</v>
      </c>
      <c r="AC461">
        <v>0</v>
      </c>
      <c r="AD461">
        <v>0</v>
      </c>
      <c r="AE461">
        <v>78.569999999999993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1.575</v>
      </c>
      <c r="AU461" t="s">
        <v>48</v>
      </c>
      <c r="AV461">
        <v>0</v>
      </c>
      <c r="AW461">
        <v>2</v>
      </c>
      <c r="AX461">
        <v>55748301</v>
      </c>
      <c r="AY461">
        <v>1</v>
      </c>
      <c r="AZ461">
        <v>0</v>
      </c>
      <c r="BA461">
        <v>491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ROUND(Y461*Source!I201,9)</f>
        <v>12.253500000000001</v>
      </c>
      <c r="CY461">
        <f t="shared" si="197"/>
        <v>80.77</v>
      </c>
      <c r="CZ461">
        <f t="shared" si="198"/>
        <v>78.569999999999993</v>
      </c>
      <c r="DA461">
        <f t="shared" si="199"/>
        <v>1</v>
      </c>
      <c r="DB461">
        <f t="shared" si="200"/>
        <v>123.75</v>
      </c>
      <c r="DC461">
        <f t="shared" si="201"/>
        <v>0</v>
      </c>
      <c r="DD461" t="s">
        <v>3</v>
      </c>
      <c r="DE461" t="s">
        <v>3</v>
      </c>
      <c r="DF461">
        <f t="shared" si="195"/>
        <v>962.76</v>
      </c>
      <c r="DG461">
        <f t="shared" si="193"/>
        <v>0</v>
      </c>
      <c r="DH461">
        <f t="shared" si="194"/>
        <v>0</v>
      </c>
      <c r="DI461">
        <f t="shared" si="192"/>
        <v>0</v>
      </c>
      <c r="DJ461">
        <f t="shared" si="202"/>
        <v>962.76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ROW(Source!A201)</f>
        <v>201</v>
      </c>
      <c r="B462">
        <v>55747649</v>
      </c>
      <c r="C462">
        <v>55748282</v>
      </c>
      <c r="D462">
        <v>54753962</v>
      </c>
      <c r="E462">
        <v>1</v>
      </c>
      <c r="F462">
        <v>1</v>
      </c>
      <c r="G462">
        <v>1081</v>
      </c>
      <c r="H462">
        <v>3</v>
      </c>
      <c r="I462" t="s">
        <v>622</v>
      </c>
      <c r="J462" t="s">
        <v>623</v>
      </c>
      <c r="K462" t="s">
        <v>624</v>
      </c>
      <c r="L462">
        <v>1354</v>
      </c>
      <c r="N462">
        <v>1010</v>
      </c>
      <c r="O462" t="s">
        <v>118</v>
      </c>
      <c r="P462" t="s">
        <v>118</v>
      </c>
      <c r="Q462">
        <v>1</v>
      </c>
      <c r="W462">
        <v>0</v>
      </c>
      <c r="X462">
        <v>-1531181373</v>
      </c>
      <c r="Y462">
        <f t="shared" si="196"/>
        <v>100</v>
      </c>
      <c r="AA462">
        <v>4.72</v>
      </c>
      <c r="AB462">
        <v>0</v>
      </c>
      <c r="AC462">
        <v>0</v>
      </c>
      <c r="AD462">
        <v>0</v>
      </c>
      <c r="AE462">
        <v>4.59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100</v>
      </c>
      <c r="AU462" t="s">
        <v>48</v>
      </c>
      <c r="AV462">
        <v>0</v>
      </c>
      <c r="AW462">
        <v>2</v>
      </c>
      <c r="AX462">
        <v>55748302</v>
      </c>
      <c r="AY462">
        <v>1</v>
      </c>
      <c r="AZ462">
        <v>0</v>
      </c>
      <c r="BA462">
        <v>492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ROUND(Y462*Source!I201,9)</f>
        <v>778</v>
      </c>
      <c r="CY462">
        <f t="shared" si="197"/>
        <v>4.72</v>
      </c>
      <c r="CZ462">
        <f t="shared" si="198"/>
        <v>4.59</v>
      </c>
      <c r="DA462">
        <f t="shared" si="199"/>
        <v>1</v>
      </c>
      <c r="DB462">
        <f t="shared" si="200"/>
        <v>459</v>
      </c>
      <c r="DC462">
        <f t="shared" si="201"/>
        <v>0</v>
      </c>
      <c r="DD462" t="s">
        <v>3</v>
      </c>
      <c r="DE462" t="s">
        <v>3</v>
      </c>
      <c r="DF462">
        <f t="shared" si="195"/>
        <v>3571.02</v>
      </c>
      <c r="DG462">
        <f t="shared" si="193"/>
        <v>0</v>
      </c>
      <c r="DH462">
        <f t="shared" si="194"/>
        <v>0</v>
      </c>
      <c r="DI462">
        <f t="shared" si="192"/>
        <v>0</v>
      </c>
      <c r="DJ462">
        <f t="shared" si="202"/>
        <v>3571.02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ROW(Source!A201)</f>
        <v>201</v>
      </c>
      <c r="B463">
        <v>55747649</v>
      </c>
      <c r="C463">
        <v>55748282</v>
      </c>
      <c r="D463">
        <v>54753963</v>
      </c>
      <c r="E463">
        <v>1</v>
      </c>
      <c r="F463">
        <v>1</v>
      </c>
      <c r="G463">
        <v>1081</v>
      </c>
      <c r="H463">
        <v>3</v>
      </c>
      <c r="I463" t="s">
        <v>625</v>
      </c>
      <c r="J463" t="s">
        <v>626</v>
      </c>
      <c r="K463" t="s">
        <v>627</v>
      </c>
      <c r="L463">
        <v>1354</v>
      </c>
      <c r="N463">
        <v>1010</v>
      </c>
      <c r="O463" t="s">
        <v>118</v>
      </c>
      <c r="P463" t="s">
        <v>118</v>
      </c>
      <c r="Q463">
        <v>1</v>
      </c>
      <c r="W463">
        <v>0</v>
      </c>
      <c r="X463">
        <v>-1806552005</v>
      </c>
      <c r="Y463">
        <f t="shared" si="196"/>
        <v>102</v>
      </c>
      <c r="AA463">
        <v>4.72</v>
      </c>
      <c r="AB463">
        <v>0</v>
      </c>
      <c r="AC463">
        <v>0</v>
      </c>
      <c r="AD463">
        <v>0</v>
      </c>
      <c r="AE463">
        <v>4.59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102</v>
      </c>
      <c r="AU463" t="s">
        <v>48</v>
      </c>
      <c r="AV463">
        <v>0</v>
      </c>
      <c r="AW463">
        <v>2</v>
      </c>
      <c r="AX463">
        <v>55748303</v>
      </c>
      <c r="AY463">
        <v>1</v>
      </c>
      <c r="AZ463">
        <v>0</v>
      </c>
      <c r="BA463">
        <v>493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ROUND(Y463*Source!I201,9)</f>
        <v>793.56</v>
      </c>
      <c r="CY463">
        <f t="shared" si="197"/>
        <v>4.72</v>
      </c>
      <c r="CZ463">
        <f t="shared" si="198"/>
        <v>4.59</v>
      </c>
      <c r="DA463">
        <f t="shared" si="199"/>
        <v>1</v>
      </c>
      <c r="DB463">
        <f t="shared" si="200"/>
        <v>468.18</v>
      </c>
      <c r="DC463">
        <f t="shared" si="201"/>
        <v>0</v>
      </c>
      <c r="DD463" t="s">
        <v>3</v>
      </c>
      <c r="DE463" t="s">
        <v>3</v>
      </c>
      <c r="DF463">
        <f t="shared" si="195"/>
        <v>3642.44</v>
      </c>
      <c r="DG463">
        <f t="shared" si="193"/>
        <v>0</v>
      </c>
      <c r="DH463">
        <f t="shared" si="194"/>
        <v>0</v>
      </c>
      <c r="DI463">
        <f t="shared" si="192"/>
        <v>0</v>
      </c>
      <c r="DJ463">
        <f t="shared" si="202"/>
        <v>3642.44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ROW(Source!A201)</f>
        <v>201</v>
      </c>
      <c r="B464">
        <v>55747649</v>
      </c>
      <c r="C464">
        <v>55748282</v>
      </c>
      <c r="D464">
        <v>54753964</v>
      </c>
      <c r="E464">
        <v>1</v>
      </c>
      <c r="F464">
        <v>1</v>
      </c>
      <c r="G464">
        <v>1081</v>
      </c>
      <c r="H464">
        <v>3</v>
      </c>
      <c r="I464" t="s">
        <v>628</v>
      </c>
      <c r="J464" t="s">
        <v>629</v>
      </c>
      <c r="K464" t="s">
        <v>630</v>
      </c>
      <c r="L464">
        <v>1354</v>
      </c>
      <c r="N464">
        <v>1010</v>
      </c>
      <c r="O464" t="s">
        <v>118</v>
      </c>
      <c r="P464" t="s">
        <v>118</v>
      </c>
      <c r="Q464">
        <v>1</v>
      </c>
      <c r="W464">
        <v>0</v>
      </c>
      <c r="X464">
        <v>-709156778</v>
      </c>
      <c r="Y464">
        <f t="shared" si="196"/>
        <v>204</v>
      </c>
      <c r="AA464">
        <v>4.72</v>
      </c>
      <c r="AB464">
        <v>0</v>
      </c>
      <c r="AC464">
        <v>0</v>
      </c>
      <c r="AD464">
        <v>0</v>
      </c>
      <c r="AE464">
        <v>4.59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204</v>
      </c>
      <c r="AU464" t="s">
        <v>48</v>
      </c>
      <c r="AV464">
        <v>0</v>
      </c>
      <c r="AW464">
        <v>2</v>
      </c>
      <c r="AX464">
        <v>55748304</v>
      </c>
      <c r="AY464">
        <v>1</v>
      </c>
      <c r="AZ464">
        <v>0</v>
      </c>
      <c r="BA464">
        <v>494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ROUND(Y464*Source!I201,9)</f>
        <v>1587.12</v>
      </c>
      <c r="CY464">
        <f t="shared" si="197"/>
        <v>4.72</v>
      </c>
      <c r="CZ464">
        <f t="shared" si="198"/>
        <v>4.59</v>
      </c>
      <c r="DA464">
        <f t="shared" si="199"/>
        <v>1</v>
      </c>
      <c r="DB464">
        <f t="shared" si="200"/>
        <v>936.36</v>
      </c>
      <c r="DC464">
        <f t="shared" si="201"/>
        <v>0</v>
      </c>
      <c r="DD464" t="s">
        <v>3</v>
      </c>
      <c r="DE464" t="s">
        <v>3</v>
      </c>
      <c r="DF464">
        <f t="shared" si="195"/>
        <v>7284.88</v>
      </c>
      <c r="DG464">
        <f t="shared" si="193"/>
        <v>0</v>
      </c>
      <c r="DH464">
        <f t="shared" si="194"/>
        <v>0</v>
      </c>
      <c r="DI464">
        <f t="shared" si="192"/>
        <v>0</v>
      </c>
      <c r="DJ464">
        <f t="shared" si="202"/>
        <v>7284.88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ROW(Source!A201)</f>
        <v>201</v>
      </c>
      <c r="B465">
        <v>55747649</v>
      </c>
      <c r="C465">
        <v>55748282</v>
      </c>
      <c r="D465">
        <v>54753965</v>
      </c>
      <c r="E465">
        <v>1</v>
      </c>
      <c r="F465">
        <v>1</v>
      </c>
      <c r="G465">
        <v>1081</v>
      </c>
      <c r="H465">
        <v>3</v>
      </c>
      <c r="I465" t="s">
        <v>631</v>
      </c>
      <c r="J465" t="s">
        <v>632</v>
      </c>
      <c r="K465" t="s">
        <v>633</v>
      </c>
      <c r="L465">
        <v>1354</v>
      </c>
      <c r="N465">
        <v>1010</v>
      </c>
      <c r="O465" t="s">
        <v>118</v>
      </c>
      <c r="P465" t="s">
        <v>118</v>
      </c>
      <c r="Q465">
        <v>1</v>
      </c>
      <c r="W465">
        <v>0</v>
      </c>
      <c r="X465">
        <v>-1115551314</v>
      </c>
      <c r="Y465">
        <f t="shared" si="196"/>
        <v>102</v>
      </c>
      <c r="AA465">
        <v>2.89</v>
      </c>
      <c r="AB465">
        <v>0</v>
      </c>
      <c r="AC465">
        <v>0</v>
      </c>
      <c r="AD465">
        <v>0</v>
      </c>
      <c r="AE465">
        <v>2.81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102</v>
      </c>
      <c r="AU465" t="s">
        <v>48</v>
      </c>
      <c r="AV465">
        <v>0</v>
      </c>
      <c r="AW465">
        <v>2</v>
      </c>
      <c r="AX465">
        <v>55748305</v>
      </c>
      <c r="AY465">
        <v>1</v>
      </c>
      <c r="AZ465">
        <v>0</v>
      </c>
      <c r="BA465">
        <v>495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ROUND(Y465*Source!I201,9)</f>
        <v>793.56</v>
      </c>
      <c r="CY465">
        <f t="shared" si="197"/>
        <v>2.89</v>
      </c>
      <c r="CZ465">
        <f t="shared" si="198"/>
        <v>2.81</v>
      </c>
      <c r="DA465">
        <f t="shared" si="199"/>
        <v>1</v>
      </c>
      <c r="DB465">
        <f t="shared" si="200"/>
        <v>286.62</v>
      </c>
      <c r="DC465">
        <f t="shared" si="201"/>
        <v>0</v>
      </c>
      <c r="DD465" t="s">
        <v>3</v>
      </c>
      <c r="DE465" t="s">
        <v>3</v>
      </c>
      <c r="DF465">
        <f t="shared" si="195"/>
        <v>2229.9</v>
      </c>
      <c r="DG465">
        <f t="shared" si="193"/>
        <v>0</v>
      </c>
      <c r="DH465">
        <f t="shared" si="194"/>
        <v>0</v>
      </c>
      <c r="DI465">
        <f t="shared" si="192"/>
        <v>0</v>
      </c>
      <c r="DJ465">
        <f t="shared" si="202"/>
        <v>2229.9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ROW(Source!A201)</f>
        <v>201</v>
      </c>
      <c r="B466">
        <v>55747649</v>
      </c>
      <c r="C466">
        <v>55748282</v>
      </c>
      <c r="D466">
        <v>54756484</v>
      </c>
      <c r="E466">
        <v>1</v>
      </c>
      <c r="F466">
        <v>1</v>
      </c>
      <c r="G466">
        <v>1081</v>
      </c>
      <c r="H466">
        <v>3</v>
      </c>
      <c r="I466" t="s">
        <v>357</v>
      </c>
      <c r="J466" t="s">
        <v>359</v>
      </c>
      <c r="K466" t="s">
        <v>358</v>
      </c>
      <c r="L466">
        <v>1354</v>
      </c>
      <c r="N466">
        <v>1010</v>
      </c>
      <c r="O466" t="s">
        <v>118</v>
      </c>
      <c r="P466" t="s">
        <v>118</v>
      </c>
      <c r="Q466">
        <v>1</v>
      </c>
      <c r="W466">
        <v>0</v>
      </c>
      <c r="X466">
        <v>-1169831446</v>
      </c>
      <c r="Y466">
        <f>AT466</f>
        <v>100</v>
      </c>
      <c r="AA466">
        <v>38.21</v>
      </c>
      <c r="AB466">
        <v>0</v>
      </c>
      <c r="AC466">
        <v>0</v>
      </c>
      <c r="AD466">
        <v>0</v>
      </c>
      <c r="AE466">
        <v>38.21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 t="s">
        <v>3</v>
      </c>
      <c r="AT466">
        <v>100</v>
      </c>
      <c r="AU466" t="s">
        <v>3</v>
      </c>
      <c r="AV466">
        <v>0</v>
      </c>
      <c r="AW466">
        <v>1</v>
      </c>
      <c r="AX466">
        <v>-1</v>
      </c>
      <c r="AY466">
        <v>0</v>
      </c>
      <c r="AZ466">
        <v>0</v>
      </c>
      <c r="BA466" t="s">
        <v>3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ROUND(Y466*Source!I201,9)</f>
        <v>778</v>
      </c>
      <c r="CY466">
        <f t="shared" si="197"/>
        <v>38.21</v>
      </c>
      <c r="CZ466">
        <f t="shared" si="198"/>
        <v>38.21</v>
      </c>
      <c r="DA466">
        <f t="shared" si="199"/>
        <v>1</v>
      </c>
      <c r="DB466">
        <f>ROUND(ROUND(AT466*CZ466,2),6)</f>
        <v>3821</v>
      </c>
      <c r="DC466">
        <f>ROUND(ROUND(AT466*AG466,2),6)</f>
        <v>0</v>
      </c>
      <c r="DD466" t="s">
        <v>3</v>
      </c>
      <c r="DE466" t="s">
        <v>3</v>
      </c>
      <c r="DF466">
        <f t="shared" si="195"/>
        <v>29727.38</v>
      </c>
      <c r="DG466">
        <f t="shared" si="193"/>
        <v>0</v>
      </c>
      <c r="DH466">
        <f t="shared" si="194"/>
        <v>0</v>
      </c>
      <c r="DI466">
        <f t="shared" si="192"/>
        <v>0</v>
      </c>
      <c r="DJ466">
        <f t="shared" si="202"/>
        <v>29727.38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ROW(Source!A201)</f>
        <v>201</v>
      </c>
      <c r="B467">
        <v>55747649</v>
      </c>
      <c r="C467">
        <v>55748282</v>
      </c>
      <c r="D467">
        <v>54756500</v>
      </c>
      <c r="E467">
        <v>1</v>
      </c>
      <c r="F467">
        <v>1</v>
      </c>
      <c r="G467">
        <v>1081</v>
      </c>
      <c r="H467">
        <v>3</v>
      </c>
      <c r="I467" t="s">
        <v>634</v>
      </c>
      <c r="J467" t="s">
        <v>635</v>
      </c>
      <c r="K467" t="s">
        <v>636</v>
      </c>
      <c r="L467">
        <v>1354</v>
      </c>
      <c r="N467">
        <v>1010</v>
      </c>
      <c r="O467" t="s">
        <v>118</v>
      </c>
      <c r="P467" t="s">
        <v>118</v>
      </c>
      <c r="Q467">
        <v>1</v>
      </c>
      <c r="W467">
        <v>0</v>
      </c>
      <c r="X467">
        <v>532027092</v>
      </c>
      <c r="Y467">
        <f>(AT467*1)</f>
        <v>100</v>
      </c>
      <c r="AA467">
        <v>5.15</v>
      </c>
      <c r="AB467">
        <v>0</v>
      </c>
      <c r="AC467">
        <v>0</v>
      </c>
      <c r="AD467">
        <v>0</v>
      </c>
      <c r="AE467">
        <v>5.01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100</v>
      </c>
      <c r="AU467" t="s">
        <v>48</v>
      </c>
      <c r="AV467">
        <v>0</v>
      </c>
      <c r="AW467">
        <v>2</v>
      </c>
      <c r="AX467">
        <v>55748306</v>
      </c>
      <c r="AY467">
        <v>1</v>
      </c>
      <c r="AZ467">
        <v>0</v>
      </c>
      <c r="BA467">
        <v>496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ROUND(Y467*Source!I201,9)</f>
        <v>778</v>
      </c>
      <c r="CY467">
        <f t="shared" si="197"/>
        <v>5.15</v>
      </c>
      <c r="CZ467">
        <f t="shared" si="198"/>
        <v>5.01</v>
      </c>
      <c r="DA467">
        <f t="shared" si="199"/>
        <v>1</v>
      </c>
      <c r="DB467">
        <f>ROUND((ROUND(AT467*CZ467,2)*1),6)</f>
        <v>501</v>
      </c>
      <c r="DC467">
        <f>ROUND((ROUND(AT467*AG467,2)*1),6)</f>
        <v>0</v>
      </c>
      <c r="DD467" t="s">
        <v>3</v>
      </c>
      <c r="DE467" t="s">
        <v>3</v>
      </c>
      <c r="DF467">
        <f t="shared" si="195"/>
        <v>3897.78</v>
      </c>
      <c r="DG467">
        <f t="shared" si="193"/>
        <v>0</v>
      </c>
      <c r="DH467">
        <f t="shared" si="194"/>
        <v>0</v>
      </c>
      <c r="DI467">
        <f t="shared" si="192"/>
        <v>0</v>
      </c>
      <c r="DJ467">
        <f t="shared" si="202"/>
        <v>3897.78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ROW(Source!A202)</f>
        <v>202</v>
      </c>
      <c r="B468">
        <v>55747651</v>
      </c>
      <c r="C468">
        <v>55748282</v>
      </c>
      <c r="D468">
        <v>54702434</v>
      </c>
      <c r="E468">
        <v>1081</v>
      </c>
      <c r="F468">
        <v>1</v>
      </c>
      <c r="G468">
        <v>1081</v>
      </c>
      <c r="H468">
        <v>1</v>
      </c>
      <c r="I468" t="s">
        <v>473</v>
      </c>
      <c r="J468" t="s">
        <v>3</v>
      </c>
      <c r="K468" t="s">
        <v>474</v>
      </c>
      <c r="L468">
        <v>1191</v>
      </c>
      <c r="N468">
        <v>1013</v>
      </c>
      <c r="O468" t="s">
        <v>475</v>
      </c>
      <c r="P468" t="s">
        <v>475</v>
      </c>
      <c r="Q468">
        <v>1</v>
      </c>
      <c r="W468">
        <v>0</v>
      </c>
      <c r="X468">
        <v>476480486</v>
      </c>
      <c r="Y468">
        <f>(AT468*1.2)</f>
        <v>66.131999999999991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5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55.11</v>
      </c>
      <c r="AU468" t="s">
        <v>49</v>
      </c>
      <c r="AV468">
        <v>1</v>
      </c>
      <c r="AW468">
        <v>2</v>
      </c>
      <c r="AX468">
        <v>55748297</v>
      </c>
      <c r="AY468">
        <v>1</v>
      </c>
      <c r="AZ468">
        <v>0</v>
      </c>
      <c r="BA468">
        <v>501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U468">
        <f>ROUND(AT468*Source!I202*AH468*AL468,2)</f>
        <v>0</v>
      </c>
      <c r="CV468">
        <f>ROUND(Y468*Source!I202,9)</f>
        <v>514.50696000000005</v>
      </c>
      <c r="CW468">
        <v>0</v>
      </c>
      <c r="CX468">
        <f>ROUND(Y468*Source!I202,9)</f>
        <v>514.50696000000005</v>
      </c>
      <c r="CY468">
        <f>AD468</f>
        <v>0</v>
      </c>
      <c r="CZ468">
        <f>AH468</f>
        <v>0</v>
      </c>
      <c r="DA468">
        <f>AL468</f>
        <v>1</v>
      </c>
      <c r="DB468">
        <f>ROUND((ROUND(AT468*CZ468,2)*1.2),6)</f>
        <v>0</v>
      </c>
      <c r="DC468">
        <f>ROUND((ROUND(AT468*AG468,2)*1.2),6)</f>
        <v>0</v>
      </c>
      <c r="DD468" t="s">
        <v>3</v>
      </c>
      <c r="DE468" t="s">
        <v>3</v>
      </c>
      <c r="DF468">
        <f t="shared" si="195"/>
        <v>0</v>
      </c>
      <c r="DG468">
        <f t="shared" si="193"/>
        <v>0</v>
      </c>
      <c r="DH468">
        <f t="shared" si="194"/>
        <v>0</v>
      </c>
      <c r="DI468">
        <f t="shared" si="192"/>
        <v>0</v>
      </c>
      <c r="DJ468">
        <f>DI468</f>
        <v>0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ROW(Source!A202)</f>
        <v>202</v>
      </c>
      <c r="B469">
        <v>55747651</v>
      </c>
      <c r="C469">
        <v>55748282</v>
      </c>
      <c r="D469">
        <v>54768339</v>
      </c>
      <c r="E469">
        <v>1</v>
      </c>
      <c r="F469">
        <v>1</v>
      </c>
      <c r="G469">
        <v>1081</v>
      </c>
      <c r="H469">
        <v>2</v>
      </c>
      <c r="I469" t="s">
        <v>483</v>
      </c>
      <c r="J469" t="s">
        <v>484</v>
      </c>
      <c r="K469" t="s">
        <v>485</v>
      </c>
      <c r="L469">
        <v>1368</v>
      </c>
      <c r="N469">
        <v>1011</v>
      </c>
      <c r="O469" t="s">
        <v>479</v>
      </c>
      <c r="P469" t="s">
        <v>479</v>
      </c>
      <c r="Q469">
        <v>1</v>
      </c>
      <c r="W469">
        <v>0</v>
      </c>
      <c r="X469">
        <v>874612079</v>
      </c>
      <c r="Y469">
        <f>(AT469*1.2)</f>
        <v>0.14399999999999999</v>
      </c>
      <c r="AA469">
        <v>0</v>
      </c>
      <c r="AB469">
        <v>1513.56</v>
      </c>
      <c r="AC469">
        <v>758.78</v>
      </c>
      <c r="AD469">
        <v>0</v>
      </c>
      <c r="AE469">
        <v>0</v>
      </c>
      <c r="AF469">
        <v>83.1</v>
      </c>
      <c r="AG469">
        <v>12.62</v>
      </c>
      <c r="AH469">
        <v>0</v>
      </c>
      <c r="AI469">
        <v>1</v>
      </c>
      <c r="AJ469">
        <v>17.07</v>
      </c>
      <c r="AK469">
        <v>56.35</v>
      </c>
      <c r="AL469">
        <v>1</v>
      </c>
      <c r="AM469">
        <v>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0.12</v>
      </c>
      <c r="AU469" t="s">
        <v>49</v>
      </c>
      <c r="AV469">
        <v>0</v>
      </c>
      <c r="AW469">
        <v>2</v>
      </c>
      <c r="AX469">
        <v>55748298</v>
      </c>
      <c r="AY469">
        <v>1</v>
      </c>
      <c r="AZ469">
        <v>0</v>
      </c>
      <c r="BA469">
        <v>502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ROUND(Y469*Source!I202*DO469,9)</f>
        <v>14.1384384</v>
      </c>
      <c r="CX469">
        <f>ROUND(Y469*Source!I202,9)</f>
        <v>1.12032</v>
      </c>
      <c r="CY469">
        <f>AB469</f>
        <v>1513.56</v>
      </c>
      <c r="CZ469">
        <f>AF469</f>
        <v>83.1</v>
      </c>
      <c r="DA469">
        <f>AJ469</f>
        <v>17.07</v>
      </c>
      <c r="DB469">
        <f>ROUND((ROUND(AT469*CZ469,2)*1.2),6)</f>
        <v>11.964</v>
      </c>
      <c r="DC469">
        <f>ROUND((ROUND(AT469*AG469,2)*1.2),6)</f>
        <v>1.8120000000000001</v>
      </c>
      <c r="DD469" t="s">
        <v>3</v>
      </c>
      <c r="DE469" t="s">
        <v>3</v>
      </c>
      <c r="DF469">
        <f t="shared" si="195"/>
        <v>0</v>
      </c>
      <c r="DG469">
        <f>ROUND(ROUND(AF469*AJ469,2)*CX469,2)</f>
        <v>1589.2</v>
      </c>
      <c r="DH469">
        <f>ROUND(ROUND(AG469*AK469,2)*CX469,2)</f>
        <v>796.7</v>
      </c>
      <c r="DI469">
        <f t="shared" si="192"/>
        <v>0</v>
      </c>
      <c r="DJ469">
        <f>DG469</f>
        <v>1589.2</v>
      </c>
      <c r="DK469">
        <v>0</v>
      </c>
      <c r="DL469" t="s">
        <v>486</v>
      </c>
      <c r="DM469">
        <v>0</v>
      </c>
      <c r="DN469" t="s">
        <v>475</v>
      </c>
      <c r="DO469">
        <v>12.62</v>
      </c>
    </row>
    <row r="470" spans="1:119" x14ac:dyDescent="0.2">
      <c r="A470">
        <f>ROW(Source!A202)</f>
        <v>202</v>
      </c>
      <c r="B470">
        <v>55747651</v>
      </c>
      <c r="C470">
        <v>55748282</v>
      </c>
      <c r="D470">
        <v>54768426</v>
      </c>
      <c r="E470">
        <v>1</v>
      </c>
      <c r="F470">
        <v>1</v>
      </c>
      <c r="G470">
        <v>1081</v>
      </c>
      <c r="H470">
        <v>2</v>
      </c>
      <c r="I470" t="s">
        <v>616</v>
      </c>
      <c r="J470" t="s">
        <v>617</v>
      </c>
      <c r="K470" t="s">
        <v>618</v>
      </c>
      <c r="L470">
        <v>1368</v>
      </c>
      <c r="N470">
        <v>1011</v>
      </c>
      <c r="O470" t="s">
        <v>479</v>
      </c>
      <c r="P470" t="s">
        <v>479</v>
      </c>
      <c r="Q470">
        <v>1</v>
      </c>
      <c r="W470">
        <v>0</v>
      </c>
      <c r="X470">
        <v>-643591644</v>
      </c>
      <c r="Y470">
        <f>(AT470*1.2)</f>
        <v>0.39600000000000002</v>
      </c>
      <c r="AA470">
        <v>0</v>
      </c>
      <c r="AB470">
        <v>4.84</v>
      </c>
      <c r="AC470">
        <v>0</v>
      </c>
      <c r="AD470">
        <v>0</v>
      </c>
      <c r="AE470">
        <v>0</v>
      </c>
      <c r="AF470">
        <v>0.47</v>
      </c>
      <c r="AG470">
        <v>0</v>
      </c>
      <c r="AH470">
        <v>0</v>
      </c>
      <c r="AI470">
        <v>1</v>
      </c>
      <c r="AJ470">
        <v>9.66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0.33</v>
      </c>
      <c r="AU470" t="s">
        <v>49</v>
      </c>
      <c r="AV470">
        <v>0</v>
      </c>
      <c r="AW470">
        <v>2</v>
      </c>
      <c r="AX470">
        <v>55748299</v>
      </c>
      <c r="AY470">
        <v>1</v>
      </c>
      <c r="AZ470">
        <v>0</v>
      </c>
      <c r="BA470">
        <v>503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ROUND(Y470*Source!I202*DO470,9)</f>
        <v>0</v>
      </c>
      <c r="CX470">
        <f>ROUND(Y470*Source!I202,9)</f>
        <v>3.0808800000000001</v>
      </c>
      <c r="CY470">
        <f>AB470</f>
        <v>4.84</v>
      </c>
      <c r="CZ470">
        <f>AF470</f>
        <v>0.47</v>
      </c>
      <c r="DA470">
        <f>AJ470</f>
        <v>9.66</v>
      </c>
      <c r="DB470">
        <f>ROUND((ROUND(AT470*CZ470,2)*1.2),6)</f>
        <v>0.192</v>
      </c>
      <c r="DC470">
        <f>ROUND((ROUND(AT470*AG470,2)*1.2),6)</f>
        <v>0</v>
      </c>
      <c r="DD470" t="s">
        <v>3</v>
      </c>
      <c r="DE470" t="s">
        <v>3</v>
      </c>
      <c r="DF470">
        <f t="shared" si="195"/>
        <v>0</v>
      </c>
      <c r="DG470">
        <f>ROUND(ROUND(AF470*AJ470,2)*CX470,2)</f>
        <v>13.99</v>
      </c>
      <c r="DH470">
        <f t="shared" ref="DH470:DH502" si="203">ROUND(ROUND(AG470,2)*CX470,2)</f>
        <v>0</v>
      </c>
      <c r="DI470">
        <f t="shared" si="192"/>
        <v>0</v>
      </c>
      <c r="DJ470">
        <f>DG470</f>
        <v>13.99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ROW(Source!A202)</f>
        <v>202</v>
      </c>
      <c r="B471">
        <v>55747651</v>
      </c>
      <c r="C471">
        <v>55748282</v>
      </c>
      <c r="D471">
        <v>54739078</v>
      </c>
      <c r="E471">
        <v>1</v>
      </c>
      <c r="F471">
        <v>1</v>
      </c>
      <c r="G471">
        <v>1081</v>
      </c>
      <c r="H471">
        <v>3</v>
      </c>
      <c r="I471" t="s">
        <v>541</v>
      </c>
      <c r="J471" t="s">
        <v>542</v>
      </c>
      <c r="K471" t="s">
        <v>543</v>
      </c>
      <c r="L471">
        <v>1346</v>
      </c>
      <c r="N471">
        <v>1009</v>
      </c>
      <c r="O471" t="s">
        <v>503</v>
      </c>
      <c r="P471" t="s">
        <v>503</v>
      </c>
      <c r="Q471">
        <v>1</v>
      </c>
      <c r="W471">
        <v>0</v>
      </c>
      <c r="X471">
        <v>1021383118</v>
      </c>
      <c r="Y471">
        <f t="shared" ref="Y471:Y476" si="204">(AT471*1)</f>
        <v>0.50900000000000001</v>
      </c>
      <c r="AA471">
        <v>324.06</v>
      </c>
      <c r="AB471">
        <v>0</v>
      </c>
      <c r="AC471">
        <v>0</v>
      </c>
      <c r="AD471">
        <v>0</v>
      </c>
      <c r="AE471">
        <v>37.979999999999997</v>
      </c>
      <c r="AF471">
        <v>0</v>
      </c>
      <c r="AG471">
        <v>0</v>
      </c>
      <c r="AH471">
        <v>0</v>
      </c>
      <c r="AI471">
        <v>8.3000000000000007</v>
      </c>
      <c r="AJ471">
        <v>1</v>
      </c>
      <c r="AK471">
        <v>1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0.50900000000000001</v>
      </c>
      <c r="AU471" t="s">
        <v>48</v>
      </c>
      <c r="AV471">
        <v>0</v>
      </c>
      <c r="AW471">
        <v>2</v>
      </c>
      <c r="AX471">
        <v>55748300</v>
      </c>
      <c r="AY471">
        <v>1</v>
      </c>
      <c r="AZ471">
        <v>0</v>
      </c>
      <c r="BA471">
        <v>504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ROUND(Y471*Source!I202,9)</f>
        <v>3.9600200000000001</v>
      </c>
      <c r="CY471">
        <f t="shared" ref="CY471:CY478" si="205">AA471</f>
        <v>324.06</v>
      </c>
      <c r="CZ471">
        <f t="shared" ref="CZ471:CZ478" si="206">AE471</f>
        <v>37.979999999999997</v>
      </c>
      <c r="DA471">
        <f t="shared" ref="DA471:DA478" si="207">AI471</f>
        <v>8.3000000000000007</v>
      </c>
      <c r="DB471">
        <f t="shared" ref="DB471:DB476" si="208">ROUND((ROUND(AT471*CZ471,2)*1),6)</f>
        <v>19.329999999999998</v>
      </c>
      <c r="DC471">
        <f t="shared" ref="DC471:DC476" si="209">ROUND((ROUND(AT471*AG471,2)*1),6)</f>
        <v>0</v>
      </c>
      <c r="DD471" t="s">
        <v>3</v>
      </c>
      <c r="DE471" t="s">
        <v>3</v>
      </c>
      <c r="DF471">
        <f t="shared" ref="DF471:DF478" si="210">ROUND(ROUND(AE471*AI471,2)*CX471,2)</f>
        <v>1248.32</v>
      </c>
      <c r="DG471">
        <f t="shared" ref="DG471:DG486" si="211">ROUND(ROUND(AF471,2)*CX471,2)</f>
        <v>0</v>
      </c>
      <c r="DH471">
        <f t="shared" si="203"/>
        <v>0</v>
      </c>
      <c r="DI471">
        <f t="shared" si="192"/>
        <v>0</v>
      </c>
      <c r="DJ471">
        <f t="shared" ref="DJ471:DJ478" si="212">DF471</f>
        <v>1248.32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ROW(Source!A202)</f>
        <v>202</v>
      </c>
      <c r="B472">
        <v>55747651</v>
      </c>
      <c r="C472">
        <v>55748282</v>
      </c>
      <c r="D472">
        <v>54744157</v>
      </c>
      <c r="E472">
        <v>1</v>
      </c>
      <c r="F472">
        <v>1</v>
      </c>
      <c r="G472">
        <v>1081</v>
      </c>
      <c r="H472">
        <v>3</v>
      </c>
      <c r="I472" t="s">
        <v>619</v>
      </c>
      <c r="J472" t="s">
        <v>620</v>
      </c>
      <c r="K472" t="s">
        <v>621</v>
      </c>
      <c r="L472">
        <v>1346</v>
      </c>
      <c r="N472">
        <v>1009</v>
      </c>
      <c r="O472" t="s">
        <v>503</v>
      </c>
      <c r="P472" t="s">
        <v>503</v>
      </c>
      <c r="Q472">
        <v>1</v>
      </c>
      <c r="W472">
        <v>0</v>
      </c>
      <c r="X472">
        <v>-1002316563</v>
      </c>
      <c r="Y472">
        <f t="shared" si="204"/>
        <v>1.575</v>
      </c>
      <c r="AA472">
        <v>686.54</v>
      </c>
      <c r="AB472">
        <v>0</v>
      </c>
      <c r="AC472">
        <v>0</v>
      </c>
      <c r="AD472">
        <v>0</v>
      </c>
      <c r="AE472">
        <v>78.569999999999993</v>
      </c>
      <c r="AF472">
        <v>0</v>
      </c>
      <c r="AG472">
        <v>0</v>
      </c>
      <c r="AH472">
        <v>0</v>
      </c>
      <c r="AI472">
        <v>8.5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1.575</v>
      </c>
      <c r="AU472" t="s">
        <v>48</v>
      </c>
      <c r="AV472">
        <v>0</v>
      </c>
      <c r="AW472">
        <v>2</v>
      </c>
      <c r="AX472">
        <v>55748301</v>
      </c>
      <c r="AY472">
        <v>1</v>
      </c>
      <c r="AZ472">
        <v>0</v>
      </c>
      <c r="BA472">
        <v>505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ROUND(Y472*Source!I202,9)</f>
        <v>12.253500000000001</v>
      </c>
      <c r="CY472">
        <f t="shared" si="205"/>
        <v>686.54</v>
      </c>
      <c r="CZ472">
        <f t="shared" si="206"/>
        <v>78.569999999999993</v>
      </c>
      <c r="DA472">
        <f t="shared" si="207"/>
        <v>8.5</v>
      </c>
      <c r="DB472">
        <f t="shared" si="208"/>
        <v>123.75</v>
      </c>
      <c r="DC472">
        <f t="shared" si="209"/>
        <v>0</v>
      </c>
      <c r="DD472" t="s">
        <v>3</v>
      </c>
      <c r="DE472" t="s">
        <v>3</v>
      </c>
      <c r="DF472">
        <f t="shared" si="210"/>
        <v>8183.5</v>
      </c>
      <c r="DG472">
        <f t="shared" si="211"/>
        <v>0</v>
      </c>
      <c r="DH472">
        <f t="shared" si="203"/>
        <v>0</v>
      </c>
      <c r="DI472">
        <f t="shared" si="192"/>
        <v>0</v>
      </c>
      <c r="DJ472">
        <f t="shared" si="212"/>
        <v>8183.5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ROW(Source!A202)</f>
        <v>202</v>
      </c>
      <c r="B473">
        <v>55747651</v>
      </c>
      <c r="C473">
        <v>55748282</v>
      </c>
      <c r="D473">
        <v>54753962</v>
      </c>
      <c r="E473">
        <v>1</v>
      </c>
      <c r="F473">
        <v>1</v>
      </c>
      <c r="G473">
        <v>1081</v>
      </c>
      <c r="H473">
        <v>3</v>
      </c>
      <c r="I473" t="s">
        <v>622</v>
      </c>
      <c r="J473" t="s">
        <v>623</v>
      </c>
      <c r="K473" t="s">
        <v>624</v>
      </c>
      <c r="L473">
        <v>1354</v>
      </c>
      <c r="N473">
        <v>1010</v>
      </c>
      <c r="O473" t="s">
        <v>118</v>
      </c>
      <c r="P473" t="s">
        <v>118</v>
      </c>
      <c r="Q473">
        <v>1</v>
      </c>
      <c r="W473">
        <v>0</v>
      </c>
      <c r="X473">
        <v>-1531181373</v>
      </c>
      <c r="Y473">
        <f t="shared" si="204"/>
        <v>100</v>
      </c>
      <c r="AA473">
        <v>46.01</v>
      </c>
      <c r="AB473">
        <v>0</v>
      </c>
      <c r="AC473">
        <v>0</v>
      </c>
      <c r="AD473">
        <v>0</v>
      </c>
      <c r="AE473">
        <v>4.59</v>
      </c>
      <c r="AF473">
        <v>0</v>
      </c>
      <c r="AG473">
        <v>0</v>
      </c>
      <c r="AH473">
        <v>0</v>
      </c>
      <c r="AI473">
        <v>9.75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100</v>
      </c>
      <c r="AU473" t="s">
        <v>48</v>
      </c>
      <c r="AV473">
        <v>0</v>
      </c>
      <c r="AW473">
        <v>2</v>
      </c>
      <c r="AX473">
        <v>55748302</v>
      </c>
      <c r="AY473">
        <v>1</v>
      </c>
      <c r="AZ473">
        <v>0</v>
      </c>
      <c r="BA473">
        <v>506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ROUND(Y473*Source!I202,9)</f>
        <v>778</v>
      </c>
      <c r="CY473">
        <f t="shared" si="205"/>
        <v>46.01</v>
      </c>
      <c r="CZ473">
        <f t="shared" si="206"/>
        <v>4.59</v>
      </c>
      <c r="DA473">
        <f t="shared" si="207"/>
        <v>9.75</v>
      </c>
      <c r="DB473">
        <f t="shared" si="208"/>
        <v>459</v>
      </c>
      <c r="DC473">
        <f t="shared" si="209"/>
        <v>0</v>
      </c>
      <c r="DD473" t="s">
        <v>3</v>
      </c>
      <c r="DE473" t="s">
        <v>3</v>
      </c>
      <c r="DF473">
        <f t="shared" si="210"/>
        <v>34815.5</v>
      </c>
      <c r="DG473">
        <f t="shared" si="211"/>
        <v>0</v>
      </c>
      <c r="DH473">
        <f t="shared" si="203"/>
        <v>0</v>
      </c>
      <c r="DI473">
        <f t="shared" si="192"/>
        <v>0</v>
      </c>
      <c r="DJ473">
        <f t="shared" si="212"/>
        <v>34815.5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ROW(Source!A202)</f>
        <v>202</v>
      </c>
      <c r="B474">
        <v>55747651</v>
      </c>
      <c r="C474">
        <v>55748282</v>
      </c>
      <c r="D474">
        <v>54753963</v>
      </c>
      <c r="E474">
        <v>1</v>
      </c>
      <c r="F474">
        <v>1</v>
      </c>
      <c r="G474">
        <v>1081</v>
      </c>
      <c r="H474">
        <v>3</v>
      </c>
      <c r="I474" t="s">
        <v>625</v>
      </c>
      <c r="J474" t="s">
        <v>626</v>
      </c>
      <c r="K474" t="s">
        <v>627</v>
      </c>
      <c r="L474">
        <v>1354</v>
      </c>
      <c r="N474">
        <v>1010</v>
      </c>
      <c r="O474" t="s">
        <v>118</v>
      </c>
      <c r="P474" t="s">
        <v>118</v>
      </c>
      <c r="Q474">
        <v>1</v>
      </c>
      <c r="W474">
        <v>0</v>
      </c>
      <c r="X474">
        <v>-1806552005</v>
      </c>
      <c r="Y474">
        <f t="shared" si="204"/>
        <v>102</v>
      </c>
      <c r="AA474">
        <v>46.01</v>
      </c>
      <c r="AB474">
        <v>0</v>
      </c>
      <c r="AC474">
        <v>0</v>
      </c>
      <c r="AD474">
        <v>0</v>
      </c>
      <c r="AE474">
        <v>4.59</v>
      </c>
      <c r="AF474">
        <v>0</v>
      </c>
      <c r="AG474">
        <v>0</v>
      </c>
      <c r="AH474">
        <v>0</v>
      </c>
      <c r="AI474">
        <v>9.75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102</v>
      </c>
      <c r="AU474" t="s">
        <v>48</v>
      </c>
      <c r="AV474">
        <v>0</v>
      </c>
      <c r="AW474">
        <v>2</v>
      </c>
      <c r="AX474">
        <v>55748303</v>
      </c>
      <c r="AY474">
        <v>1</v>
      </c>
      <c r="AZ474">
        <v>0</v>
      </c>
      <c r="BA474">
        <v>507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ROUND(Y474*Source!I202,9)</f>
        <v>793.56</v>
      </c>
      <c r="CY474">
        <f t="shared" si="205"/>
        <v>46.01</v>
      </c>
      <c r="CZ474">
        <f t="shared" si="206"/>
        <v>4.59</v>
      </c>
      <c r="DA474">
        <f t="shared" si="207"/>
        <v>9.75</v>
      </c>
      <c r="DB474">
        <f t="shared" si="208"/>
        <v>468.18</v>
      </c>
      <c r="DC474">
        <f t="shared" si="209"/>
        <v>0</v>
      </c>
      <c r="DD474" t="s">
        <v>3</v>
      </c>
      <c r="DE474" t="s">
        <v>3</v>
      </c>
      <c r="DF474">
        <f t="shared" si="210"/>
        <v>35511.81</v>
      </c>
      <c r="DG474">
        <f t="shared" si="211"/>
        <v>0</v>
      </c>
      <c r="DH474">
        <f t="shared" si="203"/>
        <v>0</v>
      </c>
      <c r="DI474">
        <f t="shared" si="192"/>
        <v>0</v>
      </c>
      <c r="DJ474">
        <f t="shared" si="212"/>
        <v>35511.81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ROW(Source!A202)</f>
        <v>202</v>
      </c>
      <c r="B475">
        <v>55747651</v>
      </c>
      <c r="C475">
        <v>55748282</v>
      </c>
      <c r="D475">
        <v>54753964</v>
      </c>
      <c r="E475">
        <v>1</v>
      </c>
      <c r="F475">
        <v>1</v>
      </c>
      <c r="G475">
        <v>1081</v>
      </c>
      <c r="H475">
        <v>3</v>
      </c>
      <c r="I475" t="s">
        <v>628</v>
      </c>
      <c r="J475" t="s">
        <v>629</v>
      </c>
      <c r="K475" t="s">
        <v>630</v>
      </c>
      <c r="L475">
        <v>1354</v>
      </c>
      <c r="N475">
        <v>1010</v>
      </c>
      <c r="O475" t="s">
        <v>118</v>
      </c>
      <c r="P475" t="s">
        <v>118</v>
      </c>
      <c r="Q475">
        <v>1</v>
      </c>
      <c r="W475">
        <v>0</v>
      </c>
      <c r="X475">
        <v>-709156778</v>
      </c>
      <c r="Y475">
        <f t="shared" si="204"/>
        <v>204</v>
      </c>
      <c r="AA475">
        <v>46.01</v>
      </c>
      <c r="AB475">
        <v>0</v>
      </c>
      <c r="AC475">
        <v>0</v>
      </c>
      <c r="AD475">
        <v>0</v>
      </c>
      <c r="AE475">
        <v>4.59</v>
      </c>
      <c r="AF475">
        <v>0</v>
      </c>
      <c r="AG475">
        <v>0</v>
      </c>
      <c r="AH475">
        <v>0</v>
      </c>
      <c r="AI475">
        <v>9.75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204</v>
      </c>
      <c r="AU475" t="s">
        <v>48</v>
      </c>
      <c r="AV475">
        <v>0</v>
      </c>
      <c r="AW475">
        <v>2</v>
      </c>
      <c r="AX475">
        <v>55748304</v>
      </c>
      <c r="AY475">
        <v>1</v>
      </c>
      <c r="AZ475">
        <v>0</v>
      </c>
      <c r="BA475">
        <v>508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ROUND(Y475*Source!I202,9)</f>
        <v>1587.12</v>
      </c>
      <c r="CY475">
        <f t="shared" si="205"/>
        <v>46.01</v>
      </c>
      <c r="CZ475">
        <f t="shared" si="206"/>
        <v>4.59</v>
      </c>
      <c r="DA475">
        <f t="shared" si="207"/>
        <v>9.75</v>
      </c>
      <c r="DB475">
        <f t="shared" si="208"/>
        <v>936.36</v>
      </c>
      <c r="DC475">
        <f t="shared" si="209"/>
        <v>0</v>
      </c>
      <c r="DD475" t="s">
        <v>3</v>
      </c>
      <c r="DE475" t="s">
        <v>3</v>
      </c>
      <c r="DF475">
        <f t="shared" si="210"/>
        <v>71023.62</v>
      </c>
      <c r="DG475">
        <f t="shared" si="211"/>
        <v>0</v>
      </c>
      <c r="DH475">
        <f t="shared" si="203"/>
        <v>0</v>
      </c>
      <c r="DI475">
        <f t="shared" si="192"/>
        <v>0</v>
      </c>
      <c r="DJ475">
        <f t="shared" si="212"/>
        <v>71023.62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ROW(Source!A202)</f>
        <v>202</v>
      </c>
      <c r="B476">
        <v>55747651</v>
      </c>
      <c r="C476">
        <v>55748282</v>
      </c>
      <c r="D476">
        <v>54753965</v>
      </c>
      <c r="E476">
        <v>1</v>
      </c>
      <c r="F476">
        <v>1</v>
      </c>
      <c r="G476">
        <v>1081</v>
      </c>
      <c r="H476">
        <v>3</v>
      </c>
      <c r="I476" t="s">
        <v>631</v>
      </c>
      <c r="J476" t="s">
        <v>632</v>
      </c>
      <c r="K476" t="s">
        <v>633</v>
      </c>
      <c r="L476">
        <v>1354</v>
      </c>
      <c r="N476">
        <v>1010</v>
      </c>
      <c r="O476" t="s">
        <v>118</v>
      </c>
      <c r="P476" t="s">
        <v>118</v>
      </c>
      <c r="Q476">
        <v>1</v>
      </c>
      <c r="W476">
        <v>0</v>
      </c>
      <c r="X476">
        <v>-1115551314</v>
      </c>
      <c r="Y476">
        <f t="shared" si="204"/>
        <v>102</v>
      </c>
      <c r="AA476">
        <v>28.16</v>
      </c>
      <c r="AB476">
        <v>0</v>
      </c>
      <c r="AC476">
        <v>0</v>
      </c>
      <c r="AD476">
        <v>0</v>
      </c>
      <c r="AE476">
        <v>2.81</v>
      </c>
      <c r="AF476">
        <v>0</v>
      </c>
      <c r="AG476">
        <v>0</v>
      </c>
      <c r="AH476">
        <v>0</v>
      </c>
      <c r="AI476">
        <v>9.75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102</v>
      </c>
      <c r="AU476" t="s">
        <v>48</v>
      </c>
      <c r="AV476">
        <v>0</v>
      </c>
      <c r="AW476">
        <v>2</v>
      </c>
      <c r="AX476">
        <v>55748305</v>
      </c>
      <c r="AY476">
        <v>1</v>
      </c>
      <c r="AZ476">
        <v>0</v>
      </c>
      <c r="BA476">
        <v>509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ROUND(Y476*Source!I202,9)</f>
        <v>793.56</v>
      </c>
      <c r="CY476">
        <f t="shared" si="205"/>
        <v>28.16</v>
      </c>
      <c r="CZ476">
        <f t="shared" si="206"/>
        <v>2.81</v>
      </c>
      <c r="DA476">
        <f t="shared" si="207"/>
        <v>9.75</v>
      </c>
      <c r="DB476">
        <f t="shared" si="208"/>
        <v>286.62</v>
      </c>
      <c r="DC476">
        <f t="shared" si="209"/>
        <v>0</v>
      </c>
      <c r="DD476" t="s">
        <v>3</v>
      </c>
      <c r="DE476" t="s">
        <v>3</v>
      </c>
      <c r="DF476">
        <f t="shared" si="210"/>
        <v>21743.54</v>
      </c>
      <c r="DG476">
        <f t="shared" si="211"/>
        <v>0</v>
      </c>
      <c r="DH476">
        <f t="shared" si="203"/>
        <v>0</v>
      </c>
      <c r="DI476">
        <f t="shared" si="192"/>
        <v>0</v>
      </c>
      <c r="DJ476">
        <f t="shared" si="212"/>
        <v>21743.54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ROW(Source!A202)</f>
        <v>202</v>
      </c>
      <c r="B477">
        <v>55747651</v>
      </c>
      <c r="C477">
        <v>55748282</v>
      </c>
      <c r="D477">
        <v>54756484</v>
      </c>
      <c r="E477">
        <v>1</v>
      </c>
      <c r="F477">
        <v>1</v>
      </c>
      <c r="G477">
        <v>1081</v>
      </c>
      <c r="H477">
        <v>3</v>
      </c>
      <c r="I477" t="s">
        <v>357</v>
      </c>
      <c r="J477" t="s">
        <v>359</v>
      </c>
      <c r="K477" t="s">
        <v>358</v>
      </c>
      <c r="L477">
        <v>1354</v>
      </c>
      <c r="N477">
        <v>1010</v>
      </c>
      <c r="O477" t="s">
        <v>118</v>
      </c>
      <c r="P477" t="s">
        <v>118</v>
      </c>
      <c r="Q477">
        <v>1</v>
      </c>
      <c r="W477">
        <v>0</v>
      </c>
      <c r="X477">
        <v>-1169831446</v>
      </c>
      <c r="Y477">
        <f>AT477</f>
        <v>100</v>
      </c>
      <c r="AA477">
        <v>939.97</v>
      </c>
      <c r="AB477">
        <v>0</v>
      </c>
      <c r="AC477">
        <v>0</v>
      </c>
      <c r="AD477">
        <v>0</v>
      </c>
      <c r="AE477">
        <v>38.21</v>
      </c>
      <c r="AF477">
        <v>0</v>
      </c>
      <c r="AG477">
        <v>0</v>
      </c>
      <c r="AH477">
        <v>0</v>
      </c>
      <c r="AI477">
        <v>24.6</v>
      </c>
      <c r="AJ477">
        <v>1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 t="s">
        <v>3</v>
      </c>
      <c r="AT477">
        <v>100</v>
      </c>
      <c r="AU477" t="s">
        <v>3</v>
      </c>
      <c r="AV477">
        <v>0</v>
      </c>
      <c r="AW477">
        <v>1</v>
      </c>
      <c r="AX477">
        <v>-1</v>
      </c>
      <c r="AY477">
        <v>0</v>
      </c>
      <c r="AZ477">
        <v>0</v>
      </c>
      <c r="BA477" t="s">
        <v>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ROUND(Y477*Source!I202,9)</f>
        <v>778</v>
      </c>
      <c r="CY477">
        <f t="shared" si="205"/>
        <v>939.97</v>
      </c>
      <c r="CZ477">
        <f t="shared" si="206"/>
        <v>38.21</v>
      </c>
      <c r="DA477">
        <f t="shared" si="207"/>
        <v>24.6</v>
      </c>
      <c r="DB477">
        <f>ROUND(ROUND(AT477*CZ477,2),6)</f>
        <v>3821</v>
      </c>
      <c r="DC477">
        <f>ROUND(ROUND(AT477*AG477,2),6)</f>
        <v>0</v>
      </c>
      <c r="DD477" t="s">
        <v>3</v>
      </c>
      <c r="DE477" t="s">
        <v>3</v>
      </c>
      <c r="DF477">
        <f t="shared" si="210"/>
        <v>731296.66</v>
      </c>
      <c r="DG477">
        <f t="shared" si="211"/>
        <v>0</v>
      </c>
      <c r="DH477">
        <f t="shared" si="203"/>
        <v>0</v>
      </c>
      <c r="DI477">
        <f t="shared" si="192"/>
        <v>0</v>
      </c>
      <c r="DJ477">
        <f t="shared" si="212"/>
        <v>731296.66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ROW(Source!A202)</f>
        <v>202</v>
      </c>
      <c r="B478">
        <v>55747651</v>
      </c>
      <c r="C478">
        <v>55748282</v>
      </c>
      <c r="D478">
        <v>54756500</v>
      </c>
      <c r="E478">
        <v>1</v>
      </c>
      <c r="F478">
        <v>1</v>
      </c>
      <c r="G478">
        <v>1081</v>
      </c>
      <c r="H478">
        <v>3</v>
      </c>
      <c r="I478" t="s">
        <v>634</v>
      </c>
      <c r="J478" t="s">
        <v>635</v>
      </c>
      <c r="K478" t="s">
        <v>636</v>
      </c>
      <c r="L478">
        <v>1354</v>
      </c>
      <c r="N478">
        <v>1010</v>
      </c>
      <c r="O478" t="s">
        <v>118</v>
      </c>
      <c r="P478" t="s">
        <v>118</v>
      </c>
      <c r="Q478">
        <v>1</v>
      </c>
      <c r="W478">
        <v>0</v>
      </c>
      <c r="X478">
        <v>532027092</v>
      </c>
      <c r="Y478">
        <f>(AT478*1)</f>
        <v>100</v>
      </c>
      <c r="AA478">
        <v>50.27</v>
      </c>
      <c r="AB478">
        <v>0</v>
      </c>
      <c r="AC478">
        <v>0</v>
      </c>
      <c r="AD478">
        <v>0</v>
      </c>
      <c r="AE478">
        <v>5.01</v>
      </c>
      <c r="AF478">
        <v>0</v>
      </c>
      <c r="AG478">
        <v>0</v>
      </c>
      <c r="AH478">
        <v>0</v>
      </c>
      <c r="AI478">
        <v>9.76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100</v>
      </c>
      <c r="AU478" t="s">
        <v>48</v>
      </c>
      <c r="AV478">
        <v>0</v>
      </c>
      <c r="AW478">
        <v>2</v>
      </c>
      <c r="AX478">
        <v>55748306</v>
      </c>
      <c r="AY478">
        <v>1</v>
      </c>
      <c r="AZ478">
        <v>0</v>
      </c>
      <c r="BA478">
        <v>510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ROUND(Y478*Source!I202,9)</f>
        <v>778</v>
      </c>
      <c r="CY478">
        <f t="shared" si="205"/>
        <v>50.27</v>
      </c>
      <c r="CZ478">
        <f t="shared" si="206"/>
        <v>5.01</v>
      </c>
      <c r="DA478">
        <f t="shared" si="207"/>
        <v>9.76</v>
      </c>
      <c r="DB478">
        <f>ROUND((ROUND(AT478*CZ478,2)*1),6)</f>
        <v>501</v>
      </c>
      <c r="DC478">
        <f>ROUND((ROUND(AT478*AG478,2)*1),6)</f>
        <v>0</v>
      </c>
      <c r="DD478" t="s">
        <v>3</v>
      </c>
      <c r="DE478" t="s">
        <v>3</v>
      </c>
      <c r="DF478">
        <f t="shared" si="210"/>
        <v>38044.199999999997</v>
      </c>
      <c r="DG478">
        <f t="shared" si="211"/>
        <v>0</v>
      </c>
      <c r="DH478">
        <f t="shared" si="203"/>
        <v>0</v>
      </c>
      <c r="DI478">
        <f t="shared" si="192"/>
        <v>0</v>
      </c>
      <c r="DJ478">
        <f t="shared" si="212"/>
        <v>38044.199999999997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ROW(Source!A207)</f>
        <v>207</v>
      </c>
      <c r="B479">
        <v>55747649</v>
      </c>
      <c r="C479">
        <v>55748315</v>
      </c>
      <c r="D479">
        <v>54702434</v>
      </c>
      <c r="E479">
        <v>1081</v>
      </c>
      <c r="F479">
        <v>1</v>
      </c>
      <c r="G479">
        <v>1081</v>
      </c>
      <c r="H479">
        <v>1</v>
      </c>
      <c r="I479" t="s">
        <v>473</v>
      </c>
      <c r="J479" t="s">
        <v>3</v>
      </c>
      <c r="K479" t="s">
        <v>474</v>
      </c>
      <c r="L479">
        <v>1191</v>
      </c>
      <c r="N479">
        <v>1013</v>
      </c>
      <c r="O479" t="s">
        <v>475</v>
      </c>
      <c r="P479" t="s">
        <v>475</v>
      </c>
      <c r="Q479">
        <v>1</v>
      </c>
      <c r="W479">
        <v>0</v>
      </c>
      <c r="X479">
        <v>476480486</v>
      </c>
      <c r="Y479">
        <f>(AT479*1.2)</f>
        <v>8.2799999999999994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-2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6.9</v>
      </c>
      <c r="AU479" t="s">
        <v>49</v>
      </c>
      <c r="AV479">
        <v>1</v>
      </c>
      <c r="AW479">
        <v>2</v>
      </c>
      <c r="AX479">
        <v>55748323</v>
      </c>
      <c r="AY479">
        <v>1</v>
      </c>
      <c r="AZ479">
        <v>0</v>
      </c>
      <c r="BA479">
        <v>515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U479">
        <f>ROUND(AT479*Source!I207*AH479*AL479,2)</f>
        <v>0</v>
      </c>
      <c r="CV479">
        <f>ROUND(Y479*Source!I207,9)</f>
        <v>99.36</v>
      </c>
      <c r="CW479">
        <v>0</v>
      </c>
      <c r="CX479">
        <f>ROUND(Y479*Source!I207,9)</f>
        <v>99.36</v>
      </c>
      <c r="CY479">
        <f>AD479</f>
        <v>0</v>
      </c>
      <c r="CZ479">
        <f>AH479</f>
        <v>0</v>
      </c>
      <c r="DA479">
        <f>AL479</f>
        <v>1</v>
      </c>
      <c r="DB479">
        <f>ROUND((ROUND(AT479*CZ479,2)*1.2),6)</f>
        <v>0</v>
      </c>
      <c r="DC479">
        <f>ROUND((ROUND(AT479*AG479,2)*1.2),6)</f>
        <v>0</v>
      </c>
      <c r="DD479" t="s">
        <v>3</v>
      </c>
      <c r="DE479" t="s">
        <v>3</v>
      </c>
      <c r="DF479">
        <f t="shared" ref="DF479:DF487" si="213">ROUND(ROUND(AE479,2)*CX479,2)</f>
        <v>0</v>
      </c>
      <c r="DG479">
        <f t="shared" si="211"/>
        <v>0</v>
      </c>
      <c r="DH479">
        <f t="shared" si="203"/>
        <v>0</v>
      </c>
      <c r="DI479">
        <f t="shared" si="192"/>
        <v>0</v>
      </c>
      <c r="DJ479">
        <f>DI479</f>
        <v>0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ROW(Source!A207)</f>
        <v>207</v>
      </c>
      <c r="B480">
        <v>55747649</v>
      </c>
      <c r="C480">
        <v>55748315</v>
      </c>
      <c r="D480">
        <v>54768040</v>
      </c>
      <c r="E480">
        <v>1</v>
      </c>
      <c r="F480">
        <v>1</v>
      </c>
      <c r="G480">
        <v>1081</v>
      </c>
      <c r="H480">
        <v>2</v>
      </c>
      <c r="I480" t="s">
        <v>476</v>
      </c>
      <c r="J480" t="s">
        <v>477</v>
      </c>
      <c r="K480" t="s">
        <v>478</v>
      </c>
      <c r="L480">
        <v>1368</v>
      </c>
      <c r="N480">
        <v>1011</v>
      </c>
      <c r="O480" t="s">
        <v>479</v>
      </c>
      <c r="P480" t="s">
        <v>479</v>
      </c>
      <c r="Q480">
        <v>1</v>
      </c>
      <c r="W480">
        <v>0</v>
      </c>
      <c r="X480">
        <v>1498588441</v>
      </c>
      <c r="Y480">
        <f>(AT480*1.2)</f>
        <v>0.72</v>
      </c>
      <c r="AA480">
        <v>0</v>
      </c>
      <c r="AB480">
        <v>7.59</v>
      </c>
      <c r="AC480">
        <v>0</v>
      </c>
      <c r="AD480">
        <v>0</v>
      </c>
      <c r="AE480">
        <v>0</v>
      </c>
      <c r="AF480">
        <v>7.11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-2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0.6</v>
      </c>
      <c r="AU480" t="s">
        <v>49</v>
      </c>
      <c r="AV480">
        <v>0</v>
      </c>
      <c r="AW480">
        <v>2</v>
      </c>
      <c r="AX480">
        <v>55748324</v>
      </c>
      <c r="AY480">
        <v>1</v>
      </c>
      <c r="AZ480">
        <v>0</v>
      </c>
      <c r="BA480">
        <v>516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ROUND(Y480*Source!I207*DO480,9)</f>
        <v>0</v>
      </c>
      <c r="CX480">
        <f>ROUND(Y480*Source!I207,9)</f>
        <v>8.64</v>
      </c>
      <c r="CY480">
        <f>AB480</f>
        <v>7.59</v>
      </c>
      <c r="CZ480">
        <f>AF480</f>
        <v>7.11</v>
      </c>
      <c r="DA480">
        <f>AJ480</f>
        <v>1</v>
      </c>
      <c r="DB480">
        <f>ROUND((ROUND(AT480*CZ480,2)*1.2),6)</f>
        <v>5.1239999999999997</v>
      </c>
      <c r="DC480">
        <f>ROUND((ROUND(AT480*AG480,2)*1.2),6)</f>
        <v>0</v>
      </c>
      <c r="DD480" t="s">
        <v>3</v>
      </c>
      <c r="DE480" t="s">
        <v>3</v>
      </c>
      <c r="DF480">
        <f t="shared" si="213"/>
        <v>0</v>
      </c>
      <c r="DG480">
        <f t="shared" si="211"/>
        <v>61.43</v>
      </c>
      <c r="DH480">
        <f t="shared" si="203"/>
        <v>0</v>
      </c>
      <c r="DI480">
        <f t="shared" si="192"/>
        <v>0</v>
      </c>
      <c r="DJ480">
        <f>DG480</f>
        <v>61.43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ROW(Source!A207)</f>
        <v>207</v>
      </c>
      <c r="B481">
        <v>55747649</v>
      </c>
      <c r="C481">
        <v>55748315</v>
      </c>
      <c r="D481">
        <v>54738518</v>
      </c>
      <c r="E481">
        <v>1</v>
      </c>
      <c r="F481">
        <v>1</v>
      </c>
      <c r="G481">
        <v>1081</v>
      </c>
      <c r="H481">
        <v>3</v>
      </c>
      <c r="I481" t="s">
        <v>493</v>
      </c>
      <c r="J481" t="s">
        <v>494</v>
      </c>
      <c r="K481" t="s">
        <v>495</v>
      </c>
      <c r="L481">
        <v>1348</v>
      </c>
      <c r="N481">
        <v>1009</v>
      </c>
      <c r="O481" t="s">
        <v>282</v>
      </c>
      <c r="P481" t="s">
        <v>282</v>
      </c>
      <c r="Q481">
        <v>1000</v>
      </c>
      <c r="W481">
        <v>0</v>
      </c>
      <c r="X481">
        <v>205566664</v>
      </c>
      <c r="Y481">
        <f>(AT481*1)</f>
        <v>3.8000000000000002E-4</v>
      </c>
      <c r="AA481">
        <v>9367.64</v>
      </c>
      <c r="AB481">
        <v>0</v>
      </c>
      <c r="AC481">
        <v>0</v>
      </c>
      <c r="AD481">
        <v>0</v>
      </c>
      <c r="AE481">
        <v>9112.49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-2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3.8000000000000002E-4</v>
      </c>
      <c r="AU481" t="s">
        <v>48</v>
      </c>
      <c r="AV481">
        <v>0</v>
      </c>
      <c r="AW481">
        <v>2</v>
      </c>
      <c r="AX481">
        <v>55748325</v>
      </c>
      <c r="AY481">
        <v>1</v>
      </c>
      <c r="AZ481">
        <v>0</v>
      </c>
      <c r="BA481">
        <v>517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ROUND(Y481*Source!I207,9)</f>
        <v>4.5599999999999998E-3</v>
      </c>
      <c r="CY481">
        <f>AA481</f>
        <v>9367.64</v>
      </c>
      <c r="CZ481">
        <f>AE481</f>
        <v>9112.49</v>
      </c>
      <c r="DA481">
        <f>AI481</f>
        <v>1</v>
      </c>
      <c r="DB481">
        <f>ROUND((ROUND(AT481*CZ481,2)*1),6)</f>
        <v>3.46</v>
      </c>
      <c r="DC481">
        <f>ROUND((ROUND(AT481*AG481,2)*1),6)</f>
        <v>0</v>
      </c>
      <c r="DD481" t="s">
        <v>3</v>
      </c>
      <c r="DE481" t="s">
        <v>3</v>
      </c>
      <c r="DF481">
        <f t="shared" si="213"/>
        <v>41.55</v>
      </c>
      <c r="DG481">
        <f t="shared" si="211"/>
        <v>0</v>
      </c>
      <c r="DH481">
        <f t="shared" si="203"/>
        <v>0</v>
      </c>
      <c r="DI481">
        <f t="shared" si="192"/>
        <v>0</v>
      </c>
      <c r="DJ481">
        <f>DF481</f>
        <v>41.55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ROW(Source!A207)</f>
        <v>207</v>
      </c>
      <c r="B482">
        <v>55747649</v>
      </c>
      <c r="C482">
        <v>55748315</v>
      </c>
      <c r="D482">
        <v>54739191</v>
      </c>
      <c r="E482">
        <v>1</v>
      </c>
      <c r="F482">
        <v>1</v>
      </c>
      <c r="G482">
        <v>1081</v>
      </c>
      <c r="H482">
        <v>3</v>
      </c>
      <c r="I482" t="s">
        <v>500</v>
      </c>
      <c r="J482" t="s">
        <v>501</v>
      </c>
      <c r="K482" t="s">
        <v>502</v>
      </c>
      <c r="L482">
        <v>1346</v>
      </c>
      <c r="N482">
        <v>1009</v>
      </c>
      <c r="O482" t="s">
        <v>503</v>
      </c>
      <c r="P482" t="s">
        <v>503</v>
      </c>
      <c r="Q482">
        <v>1</v>
      </c>
      <c r="W482">
        <v>0</v>
      </c>
      <c r="X482">
        <v>-2132327540</v>
      </c>
      <c r="Y482">
        <f>(AT482*1)</f>
        <v>6.0000000000000001E-3</v>
      </c>
      <c r="AA482">
        <v>6.43</v>
      </c>
      <c r="AB482">
        <v>0</v>
      </c>
      <c r="AC482">
        <v>0</v>
      </c>
      <c r="AD482">
        <v>0</v>
      </c>
      <c r="AE482">
        <v>6.25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-2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6.0000000000000001E-3</v>
      </c>
      <c r="AU482" t="s">
        <v>48</v>
      </c>
      <c r="AV482">
        <v>0</v>
      </c>
      <c r="AW482">
        <v>2</v>
      </c>
      <c r="AX482">
        <v>55748326</v>
      </c>
      <c r="AY482">
        <v>1</v>
      </c>
      <c r="AZ482">
        <v>0</v>
      </c>
      <c r="BA482">
        <v>518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ROUND(Y482*Source!I207,9)</f>
        <v>7.1999999999999995E-2</v>
      </c>
      <c r="CY482">
        <f>AA482</f>
        <v>6.43</v>
      </c>
      <c r="CZ482">
        <f>AE482</f>
        <v>6.25</v>
      </c>
      <c r="DA482">
        <f>AI482</f>
        <v>1</v>
      </c>
      <c r="DB482">
        <f>ROUND((ROUND(AT482*CZ482,2)*1),6)</f>
        <v>0.04</v>
      </c>
      <c r="DC482">
        <f>ROUND((ROUND(AT482*AG482,2)*1),6)</f>
        <v>0</v>
      </c>
      <c r="DD482" t="s">
        <v>3</v>
      </c>
      <c r="DE482" t="s">
        <v>3</v>
      </c>
      <c r="DF482">
        <f t="shared" si="213"/>
        <v>0.45</v>
      </c>
      <c r="DG482">
        <f t="shared" si="211"/>
        <v>0</v>
      </c>
      <c r="DH482">
        <f t="shared" si="203"/>
        <v>0</v>
      </c>
      <c r="DI482">
        <f t="shared" si="192"/>
        <v>0</v>
      </c>
      <c r="DJ482">
        <f>DF482</f>
        <v>0.45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ROW(Source!A207)</f>
        <v>207</v>
      </c>
      <c r="B483">
        <v>55747649</v>
      </c>
      <c r="C483">
        <v>55748315</v>
      </c>
      <c r="D483">
        <v>54737565</v>
      </c>
      <c r="E483">
        <v>1</v>
      </c>
      <c r="F483">
        <v>1</v>
      </c>
      <c r="G483">
        <v>1081</v>
      </c>
      <c r="H483">
        <v>3</v>
      </c>
      <c r="I483" t="s">
        <v>504</v>
      </c>
      <c r="J483" t="s">
        <v>505</v>
      </c>
      <c r="K483" t="s">
        <v>506</v>
      </c>
      <c r="L483">
        <v>1339</v>
      </c>
      <c r="N483">
        <v>1007</v>
      </c>
      <c r="O483" t="s">
        <v>507</v>
      </c>
      <c r="P483" t="s">
        <v>507</v>
      </c>
      <c r="Q483">
        <v>1</v>
      </c>
      <c r="W483">
        <v>0</v>
      </c>
      <c r="X483">
        <v>-1235260082</v>
      </c>
      <c r="Y483">
        <f>(AT483*1)</f>
        <v>1.4999999999999999E-2</v>
      </c>
      <c r="AA483">
        <v>5.98</v>
      </c>
      <c r="AB483">
        <v>0</v>
      </c>
      <c r="AC483">
        <v>0</v>
      </c>
      <c r="AD483">
        <v>0</v>
      </c>
      <c r="AE483">
        <v>5.82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1.4999999999999999E-2</v>
      </c>
      <c r="AU483" t="s">
        <v>48</v>
      </c>
      <c r="AV483">
        <v>0</v>
      </c>
      <c r="AW483">
        <v>2</v>
      </c>
      <c r="AX483">
        <v>55748327</v>
      </c>
      <c r="AY483">
        <v>1</v>
      </c>
      <c r="AZ483">
        <v>0</v>
      </c>
      <c r="BA483">
        <v>519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ROUND(Y483*Source!I207,9)</f>
        <v>0.18</v>
      </c>
      <c r="CY483">
        <f>AA483</f>
        <v>5.98</v>
      </c>
      <c r="CZ483">
        <f>AE483</f>
        <v>5.82</v>
      </c>
      <c r="DA483">
        <f>AI483</f>
        <v>1</v>
      </c>
      <c r="DB483">
        <f>ROUND((ROUND(AT483*CZ483,2)*1),6)</f>
        <v>0.09</v>
      </c>
      <c r="DC483">
        <f>ROUND((ROUND(AT483*AG483,2)*1),6)</f>
        <v>0</v>
      </c>
      <c r="DD483" t="s">
        <v>3</v>
      </c>
      <c r="DE483" t="s">
        <v>3</v>
      </c>
      <c r="DF483">
        <f t="shared" si="213"/>
        <v>1.05</v>
      </c>
      <c r="DG483">
        <f t="shared" si="211"/>
        <v>0</v>
      </c>
      <c r="DH483">
        <f t="shared" si="203"/>
        <v>0</v>
      </c>
      <c r="DI483">
        <f t="shared" si="192"/>
        <v>0</v>
      </c>
      <c r="DJ483">
        <f>DF483</f>
        <v>1.05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ROW(Source!A207)</f>
        <v>207</v>
      </c>
      <c r="B484">
        <v>55747649</v>
      </c>
      <c r="C484">
        <v>55748315</v>
      </c>
      <c r="D484">
        <v>54755202</v>
      </c>
      <c r="E484">
        <v>1</v>
      </c>
      <c r="F484">
        <v>1</v>
      </c>
      <c r="G484">
        <v>1081</v>
      </c>
      <c r="H484">
        <v>3</v>
      </c>
      <c r="I484" t="s">
        <v>369</v>
      </c>
      <c r="J484" t="s">
        <v>371</v>
      </c>
      <c r="K484" t="s">
        <v>370</v>
      </c>
      <c r="L484">
        <v>1354</v>
      </c>
      <c r="N484">
        <v>1010</v>
      </c>
      <c r="O484" t="s">
        <v>118</v>
      </c>
      <c r="P484" t="s">
        <v>118</v>
      </c>
      <c r="Q484">
        <v>1</v>
      </c>
      <c r="W484">
        <v>0</v>
      </c>
      <c r="X484">
        <v>-230661020</v>
      </c>
      <c r="Y484">
        <f>AT484</f>
        <v>1</v>
      </c>
      <c r="AA484">
        <v>254.98</v>
      </c>
      <c r="AB484">
        <v>0</v>
      </c>
      <c r="AC484">
        <v>0</v>
      </c>
      <c r="AD484">
        <v>0</v>
      </c>
      <c r="AE484">
        <v>254.98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 t="s">
        <v>3</v>
      </c>
      <c r="AT484">
        <v>1</v>
      </c>
      <c r="AU484" t="s">
        <v>3</v>
      </c>
      <c r="AV484">
        <v>0</v>
      </c>
      <c r="AW484">
        <v>1</v>
      </c>
      <c r="AX484">
        <v>-1</v>
      </c>
      <c r="AY484">
        <v>0</v>
      </c>
      <c r="AZ484">
        <v>0</v>
      </c>
      <c r="BA484" t="s">
        <v>3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ROUND(Y484*Source!I207,9)</f>
        <v>12</v>
      </c>
      <c r="CY484">
        <f>AA484</f>
        <v>254.98</v>
      </c>
      <c r="CZ484">
        <f>AE484</f>
        <v>254.98</v>
      </c>
      <c r="DA484">
        <f>AI484</f>
        <v>1</v>
      </c>
      <c r="DB484">
        <f>ROUND(ROUND(AT484*CZ484,2),6)</f>
        <v>254.98</v>
      </c>
      <c r="DC484">
        <f>ROUND(ROUND(AT484*AG484,2),6)</f>
        <v>0</v>
      </c>
      <c r="DD484" t="s">
        <v>3</v>
      </c>
      <c r="DE484" t="s">
        <v>3</v>
      </c>
      <c r="DF484">
        <f t="shared" si="213"/>
        <v>3059.76</v>
      </c>
      <c r="DG484">
        <f t="shared" si="211"/>
        <v>0</v>
      </c>
      <c r="DH484">
        <f t="shared" si="203"/>
        <v>0</v>
      </c>
      <c r="DI484">
        <f t="shared" si="192"/>
        <v>0</v>
      </c>
      <c r="DJ484">
        <f>DF484</f>
        <v>3059.76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ROW(Source!A207)</f>
        <v>207</v>
      </c>
      <c r="B485">
        <v>55747649</v>
      </c>
      <c r="C485">
        <v>55748315</v>
      </c>
      <c r="D485">
        <v>54756477</v>
      </c>
      <c r="E485">
        <v>1</v>
      </c>
      <c r="F485">
        <v>1</v>
      </c>
      <c r="G485">
        <v>1081</v>
      </c>
      <c r="H485">
        <v>3</v>
      </c>
      <c r="I485" t="s">
        <v>373</v>
      </c>
      <c r="J485" t="s">
        <v>375</v>
      </c>
      <c r="K485" t="s">
        <v>374</v>
      </c>
      <c r="L485">
        <v>1354</v>
      </c>
      <c r="N485">
        <v>1010</v>
      </c>
      <c r="O485" t="s">
        <v>118</v>
      </c>
      <c r="P485" t="s">
        <v>118</v>
      </c>
      <c r="Q485">
        <v>1</v>
      </c>
      <c r="W485">
        <v>0</v>
      </c>
      <c r="X485">
        <v>769202615</v>
      </c>
      <c r="Y485">
        <f>AT485</f>
        <v>1</v>
      </c>
      <c r="AA485">
        <v>24.84</v>
      </c>
      <c r="AB485">
        <v>0</v>
      </c>
      <c r="AC485">
        <v>0</v>
      </c>
      <c r="AD485">
        <v>0</v>
      </c>
      <c r="AE485">
        <v>24.84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 t="s">
        <v>3</v>
      </c>
      <c r="AT485">
        <v>1</v>
      </c>
      <c r="AU485" t="s">
        <v>3</v>
      </c>
      <c r="AV485">
        <v>0</v>
      </c>
      <c r="AW485">
        <v>1</v>
      </c>
      <c r="AX485">
        <v>-1</v>
      </c>
      <c r="AY485">
        <v>0</v>
      </c>
      <c r="AZ485">
        <v>0</v>
      </c>
      <c r="BA485" t="s">
        <v>3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ROUND(Y485*Source!I207,9)</f>
        <v>12</v>
      </c>
      <c r="CY485">
        <f>AA485</f>
        <v>24.84</v>
      </c>
      <c r="CZ485">
        <f>AE485</f>
        <v>24.84</v>
      </c>
      <c r="DA485">
        <f>AI485</f>
        <v>1</v>
      </c>
      <c r="DB485">
        <f>ROUND(ROUND(AT485*CZ485,2),6)</f>
        <v>24.84</v>
      </c>
      <c r="DC485">
        <f>ROUND(ROUND(AT485*AG485,2),6)</f>
        <v>0</v>
      </c>
      <c r="DD485" t="s">
        <v>3</v>
      </c>
      <c r="DE485" t="s">
        <v>3</v>
      </c>
      <c r="DF485">
        <f t="shared" si="213"/>
        <v>298.08</v>
      </c>
      <c r="DG485">
        <f t="shared" si="211"/>
        <v>0</v>
      </c>
      <c r="DH485">
        <f t="shared" si="203"/>
        <v>0</v>
      </c>
      <c r="DI485">
        <f t="shared" si="192"/>
        <v>0</v>
      </c>
      <c r="DJ485">
        <f>DF485</f>
        <v>298.08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">
      <c r="A486">
        <f>ROW(Source!A208)</f>
        <v>208</v>
      </c>
      <c r="B486">
        <v>55747651</v>
      </c>
      <c r="C486">
        <v>55748315</v>
      </c>
      <c r="D486">
        <v>54702434</v>
      </c>
      <c r="E486">
        <v>1081</v>
      </c>
      <c r="F486">
        <v>1</v>
      </c>
      <c r="G486">
        <v>1081</v>
      </c>
      <c r="H486">
        <v>1</v>
      </c>
      <c r="I486" t="s">
        <v>473</v>
      </c>
      <c r="J486" t="s">
        <v>3</v>
      </c>
      <c r="K486" t="s">
        <v>474</v>
      </c>
      <c r="L486">
        <v>1191</v>
      </c>
      <c r="N486">
        <v>1013</v>
      </c>
      <c r="O486" t="s">
        <v>475</v>
      </c>
      <c r="P486" t="s">
        <v>475</v>
      </c>
      <c r="Q486">
        <v>1</v>
      </c>
      <c r="W486">
        <v>0</v>
      </c>
      <c r="X486">
        <v>476480486</v>
      </c>
      <c r="Y486">
        <f>(AT486*1.2)</f>
        <v>8.2799999999999994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5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6.9</v>
      </c>
      <c r="AU486" t="s">
        <v>49</v>
      </c>
      <c r="AV486">
        <v>1</v>
      </c>
      <c r="AW486">
        <v>2</v>
      </c>
      <c r="AX486">
        <v>55748323</v>
      </c>
      <c r="AY486">
        <v>1</v>
      </c>
      <c r="AZ486">
        <v>0</v>
      </c>
      <c r="BA486">
        <v>521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U486">
        <f>ROUND(AT486*Source!I208*AH486*AL486,2)</f>
        <v>0</v>
      </c>
      <c r="CV486">
        <f>ROUND(Y486*Source!I208,9)</f>
        <v>99.36</v>
      </c>
      <c r="CW486">
        <v>0</v>
      </c>
      <c r="CX486">
        <f>ROUND(Y486*Source!I208,9)</f>
        <v>99.36</v>
      </c>
      <c r="CY486">
        <f>AD486</f>
        <v>0</v>
      </c>
      <c r="CZ486">
        <f>AH486</f>
        <v>0</v>
      </c>
      <c r="DA486">
        <f>AL486</f>
        <v>1</v>
      </c>
      <c r="DB486">
        <f>ROUND((ROUND(AT486*CZ486,2)*1.2),6)</f>
        <v>0</v>
      </c>
      <c r="DC486">
        <f>ROUND((ROUND(AT486*AG486,2)*1.2),6)</f>
        <v>0</v>
      </c>
      <c r="DD486" t="s">
        <v>3</v>
      </c>
      <c r="DE486" t="s">
        <v>3</v>
      </c>
      <c r="DF486">
        <f t="shared" si="213"/>
        <v>0</v>
      </c>
      <c r="DG486">
        <f t="shared" si="211"/>
        <v>0</v>
      </c>
      <c r="DH486">
        <f t="shared" si="203"/>
        <v>0</v>
      </c>
      <c r="DI486">
        <f t="shared" si="192"/>
        <v>0</v>
      </c>
      <c r="DJ486">
        <f>DI486</f>
        <v>0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ROW(Source!A208)</f>
        <v>208</v>
      </c>
      <c r="B487">
        <v>55747651</v>
      </c>
      <c r="C487">
        <v>55748315</v>
      </c>
      <c r="D487">
        <v>54768040</v>
      </c>
      <c r="E487">
        <v>1</v>
      </c>
      <c r="F487">
        <v>1</v>
      </c>
      <c r="G487">
        <v>1081</v>
      </c>
      <c r="H487">
        <v>2</v>
      </c>
      <c r="I487" t="s">
        <v>476</v>
      </c>
      <c r="J487" t="s">
        <v>477</v>
      </c>
      <c r="K487" t="s">
        <v>478</v>
      </c>
      <c r="L487">
        <v>1368</v>
      </c>
      <c r="N487">
        <v>1011</v>
      </c>
      <c r="O487" t="s">
        <v>479</v>
      </c>
      <c r="P487" t="s">
        <v>479</v>
      </c>
      <c r="Q487">
        <v>1</v>
      </c>
      <c r="W487">
        <v>0</v>
      </c>
      <c r="X487">
        <v>1498588441</v>
      </c>
      <c r="Y487">
        <f>(AT487*1.2)</f>
        <v>0.72</v>
      </c>
      <c r="AA487">
        <v>0</v>
      </c>
      <c r="AB487">
        <v>102.11</v>
      </c>
      <c r="AC487">
        <v>0</v>
      </c>
      <c r="AD487">
        <v>0</v>
      </c>
      <c r="AE487">
        <v>0</v>
      </c>
      <c r="AF487">
        <v>7.11</v>
      </c>
      <c r="AG487">
        <v>0</v>
      </c>
      <c r="AH487">
        <v>0</v>
      </c>
      <c r="AI487">
        <v>1</v>
      </c>
      <c r="AJ487">
        <v>13.46</v>
      </c>
      <c r="AK487">
        <v>1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0.6</v>
      </c>
      <c r="AU487" t="s">
        <v>49</v>
      </c>
      <c r="AV487">
        <v>0</v>
      </c>
      <c r="AW487">
        <v>2</v>
      </c>
      <c r="AX487">
        <v>55748324</v>
      </c>
      <c r="AY487">
        <v>1</v>
      </c>
      <c r="AZ487">
        <v>0</v>
      </c>
      <c r="BA487">
        <v>522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f>ROUND(Y487*Source!I208*DO487,9)</f>
        <v>0</v>
      </c>
      <c r="CX487">
        <f>ROUND(Y487*Source!I208,9)</f>
        <v>8.64</v>
      </c>
      <c r="CY487">
        <f>AB487</f>
        <v>102.11</v>
      </c>
      <c r="CZ487">
        <f>AF487</f>
        <v>7.11</v>
      </c>
      <c r="DA487">
        <f>AJ487</f>
        <v>13.46</v>
      </c>
      <c r="DB487">
        <f>ROUND((ROUND(AT487*CZ487,2)*1.2),6)</f>
        <v>5.1239999999999997</v>
      </c>
      <c r="DC487">
        <f>ROUND((ROUND(AT487*AG487,2)*1.2),6)</f>
        <v>0</v>
      </c>
      <c r="DD487" t="s">
        <v>3</v>
      </c>
      <c r="DE487" t="s">
        <v>3</v>
      </c>
      <c r="DF487">
        <f t="shared" si="213"/>
        <v>0</v>
      </c>
      <c r="DG487">
        <f>ROUND(ROUND(AF487*AJ487,2)*CX487,2)</f>
        <v>826.85</v>
      </c>
      <c r="DH487">
        <f t="shared" si="203"/>
        <v>0</v>
      </c>
      <c r="DI487">
        <f t="shared" si="192"/>
        <v>0</v>
      </c>
      <c r="DJ487">
        <f>DG487</f>
        <v>826.85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ROW(Source!A208)</f>
        <v>208</v>
      </c>
      <c r="B488">
        <v>55747651</v>
      </c>
      <c r="C488">
        <v>55748315</v>
      </c>
      <c r="D488">
        <v>54738518</v>
      </c>
      <c r="E488">
        <v>1</v>
      </c>
      <c r="F488">
        <v>1</v>
      </c>
      <c r="G488">
        <v>1081</v>
      </c>
      <c r="H488">
        <v>3</v>
      </c>
      <c r="I488" t="s">
        <v>493</v>
      </c>
      <c r="J488" t="s">
        <v>494</v>
      </c>
      <c r="K488" t="s">
        <v>495</v>
      </c>
      <c r="L488">
        <v>1348</v>
      </c>
      <c r="N488">
        <v>1009</v>
      </c>
      <c r="O488" t="s">
        <v>282</v>
      </c>
      <c r="P488" t="s">
        <v>282</v>
      </c>
      <c r="Q488">
        <v>1000</v>
      </c>
      <c r="W488">
        <v>0</v>
      </c>
      <c r="X488">
        <v>205566664</v>
      </c>
      <c r="Y488">
        <f>(AT488*1)</f>
        <v>3.8000000000000002E-4</v>
      </c>
      <c r="AA488">
        <v>95081.54</v>
      </c>
      <c r="AB488">
        <v>0</v>
      </c>
      <c r="AC488">
        <v>0</v>
      </c>
      <c r="AD488">
        <v>0</v>
      </c>
      <c r="AE488">
        <v>9112.49</v>
      </c>
      <c r="AF488">
        <v>0</v>
      </c>
      <c r="AG488">
        <v>0</v>
      </c>
      <c r="AH488">
        <v>0</v>
      </c>
      <c r="AI488">
        <v>10.15</v>
      </c>
      <c r="AJ488">
        <v>1</v>
      </c>
      <c r="AK488">
        <v>1</v>
      </c>
      <c r="AL488">
        <v>1</v>
      </c>
      <c r="AM488">
        <v>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3.8000000000000002E-4</v>
      </c>
      <c r="AU488" t="s">
        <v>48</v>
      </c>
      <c r="AV488">
        <v>0</v>
      </c>
      <c r="AW488">
        <v>2</v>
      </c>
      <c r="AX488">
        <v>55748325</v>
      </c>
      <c r="AY488">
        <v>1</v>
      </c>
      <c r="AZ488">
        <v>0</v>
      </c>
      <c r="BA488">
        <v>523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ROUND(Y488*Source!I208,9)</f>
        <v>4.5599999999999998E-3</v>
      </c>
      <c r="CY488">
        <f>AA488</f>
        <v>95081.54</v>
      </c>
      <c r="CZ488">
        <f>AE488</f>
        <v>9112.49</v>
      </c>
      <c r="DA488">
        <f>AI488</f>
        <v>10.15</v>
      </c>
      <c r="DB488">
        <f>ROUND((ROUND(AT488*CZ488,2)*1),6)</f>
        <v>3.46</v>
      </c>
      <c r="DC488">
        <f>ROUND((ROUND(AT488*AG488,2)*1),6)</f>
        <v>0</v>
      </c>
      <c r="DD488" t="s">
        <v>3</v>
      </c>
      <c r="DE488" t="s">
        <v>3</v>
      </c>
      <c r="DF488">
        <f>ROUND(ROUND(AE488*AI488,2)*CX488,2)</f>
        <v>421.76</v>
      </c>
      <c r="DG488">
        <f t="shared" ref="DG488:DG501" si="214">ROUND(ROUND(AF488,2)*CX488,2)</f>
        <v>0</v>
      </c>
      <c r="DH488">
        <f t="shared" si="203"/>
        <v>0</v>
      </c>
      <c r="DI488">
        <f t="shared" si="192"/>
        <v>0</v>
      </c>
      <c r="DJ488">
        <f>DF488</f>
        <v>421.76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ROW(Source!A208)</f>
        <v>208</v>
      </c>
      <c r="B489">
        <v>55747651</v>
      </c>
      <c r="C489">
        <v>55748315</v>
      </c>
      <c r="D489">
        <v>54739191</v>
      </c>
      <c r="E489">
        <v>1</v>
      </c>
      <c r="F489">
        <v>1</v>
      </c>
      <c r="G489">
        <v>1081</v>
      </c>
      <c r="H489">
        <v>3</v>
      </c>
      <c r="I489" t="s">
        <v>500</v>
      </c>
      <c r="J489" t="s">
        <v>501</v>
      </c>
      <c r="K489" t="s">
        <v>502</v>
      </c>
      <c r="L489">
        <v>1346</v>
      </c>
      <c r="N489">
        <v>1009</v>
      </c>
      <c r="O489" t="s">
        <v>503</v>
      </c>
      <c r="P489" t="s">
        <v>503</v>
      </c>
      <c r="Q489">
        <v>1</v>
      </c>
      <c r="W489">
        <v>0</v>
      </c>
      <c r="X489">
        <v>-2132327540</v>
      </c>
      <c r="Y489">
        <f>(AT489*1)</f>
        <v>6.0000000000000001E-3</v>
      </c>
      <c r="AA489">
        <v>64.760000000000005</v>
      </c>
      <c r="AB489">
        <v>0</v>
      </c>
      <c r="AC489">
        <v>0</v>
      </c>
      <c r="AD489">
        <v>0</v>
      </c>
      <c r="AE489">
        <v>6.25</v>
      </c>
      <c r="AF489">
        <v>0</v>
      </c>
      <c r="AG489">
        <v>0</v>
      </c>
      <c r="AH489">
        <v>0</v>
      </c>
      <c r="AI489">
        <v>10.08</v>
      </c>
      <c r="AJ489">
        <v>1</v>
      </c>
      <c r="AK489">
        <v>1</v>
      </c>
      <c r="AL489">
        <v>1</v>
      </c>
      <c r="AM489">
        <v>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6.0000000000000001E-3</v>
      </c>
      <c r="AU489" t="s">
        <v>48</v>
      </c>
      <c r="AV489">
        <v>0</v>
      </c>
      <c r="AW489">
        <v>2</v>
      </c>
      <c r="AX489">
        <v>55748326</v>
      </c>
      <c r="AY489">
        <v>1</v>
      </c>
      <c r="AZ489">
        <v>0</v>
      </c>
      <c r="BA489">
        <v>524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ROUND(Y489*Source!I208,9)</f>
        <v>7.1999999999999995E-2</v>
      </c>
      <c r="CY489">
        <f>AA489</f>
        <v>64.760000000000005</v>
      </c>
      <c r="CZ489">
        <f>AE489</f>
        <v>6.25</v>
      </c>
      <c r="DA489">
        <f>AI489</f>
        <v>10.08</v>
      </c>
      <c r="DB489">
        <f>ROUND((ROUND(AT489*CZ489,2)*1),6)</f>
        <v>0.04</v>
      </c>
      <c r="DC489">
        <f>ROUND((ROUND(AT489*AG489,2)*1),6)</f>
        <v>0</v>
      </c>
      <c r="DD489" t="s">
        <v>3</v>
      </c>
      <c r="DE489" t="s">
        <v>3</v>
      </c>
      <c r="DF489">
        <f>ROUND(ROUND(AE489*AI489,2)*CX489,2)</f>
        <v>4.54</v>
      </c>
      <c r="DG489">
        <f t="shared" si="214"/>
        <v>0</v>
      </c>
      <c r="DH489">
        <f t="shared" si="203"/>
        <v>0</v>
      </c>
      <c r="DI489">
        <f t="shared" si="192"/>
        <v>0</v>
      </c>
      <c r="DJ489">
        <f>DF489</f>
        <v>4.54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ROW(Source!A208)</f>
        <v>208</v>
      </c>
      <c r="B490">
        <v>55747651</v>
      </c>
      <c r="C490">
        <v>55748315</v>
      </c>
      <c r="D490">
        <v>54737565</v>
      </c>
      <c r="E490">
        <v>1</v>
      </c>
      <c r="F490">
        <v>1</v>
      </c>
      <c r="G490">
        <v>1081</v>
      </c>
      <c r="H490">
        <v>3</v>
      </c>
      <c r="I490" t="s">
        <v>504</v>
      </c>
      <c r="J490" t="s">
        <v>505</v>
      </c>
      <c r="K490" t="s">
        <v>506</v>
      </c>
      <c r="L490">
        <v>1339</v>
      </c>
      <c r="N490">
        <v>1007</v>
      </c>
      <c r="O490" t="s">
        <v>507</v>
      </c>
      <c r="P490" t="s">
        <v>507</v>
      </c>
      <c r="Q490">
        <v>1</v>
      </c>
      <c r="W490">
        <v>0</v>
      </c>
      <c r="X490">
        <v>-1235260082</v>
      </c>
      <c r="Y490">
        <f>(AT490*1)</f>
        <v>1.4999999999999999E-2</v>
      </c>
      <c r="AA490">
        <v>104.16</v>
      </c>
      <c r="AB490">
        <v>0</v>
      </c>
      <c r="AC490">
        <v>0</v>
      </c>
      <c r="AD490">
        <v>0</v>
      </c>
      <c r="AE490">
        <v>5.82</v>
      </c>
      <c r="AF490">
        <v>0</v>
      </c>
      <c r="AG490">
        <v>0</v>
      </c>
      <c r="AH490">
        <v>0</v>
      </c>
      <c r="AI490">
        <v>17.41</v>
      </c>
      <c r="AJ490">
        <v>1</v>
      </c>
      <c r="AK490">
        <v>1</v>
      </c>
      <c r="AL490">
        <v>1</v>
      </c>
      <c r="AM490">
        <v>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1.4999999999999999E-2</v>
      </c>
      <c r="AU490" t="s">
        <v>48</v>
      </c>
      <c r="AV490">
        <v>0</v>
      </c>
      <c r="AW490">
        <v>2</v>
      </c>
      <c r="AX490">
        <v>55748327</v>
      </c>
      <c r="AY490">
        <v>1</v>
      </c>
      <c r="AZ490">
        <v>0</v>
      </c>
      <c r="BA490">
        <v>525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ROUND(Y490*Source!I208,9)</f>
        <v>0.18</v>
      </c>
      <c r="CY490">
        <f>AA490</f>
        <v>104.16</v>
      </c>
      <c r="CZ490">
        <f>AE490</f>
        <v>5.82</v>
      </c>
      <c r="DA490">
        <f>AI490</f>
        <v>17.41</v>
      </c>
      <c r="DB490">
        <f>ROUND((ROUND(AT490*CZ490,2)*1),6)</f>
        <v>0.09</v>
      </c>
      <c r="DC490">
        <f>ROUND((ROUND(AT490*AG490,2)*1),6)</f>
        <v>0</v>
      </c>
      <c r="DD490" t="s">
        <v>3</v>
      </c>
      <c r="DE490" t="s">
        <v>3</v>
      </c>
      <c r="DF490">
        <f>ROUND(ROUND(AE490*AI490,2)*CX490,2)</f>
        <v>18.239999999999998</v>
      </c>
      <c r="DG490">
        <f t="shared" si="214"/>
        <v>0</v>
      </c>
      <c r="DH490">
        <f t="shared" si="203"/>
        <v>0</v>
      </c>
      <c r="DI490">
        <f t="shared" si="192"/>
        <v>0</v>
      </c>
      <c r="DJ490">
        <f>DF490</f>
        <v>18.239999999999998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ROW(Source!A208)</f>
        <v>208</v>
      </c>
      <c r="B491">
        <v>55747651</v>
      </c>
      <c r="C491">
        <v>55748315</v>
      </c>
      <c r="D491">
        <v>54755202</v>
      </c>
      <c r="E491">
        <v>1</v>
      </c>
      <c r="F491">
        <v>1</v>
      </c>
      <c r="G491">
        <v>1081</v>
      </c>
      <c r="H491">
        <v>3</v>
      </c>
      <c r="I491" t="s">
        <v>369</v>
      </c>
      <c r="J491" t="s">
        <v>371</v>
      </c>
      <c r="K491" t="s">
        <v>370</v>
      </c>
      <c r="L491">
        <v>1354</v>
      </c>
      <c r="N491">
        <v>1010</v>
      </c>
      <c r="O491" t="s">
        <v>118</v>
      </c>
      <c r="P491" t="s">
        <v>118</v>
      </c>
      <c r="Q491">
        <v>1</v>
      </c>
      <c r="W491">
        <v>0</v>
      </c>
      <c r="X491">
        <v>-230661020</v>
      </c>
      <c r="Y491">
        <f>AT491</f>
        <v>1</v>
      </c>
      <c r="AA491">
        <v>5145.5</v>
      </c>
      <c r="AB491">
        <v>0</v>
      </c>
      <c r="AC491">
        <v>0</v>
      </c>
      <c r="AD491">
        <v>0</v>
      </c>
      <c r="AE491">
        <v>254.98</v>
      </c>
      <c r="AF491">
        <v>0</v>
      </c>
      <c r="AG491">
        <v>0</v>
      </c>
      <c r="AH491">
        <v>0</v>
      </c>
      <c r="AI491">
        <v>20.18</v>
      </c>
      <c r="AJ491">
        <v>1</v>
      </c>
      <c r="AK491">
        <v>1</v>
      </c>
      <c r="AL491">
        <v>1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 t="s">
        <v>3</v>
      </c>
      <c r="AT491">
        <v>1</v>
      </c>
      <c r="AU491" t="s">
        <v>3</v>
      </c>
      <c r="AV491">
        <v>0</v>
      </c>
      <c r="AW491">
        <v>1</v>
      </c>
      <c r="AX491">
        <v>-1</v>
      </c>
      <c r="AY491">
        <v>0</v>
      </c>
      <c r="AZ491">
        <v>0</v>
      </c>
      <c r="BA491" t="s">
        <v>3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ROUND(Y491*Source!I208,9)</f>
        <v>12</v>
      </c>
      <c r="CY491">
        <f>AA491</f>
        <v>5145.5</v>
      </c>
      <c r="CZ491">
        <f>AE491</f>
        <v>254.98</v>
      </c>
      <c r="DA491">
        <f>AI491</f>
        <v>20.18</v>
      </c>
      <c r="DB491">
        <f>ROUND(ROUND(AT491*CZ491,2),6)</f>
        <v>254.98</v>
      </c>
      <c r="DC491">
        <f>ROUND(ROUND(AT491*AG491,2),6)</f>
        <v>0</v>
      </c>
      <c r="DD491" t="s">
        <v>3</v>
      </c>
      <c r="DE491" t="s">
        <v>3</v>
      </c>
      <c r="DF491">
        <f>ROUND(ROUND(AE491*AI491,2)*CX491,2)</f>
        <v>61746</v>
      </c>
      <c r="DG491">
        <f t="shared" si="214"/>
        <v>0</v>
      </c>
      <c r="DH491">
        <f t="shared" si="203"/>
        <v>0</v>
      </c>
      <c r="DI491">
        <f t="shared" si="192"/>
        <v>0</v>
      </c>
      <c r="DJ491">
        <f>DF491</f>
        <v>61746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ROW(Source!A208)</f>
        <v>208</v>
      </c>
      <c r="B492">
        <v>55747651</v>
      </c>
      <c r="C492">
        <v>55748315</v>
      </c>
      <c r="D492">
        <v>54756477</v>
      </c>
      <c r="E492">
        <v>1</v>
      </c>
      <c r="F492">
        <v>1</v>
      </c>
      <c r="G492">
        <v>1081</v>
      </c>
      <c r="H492">
        <v>3</v>
      </c>
      <c r="I492" t="s">
        <v>373</v>
      </c>
      <c r="J492" t="s">
        <v>375</v>
      </c>
      <c r="K492" t="s">
        <v>374</v>
      </c>
      <c r="L492">
        <v>1354</v>
      </c>
      <c r="N492">
        <v>1010</v>
      </c>
      <c r="O492" t="s">
        <v>118</v>
      </c>
      <c r="P492" t="s">
        <v>118</v>
      </c>
      <c r="Q492">
        <v>1</v>
      </c>
      <c r="W492">
        <v>0</v>
      </c>
      <c r="X492">
        <v>769202615</v>
      </c>
      <c r="Y492">
        <f>AT492</f>
        <v>1</v>
      </c>
      <c r="AA492">
        <v>78</v>
      </c>
      <c r="AB492">
        <v>0</v>
      </c>
      <c r="AC492">
        <v>0</v>
      </c>
      <c r="AD492">
        <v>0</v>
      </c>
      <c r="AE492">
        <v>24.84</v>
      </c>
      <c r="AF492">
        <v>0</v>
      </c>
      <c r="AG492">
        <v>0</v>
      </c>
      <c r="AH492">
        <v>0</v>
      </c>
      <c r="AI492">
        <v>3.14</v>
      </c>
      <c r="AJ492">
        <v>1</v>
      </c>
      <c r="AK492">
        <v>1</v>
      </c>
      <c r="AL492">
        <v>1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0</v>
      </c>
      <c r="AS492" t="s">
        <v>3</v>
      </c>
      <c r="AT492">
        <v>1</v>
      </c>
      <c r="AU492" t="s">
        <v>3</v>
      </c>
      <c r="AV492">
        <v>0</v>
      </c>
      <c r="AW492">
        <v>1</v>
      </c>
      <c r="AX492">
        <v>-1</v>
      </c>
      <c r="AY492">
        <v>0</v>
      </c>
      <c r="AZ492">
        <v>0</v>
      </c>
      <c r="BA492" t="s">
        <v>3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ROUND(Y492*Source!I208,9)</f>
        <v>12</v>
      </c>
      <c r="CY492">
        <f>AA492</f>
        <v>78</v>
      </c>
      <c r="CZ492">
        <f>AE492</f>
        <v>24.84</v>
      </c>
      <c r="DA492">
        <f>AI492</f>
        <v>3.14</v>
      </c>
      <c r="DB492">
        <f>ROUND(ROUND(AT492*CZ492,2),6)</f>
        <v>24.84</v>
      </c>
      <c r="DC492">
        <f>ROUND(ROUND(AT492*AG492,2),6)</f>
        <v>0</v>
      </c>
      <c r="DD492" t="s">
        <v>3</v>
      </c>
      <c r="DE492" t="s">
        <v>3</v>
      </c>
      <c r="DF492">
        <f>ROUND(ROUND(AE492*AI492,2)*CX492,2)</f>
        <v>936</v>
      </c>
      <c r="DG492">
        <f t="shared" si="214"/>
        <v>0</v>
      </c>
      <c r="DH492">
        <f t="shared" si="203"/>
        <v>0</v>
      </c>
      <c r="DI492">
        <f t="shared" si="192"/>
        <v>0</v>
      </c>
      <c r="DJ492">
        <f>DF492</f>
        <v>936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ROW(Source!A213)</f>
        <v>213</v>
      </c>
      <c r="B493">
        <v>55747649</v>
      </c>
      <c r="C493">
        <v>55748331</v>
      </c>
      <c r="D493">
        <v>54702434</v>
      </c>
      <c r="E493">
        <v>1081</v>
      </c>
      <c r="F493">
        <v>1</v>
      </c>
      <c r="G493">
        <v>1081</v>
      </c>
      <c r="H493">
        <v>1</v>
      </c>
      <c r="I493" t="s">
        <v>473</v>
      </c>
      <c r="J493" t="s">
        <v>3</v>
      </c>
      <c r="K493" t="s">
        <v>474</v>
      </c>
      <c r="L493">
        <v>1191</v>
      </c>
      <c r="N493">
        <v>1013</v>
      </c>
      <c r="O493" t="s">
        <v>475</v>
      </c>
      <c r="P493" t="s">
        <v>475</v>
      </c>
      <c r="Q493">
        <v>1</v>
      </c>
      <c r="W493">
        <v>0</v>
      </c>
      <c r="X493">
        <v>476480486</v>
      </c>
      <c r="Y493">
        <f>(AT493*1.2)</f>
        <v>72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60</v>
      </c>
      <c r="AU493" t="s">
        <v>49</v>
      </c>
      <c r="AV493">
        <v>1</v>
      </c>
      <c r="AW493">
        <v>2</v>
      </c>
      <c r="AX493">
        <v>55748340</v>
      </c>
      <c r="AY493">
        <v>1</v>
      </c>
      <c r="AZ493">
        <v>0</v>
      </c>
      <c r="BA493">
        <v>527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U493">
        <f>ROUND(AT493*Source!I213*AH493*AL493,2)</f>
        <v>0</v>
      </c>
      <c r="CV493">
        <f>ROUND(Y493*Source!I213,9)</f>
        <v>8.64</v>
      </c>
      <c r="CW493">
        <v>0</v>
      </c>
      <c r="CX493">
        <f>ROUND(Y493*Source!I213,9)</f>
        <v>8.64</v>
      </c>
      <c r="CY493">
        <f>AD493</f>
        <v>0</v>
      </c>
      <c r="CZ493">
        <f>AH493</f>
        <v>0</v>
      </c>
      <c r="DA493">
        <f>AL493</f>
        <v>1</v>
      </c>
      <c r="DB493">
        <f>ROUND((ROUND(AT493*CZ493,2)*1.2),6)</f>
        <v>0</v>
      </c>
      <c r="DC493">
        <f>ROUND((ROUND(AT493*AG493,2)*1.2),6)</f>
        <v>0</v>
      </c>
      <c r="DD493" t="s">
        <v>3</v>
      </c>
      <c r="DE493" t="s">
        <v>3</v>
      </c>
      <c r="DF493">
        <f t="shared" ref="DF493:DF503" si="215">ROUND(ROUND(AE493,2)*CX493,2)</f>
        <v>0</v>
      </c>
      <c r="DG493">
        <f t="shared" si="214"/>
        <v>0</v>
      </c>
      <c r="DH493">
        <f t="shared" si="203"/>
        <v>0</v>
      </c>
      <c r="DI493">
        <f t="shared" si="192"/>
        <v>0</v>
      </c>
      <c r="DJ493">
        <f>DI493</f>
        <v>0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ROW(Source!A213)</f>
        <v>213</v>
      </c>
      <c r="B494">
        <v>55747649</v>
      </c>
      <c r="C494">
        <v>55748331</v>
      </c>
      <c r="D494">
        <v>54768040</v>
      </c>
      <c r="E494">
        <v>1</v>
      </c>
      <c r="F494">
        <v>1</v>
      </c>
      <c r="G494">
        <v>1081</v>
      </c>
      <c r="H494">
        <v>2</v>
      </c>
      <c r="I494" t="s">
        <v>476</v>
      </c>
      <c r="J494" t="s">
        <v>477</v>
      </c>
      <c r="K494" t="s">
        <v>478</v>
      </c>
      <c r="L494">
        <v>1368</v>
      </c>
      <c r="N494">
        <v>1011</v>
      </c>
      <c r="O494" t="s">
        <v>479</v>
      </c>
      <c r="P494" t="s">
        <v>479</v>
      </c>
      <c r="Q494">
        <v>1</v>
      </c>
      <c r="W494">
        <v>0</v>
      </c>
      <c r="X494">
        <v>1498588441</v>
      </c>
      <c r="Y494">
        <f>(AT494*1.2)</f>
        <v>56.64</v>
      </c>
      <c r="AA494">
        <v>0</v>
      </c>
      <c r="AB494">
        <v>7.59</v>
      </c>
      <c r="AC494">
        <v>0</v>
      </c>
      <c r="AD494">
        <v>0</v>
      </c>
      <c r="AE494">
        <v>0</v>
      </c>
      <c r="AF494">
        <v>7.11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47.2</v>
      </c>
      <c r="AU494" t="s">
        <v>49</v>
      </c>
      <c r="AV494">
        <v>0</v>
      </c>
      <c r="AW494">
        <v>2</v>
      </c>
      <c r="AX494">
        <v>55748341</v>
      </c>
      <c r="AY494">
        <v>1</v>
      </c>
      <c r="AZ494">
        <v>0</v>
      </c>
      <c r="BA494">
        <v>528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ROUND(Y494*Source!I213*DO494,9)</f>
        <v>0</v>
      </c>
      <c r="CX494">
        <f>ROUND(Y494*Source!I213,9)</f>
        <v>6.7968000000000002</v>
      </c>
      <c r="CY494">
        <f>AB494</f>
        <v>7.59</v>
      </c>
      <c r="CZ494">
        <f>AF494</f>
        <v>7.11</v>
      </c>
      <c r="DA494">
        <f>AJ494</f>
        <v>1</v>
      </c>
      <c r="DB494">
        <f>ROUND((ROUND(AT494*CZ494,2)*1.2),6)</f>
        <v>402.70800000000003</v>
      </c>
      <c r="DC494">
        <f>ROUND((ROUND(AT494*AG494,2)*1.2),6)</f>
        <v>0</v>
      </c>
      <c r="DD494" t="s">
        <v>3</v>
      </c>
      <c r="DE494" t="s">
        <v>3</v>
      </c>
      <c r="DF494">
        <f t="shared" si="215"/>
        <v>0</v>
      </c>
      <c r="DG494">
        <f t="shared" si="214"/>
        <v>48.33</v>
      </c>
      <c r="DH494">
        <f t="shared" si="203"/>
        <v>0</v>
      </c>
      <c r="DI494">
        <f t="shared" si="192"/>
        <v>0</v>
      </c>
      <c r="DJ494">
        <f>DG494</f>
        <v>48.33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ROW(Source!A213)</f>
        <v>213</v>
      </c>
      <c r="B495">
        <v>55747649</v>
      </c>
      <c r="C495">
        <v>55748331</v>
      </c>
      <c r="D495">
        <v>54768339</v>
      </c>
      <c r="E495">
        <v>1</v>
      </c>
      <c r="F495">
        <v>1</v>
      </c>
      <c r="G495">
        <v>1081</v>
      </c>
      <c r="H495">
        <v>2</v>
      </c>
      <c r="I495" t="s">
        <v>483</v>
      </c>
      <c r="J495" t="s">
        <v>484</v>
      </c>
      <c r="K495" t="s">
        <v>485</v>
      </c>
      <c r="L495">
        <v>1368</v>
      </c>
      <c r="N495">
        <v>1011</v>
      </c>
      <c r="O495" t="s">
        <v>479</v>
      </c>
      <c r="P495" t="s">
        <v>479</v>
      </c>
      <c r="Q495">
        <v>1</v>
      </c>
      <c r="W495">
        <v>0</v>
      </c>
      <c r="X495">
        <v>874612079</v>
      </c>
      <c r="Y495">
        <f>(AT495*1.2)</f>
        <v>1.2E-2</v>
      </c>
      <c r="AA495">
        <v>0</v>
      </c>
      <c r="AB495">
        <v>88.67</v>
      </c>
      <c r="AC495">
        <v>13.47</v>
      </c>
      <c r="AD495">
        <v>0</v>
      </c>
      <c r="AE495">
        <v>0</v>
      </c>
      <c r="AF495">
        <v>83.1</v>
      </c>
      <c r="AG495">
        <v>12.62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0.01</v>
      </c>
      <c r="AU495" t="s">
        <v>49</v>
      </c>
      <c r="AV495">
        <v>0</v>
      </c>
      <c r="AW495">
        <v>2</v>
      </c>
      <c r="AX495">
        <v>55748342</v>
      </c>
      <c r="AY495">
        <v>1</v>
      </c>
      <c r="AZ495">
        <v>0</v>
      </c>
      <c r="BA495">
        <v>529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f>ROUND(Y495*Source!I213*DO495,9)</f>
        <v>1.8172799999999999E-2</v>
      </c>
      <c r="CX495">
        <f>ROUND(Y495*Source!I213,9)</f>
        <v>1.4400000000000001E-3</v>
      </c>
      <c r="CY495">
        <f>AB495</f>
        <v>88.67</v>
      </c>
      <c r="CZ495">
        <f>AF495</f>
        <v>83.1</v>
      </c>
      <c r="DA495">
        <f>AJ495</f>
        <v>1</v>
      </c>
      <c r="DB495">
        <f>ROUND((ROUND(AT495*CZ495,2)*1.2),6)</f>
        <v>0.996</v>
      </c>
      <c r="DC495">
        <f>ROUND((ROUND(AT495*AG495,2)*1.2),6)</f>
        <v>0.156</v>
      </c>
      <c r="DD495" t="s">
        <v>3</v>
      </c>
      <c r="DE495" t="s">
        <v>3</v>
      </c>
      <c r="DF495">
        <f t="shared" si="215"/>
        <v>0</v>
      </c>
      <c r="DG495">
        <f t="shared" si="214"/>
        <v>0.12</v>
      </c>
      <c r="DH495">
        <f t="shared" si="203"/>
        <v>0.02</v>
      </c>
      <c r="DI495">
        <f t="shared" si="192"/>
        <v>0</v>
      </c>
      <c r="DJ495">
        <f>DG495</f>
        <v>0.12</v>
      </c>
      <c r="DK495">
        <v>0</v>
      </c>
      <c r="DL495" t="s">
        <v>486</v>
      </c>
      <c r="DM495">
        <v>0</v>
      </c>
      <c r="DN495" t="s">
        <v>475</v>
      </c>
      <c r="DO495">
        <v>12.62</v>
      </c>
    </row>
    <row r="496" spans="1:119" x14ac:dyDescent="0.2">
      <c r="A496">
        <f>ROW(Source!A213)</f>
        <v>213</v>
      </c>
      <c r="B496">
        <v>55747649</v>
      </c>
      <c r="C496">
        <v>55748331</v>
      </c>
      <c r="D496">
        <v>54737969</v>
      </c>
      <c r="E496">
        <v>1</v>
      </c>
      <c r="F496">
        <v>1</v>
      </c>
      <c r="G496">
        <v>1081</v>
      </c>
      <c r="H496">
        <v>3</v>
      </c>
      <c r="I496" t="s">
        <v>511</v>
      </c>
      <c r="J496" t="s">
        <v>512</v>
      </c>
      <c r="K496" t="s">
        <v>513</v>
      </c>
      <c r="L496">
        <v>1348</v>
      </c>
      <c r="N496">
        <v>1009</v>
      </c>
      <c r="O496" t="s">
        <v>282</v>
      </c>
      <c r="P496" t="s">
        <v>282</v>
      </c>
      <c r="Q496">
        <v>1000</v>
      </c>
      <c r="W496">
        <v>0</v>
      </c>
      <c r="X496">
        <v>-287838193</v>
      </c>
      <c r="Y496">
        <f>(AT496*1)</f>
        <v>3.0000000000000001E-3</v>
      </c>
      <c r="AA496">
        <v>23761.63</v>
      </c>
      <c r="AB496">
        <v>0</v>
      </c>
      <c r="AC496">
        <v>0</v>
      </c>
      <c r="AD496">
        <v>0</v>
      </c>
      <c r="AE496">
        <v>23114.43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3.0000000000000001E-3</v>
      </c>
      <c r="AU496" t="s">
        <v>48</v>
      </c>
      <c r="AV496">
        <v>0</v>
      </c>
      <c r="AW496">
        <v>2</v>
      </c>
      <c r="AX496">
        <v>55748343</v>
      </c>
      <c r="AY496">
        <v>1</v>
      </c>
      <c r="AZ496">
        <v>0</v>
      </c>
      <c r="BA496">
        <v>530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ROUND(Y496*Source!I213,9)</f>
        <v>3.6000000000000002E-4</v>
      </c>
      <c r="CY496">
        <f>AA496</f>
        <v>23761.63</v>
      </c>
      <c r="CZ496">
        <f>AE496</f>
        <v>23114.43</v>
      </c>
      <c r="DA496">
        <f>AI496</f>
        <v>1</v>
      </c>
      <c r="DB496">
        <f>ROUND((ROUND(AT496*CZ496,2)*1),6)</f>
        <v>69.34</v>
      </c>
      <c r="DC496">
        <f>ROUND((ROUND(AT496*AG496,2)*1),6)</f>
        <v>0</v>
      </c>
      <c r="DD496" t="s">
        <v>3</v>
      </c>
      <c r="DE496" t="s">
        <v>3</v>
      </c>
      <c r="DF496">
        <f t="shared" si="215"/>
        <v>8.32</v>
      </c>
      <c r="DG496">
        <f t="shared" si="214"/>
        <v>0</v>
      </c>
      <c r="DH496">
        <f t="shared" si="203"/>
        <v>0</v>
      </c>
      <c r="DI496">
        <f t="shared" si="192"/>
        <v>0</v>
      </c>
      <c r="DJ496">
        <f>DF496</f>
        <v>8.32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ROW(Source!A213)</f>
        <v>213</v>
      </c>
      <c r="B497">
        <v>55747649</v>
      </c>
      <c r="C497">
        <v>55748331</v>
      </c>
      <c r="D497">
        <v>54738430</v>
      </c>
      <c r="E497">
        <v>1</v>
      </c>
      <c r="F497">
        <v>1</v>
      </c>
      <c r="G497">
        <v>1081</v>
      </c>
      <c r="H497">
        <v>3</v>
      </c>
      <c r="I497" t="s">
        <v>562</v>
      </c>
      <c r="J497" t="s">
        <v>563</v>
      </c>
      <c r="K497" t="s">
        <v>564</v>
      </c>
      <c r="L497">
        <v>1348</v>
      </c>
      <c r="N497">
        <v>1009</v>
      </c>
      <c r="O497" t="s">
        <v>282</v>
      </c>
      <c r="P497" t="s">
        <v>282</v>
      </c>
      <c r="Q497">
        <v>1000</v>
      </c>
      <c r="W497">
        <v>0</v>
      </c>
      <c r="X497">
        <v>63955816</v>
      </c>
      <c r="Y497">
        <f>(AT497*1)</f>
        <v>0.01</v>
      </c>
      <c r="AA497">
        <v>7387.02</v>
      </c>
      <c r="AB497">
        <v>0</v>
      </c>
      <c r="AC497">
        <v>0</v>
      </c>
      <c r="AD497">
        <v>0</v>
      </c>
      <c r="AE497">
        <v>7185.82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0.01</v>
      </c>
      <c r="AU497" t="s">
        <v>48</v>
      </c>
      <c r="AV497">
        <v>0</v>
      </c>
      <c r="AW497">
        <v>2</v>
      </c>
      <c r="AX497">
        <v>55748344</v>
      </c>
      <c r="AY497">
        <v>1</v>
      </c>
      <c r="AZ497">
        <v>0</v>
      </c>
      <c r="BA497">
        <v>531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ROUND(Y497*Source!I213,9)</f>
        <v>1.1999999999999999E-3</v>
      </c>
      <c r="CY497">
        <f>AA497</f>
        <v>7387.02</v>
      </c>
      <c r="CZ497">
        <f>AE497</f>
        <v>7185.82</v>
      </c>
      <c r="DA497">
        <f>AI497</f>
        <v>1</v>
      </c>
      <c r="DB497">
        <f>ROUND((ROUND(AT497*CZ497,2)*1),6)</f>
        <v>71.86</v>
      </c>
      <c r="DC497">
        <f>ROUND((ROUND(AT497*AG497,2)*1),6)</f>
        <v>0</v>
      </c>
      <c r="DD497" t="s">
        <v>3</v>
      </c>
      <c r="DE497" t="s">
        <v>3</v>
      </c>
      <c r="DF497">
        <f t="shared" si="215"/>
        <v>8.6199999999999992</v>
      </c>
      <c r="DG497">
        <f t="shared" si="214"/>
        <v>0</v>
      </c>
      <c r="DH497">
        <f t="shared" si="203"/>
        <v>0</v>
      </c>
      <c r="DI497">
        <f t="shared" si="192"/>
        <v>0</v>
      </c>
      <c r="DJ497">
        <f>DF497</f>
        <v>8.6199999999999992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ROW(Source!A213)</f>
        <v>213</v>
      </c>
      <c r="B498">
        <v>55747649</v>
      </c>
      <c r="C498">
        <v>55748331</v>
      </c>
      <c r="D498">
        <v>54753866</v>
      </c>
      <c r="E498">
        <v>1</v>
      </c>
      <c r="F498">
        <v>1</v>
      </c>
      <c r="G498">
        <v>1081</v>
      </c>
      <c r="H498">
        <v>3</v>
      </c>
      <c r="I498" t="s">
        <v>637</v>
      </c>
      <c r="J498" t="s">
        <v>638</v>
      </c>
      <c r="K498" t="s">
        <v>639</v>
      </c>
      <c r="L498">
        <v>1354</v>
      </c>
      <c r="N498">
        <v>1010</v>
      </c>
      <c r="O498" t="s">
        <v>118</v>
      </c>
      <c r="P498" t="s">
        <v>118</v>
      </c>
      <c r="Q498">
        <v>1</v>
      </c>
      <c r="W498">
        <v>0</v>
      </c>
      <c r="X498">
        <v>-1710543629</v>
      </c>
      <c r="Y498">
        <f>(AT498*1)</f>
        <v>100</v>
      </c>
      <c r="AA498">
        <v>11.44</v>
      </c>
      <c r="AB498">
        <v>0</v>
      </c>
      <c r="AC498">
        <v>0</v>
      </c>
      <c r="AD498">
        <v>0</v>
      </c>
      <c r="AE498">
        <v>11.13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100</v>
      </c>
      <c r="AU498" t="s">
        <v>48</v>
      </c>
      <c r="AV498">
        <v>0</v>
      </c>
      <c r="AW498">
        <v>2</v>
      </c>
      <c r="AX498">
        <v>55748345</v>
      </c>
      <c r="AY498">
        <v>1</v>
      </c>
      <c r="AZ498">
        <v>0</v>
      </c>
      <c r="BA498">
        <v>532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ROUND(Y498*Source!I213,9)</f>
        <v>12</v>
      </c>
      <c r="CY498">
        <f>AA498</f>
        <v>11.44</v>
      </c>
      <c r="CZ498">
        <f>AE498</f>
        <v>11.13</v>
      </c>
      <c r="DA498">
        <f>AI498</f>
        <v>1</v>
      </c>
      <c r="DB498">
        <f>ROUND((ROUND(AT498*CZ498,2)*1),6)</f>
        <v>1113</v>
      </c>
      <c r="DC498">
        <f>ROUND((ROUND(AT498*AG498,2)*1),6)</f>
        <v>0</v>
      </c>
      <c r="DD498" t="s">
        <v>3</v>
      </c>
      <c r="DE498" t="s">
        <v>3</v>
      </c>
      <c r="DF498">
        <f t="shared" si="215"/>
        <v>133.56</v>
      </c>
      <c r="DG498">
        <f t="shared" si="214"/>
        <v>0</v>
      </c>
      <c r="DH498">
        <f t="shared" si="203"/>
        <v>0</v>
      </c>
      <c r="DI498">
        <f t="shared" si="192"/>
        <v>0</v>
      </c>
      <c r="DJ498">
        <f>DF498</f>
        <v>133.56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ROW(Source!A213)</f>
        <v>213</v>
      </c>
      <c r="B499">
        <v>55747649</v>
      </c>
      <c r="C499">
        <v>55748331</v>
      </c>
      <c r="D499">
        <v>54753766</v>
      </c>
      <c r="E499">
        <v>1</v>
      </c>
      <c r="F499">
        <v>1</v>
      </c>
      <c r="G499">
        <v>1081</v>
      </c>
      <c r="H499">
        <v>3</v>
      </c>
      <c r="I499" t="s">
        <v>379</v>
      </c>
      <c r="J499" t="s">
        <v>382</v>
      </c>
      <c r="K499" t="s">
        <v>380</v>
      </c>
      <c r="L499">
        <v>1391</v>
      </c>
      <c r="N499">
        <v>1013</v>
      </c>
      <c r="O499" t="s">
        <v>381</v>
      </c>
      <c r="P499" t="s">
        <v>381</v>
      </c>
      <c r="Q499">
        <v>1</v>
      </c>
      <c r="W499">
        <v>0</v>
      </c>
      <c r="X499">
        <v>673296093</v>
      </c>
      <c r="Y499">
        <f>(AT499*1)</f>
        <v>50</v>
      </c>
      <c r="AA499">
        <v>21.41</v>
      </c>
      <c r="AB499">
        <v>0</v>
      </c>
      <c r="AC499">
        <v>0</v>
      </c>
      <c r="AD499">
        <v>0</v>
      </c>
      <c r="AE499">
        <v>21.41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 t="s">
        <v>3</v>
      </c>
      <c r="AT499">
        <v>50</v>
      </c>
      <c r="AU499" t="s">
        <v>48</v>
      </c>
      <c r="AV499">
        <v>0</v>
      </c>
      <c r="AW499">
        <v>1</v>
      </c>
      <c r="AX499">
        <v>-1</v>
      </c>
      <c r="AY499">
        <v>0</v>
      </c>
      <c r="AZ499">
        <v>0</v>
      </c>
      <c r="BA499" t="s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ROUND(Y499*Source!I213,9)</f>
        <v>6</v>
      </c>
      <c r="CY499">
        <f>AA499</f>
        <v>21.41</v>
      </c>
      <c r="CZ499">
        <f>AE499</f>
        <v>21.41</v>
      </c>
      <c r="DA499">
        <f>AI499</f>
        <v>1</v>
      </c>
      <c r="DB499">
        <f>ROUND((ROUND(AT499*CZ499,2)*1),6)</f>
        <v>1070.5</v>
      </c>
      <c r="DC499">
        <f>ROUND((ROUND(AT499*AG499,2)*1),6)</f>
        <v>0</v>
      </c>
      <c r="DD499" t="s">
        <v>3</v>
      </c>
      <c r="DE499" t="s">
        <v>3</v>
      </c>
      <c r="DF499">
        <f t="shared" si="215"/>
        <v>128.46</v>
      </c>
      <c r="DG499">
        <f t="shared" si="214"/>
        <v>0</v>
      </c>
      <c r="DH499">
        <f t="shared" si="203"/>
        <v>0</v>
      </c>
      <c r="DI499">
        <f t="shared" si="192"/>
        <v>0</v>
      </c>
      <c r="DJ499">
        <f>DF499</f>
        <v>128.46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ROW(Source!A213)</f>
        <v>213</v>
      </c>
      <c r="B500">
        <v>55747649</v>
      </c>
      <c r="C500">
        <v>55748331</v>
      </c>
      <c r="D500">
        <v>54758173</v>
      </c>
      <c r="E500">
        <v>1</v>
      </c>
      <c r="F500">
        <v>1</v>
      </c>
      <c r="G500">
        <v>1081</v>
      </c>
      <c r="H500">
        <v>3</v>
      </c>
      <c r="I500" t="s">
        <v>640</v>
      </c>
      <c r="J500" t="s">
        <v>641</v>
      </c>
      <c r="K500" t="s">
        <v>642</v>
      </c>
      <c r="L500">
        <v>1354</v>
      </c>
      <c r="N500">
        <v>1010</v>
      </c>
      <c r="O500" t="s">
        <v>118</v>
      </c>
      <c r="P500" t="s">
        <v>118</v>
      </c>
      <c r="Q500">
        <v>1</v>
      </c>
      <c r="W500">
        <v>0</v>
      </c>
      <c r="X500">
        <v>-640005846</v>
      </c>
      <c r="Y500">
        <f>(AT500*1)</f>
        <v>100</v>
      </c>
      <c r="AA500">
        <v>22.7</v>
      </c>
      <c r="AB500">
        <v>0</v>
      </c>
      <c r="AC500">
        <v>0</v>
      </c>
      <c r="AD500">
        <v>0</v>
      </c>
      <c r="AE500">
        <v>22.08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100</v>
      </c>
      <c r="AU500" t="s">
        <v>48</v>
      </c>
      <c r="AV500">
        <v>0</v>
      </c>
      <c r="AW500">
        <v>2</v>
      </c>
      <c r="AX500">
        <v>55748346</v>
      </c>
      <c r="AY500">
        <v>1</v>
      </c>
      <c r="AZ500">
        <v>0</v>
      </c>
      <c r="BA500">
        <v>533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ROUND(Y500*Source!I213,9)</f>
        <v>12</v>
      </c>
      <c r="CY500">
        <f>AA500</f>
        <v>22.7</v>
      </c>
      <c r="CZ500">
        <f>AE500</f>
        <v>22.08</v>
      </c>
      <c r="DA500">
        <f>AI500</f>
        <v>1</v>
      </c>
      <c r="DB500">
        <f>ROUND((ROUND(AT500*CZ500,2)*1),6)</f>
        <v>2208</v>
      </c>
      <c r="DC500">
        <f>ROUND((ROUND(AT500*AG500,2)*1),6)</f>
        <v>0</v>
      </c>
      <c r="DD500" t="s">
        <v>3</v>
      </c>
      <c r="DE500" t="s">
        <v>3</v>
      </c>
      <c r="DF500">
        <f t="shared" si="215"/>
        <v>264.95999999999998</v>
      </c>
      <c r="DG500">
        <f t="shared" si="214"/>
        <v>0</v>
      </c>
      <c r="DH500">
        <f t="shared" si="203"/>
        <v>0</v>
      </c>
      <c r="DI500">
        <f t="shared" si="192"/>
        <v>0</v>
      </c>
      <c r="DJ500">
        <f>DF500</f>
        <v>264.95999999999998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ROW(Source!A214)</f>
        <v>214</v>
      </c>
      <c r="B501">
        <v>55747651</v>
      </c>
      <c r="C501">
        <v>55748331</v>
      </c>
      <c r="D501">
        <v>54702434</v>
      </c>
      <c r="E501">
        <v>1081</v>
      </c>
      <c r="F501">
        <v>1</v>
      </c>
      <c r="G501">
        <v>1081</v>
      </c>
      <c r="H501">
        <v>1</v>
      </c>
      <c r="I501" t="s">
        <v>473</v>
      </c>
      <c r="J501" t="s">
        <v>3</v>
      </c>
      <c r="K501" t="s">
        <v>474</v>
      </c>
      <c r="L501">
        <v>1191</v>
      </c>
      <c r="N501">
        <v>1013</v>
      </c>
      <c r="O501" t="s">
        <v>475</v>
      </c>
      <c r="P501" t="s">
        <v>475</v>
      </c>
      <c r="Q501">
        <v>1</v>
      </c>
      <c r="W501">
        <v>0</v>
      </c>
      <c r="X501">
        <v>476480486</v>
      </c>
      <c r="Y501">
        <f>(AT501*1.2)</f>
        <v>72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5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60</v>
      </c>
      <c r="AU501" t="s">
        <v>49</v>
      </c>
      <c r="AV501">
        <v>1</v>
      </c>
      <c r="AW501">
        <v>2</v>
      </c>
      <c r="AX501">
        <v>55748340</v>
      </c>
      <c r="AY501">
        <v>1</v>
      </c>
      <c r="AZ501">
        <v>0</v>
      </c>
      <c r="BA501">
        <v>535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U501">
        <f>ROUND(AT501*Source!I214*AH501*AL501,2)</f>
        <v>0</v>
      </c>
      <c r="CV501">
        <f>ROUND(Y501*Source!I214,9)</f>
        <v>8.64</v>
      </c>
      <c r="CW501">
        <v>0</v>
      </c>
      <c r="CX501">
        <f>ROUND(Y501*Source!I214,9)</f>
        <v>8.64</v>
      </c>
      <c r="CY501">
        <f>AD501</f>
        <v>0</v>
      </c>
      <c r="CZ501">
        <f>AH501</f>
        <v>0</v>
      </c>
      <c r="DA501">
        <f>AL501</f>
        <v>1</v>
      </c>
      <c r="DB501">
        <f>ROUND((ROUND(AT501*CZ501,2)*1.2),6)</f>
        <v>0</v>
      </c>
      <c r="DC501">
        <f>ROUND((ROUND(AT501*AG501,2)*1.2),6)</f>
        <v>0</v>
      </c>
      <c r="DD501" t="s">
        <v>3</v>
      </c>
      <c r="DE501" t="s">
        <v>3</v>
      </c>
      <c r="DF501">
        <f t="shared" si="215"/>
        <v>0</v>
      </c>
      <c r="DG501">
        <f t="shared" si="214"/>
        <v>0</v>
      </c>
      <c r="DH501">
        <f t="shared" si="203"/>
        <v>0</v>
      </c>
      <c r="DI501">
        <f t="shared" si="192"/>
        <v>0</v>
      </c>
      <c r="DJ501">
        <f>DI501</f>
        <v>0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ROW(Source!A214)</f>
        <v>214</v>
      </c>
      <c r="B502">
        <v>55747651</v>
      </c>
      <c r="C502">
        <v>55748331</v>
      </c>
      <c r="D502">
        <v>54768040</v>
      </c>
      <c r="E502">
        <v>1</v>
      </c>
      <c r="F502">
        <v>1</v>
      </c>
      <c r="G502">
        <v>1081</v>
      </c>
      <c r="H502">
        <v>2</v>
      </c>
      <c r="I502" t="s">
        <v>476</v>
      </c>
      <c r="J502" t="s">
        <v>477</v>
      </c>
      <c r="K502" t="s">
        <v>478</v>
      </c>
      <c r="L502">
        <v>1368</v>
      </c>
      <c r="N502">
        <v>1011</v>
      </c>
      <c r="O502" t="s">
        <v>479</v>
      </c>
      <c r="P502" t="s">
        <v>479</v>
      </c>
      <c r="Q502">
        <v>1</v>
      </c>
      <c r="W502">
        <v>0</v>
      </c>
      <c r="X502">
        <v>1498588441</v>
      </c>
      <c r="Y502">
        <f>(AT502*1.2)</f>
        <v>56.64</v>
      </c>
      <c r="AA502">
        <v>0</v>
      </c>
      <c r="AB502">
        <v>102.11</v>
      </c>
      <c r="AC502">
        <v>0</v>
      </c>
      <c r="AD502">
        <v>0</v>
      </c>
      <c r="AE502">
        <v>0</v>
      </c>
      <c r="AF502">
        <v>7.11</v>
      </c>
      <c r="AG502">
        <v>0</v>
      </c>
      <c r="AH502">
        <v>0</v>
      </c>
      <c r="AI502">
        <v>1</v>
      </c>
      <c r="AJ502">
        <v>13.46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47.2</v>
      </c>
      <c r="AU502" t="s">
        <v>49</v>
      </c>
      <c r="AV502">
        <v>0</v>
      </c>
      <c r="AW502">
        <v>2</v>
      </c>
      <c r="AX502">
        <v>55748341</v>
      </c>
      <c r="AY502">
        <v>1</v>
      </c>
      <c r="AZ502">
        <v>0</v>
      </c>
      <c r="BA502">
        <v>536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ROUND(Y502*Source!I214*DO502,9)</f>
        <v>0</v>
      </c>
      <c r="CX502">
        <f>ROUND(Y502*Source!I214,9)</f>
        <v>6.7968000000000002</v>
      </c>
      <c r="CY502">
        <f>AB502</f>
        <v>102.11</v>
      </c>
      <c r="CZ502">
        <f>AF502</f>
        <v>7.11</v>
      </c>
      <c r="DA502">
        <f>AJ502</f>
        <v>13.46</v>
      </c>
      <c r="DB502">
        <f>ROUND((ROUND(AT502*CZ502,2)*1.2),6)</f>
        <v>402.70800000000003</v>
      </c>
      <c r="DC502">
        <f>ROUND((ROUND(AT502*AG502,2)*1.2),6)</f>
        <v>0</v>
      </c>
      <c r="DD502" t="s">
        <v>3</v>
      </c>
      <c r="DE502" t="s">
        <v>3</v>
      </c>
      <c r="DF502">
        <f t="shared" si="215"/>
        <v>0</v>
      </c>
      <c r="DG502">
        <f>ROUND(ROUND(AF502*AJ502,2)*CX502,2)</f>
        <v>650.45000000000005</v>
      </c>
      <c r="DH502">
        <f t="shared" si="203"/>
        <v>0</v>
      </c>
      <c r="DI502">
        <f t="shared" si="192"/>
        <v>0</v>
      </c>
      <c r="DJ502">
        <f>DG502</f>
        <v>650.45000000000005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ROW(Source!A214)</f>
        <v>214</v>
      </c>
      <c r="B503">
        <v>55747651</v>
      </c>
      <c r="C503">
        <v>55748331</v>
      </c>
      <c r="D503">
        <v>54768339</v>
      </c>
      <c r="E503">
        <v>1</v>
      </c>
      <c r="F503">
        <v>1</v>
      </c>
      <c r="G503">
        <v>1081</v>
      </c>
      <c r="H503">
        <v>2</v>
      </c>
      <c r="I503" t="s">
        <v>483</v>
      </c>
      <c r="J503" t="s">
        <v>484</v>
      </c>
      <c r="K503" t="s">
        <v>485</v>
      </c>
      <c r="L503">
        <v>1368</v>
      </c>
      <c r="N503">
        <v>1011</v>
      </c>
      <c r="O503" t="s">
        <v>479</v>
      </c>
      <c r="P503" t="s">
        <v>479</v>
      </c>
      <c r="Q503">
        <v>1</v>
      </c>
      <c r="W503">
        <v>0</v>
      </c>
      <c r="X503">
        <v>874612079</v>
      </c>
      <c r="Y503">
        <f>(AT503*1.2)</f>
        <v>1.2E-2</v>
      </c>
      <c r="AA503">
        <v>0</v>
      </c>
      <c r="AB503">
        <v>1513.56</v>
      </c>
      <c r="AC503">
        <v>758.78</v>
      </c>
      <c r="AD503">
        <v>0</v>
      </c>
      <c r="AE503">
        <v>0</v>
      </c>
      <c r="AF503">
        <v>83.1</v>
      </c>
      <c r="AG503">
        <v>12.62</v>
      </c>
      <c r="AH503">
        <v>0</v>
      </c>
      <c r="AI503">
        <v>1</v>
      </c>
      <c r="AJ503">
        <v>17.07</v>
      </c>
      <c r="AK503">
        <v>56.35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0.01</v>
      </c>
      <c r="AU503" t="s">
        <v>49</v>
      </c>
      <c r="AV503">
        <v>0</v>
      </c>
      <c r="AW503">
        <v>2</v>
      </c>
      <c r="AX503">
        <v>55748342</v>
      </c>
      <c r="AY503">
        <v>1</v>
      </c>
      <c r="AZ503">
        <v>0</v>
      </c>
      <c r="BA503">
        <v>537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ROUND(Y503*Source!I214*DO503,9)</f>
        <v>1.8172799999999999E-2</v>
      </c>
      <c r="CX503">
        <f>ROUND(Y503*Source!I214,9)</f>
        <v>1.4400000000000001E-3</v>
      </c>
      <c r="CY503">
        <f>AB503</f>
        <v>1513.56</v>
      </c>
      <c r="CZ503">
        <f>AF503</f>
        <v>83.1</v>
      </c>
      <c r="DA503">
        <f>AJ503</f>
        <v>17.07</v>
      </c>
      <c r="DB503">
        <f>ROUND((ROUND(AT503*CZ503,2)*1.2),6)</f>
        <v>0.996</v>
      </c>
      <c r="DC503">
        <f>ROUND((ROUND(AT503*AG503,2)*1.2),6)</f>
        <v>0.156</v>
      </c>
      <c r="DD503" t="s">
        <v>3</v>
      </c>
      <c r="DE503" t="s">
        <v>3</v>
      </c>
      <c r="DF503">
        <f t="shared" si="215"/>
        <v>0</v>
      </c>
      <c r="DG503">
        <f>ROUND(ROUND(AF503*AJ503,2)*CX503,2)</f>
        <v>2.04</v>
      </c>
      <c r="DH503">
        <f>ROUND(ROUND(AG503*AK503,2)*CX503,2)</f>
        <v>1.02</v>
      </c>
      <c r="DI503">
        <f t="shared" si="192"/>
        <v>0</v>
      </c>
      <c r="DJ503">
        <f>DG503</f>
        <v>2.04</v>
      </c>
      <c r="DK503">
        <v>0</v>
      </c>
      <c r="DL503" t="s">
        <v>486</v>
      </c>
      <c r="DM503">
        <v>0</v>
      </c>
      <c r="DN503" t="s">
        <v>475</v>
      </c>
      <c r="DO503">
        <v>12.62</v>
      </c>
    </row>
    <row r="504" spans="1:119" x14ac:dyDescent="0.2">
      <c r="A504">
        <f>ROW(Source!A214)</f>
        <v>214</v>
      </c>
      <c r="B504">
        <v>55747651</v>
      </c>
      <c r="C504">
        <v>55748331</v>
      </c>
      <c r="D504">
        <v>54737969</v>
      </c>
      <c r="E504">
        <v>1</v>
      </c>
      <c r="F504">
        <v>1</v>
      </c>
      <c r="G504">
        <v>1081</v>
      </c>
      <c r="H504">
        <v>3</v>
      </c>
      <c r="I504" t="s">
        <v>511</v>
      </c>
      <c r="J504" t="s">
        <v>512</v>
      </c>
      <c r="K504" t="s">
        <v>513</v>
      </c>
      <c r="L504">
        <v>1348</v>
      </c>
      <c r="N504">
        <v>1009</v>
      </c>
      <c r="O504" t="s">
        <v>282</v>
      </c>
      <c r="P504" t="s">
        <v>282</v>
      </c>
      <c r="Q504">
        <v>1000</v>
      </c>
      <c r="W504">
        <v>0</v>
      </c>
      <c r="X504">
        <v>-287838193</v>
      </c>
      <c r="Y504">
        <f>(AT504*1)</f>
        <v>3.0000000000000001E-3</v>
      </c>
      <c r="AA504">
        <v>106689.74</v>
      </c>
      <c r="AB504">
        <v>0</v>
      </c>
      <c r="AC504">
        <v>0</v>
      </c>
      <c r="AD504">
        <v>0</v>
      </c>
      <c r="AE504">
        <v>23114.43</v>
      </c>
      <c r="AF504">
        <v>0</v>
      </c>
      <c r="AG504">
        <v>0</v>
      </c>
      <c r="AH504">
        <v>0</v>
      </c>
      <c r="AI504">
        <v>4.49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3.0000000000000001E-3</v>
      </c>
      <c r="AU504" t="s">
        <v>48</v>
      </c>
      <c r="AV504">
        <v>0</v>
      </c>
      <c r="AW504">
        <v>2</v>
      </c>
      <c r="AX504">
        <v>55748343</v>
      </c>
      <c r="AY504">
        <v>1</v>
      </c>
      <c r="AZ504">
        <v>0</v>
      </c>
      <c r="BA504">
        <v>538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ROUND(Y504*Source!I214,9)</f>
        <v>3.6000000000000002E-4</v>
      </c>
      <c r="CY504">
        <f>AA504</f>
        <v>106689.74</v>
      </c>
      <c r="CZ504">
        <f>AE504</f>
        <v>23114.43</v>
      </c>
      <c r="DA504">
        <f>AI504</f>
        <v>4.49</v>
      </c>
      <c r="DB504">
        <f>ROUND((ROUND(AT504*CZ504,2)*1),6)</f>
        <v>69.34</v>
      </c>
      <c r="DC504">
        <f>ROUND((ROUND(AT504*AG504,2)*1),6)</f>
        <v>0</v>
      </c>
      <c r="DD504" t="s">
        <v>3</v>
      </c>
      <c r="DE504" t="s">
        <v>3</v>
      </c>
      <c r="DF504">
        <f>ROUND(ROUND(AE504*AI504,2)*CX504,2)</f>
        <v>37.36</v>
      </c>
      <c r="DG504">
        <f t="shared" ref="DG504:DG517" si="216">ROUND(ROUND(AF504,2)*CX504,2)</f>
        <v>0</v>
      </c>
      <c r="DH504">
        <f t="shared" ref="DH504:DH517" si="217">ROUND(ROUND(AG504,2)*CX504,2)</f>
        <v>0</v>
      </c>
      <c r="DI504">
        <f t="shared" si="192"/>
        <v>0</v>
      </c>
      <c r="DJ504">
        <f>DF504</f>
        <v>37.36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ROW(Source!A214)</f>
        <v>214</v>
      </c>
      <c r="B505">
        <v>55747651</v>
      </c>
      <c r="C505">
        <v>55748331</v>
      </c>
      <c r="D505">
        <v>54738430</v>
      </c>
      <c r="E505">
        <v>1</v>
      </c>
      <c r="F505">
        <v>1</v>
      </c>
      <c r="G505">
        <v>1081</v>
      </c>
      <c r="H505">
        <v>3</v>
      </c>
      <c r="I505" t="s">
        <v>562</v>
      </c>
      <c r="J505" t="s">
        <v>563</v>
      </c>
      <c r="K505" t="s">
        <v>564</v>
      </c>
      <c r="L505">
        <v>1348</v>
      </c>
      <c r="N505">
        <v>1009</v>
      </c>
      <c r="O505" t="s">
        <v>282</v>
      </c>
      <c r="P505" t="s">
        <v>282</v>
      </c>
      <c r="Q505">
        <v>1000</v>
      </c>
      <c r="W505">
        <v>0</v>
      </c>
      <c r="X505">
        <v>63955816</v>
      </c>
      <c r="Y505">
        <f>(AT505*1)</f>
        <v>0.01</v>
      </c>
      <c r="AA505">
        <v>99503.2</v>
      </c>
      <c r="AB505">
        <v>0</v>
      </c>
      <c r="AC505">
        <v>0</v>
      </c>
      <c r="AD505">
        <v>0</v>
      </c>
      <c r="AE505">
        <v>7185.82</v>
      </c>
      <c r="AF505">
        <v>0</v>
      </c>
      <c r="AG505">
        <v>0</v>
      </c>
      <c r="AH505">
        <v>0</v>
      </c>
      <c r="AI505">
        <v>13.47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0.01</v>
      </c>
      <c r="AU505" t="s">
        <v>48</v>
      </c>
      <c r="AV505">
        <v>0</v>
      </c>
      <c r="AW505">
        <v>2</v>
      </c>
      <c r="AX505">
        <v>55748344</v>
      </c>
      <c r="AY505">
        <v>1</v>
      </c>
      <c r="AZ505">
        <v>0</v>
      </c>
      <c r="BA505">
        <v>539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ROUND(Y505*Source!I214,9)</f>
        <v>1.1999999999999999E-3</v>
      </c>
      <c r="CY505">
        <f>AA505</f>
        <v>99503.2</v>
      </c>
      <c r="CZ505">
        <f>AE505</f>
        <v>7185.82</v>
      </c>
      <c r="DA505">
        <f>AI505</f>
        <v>13.47</v>
      </c>
      <c r="DB505">
        <f>ROUND((ROUND(AT505*CZ505,2)*1),6)</f>
        <v>71.86</v>
      </c>
      <c r="DC505">
        <f>ROUND((ROUND(AT505*AG505,2)*1),6)</f>
        <v>0</v>
      </c>
      <c r="DD505" t="s">
        <v>3</v>
      </c>
      <c r="DE505" t="s">
        <v>3</v>
      </c>
      <c r="DF505">
        <f>ROUND(ROUND(AE505*AI505,2)*CX505,2)</f>
        <v>116.15</v>
      </c>
      <c r="DG505">
        <f t="shared" si="216"/>
        <v>0</v>
      </c>
      <c r="DH505">
        <f t="shared" si="217"/>
        <v>0</v>
      </c>
      <c r="DI505">
        <f t="shared" si="192"/>
        <v>0</v>
      </c>
      <c r="DJ505">
        <f>DF505</f>
        <v>116.15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ROW(Source!A214)</f>
        <v>214</v>
      </c>
      <c r="B506">
        <v>55747651</v>
      </c>
      <c r="C506">
        <v>55748331</v>
      </c>
      <c r="D506">
        <v>54753866</v>
      </c>
      <c r="E506">
        <v>1</v>
      </c>
      <c r="F506">
        <v>1</v>
      </c>
      <c r="G506">
        <v>1081</v>
      </c>
      <c r="H506">
        <v>3</v>
      </c>
      <c r="I506" t="s">
        <v>637</v>
      </c>
      <c r="J506" t="s">
        <v>638</v>
      </c>
      <c r="K506" t="s">
        <v>639</v>
      </c>
      <c r="L506">
        <v>1354</v>
      </c>
      <c r="N506">
        <v>1010</v>
      </c>
      <c r="O506" t="s">
        <v>118</v>
      </c>
      <c r="P506" t="s">
        <v>118</v>
      </c>
      <c r="Q506">
        <v>1</v>
      </c>
      <c r="W506">
        <v>0</v>
      </c>
      <c r="X506">
        <v>-1710543629</v>
      </c>
      <c r="Y506">
        <f>(AT506*1)</f>
        <v>100</v>
      </c>
      <c r="AA506">
        <v>102.86</v>
      </c>
      <c r="AB506">
        <v>0</v>
      </c>
      <c r="AC506">
        <v>0</v>
      </c>
      <c r="AD506">
        <v>0</v>
      </c>
      <c r="AE506">
        <v>11.13</v>
      </c>
      <c r="AF506">
        <v>0</v>
      </c>
      <c r="AG506">
        <v>0</v>
      </c>
      <c r="AH506">
        <v>0</v>
      </c>
      <c r="AI506">
        <v>8.99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100</v>
      </c>
      <c r="AU506" t="s">
        <v>48</v>
      </c>
      <c r="AV506">
        <v>0</v>
      </c>
      <c r="AW506">
        <v>2</v>
      </c>
      <c r="AX506">
        <v>55748345</v>
      </c>
      <c r="AY506">
        <v>1</v>
      </c>
      <c r="AZ506">
        <v>0</v>
      </c>
      <c r="BA506">
        <v>540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ROUND(Y506*Source!I214,9)</f>
        <v>12</v>
      </c>
      <c r="CY506">
        <f>AA506</f>
        <v>102.86</v>
      </c>
      <c r="CZ506">
        <f>AE506</f>
        <v>11.13</v>
      </c>
      <c r="DA506">
        <f>AI506</f>
        <v>8.99</v>
      </c>
      <c r="DB506">
        <f>ROUND((ROUND(AT506*CZ506,2)*1),6)</f>
        <v>1113</v>
      </c>
      <c r="DC506">
        <f>ROUND((ROUND(AT506*AG506,2)*1),6)</f>
        <v>0</v>
      </c>
      <c r="DD506" t="s">
        <v>3</v>
      </c>
      <c r="DE506" t="s">
        <v>3</v>
      </c>
      <c r="DF506">
        <f>ROUND(ROUND(AE506*AI506,2)*CX506,2)</f>
        <v>1200.72</v>
      </c>
      <c r="DG506">
        <f t="shared" si="216"/>
        <v>0</v>
      </c>
      <c r="DH506">
        <f t="shared" si="217"/>
        <v>0</v>
      </c>
      <c r="DI506">
        <f t="shared" si="192"/>
        <v>0</v>
      </c>
      <c r="DJ506">
        <f>DF506</f>
        <v>1200.72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ROW(Source!A214)</f>
        <v>214</v>
      </c>
      <c r="B507">
        <v>55747651</v>
      </c>
      <c r="C507">
        <v>55748331</v>
      </c>
      <c r="D507">
        <v>54753766</v>
      </c>
      <c r="E507">
        <v>1</v>
      </c>
      <c r="F507">
        <v>1</v>
      </c>
      <c r="G507">
        <v>1081</v>
      </c>
      <c r="H507">
        <v>3</v>
      </c>
      <c r="I507" t="s">
        <v>379</v>
      </c>
      <c r="J507" t="s">
        <v>382</v>
      </c>
      <c r="K507" t="s">
        <v>380</v>
      </c>
      <c r="L507">
        <v>1391</v>
      </c>
      <c r="N507">
        <v>1013</v>
      </c>
      <c r="O507" t="s">
        <v>381</v>
      </c>
      <c r="P507" t="s">
        <v>381</v>
      </c>
      <c r="Q507">
        <v>1</v>
      </c>
      <c r="W507">
        <v>0</v>
      </c>
      <c r="X507">
        <v>673296093</v>
      </c>
      <c r="Y507">
        <f>(AT507*1)</f>
        <v>50</v>
      </c>
      <c r="AA507">
        <v>448.97</v>
      </c>
      <c r="AB507">
        <v>0</v>
      </c>
      <c r="AC507">
        <v>0</v>
      </c>
      <c r="AD507">
        <v>0</v>
      </c>
      <c r="AE507">
        <v>21.41</v>
      </c>
      <c r="AF507">
        <v>0</v>
      </c>
      <c r="AG507">
        <v>0</v>
      </c>
      <c r="AH507">
        <v>0</v>
      </c>
      <c r="AI507">
        <v>20.97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3</v>
      </c>
      <c r="AT507">
        <v>50</v>
      </c>
      <c r="AU507" t="s">
        <v>48</v>
      </c>
      <c r="AV507">
        <v>0</v>
      </c>
      <c r="AW507">
        <v>1</v>
      </c>
      <c r="AX507">
        <v>-1</v>
      </c>
      <c r="AY507">
        <v>0</v>
      </c>
      <c r="AZ507">
        <v>0</v>
      </c>
      <c r="BA507" t="s">
        <v>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ROUND(Y507*Source!I214,9)</f>
        <v>6</v>
      </c>
      <c r="CY507">
        <f>AA507</f>
        <v>448.97</v>
      </c>
      <c r="CZ507">
        <f>AE507</f>
        <v>21.41</v>
      </c>
      <c r="DA507">
        <f>AI507</f>
        <v>20.97</v>
      </c>
      <c r="DB507">
        <f>ROUND((ROUND(AT507*CZ507,2)*1),6)</f>
        <v>1070.5</v>
      </c>
      <c r="DC507">
        <f>ROUND((ROUND(AT507*AG507,2)*1),6)</f>
        <v>0</v>
      </c>
      <c r="DD507" t="s">
        <v>3</v>
      </c>
      <c r="DE507" t="s">
        <v>3</v>
      </c>
      <c r="DF507">
        <f>ROUND(ROUND(AE507*AI507,2)*CX507,2)</f>
        <v>2693.82</v>
      </c>
      <c r="DG507">
        <f t="shared" si="216"/>
        <v>0</v>
      </c>
      <c r="DH507">
        <f t="shared" si="217"/>
        <v>0</v>
      </c>
      <c r="DI507">
        <f t="shared" si="192"/>
        <v>0</v>
      </c>
      <c r="DJ507">
        <f>DF507</f>
        <v>2693.82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ROW(Source!A214)</f>
        <v>214</v>
      </c>
      <c r="B508">
        <v>55747651</v>
      </c>
      <c r="C508">
        <v>55748331</v>
      </c>
      <c r="D508">
        <v>54758173</v>
      </c>
      <c r="E508">
        <v>1</v>
      </c>
      <c r="F508">
        <v>1</v>
      </c>
      <c r="G508">
        <v>1081</v>
      </c>
      <c r="H508">
        <v>3</v>
      </c>
      <c r="I508" t="s">
        <v>640</v>
      </c>
      <c r="J508" t="s">
        <v>641</v>
      </c>
      <c r="K508" t="s">
        <v>642</v>
      </c>
      <c r="L508">
        <v>1354</v>
      </c>
      <c r="N508">
        <v>1010</v>
      </c>
      <c r="O508" t="s">
        <v>118</v>
      </c>
      <c r="P508" t="s">
        <v>118</v>
      </c>
      <c r="Q508">
        <v>1</v>
      </c>
      <c r="W508">
        <v>0</v>
      </c>
      <c r="X508">
        <v>-640005846</v>
      </c>
      <c r="Y508">
        <f>(AT508*1)</f>
        <v>100</v>
      </c>
      <c r="AA508">
        <v>186.81</v>
      </c>
      <c r="AB508">
        <v>0</v>
      </c>
      <c r="AC508">
        <v>0</v>
      </c>
      <c r="AD508">
        <v>0</v>
      </c>
      <c r="AE508">
        <v>22.08</v>
      </c>
      <c r="AF508">
        <v>0</v>
      </c>
      <c r="AG508">
        <v>0</v>
      </c>
      <c r="AH508">
        <v>0</v>
      </c>
      <c r="AI508">
        <v>8.23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100</v>
      </c>
      <c r="AU508" t="s">
        <v>48</v>
      </c>
      <c r="AV508">
        <v>0</v>
      </c>
      <c r="AW508">
        <v>2</v>
      </c>
      <c r="AX508">
        <v>55748346</v>
      </c>
      <c r="AY508">
        <v>1</v>
      </c>
      <c r="AZ508">
        <v>0</v>
      </c>
      <c r="BA508">
        <v>541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ROUND(Y508*Source!I214,9)</f>
        <v>12</v>
      </c>
      <c r="CY508">
        <f>AA508</f>
        <v>186.81</v>
      </c>
      <c r="CZ508">
        <f>AE508</f>
        <v>22.08</v>
      </c>
      <c r="DA508">
        <f>AI508</f>
        <v>8.23</v>
      </c>
      <c r="DB508">
        <f>ROUND((ROUND(AT508*CZ508,2)*1),6)</f>
        <v>2208</v>
      </c>
      <c r="DC508">
        <f>ROUND((ROUND(AT508*AG508,2)*1),6)</f>
        <v>0</v>
      </c>
      <c r="DD508" t="s">
        <v>3</v>
      </c>
      <c r="DE508" t="s">
        <v>3</v>
      </c>
      <c r="DF508">
        <f>ROUND(ROUND(AE508*AI508,2)*CX508,2)</f>
        <v>2180.64</v>
      </c>
      <c r="DG508">
        <f t="shared" si="216"/>
        <v>0</v>
      </c>
      <c r="DH508">
        <f t="shared" si="217"/>
        <v>0</v>
      </c>
      <c r="DI508">
        <f t="shared" si="192"/>
        <v>0</v>
      </c>
      <c r="DJ508">
        <f>DF508</f>
        <v>2180.64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ROW(Source!A217)</f>
        <v>217</v>
      </c>
      <c r="B509">
        <v>55747649</v>
      </c>
      <c r="C509">
        <v>55748349</v>
      </c>
      <c r="D509">
        <v>54702434</v>
      </c>
      <c r="E509">
        <v>1081</v>
      </c>
      <c r="F509">
        <v>1</v>
      </c>
      <c r="G509">
        <v>1081</v>
      </c>
      <c r="H509">
        <v>1</v>
      </c>
      <c r="I509" t="s">
        <v>473</v>
      </c>
      <c r="J509" t="s">
        <v>3</v>
      </c>
      <c r="K509" t="s">
        <v>474</v>
      </c>
      <c r="L509">
        <v>1191</v>
      </c>
      <c r="N509">
        <v>1013</v>
      </c>
      <c r="O509" t="s">
        <v>475</v>
      </c>
      <c r="P509" t="s">
        <v>475</v>
      </c>
      <c r="Q509">
        <v>1</v>
      </c>
      <c r="W509">
        <v>0</v>
      </c>
      <c r="X509">
        <v>476480486</v>
      </c>
      <c r="Y509">
        <f>((AT509*1.15)*1.2)</f>
        <v>2.1941999999999999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1.59</v>
      </c>
      <c r="AU509" t="s">
        <v>98</v>
      </c>
      <c r="AV509">
        <v>1</v>
      </c>
      <c r="AW509">
        <v>2</v>
      </c>
      <c r="AX509">
        <v>55748358</v>
      </c>
      <c r="AY509">
        <v>1</v>
      </c>
      <c r="AZ509">
        <v>0</v>
      </c>
      <c r="BA509">
        <v>543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ROUND(AT509*Source!I217*AH509*AL509,2)</f>
        <v>0</v>
      </c>
      <c r="CV509">
        <f>ROUND(Y509*Source!I217,9)</f>
        <v>26.330400000000001</v>
      </c>
      <c r="CW509">
        <v>0</v>
      </c>
      <c r="CX509">
        <f>ROUND(Y509*Source!I217,9)</f>
        <v>26.330400000000001</v>
      </c>
      <c r="CY509">
        <f>AD509</f>
        <v>0</v>
      </c>
      <c r="CZ509">
        <f>AH509</f>
        <v>0</v>
      </c>
      <c r="DA509">
        <f>AL509</f>
        <v>1</v>
      </c>
      <c r="DB509">
        <f>ROUND(((ROUND(AT509*CZ509,2)*1.15)*1.2),6)</f>
        <v>0</v>
      </c>
      <c r="DC509">
        <f>ROUND(((ROUND(AT509*AG509,2)*1.15)*1.2),6)</f>
        <v>0</v>
      </c>
      <c r="DD509" t="s">
        <v>3</v>
      </c>
      <c r="DE509" t="s">
        <v>3</v>
      </c>
      <c r="DF509">
        <f t="shared" ref="DF509:DF519" si="218">ROUND(ROUND(AE509,2)*CX509,2)</f>
        <v>0</v>
      </c>
      <c r="DG509">
        <f t="shared" si="216"/>
        <v>0</v>
      </c>
      <c r="DH509">
        <f t="shared" si="217"/>
        <v>0</v>
      </c>
      <c r="DI509">
        <f t="shared" si="192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ROW(Source!A217)</f>
        <v>217</v>
      </c>
      <c r="B510">
        <v>55747649</v>
      </c>
      <c r="C510">
        <v>55748349</v>
      </c>
      <c r="D510">
        <v>54768339</v>
      </c>
      <c r="E510">
        <v>1</v>
      </c>
      <c r="F510">
        <v>1</v>
      </c>
      <c r="G510">
        <v>1081</v>
      </c>
      <c r="H510">
        <v>2</v>
      </c>
      <c r="I510" t="s">
        <v>483</v>
      </c>
      <c r="J510" t="s">
        <v>484</v>
      </c>
      <c r="K510" t="s">
        <v>485</v>
      </c>
      <c r="L510">
        <v>1368</v>
      </c>
      <c r="N510">
        <v>1011</v>
      </c>
      <c r="O510" t="s">
        <v>479</v>
      </c>
      <c r="P510" t="s">
        <v>479</v>
      </c>
      <c r="Q510">
        <v>1</v>
      </c>
      <c r="W510">
        <v>0</v>
      </c>
      <c r="X510">
        <v>874612079</v>
      </c>
      <c r="Y510">
        <f>((AT510*1.25)*1.2)</f>
        <v>0.09</v>
      </c>
      <c r="AA510">
        <v>0</v>
      </c>
      <c r="AB510">
        <v>88.67</v>
      </c>
      <c r="AC510">
        <v>13.47</v>
      </c>
      <c r="AD510">
        <v>0</v>
      </c>
      <c r="AE510">
        <v>0</v>
      </c>
      <c r="AF510">
        <v>83.1</v>
      </c>
      <c r="AG510">
        <v>12.62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0.06</v>
      </c>
      <c r="AU510" t="s">
        <v>97</v>
      </c>
      <c r="AV510">
        <v>0</v>
      </c>
      <c r="AW510">
        <v>2</v>
      </c>
      <c r="AX510">
        <v>55748359</v>
      </c>
      <c r="AY510">
        <v>1</v>
      </c>
      <c r="AZ510">
        <v>0</v>
      </c>
      <c r="BA510">
        <v>544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f>ROUND(Y510*Source!I217*DO510,9)</f>
        <v>13.6296</v>
      </c>
      <c r="CX510">
        <f>ROUND(Y510*Source!I217,9)</f>
        <v>1.08</v>
      </c>
      <c r="CY510">
        <f>AB510</f>
        <v>88.67</v>
      </c>
      <c r="CZ510">
        <f>AF510</f>
        <v>83.1</v>
      </c>
      <c r="DA510">
        <f>AJ510</f>
        <v>1</v>
      </c>
      <c r="DB510">
        <f>ROUND(((ROUND(AT510*CZ510,2)*1.25)*1.2),6)</f>
        <v>7.4850000000000003</v>
      </c>
      <c r="DC510">
        <f>ROUND(((ROUND(AT510*AG510,2)*1.25)*1.2),6)</f>
        <v>1.1399999999999999</v>
      </c>
      <c r="DD510" t="s">
        <v>3</v>
      </c>
      <c r="DE510" t="s">
        <v>3</v>
      </c>
      <c r="DF510">
        <f t="shared" si="218"/>
        <v>0</v>
      </c>
      <c r="DG510">
        <f t="shared" si="216"/>
        <v>89.75</v>
      </c>
      <c r="DH510">
        <f t="shared" si="217"/>
        <v>13.63</v>
      </c>
      <c r="DI510">
        <f t="shared" si="192"/>
        <v>0</v>
      </c>
      <c r="DJ510">
        <f>DG510</f>
        <v>89.75</v>
      </c>
      <c r="DK510">
        <v>0</v>
      </c>
      <c r="DL510" t="s">
        <v>486</v>
      </c>
      <c r="DM510">
        <v>0</v>
      </c>
      <c r="DN510" t="s">
        <v>475</v>
      </c>
      <c r="DO510">
        <v>12.62</v>
      </c>
    </row>
    <row r="511" spans="1:119" x14ac:dyDescent="0.2">
      <c r="A511">
        <f>ROW(Source!A217)</f>
        <v>217</v>
      </c>
      <c r="B511">
        <v>55747649</v>
      </c>
      <c r="C511">
        <v>55748349</v>
      </c>
      <c r="D511">
        <v>54767573</v>
      </c>
      <c r="E511">
        <v>1</v>
      </c>
      <c r="F511">
        <v>1</v>
      </c>
      <c r="G511">
        <v>1081</v>
      </c>
      <c r="H511">
        <v>2</v>
      </c>
      <c r="I511" t="s">
        <v>508</v>
      </c>
      <c r="J511" t="s">
        <v>509</v>
      </c>
      <c r="K511" t="s">
        <v>510</v>
      </c>
      <c r="L511">
        <v>1368</v>
      </c>
      <c r="N511">
        <v>1011</v>
      </c>
      <c r="O511" t="s">
        <v>479</v>
      </c>
      <c r="P511" t="s">
        <v>479</v>
      </c>
      <c r="Q511">
        <v>1</v>
      </c>
      <c r="W511">
        <v>0</v>
      </c>
      <c r="X511">
        <v>-44940208</v>
      </c>
      <c r="Y511">
        <f>((AT511*1.25)*1.2)</f>
        <v>0.03</v>
      </c>
      <c r="AA511">
        <v>0</v>
      </c>
      <c r="AB511">
        <v>191.17</v>
      </c>
      <c r="AC511">
        <v>18.059999999999999</v>
      </c>
      <c r="AD511">
        <v>0</v>
      </c>
      <c r="AE511">
        <v>0</v>
      </c>
      <c r="AF511">
        <v>179.17</v>
      </c>
      <c r="AG511">
        <v>16.93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0.02</v>
      </c>
      <c r="AU511" t="s">
        <v>97</v>
      </c>
      <c r="AV511">
        <v>0</v>
      </c>
      <c r="AW511">
        <v>2</v>
      </c>
      <c r="AX511">
        <v>55748360</v>
      </c>
      <c r="AY511">
        <v>1</v>
      </c>
      <c r="AZ511">
        <v>0</v>
      </c>
      <c r="BA511">
        <v>545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f>ROUND(Y511*Source!I217*DO511,9)</f>
        <v>6.0948000000000002</v>
      </c>
      <c r="CX511">
        <f>ROUND(Y511*Source!I217,9)</f>
        <v>0.36</v>
      </c>
      <c r="CY511">
        <f>AB511</f>
        <v>191.17</v>
      </c>
      <c r="CZ511">
        <f>AF511</f>
        <v>179.17</v>
      </c>
      <c r="DA511">
        <f>AJ511</f>
        <v>1</v>
      </c>
      <c r="DB511">
        <f>ROUND(((ROUND(AT511*CZ511,2)*1.25)*1.2),6)</f>
        <v>5.37</v>
      </c>
      <c r="DC511">
        <f>ROUND(((ROUND(AT511*AG511,2)*1.25)*1.2),6)</f>
        <v>0.51</v>
      </c>
      <c r="DD511" t="s">
        <v>3</v>
      </c>
      <c r="DE511" t="s">
        <v>3</v>
      </c>
      <c r="DF511">
        <f t="shared" si="218"/>
        <v>0</v>
      </c>
      <c r="DG511">
        <f t="shared" si="216"/>
        <v>64.5</v>
      </c>
      <c r="DH511">
        <f t="shared" si="217"/>
        <v>6.09</v>
      </c>
      <c r="DI511">
        <f t="shared" si="192"/>
        <v>0</v>
      </c>
      <c r="DJ511">
        <f>DG511</f>
        <v>64.5</v>
      </c>
      <c r="DK511">
        <v>0</v>
      </c>
      <c r="DL511" t="s">
        <v>486</v>
      </c>
      <c r="DM511">
        <v>0</v>
      </c>
      <c r="DN511" t="s">
        <v>475</v>
      </c>
      <c r="DO511">
        <v>16.93</v>
      </c>
    </row>
    <row r="512" spans="1:119" x14ac:dyDescent="0.2">
      <c r="A512">
        <f>ROW(Source!A217)</f>
        <v>217</v>
      </c>
      <c r="B512">
        <v>55747649</v>
      </c>
      <c r="C512">
        <v>55748349</v>
      </c>
      <c r="D512">
        <v>54739078</v>
      </c>
      <c r="E512">
        <v>1</v>
      </c>
      <c r="F512">
        <v>1</v>
      </c>
      <c r="G512">
        <v>1081</v>
      </c>
      <c r="H512">
        <v>3</v>
      </c>
      <c r="I512" t="s">
        <v>541</v>
      </c>
      <c r="J512" t="s">
        <v>542</v>
      </c>
      <c r="K512" t="s">
        <v>543</v>
      </c>
      <c r="L512">
        <v>1346</v>
      </c>
      <c r="N512">
        <v>1009</v>
      </c>
      <c r="O512" t="s">
        <v>503</v>
      </c>
      <c r="P512" t="s">
        <v>503</v>
      </c>
      <c r="Q512">
        <v>1</v>
      </c>
      <c r="W512">
        <v>0</v>
      </c>
      <c r="X512">
        <v>1021383118</v>
      </c>
      <c r="Y512">
        <f>((AT512*1)*1)</f>
        <v>0.04</v>
      </c>
      <c r="AA512">
        <v>37.979999999999997</v>
      </c>
      <c r="AB512">
        <v>0</v>
      </c>
      <c r="AC512">
        <v>0</v>
      </c>
      <c r="AD512">
        <v>0</v>
      </c>
      <c r="AE512">
        <v>37.979999999999997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0.04</v>
      </c>
      <c r="AU512" t="s">
        <v>38</v>
      </c>
      <c r="AV512">
        <v>0</v>
      </c>
      <c r="AW512">
        <v>2</v>
      </c>
      <c r="AX512">
        <v>55748361</v>
      </c>
      <c r="AY512">
        <v>1</v>
      </c>
      <c r="AZ512">
        <v>0</v>
      </c>
      <c r="BA512">
        <v>546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ROUND(Y512*Source!I217,9)</f>
        <v>0.48</v>
      </c>
      <c r="CY512">
        <f>AA512</f>
        <v>37.979999999999997</v>
      </c>
      <c r="CZ512">
        <f>AE512</f>
        <v>37.979999999999997</v>
      </c>
      <c r="DA512">
        <f>AI512</f>
        <v>1</v>
      </c>
      <c r="DB512">
        <f>ROUND(((ROUND(AT512*CZ512,2)*1)*1),6)</f>
        <v>1.52</v>
      </c>
      <c r="DC512">
        <f>ROUND(((ROUND(AT512*AG512,2)*1)*1),6)</f>
        <v>0</v>
      </c>
      <c r="DD512" t="s">
        <v>3</v>
      </c>
      <c r="DE512" t="s">
        <v>3</v>
      </c>
      <c r="DF512">
        <f t="shared" si="218"/>
        <v>18.23</v>
      </c>
      <c r="DG512">
        <f t="shared" si="216"/>
        <v>0</v>
      </c>
      <c r="DH512">
        <f t="shared" si="217"/>
        <v>0</v>
      </c>
      <c r="DI512">
        <f t="shared" si="192"/>
        <v>0</v>
      </c>
      <c r="DJ512">
        <f>DF512</f>
        <v>18.23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ROW(Source!A217)</f>
        <v>217</v>
      </c>
      <c r="B513">
        <v>55747649</v>
      </c>
      <c r="C513">
        <v>55748349</v>
      </c>
      <c r="D513">
        <v>54737637</v>
      </c>
      <c r="E513">
        <v>1</v>
      </c>
      <c r="F513">
        <v>1</v>
      </c>
      <c r="G513">
        <v>1081</v>
      </c>
      <c r="H513">
        <v>3</v>
      </c>
      <c r="I513" t="s">
        <v>544</v>
      </c>
      <c r="J513" t="s">
        <v>545</v>
      </c>
      <c r="K513" t="s">
        <v>546</v>
      </c>
      <c r="L513">
        <v>1348</v>
      </c>
      <c r="N513">
        <v>1009</v>
      </c>
      <c r="O513" t="s">
        <v>282</v>
      </c>
      <c r="P513" t="s">
        <v>282</v>
      </c>
      <c r="Q513">
        <v>1000</v>
      </c>
      <c r="W513">
        <v>0</v>
      </c>
      <c r="X513">
        <v>1270042986</v>
      </c>
      <c r="Y513">
        <f>((AT513*1)*1)</f>
        <v>1E-4</v>
      </c>
      <c r="AA513">
        <v>16214.84</v>
      </c>
      <c r="AB513">
        <v>0</v>
      </c>
      <c r="AC513">
        <v>0</v>
      </c>
      <c r="AD513">
        <v>0</v>
      </c>
      <c r="AE513">
        <v>16214.84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1E-4</v>
      </c>
      <c r="AU513" t="s">
        <v>38</v>
      </c>
      <c r="AV513">
        <v>0</v>
      </c>
      <c r="AW513">
        <v>2</v>
      </c>
      <c r="AX513">
        <v>55748362</v>
      </c>
      <c r="AY513">
        <v>1</v>
      </c>
      <c r="AZ513">
        <v>0</v>
      </c>
      <c r="BA513">
        <v>547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ROUND(Y513*Source!I217,9)</f>
        <v>1.1999999999999999E-3</v>
      </c>
      <c r="CY513">
        <f>AA513</f>
        <v>16214.84</v>
      </c>
      <c r="CZ513">
        <f>AE513</f>
        <v>16214.84</v>
      </c>
      <c r="DA513">
        <f>AI513</f>
        <v>1</v>
      </c>
      <c r="DB513">
        <f>ROUND(((ROUND(AT513*CZ513,2)*1)*1),6)</f>
        <v>1.62</v>
      </c>
      <c r="DC513">
        <f>ROUND(((ROUND(AT513*AG513,2)*1)*1),6)</f>
        <v>0</v>
      </c>
      <c r="DD513" t="s">
        <v>3</v>
      </c>
      <c r="DE513" t="s">
        <v>3</v>
      </c>
      <c r="DF513">
        <f t="shared" si="218"/>
        <v>19.46</v>
      </c>
      <c r="DG513">
        <f t="shared" si="216"/>
        <v>0</v>
      </c>
      <c r="DH513">
        <f t="shared" si="217"/>
        <v>0</v>
      </c>
      <c r="DI513">
        <f t="shared" ref="DI513:DI576" si="219">ROUND(ROUND(AH513,2)*CX513,2)</f>
        <v>0</v>
      </c>
      <c r="DJ513">
        <f>DF513</f>
        <v>19.46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ROW(Source!A217)</f>
        <v>217</v>
      </c>
      <c r="B514">
        <v>55747649</v>
      </c>
      <c r="C514">
        <v>55748349</v>
      </c>
      <c r="D514">
        <v>54737805</v>
      </c>
      <c r="E514">
        <v>1</v>
      </c>
      <c r="F514">
        <v>1</v>
      </c>
      <c r="G514">
        <v>1081</v>
      </c>
      <c r="H514">
        <v>3</v>
      </c>
      <c r="I514" t="s">
        <v>547</v>
      </c>
      <c r="J514" t="s">
        <v>548</v>
      </c>
      <c r="K514" t="s">
        <v>549</v>
      </c>
      <c r="L514">
        <v>1346</v>
      </c>
      <c r="N514">
        <v>1009</v>
      </c>
      <c r="O514" t="s">
        <v>503</v>
      </c>
      <c r="P514" t="s">
        <v>503</v>
      </c>
      <c r="Q514">
        <v>1</v>
      </c>
      <c r="W514">
        <v>0</v>
      </c>
      <c r="X514">
        <v>488689173</v>
      </c>
      <c r="Y514">
        <f>((AT514*1)*1)</f>
        <v>0.01</v>
      </c>
      <c r="AA514">
        <v>20.190000000000001</v>
      </c>
      <c r="AB514">
        <v>0</v>
      </c>
      <c r="AC514">
        <v>0</v>
      </c>
      <c r="AD514">
        <v>0</v>
      </c>
      <c r="AE514">
        <v>20.190000000000001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0.01</v>
      </c>
      <c r="AU514" t="s">
        <v>38</v>
      </c>
      <c r="AV514">
        <v>0</v>
      </c>
      <c r="AW514">
        <v>2</v>
      </c>
      <c r="AX514">
        <v>55748363</v>
      </c>
      <c r="AY514">
        <v>1</v>
      </c>
      <c r="AZ514">
        <v>0</v>
      </c>
      <c r="BA514">
        <v>548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v>0</v>
      </c>
      <c r="CX514">
        <f>ROUND(Y514*Source!I217,9)</f>
        <v>0.12</v>
      </c>
      <c r="CY514">
        <f>AA514</f>
        <v>20.190000000000001</v>
      </c>
      <c r="CZ514">
        <f>AE514</f>
        <v>20.190000000000001</v>
      </c>
      <c r="DA514">
        <f>AI514</f>
        <v>1</v>
      </c>
      <c r="DB514">
        <f>ROUND(((ROUND(AT514*CZ514,2)*1)*1),6)</f>
        <v>0.2</v>
      </c>
      <c r="DC514">
        <f>ROUND(((ROUND(AT514*AG514,2)*1)*1),6)</f>
        <v>0</v>
      </c>
      <c r="DD514" t="s">
        <v>3</v>
      </c>
      <c r="DE514" t="s">
        <v>3</v>
      </c>
      <c r="DF514">
        <f t="shared" si="218"/>
        <v>2.42</v>
      </c>
      <c r="DG514">
        <f t="shared" si="216"/>
        <v>0</v>
      </c>
      <c r="DH514">
        <f t="shared" si="217"/>
        <v>0</v>
      </c>
      <c r="DI514">
        <f t="shared" si="219"/>
        <v>0</v>
      </c>
      <c r="DJ514">
        <f>DF514</f>
        <v>2.42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ROW(Source!A217)</f>
        <v>217</v>
      </c>
      <c r="B515">
        <v>55747649</v>
      </c>
      <c r="C515">
        <v>55748349</v>
      </c>
      <c r="D515">
        <v>54758016</v>
      </c>
      <c r="E515">
        <v>1</v>
      </c>
      <c r="F515">
        <v>1</v>
      </c>
      <c r="G515">
        <v>1081</v>
      </c>
      <c r="H515">
        <v>3</v>
      </c>
      <c r="I515" t="s">
        <v>388</v>
      </c>
      <c r="J515" t="s">
        <v>390</v>
      </c>
      <c r="K515" t="s">
        <v>389</v>
      </c>
      <c r="L515">
        <v>1354</v>
      </c>
      <c r="N515">
        <v>1010</v>
      </c>
      <c r="O515" t="s">
        <v>118</v>
      </c>
      <c r="P515" t="s">
        <v>118</v>
      </c>
      <c r="Q515">
        <v>1</v>
      </c>
      <c r="W515">
        <v>0</v>
      </c>
      <c r="X515">
        <v>-1809205533</v>
      </c>
      <c r="Y515">
        <f>AT515</f>
        <v>1</v>
      </c>
      <c r="AA515">
        <v>132.38</v>
      </c>
      <c r="AB515">
        <v>0</v>
      </c>
      <c r="AC515">
        <v>0</v>
      </c>
      <c r="AD515">
        <v>0</v>
      </c>
      <c r="AE515">
        <v>132.38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 t="s">
        <v>3</v>
      </c>
      <c r="AT515">
        <v>1</v>
      </c>
      <c r="AU515" t="s">
        <v>3</v>
      </c>
      <c r="AV515">
        <v>0</v>
      </c>
      <c r="AW515">
        <v>1</v>
      </c>
      <c r="AX515">
        <v>-1</v>
      </c>
      <c r="AY515">
        <v>0</v>
      </c>
      <c r="AZ515">
        <v>0</v>
      </c>
      <c r="BA515" t="s">
        <v>3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ROUND(Y515*Source!I217,9)</f>
        <v>12</v>
      </c>
      <c r="CY515">
        <f>AA515</f>
        <v>132.38</v>
      </c>
      <c r="CZ515">
        <f>AE515</f>
        <v>132.38</v>
      </c>
      <c r="DA515">
        <f>AI515</f>
        <v>1</v>
      </c>
      <c r="DB515">
        <f>ROUND(ROUND(AT515*CZ515,2),6)</f>
        <v>132.38</v>
      </c>
      <c r="DC515">
        <f>ROUND(ROUND(AT515*AG515,2),6)</f>
        <v>0</v>
      </c>
      <c r="DD515" t="s">
        <v>3</v>
      </c>
      <c r="DE515" t="s">
        <v>3</v>
      </c>
      <c r="DF515">
        <f t="shared" si="218"/>
        <v>1588.56</v>
      </c>
      <c r="DG515">
        <f t="shared" si="216"/>
        <v>0</v>
      </c>
      <c r="DH515">
        <f t="shared" si="217"/>
        <v>0</v>
      </c>
      <c r="DI515">
        <f t="shared" si="219"/>
        <v>0</v>
      </c>
      <c r="DJ515">
        <f>DF515</f>
        <v>1588.56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ROW(Source!A217)</f>
        <v>217</v>
      </c>
      <c r="B516">
        <v>55747649</v>
      </c>
      <c r="C516">
        <v>55748349</v>
      </c>
      <c r="D516">
        <v>54758097</v>
      </c>
      <c r="E516">
        <v>1</v>
      </c>
      <c r="F516">
        <v>1</v>
      </c>
      <c r="G516">
        <v>1081</v>
      </c>
      <c r="H516">
        <v>3</v>
      </c>
      <c r="I516" t="s">
        <v>643</v>
      </c>
      <c r="J516" t="s">
        <v>644</v>
      </c>
      <c r="K516" t="s">
        <v>645</v>
      </c>
      <c r="L516">
        <v>1346</v>
      </c>
      <c r="N516">
        <v>1009</v>
      </c>
      <c r="O516" t="s">
        <v>503</v>
      </c>
      <c r="P516" t="s">
        <v>503</v>
      </c>
      <c r="Q516">
        <v>1</v>
      </c>
      <c r="W516">
        <v>0</v>
      </c>
      <c r="X516">
        <v>1225074207</v>
      </c>
      <c r="Y516">
        <f>((AT516*1)*1)</f>
        <v>1.374E-2</v>
      </c>
      <c r="AA516">
        <v>19.28</v>
      </c>
      <c r="AB516">
        <v>0</v>
      </c>
      <c r="AC516">
        <v>0</v>
      </c>
      <c r="AD516">
        <v>0</v>
      </c>
      <c r="AE516">
        <v>19.28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1.374E-2</v>
      </c>
      <c r="AU516" t="s">
        <v>38</v>
      </c>
      <c r="AV516">
        <v>0</v>
      </c>
      <c r="AW516">
        <v>2</v>
      </c>
      <c r="AX516">
        <v>55748364</v>
      </c>
      <c r="AY516">
        <v>1</v>
      </c>
      <c r="AZ516">
        <v>0</v>
      </c>
      <c r="BA516">
        <v>549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ROUND(Y516*Source!I217,9)</f>
        <v>0.16488</v>
      </c>
      <c r="CY516">
        <f>AA516</f>
        <v>19.28</v>
      </c>
      <c r="CZ516">
        <f>AE516</f>
        <v>19.28</v>
      </c>
      <c r="DA516">
        <f>AI516</f>
        <v>1</v>
      </c>
      <c r="DB516">
        <f>ROUND(((ROUND(AT516*CZ516,2)*1)*1),6)</f>
        <v>0.26</v>
      </c>
      <c r="DC516">
        <f>ROUND(((ROUND(AT516*AG516,2)*1)*1),6)</f>
        <v>0</v>
      </c>
      <c r="DD516" t="s">
        <v>3</v>
      </c>
      <c r="DE516" t="s">
        <v>3</v>
      </c>
      <c r="DF516">
        <f t="shared" si="218"/>
        <v>3.18</v>
      </c>
      <c r="DG516">
        <f t="shared" si="216"/>
        <v>0</v>
      </c>
      <c r="DH516">
        <f t="shared" si="217"/>
        <v>0</v>
      </c>
      <c r="DI516">
        <f t="shared" si="219"/>
        <v>0</v>
      </c>
      <c r="DJ516">
        <f>DF516</f>
        <v>3.18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ROW(Source!A218)</f>
        <v>218</v>
      </c>
      <c r="B517">
        <v>55747651</v>
      </c>
      <c r="C517">
        <v>55748349</v>
      </c>
      <c r="D517">
        <v>54702434</v>
      </c>
      <c r="E517">
        <v>1081</v>
      </c>
      <c r="F517">
        <v>1</v>
      </c>
      <c r="G517">
        <v>1081</v>
      </c>
      <c r="H517">
        <v>1</v>
      </c>
      <c r="I517" t="s">
        <v>473</v>
      </c>
      <c r="J517" t="s">
        <v>3</v>
      </c>
      <c r="K517" t="s">
        <v>474</v>
      </c>
      <c r="L517">
        <v>1191</v>
      </c>
      <c r="N517">
        <v>1013</v>
      </c>
      <c r="O517" t="s">
        <v>475</v>
      </c>
      <c r="P517" t="s">
        <v>475</v>
      </c>
      <c r="Q517">
        <v>1</v>
      </c>
      <c r="W517">
        <v>0</v>
      </c>
      <c r="X517">
        <v>476480486</v>
      </c>
      <c r="Y517">
        <f>((AT517*1.15)*1.2)</f>
        <v>2.1941999999999999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5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1.59</v>
      </c>
      <c r="AU517" t="s">
        <v>98</v>
      </c>
      <c r="AV517">
        <v>1</v>
      </c>
      <c r="AW517">
        <v>2</v>
      </c>
      <c r="AX517">
        <v>55748358</v>
      </c>
      <c r="AY517">
        <v>1</v>
      </c>
      <c r="AZ517">
        <v>0</v>
      </c>
      <c r="BA517">
        <v>552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U517">
        <f>ROUND(AT517*Source!I218*AH517*AL517,2)</f>
        <v>0</v>
      </c>
      <c r="CV517">
        <f>ROUND(Y517*Source!I218,9)</f>
        <v>26.330400000000001</v>
      </c>
      <c r="CW517">
        <v>0</v>
      </c>
      <c r="CX517">
        <f>ROUND(Y517*Source!I218,9)</f>
        <v>26.330400000000001</v>
      </c>
      <c r="CY517">
        <f>AD517</f>
        <v>0</v>
      </c>
      <c r="CZ517">
        <f>AH517</f>
        <v>0</v>
      </c>
      <c r="DA517">
        <f>AL517</f>
        <v>1</v>
      </c>
      <c r="DB517">
        <f>ROUND(((ROUND(AT517*CZ517,2)*1.15)*1.2),6)</f>
        <v>0</v>
      </c>
      <c r="DC517">
        <f>ROUND(((ROUND(AT517*AG517,2)*1.15)*1.2),6)</f>
        <v>0</v>
      </c>
      <c r="DD517" t="s">
        <v>3</v>
      </c>
      <c r="DE517" t="s">
        <v>3</v>
      </c>
      <c r="DF517">
        <f t="shared" si="218"/>
        <v>0</v>
      </c>
      <c r="DG517">
        <f t="shared" si="216"/>
        <v>0</v>
      </c>
      <c r="DH517">
        <f t="shared" si="217"/>
        <v>0</v>
      </c>
      <c r="DI517">
        <f t="shared" si="219"/>
        <v>0</v>
      </c>
      <c r="DJ517">
        <f>DI517</f>
        <v>0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ROW(Source!A218)</f>
        <v>218</v>
      </c>
      <c r="B518">
        <v>55747651</v>
      </c>
      <c r="C518">
        <v>55748349</v>
      </c>
      <c r="D518">
        <v>54768339</v>
      </c>
      <c r="E518">
        <v>1</v>
      </c>
      <c r="F518">
        <v>1</v>
      </c>
      <c r="G518">
        <v>1081</v>
      </c>
      <c r="H518">
        <v>2</v>
      </c>
      <c r="I518" t="s">
        <v>483</v>
      </c>
      <c r="J518" t="s">
        <v>484</v>
      </c>
      <c r="K518" t="s">
        <v>485</v>
      </c>
      <c r="L518">
        <v>1368</v>
      </c>
      <c r="N518">
        <v>1011</v>
      </c>
      <c r="O518" t="s">
        <v>479</v>
      </c>
      <c r="P518" t="s">
        <v>479</v>
      </c>
      <c r="Q518">
        <v>1</v>
      </c>
      <c r="W518">
        <v>0</v>
      </c>
      <c r="X518">
        <v>874612079</v>
      </c>
      <c r="Y518">
        <f>((AT518*1.25)*1.2)</f>
        <v>0.09</v>
      </c>
      <c r="AA518">
        <v>0</v>
      </c>
      <c r="AB518">
        <v>1513.56</v>
      </c>
      <c r="AC518">
        <v>758.78</v>
      </c>
      <c r="AD518">
        <v>0</v>
      </c>
      <c r="AE518">
        <v>0</v>
      </c>
      <c r="AF518">
        <v>83.1</v>
      </c>
      <c r="AG518">
        <v>12.62</v>
      </c>
      <c r="AH518">
        <v>0</v>
      </c>
      <c r="AI518">
        <v>1</v>
      </c>
      <c r="AJ518">
        <v>17.07</v>
      </c>
      <c r="AK518">
        <v>56.35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0.06</v>
      </c>
      <c r="AU518" t="s">
        <v>97</v>
      </c>
      <c r="AV518">
        <v>0</v>
      </c>
      <c r="AW518">
        <v>2</v>
      </c>
      <c r="AX518">
        <v>55748359</v>
      </c>
      <c r="AY518">
        <v>1</v>
      </c>
      <c r="AZ518">
        <v>0</v>
      </c>
      <c r="BA518">
        <v>553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f>ROUND(Y518*Source!I218*DO518,9)</f>
        <v>13.6296</v>
      </c>
      <c r="CX518">
        <f>ROUND(Y518*Source!I218,9)</f>
        <v>1.08</v>
      </c>
      <c r="CY518">
        <f>AB518</f>
        <v>1513.56</v>
      </c>
      <c r="CZ518">
        <f>AF518</f>
        <v>83.1</v>
      </c>
      <c r="DA518">
        <f>AJ518</f>
        <v>17.07</v>
      </c>
      <c r="DB518">
        <f>ROUND(((ROUND(AT518*CZ518,2)*1.25)*1.2),6)</f>
        <v>7.4850000000000003</v>
      </c>
      <c r="DC518">
        <f>ROUND(((ROUND(AT518*AG518,2)*1.25)*1.2),6)</f>
        <v>1.1399999999999999</v>
      </c>
      <c r="DD518" t="s">
        <v>3</v>
      </c>
      <c r="DE518" t="s">
        <v>3</v>
      </c>
      <c r="DF518">
        <f t="shared" si="218"/>
        <v>0</v>
      </c>
      <c r="DG518">
        <f>ROUND(ROUND(AF518*AJ518,2)*CX518,2)</f>
        <v>1532</v>
      </c>
      <c r="DH518">
        <f>ROUND(ROUND(AG518*AK518,2)*CX518,2)</f>
        <v>768.03</v>
      </c>
      <c r="DI518">
        <f t="shared" si="219"/>
        <v>0</v>
      </c>
      <c r="DJ518">
        <f>DG518</f>
        <v>1532</v>
      </c>
      <c r="DK518">
        <v>0</v>
      </c>
      <c r="DL518" t="s">
        <v>486</v>
      </c>
      <c r="DM518">
        <v>0</v>
      </c>
      <c r="DN518" t="s">
        <v>475</v>
      </c>
      <c r="DO518">
        <v>12.62</v>
      </c>
    </row>
    <row r="519" spans="1:119" x14ac:dyDescent="0.2">
      <c r="A519">
        <f>ROW(Source!A218)</f>
        <v>218</v>
      </c>
      <c r="B519">
        <v>55747651</v>
      </c>
      <c r="C519">
        <v>55748349</v>
      </c>
      <c r="D519">
        <v>54767573</v>
      </c>
      <c r="E519">
        <v>1</v>
      </c>
      <c r="F519">
        <v>1</v>
      </c>
      <c r="G519">
        <v>1081</v>
      </c>
      <c r="H519">
        <v>2</v>
      </c>
      <c r="I519" t="s">
        <v>508</v>
      </c>
      <c r="J519" t="s">
        <v>509</v>
      </c>
      <c r="K519" t="s">
        <v>510</v>
      </c>
      <c r="L519">
        <v>1368</v>
      </c>
      <c r="N519">
        <v>1011</v>
      </c>
      <c r="O519" t="s">
        <v>479</v>
      </c>
      <c r="P519" t="s">
        <v>479</v>
      </c>
      <c r="Q519">
        <v>1</v>
      </c>
      <c r="W519">
        <v>0</v>
      </c>
      <c r="X519">
        <v>-44940208</v>
      </c>
      <c r="Y519">
        <f>((AT519*1.25)*1.2)</f>
        <v>0.03</v>
      </c>
      <c r="AA519">
        <v>0</v>
      </c>
      <c r="AB519">
        <v>2758.65</v>
      </c>
      <c r="AC519">
        <v>1017.92</v>
      </c>
      <c r="AD519">
        <v>0</v>
      </c>
      <c r="AE519">
        <v>0</v>
      </c>
      <c r="AF519">
        <v>179.17</v>
      </c>
      <c r="AG519">
        <v>16.93</v>
      </c>
      <c r="AH519">
        <v>0</v>
      </c>
      <c r="AI519">
        <v>1</v>
      </c>
      <c r="AJ519">
        <v>14.43</v>
      </c>
      <c r="AK519">
        <v>56.35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0.02</v>
      </c>
      <c r="AU519" t="s">
        <v>97</v>
      </c>
      <c r="AV519">
        <v>0</v>
      </c>
      <c r="AW519">
        <v>2</v>
      </c>
      <c r="AX519">
        <v>55748360</v>
      </c>
      <c r="AY519">
        <v>1</v>
      </c>
      <c r="AZ519">
        <v>0</v>
      </c>
      <c r="BA519">
        <v>554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f>ROUND(Y519*Source!I218*DO519,9)</f>
        <v>6.0948000000000002</v>
      </c>
      <c r="CX519">
        <f>ROUND(Y519*Source!I218,9)</f>
        <v>0.36</v>
      </c>
      <c r="CY519">
        <f>AB519</f>
        <v>2758.65</v>
      </c>
      <c r="CZ519">
        <f>AF519</f>
        <v>179.17</v>
      </c>
      <c r="DA519">
        <f>AJ519</f>
        <v>14.43</v>
      </c>
      <c r="DB519">
        <f>ROUND(((ROUND(AT519*CZ519,2)*1.25)*1.2),6)</f>
        <v>5.37</v>
      </c>
      <c r="DC519">
        <f>ROUND(((ROUND(AT519*AG519,2)*1.25)*1.2),6)</f>
        <v>0.51</v>
      </c>
      <c r="DD519" t="s">
        <v>3</v>
      </c>
      <c r="DE519" t="s">
        <v>3</v>
      </c>
      <c r="DF519">
        <f t="shared" si="218"/>
        <v>0</v>
      </c>
      <c r="DG519">
        <f>ROUND(ROUND(AF519*AJ519,2)*CX519,2)</f>
        <v>930.75</v>
      </c>
      <c r="DH519">
        <f>ROUND(ROUND(AG519*AK519,2)*CX519,2)</f>
        <v>343.44</v>
      </c>
      <c r="DI519">
        <f t="shared" si="219"/>
        <v>0</v>
      </c>
      <c r="DJ519">
        <f>DG519</f>
        <v>930.75</v>
      </c>
      <c r="DK519">
        <v>0</v>
      </c>
      <c r="DL519" t="s">
        <v>486</v>
      </c>
      <c r="DM519">
        <v>0</v>
      </c>
      <c r="DN519" t="s">
        <v>475</v>
      </c>
      <c r="DO519">
        <v>16.93</v>
      </c>
    </row>
    <row r="520" spans="1:119" x14ac:dyDescent="0.2">
      <c r="A520">
        <f>ROW(Source!A218)</f>
        <v>218</v>
      </c>
      <c r="B520">
        <v>55747651</v>
      </c>
      <c r="C520">
        <v>55748349</v>
      </c>
      <c r="D520">
        <v>54739078</v>
      </c>
      <c r="E520">
        <v>1</v>
      </c>
      <c r="F520">
        <v>1</v>
      </c>
      <c r="G520">
        <v>1081</v>
      </c>
      <c r="H520">
        <v>3</v>
      </c>
      <c r="I520" t="s">
        <v>541</v>
      </c>
      <c r="J520" t="s">
        <v>542</v>
      </c>
      <c r="K520" t="s">
        <v>543</v>
      </c>
      <c r="L520">
        <v>1346</v>
      </c>
      <c r="N520">
        <v>1009</v>
      </c>
      <c r="O520" t="s">
        <v>503</v>
      </c>
      <c r="P520" t="s">
        <v>503</v>
      </c>
      <c r="Q520">
        <v>1</v>
      </c>
      <c r="W520">
        <v>0</v>
      </c>
      <c r="X520">
        <v>1021383118</v>
      </c>
      <c r="Y520">
        <f>((AT520*1)*1)</f>
        <v>0.04</v>
      </c>
      <c r="AA520">
        <v>315.23</v>
      </c>
      <c r="AB520">
        <v>0</v>
      </c>
      <c r="AC520">
        <v>0</v>
      </c>
      <c r="AD520">
        <v>0</v>
      </c>
      <c r="AE520">
        <v>37.979999999999997</v>
      </c>
      <c r="AF520">
        <v>0</v>
      </c>
      <c r="AG520">
        <v>0</v>
      </c>
      <c r="AH520">
        <v>0</v>
      </c>
      <c r="AI520">
        <v>8.3000000000000007</v>
      </c>
      <c r="AJ520">
        <v>1</v>
      </c>
      <c r="AK520">
        <v>1</v>
      </c>
      <c r="AL520">
        <v>1</v>
      </c>
      <c r="AM520">
        <v>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0.04</v>
      </c>
      <c r="AU520" t="s">
        <v>38</v>
      </c>
      <c r="AV520">
        <v>0</v>
      </c>
      <c r="AW520">
        <v>2</v>
      </c>
      <c r="AX520">
        <v>55748361</v>
      </c>
      <c r="AY520">
        <v>1</v>
      </c>
      <c r="AZ520">
        <v>0</v>
      </c>
      <c r="BA520">
        <v>555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ROUND(Y520*Source!I218,9)</f>
        <v>0.48</v>
      </c>
      <c r="CY520">
        <f>AA520</f>
        <v>315.23</v>
      </c>
      <c r="CZ520">
        <f>AE520</f>
        <v>37.979999999999997</v>
      </c>
      <c r="DA520">
        <f>AI520</f>
        <v>8.3000000000000007</v>
      </c>
      <c r="DB520">
        <f>ROUND(((ROUND(AT520*CZ520,2)*1)*1),6)</f>
        <v>1.52</v>
      </c>
      <c r="DC520">
        <f>ROUND(((ROUND(AT520*AG520,2)*1)*1),6)</f>
        <v>0</v>
      </c>
      <c r="DD520" t="s">
        <v>3</v>
      </c>
      <c r="DE520" t="s">
        <v>3</v>
      </c>
      <c r="DF520">
        <f>ROUND(ROUND(AE520*AI520,2)*CX520,2)</f>
        <v>151.31</v>
      </c>
      <c r="DG520">
        <f t="shared" ref="DG520:DG532" si="220">ROUND(ROUND(AF520,2)*CX520,2)</f>
        <v>0</v>
      </c>
      <c r="DH520">
        <f t="shared" ref="DH520:DH533" si="221">ROUND(ROUND(AG520,2)*CX520,2)</f>
        <v>0</v>
      </c>
      <c r="DI520">
        <f t="shared" si="219"/>
        <v>0</v>
      </c>
      <c r="DJ520">
        <f>DF520</f>
        <v>151.31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ROW(Source!A218)</f>
        <v>218</v>
      </c>
      <c r="B521">
        <v>55747651</v>
      </c>
      <c r="C521">
        <v>55748349</v>
      </c>
      <c r="D521">
        <v>54737637</v>
      </c>
      <c r="E521">
        <v>1</v>
      </c>
      <c r="F521">
        <v>1</v>
      </c>
      <c r="G521">
        <v>1081</v>
      </c>
      <c r="H521">
        <v>3</v>
      </c>
      <c r="I521" t="s">
        <v>544</v>
      </c>
      <c r="J521" t="s">
        <v>545</v>
      </c>
      <c r="K521" t="s">
        <v>546</v>
      </c>
      <c r="L521">
        <v>1348</v>
      </c>
      <c r="N521">
        <v>1009</v>
      </c>
      <c r="O521" t="s">
        <v>282</v>
      </c>
      <c r="P521" t="s">
        <v>282</v>
      </c>
      <c r="Q521">
        <v>1000</v>
      </c>
      <c r="W521">
        <v>0</v>
      </c>
      <c r="X521">
        <v>1270042986</v>
      </c>
      <c r="Y521">
        <f>((AT521*1)*1)</f>
        <v>1E-4</v>
      </c>
      <c r="AA521">
        <v>55941.2</v>
      </c>
      <c r="AB521">
        <v>0</v>
      </c>
      <c r="AC521">
        <v>0</v>
      </c>
      <c r="AD521">
        <v>0</v>
      </c>
      <c r="AE521">
        <v>16214.84</v>
      </c>
      <c r="AF521">
        <v>0</v>
      </c>
      <c r="AG521">
        <v>0</v>
      </c>
      <c r="AH521">
        <v>0</v>
      </c>
      <c r="AI521">
        <v>3.45</v>
      </c>
      <c r="AJ521">
        <v>1</v>
      </c>
      <c r="AK521">
        <v>1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1E-4</v>
      </c>
      <c r="AU521" t="s">
        <v>38</v>
      </c>
      <c r="AV521">
        <v>0</v>
      </c>
      <c r="AW521">
        <v>2</v>
      </c>
      <c r="AX521">
        <v>55748362</v>
      </c>
      <c r="AY521">
        <v>1</v>
      </c>
      <c r="AZ521">
        <v>0</v>
      </c>
      <c r="BA521">
        <v>556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ROUND(Y521*Source!I218,9)</f>
        <v>1.1999999999999999E-3</v>
      </c>
      <c r="CY521">
        <f>AA521</f>
        <v>55941.2</v>
      </c>
      <c r="CZ521">
        <f>AE521</f>
        <v>16214.84</v>
      </c>
      <c r="DA521">
        <f>AI521</f>
        <v>3.45</v>
      </c>
      <c r="DB521">
        <f>ROUND(((ROUND(AT521*CZ521,2)*1)*1),6)</f>
        <v>1.62</v>
      </c>
      <c r="DC521">
        <f>ROUND(((ROUND(AT521*AG521,2)*1)*1),6)</f>
        <v>0</v>
      </c>
      <c r="DD521" t="s">
        <v>3</v>
      </c>
      <c r="DE521" t="s">
        <v>3</v>
      </c>
      <c r="DF521">
        <f>ROUND(ROUND(AE521*AI521,2)*CX521,2)</f>
        <v>67.13</v>
      </c>
      <c r="DG521">
        <f t="shared" si="220"/>
        <v>0</v>
      </c>
      <c r="DH521">
        <f t="shared" si="221"/>
        <v>0</v>
      </c>
      <c r="DI521">
        <f t="shared" si="219"/>
        <v>0</v>
      </c>
      <c r="DJ521">
        <f>DF521</f>
        <v>67.13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ROW(Source!A218)</f>
        <v>218</v>
      </c>
      <c r="B522">
        <v>55747651</v>
      </c>
      <c r="C522">
        <v>55748349</v>
      </c>
      <c r="D522">
        <v>54737805</v>
      </c>
      <c r="E522">
        <v>1</v>
      </c>
      <c r="F522">
        <v>1</v>
      </c>
      <c r="G522">
        <v>1081</v>
      </c>
      <c r="H522">
        <v>3</v>
      </c>
      <c r="I522" t="s">
        <v>547</v>
      </c>
      <c r="J522" t="s">
        <v>548</v>
      </c>
      <c r="K522" t="s">
        <v>549</v>
      </c>
      <c r="L522">
        <v>1346</v>
      </c>
      <c r="N522">
        <v>1009</v>
      </c>
      <c r="O522" t="s">
        <v>503</v>
      </c>
      <c r="P522" t="s">
        <v>503</v>
      </c>
      <c r="Q522">
        <v>1</v>
      </c>
      <c r="W522">
        <v>0</v>
      </c>
      <c r="X522">
        <v>488689173</v>
      </c>
      <c r="Y522">
        <f>((AT522*1)*1)</f>
        <v>0.01</v>
      </c>
      <c r="AA522">
        <v>85.81</v>
      </c>
      <c r="AB522">
        <v>0</v>
      </c>
      <c r="AC522">
        <v>0</v>
      </c>
      <c r="AD522">
        <v>0</v>
      </c>
      <c r="AE522">
        <v>20.190000000000001</v>
      </c>
      <c r="AF522">
        <v>0</v>
      </c>
      <c r="AG522">
        <v>0</v>
      </c>
      <c r="AH522">
        <v>0</v>
      </c>
      <c r="AI522">
        <v>4.25</v>
      </c>
      <c r="AJ522">
        <v>1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0.01</v>
      </c>
      <c r="AU522" t="s">
        <v>38</v>
      </c>
      <c r="AV522">
        <v>0</v>
      </c>
      <c r="AW522">
        <v>2</v>
      </c>
      <c r="AX522">
        <v>55748363</v>
      </c>
      <c r="AY522">
        <v>1</v>
      </c>
      <c r="AZ522">
        <v>0</v>
      </c>
      <c r="BA522">
        <v>557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ROUND(Y522*Source!I218,9)</f>
        <v>0.12</v>
      </c>
      <c r="CY522">
        <f>AA522</f>
        <v>85.81</v>
      </c>
      <c r="CZ522">
        <f>AE522</f>
        <v>20.190000000000001</v>
      </c>
      <c r="DA522">
        <f>AI522</f>
        <v>4.25</v>
      </c>
      <c r="DB522">
        <f>ROUND(((ROUND(AT522*CZ522,2)*1)*1),6)</f>
        <v>0.2</v>
      </c>
      <c r="DC522">
        <f>ROUND(((ROUND(AT522*AG522,2)*1)*1),6)</f>
        <v>0</v>
      </c>
      <c r="DD522" t="s">
        <v>3</v>
      </c>
      <c r="DE522" t="s">
        <v>3</v>
      </c>
      <c r="DF522">
        <f>ROUND(ROUND(AE522*AI522,2)*CX522,2)</f>
        <v>10.3</v>
      </c>
      <c r="DG522">
        <f t="shared" si="220"/>
        <v>0</v>
      </c>
      <c r="DH522">
        <f t="shared" si="221"/>
        <v>0</v>
      </c>
      <c r="DI522">
        <f t="shared" si="219"/>
        <v>0</v>
      </c>
      <c r="DJ522">
        <f>DF522</f>
        <v>10.3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ROW(Source!A218)</f>
        <v>218</v>
      </c>
      <c r="B523">
        <v>55747651</v>
      </c>
      <c r="C523">
        <v>55748349</v>
      </c>
      <c r="D523">
        <v>54758016</v>
      </c>
      <c r="E523">
        <v>1</v>
      </c>
      <c r="F523">
        <v>1</v>
      </c>
      <c r="G523">
        <v>1081</v>
      </c>
      <c r="H523">
        <v>3</v>
      </c>
      <c r="I523" t="s">
        <v>388</v>
      </c>
      <c r="J523" t="s">
        <v>390</v>
      </c>
      <c r="K523" t="s">
        <v>389</v>
      </c>
      <c r="L523">
        <v>1354</v>
      </c>
      <c r="N523">
        <v>1010</v>
      </c>
      <c r="O523" t="s">
        <v>118</v>
      </c>
      <c r="P523" t="s">
        <v>118</v>
      </c>
      <c r="Q523">
        <v>1</v>
      </c>
      <c r="W523">
        <v>0</v>
      </c>
      <c r="X523">
        <v>-1809205533</v>
      </c>
      <c r="Y523">
        <f>AT523</f>
        <v>1</v>
      </c>
      <c r="AA523">
        <v>836.64</v>
      </c>
      <c r="AB523">
        <v>0</v>
      </c>
      <c r="AC523">
        <v>0</v>
      </c>
      <c r="AD523">
        <v>0</v>
      </c>
      <c r="AE523">
        <v>132.38</v>
      </c>
      <c r="AF523">
        <v>0</v>
      </c>
      <c r="AG523">
        <v>0</v>
      </c>
      <c r="AH523">
        <v>0</v>
      </c>
      <c r="AI523">
        <v>6.32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 t="s">
        <v>3</v>
      </c>
      <c r="AT523">
        <v>1</v>
      </c>
      <c r="AU523" t="s">
        <v>3</v>
      </c>
      <c r="AV523">
        <v>0</v>
      </c>
      <c r="AW523">
        <v>1</v>
      </c>
      <c r="AX523">
        <v>-1</v>
      </c>
      <c r="AY523">
        <v>0</v>
      </c>
      <c r="AZ523">
        <v>0</v>
      </c>
      <c r="BA523" t="s">
        <v>3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ROUND(Y523*Source!I218,9)</f>
        <v>12</v>
      </c>
      <c r="CY523">
        <f>AA523</f>
        <v>836.64</v>
      </c>
      <c r="CZ523">
        <f>AE523</f>
        <v>132.38</v>
      </c>
      <c r="DA523">
        <f>AI523</f>
        <v>6.32</v>
      </c>
      <c r="DB523">
        <f>ROUND(ROUND(AT523*CZ523,2),6)</f>
        <v>132.38</v>
      </c>
      <c r="DC523">
        <f>ROUND(ROUND(AT523*AG523,2),6)</f>
        <v>0</v>
      </c>
      <c r="DD523" t="s">
        <v>3</v>
      </c>
      <c r="DE523" t="s">
        <v>3</v>
      </c>
      <c r="DF523">
        <f>ROUND(ROUND(AE523*AI523,2)*CX523,2)</f>
        <v>10039.68</v>
      </c>
      <c r="DG523">
        <f t="shared" si="220"/>
        <v>0</v>
      </c>
      <c r="DH523">
        <f t="shared" si="221"/>
        <v>0</v>
      </c>
      <c r="DI523">
        <f t="shared" si="219"/>
        <v>0</v>
      </c>
      <c r="DJ523">
        <f>DF523</f>
        <v>10039.68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ROW(Source!A218)</f>
        <v>218</v>
      </c>
      <c r="B524">
        <v>55747651</v>
      </c>
      <c r="C524">
        <v>55748349</v>
      </c>
      <c r="D524">
        <v>54758097</v>
      </c>
      <c r="E524">
        <v>1</v>
      </c>
      <c r="F524">
        <v>1</v>
      </c>
      <c r="G524">
        <v>1081</v>
      </c>
      <c r="H524">
        <v>3</v>
      </c>
      <c r="I524" t="s">
        <v>643</v>
      </c>
      <c r="J524" t="s">
        <v>644</v>
      </c>
      <c r="K524" t="s">
        <v>645</v>
      </c>
      <c r="L524">
        <v>1346</v>
      </c>
      <c r="N524">
        <v>1009</v>
      </c>
      <c r="O524" t="s">
        <v>503</v>
      </c>
      <c r="P524" t="s">
        <v>503</v>
      </c>
      <c r="Q524">
        <v>1</v>
      </c>
      <c r="W524">
        <v>0</v>
      </c>
      <c r="X524">
        <v>1225074207</v>
      </c>
      <c r="Y524">
        <f>((AT524*1)*1)</f>
        <v>1.374E-2</v>
      </c>
      <c r="AA524">
        <v>333.16</v>
      </c>
      <c r="AB524">
        <v>0</v>
      </c>
      <c r="AC524">
        <v>0</v>
      </c>
      <c r="AD524">
        <v>0</v>
      </c>
      <c r="AE524">
        <v>19.28</v>
      </c>
      <c r="AF524">
        <v>0</v>
      </c>
      <c r="AG524">
        <v>0</v>
      </c>
      <c r="AH524">
        <v>0</v>
      </c>
      <c r="AI524">
        <v>17.28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1.374E-2</v>
      </c>
      <c r="AU524" t="s">
        <v>38</v>
      </c>
      <c r="AV524">
        <v>0</v>
      </c>
      <c r="AW524">
        <v>2</v>
      </c>
      <c r="AX524">
        <v>55748364</v>
      </c>
      <c r="AY524">
        <v>1</v>
      </c>
      <c r="AZ524">
        <v>0</v>
      </c>
      <c r="BA524">
        <v>558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ROUND(Y524*Source!I218,9)</f>
        <v>0.16488</v>
      </c>
      <c r="CY524">
        <f>AA524</f>
        <v>333.16</v>
      </c>
      <c r="CZ524">
        <f>AE524</f>
        <v>19.28</v>
      </c>
      <c r="DA524">
        <f>AI524</f>
        <v>17.28</v>
      </c>
      <c r="DB524">
        <f>ROUND(((ROUND(AT524*CZ524,2)*1)*1),6)</f>
        <v>0.26</v>
      </c>
      <c r="DC524">
        <f>ROUND(((ROUND(AT524*AG524,2)*1)*1),6)</f>
        <v>0</v>
      </c>
      <c r="DD524" t="s">
        <v>3</v>
      </c>
      <c r="DE524" t="s">
        <v>3</v>
      </c>
      <c r="DF524">
        <f>ROUND(ROUND(AE524*AI524,2)*CX524,2)</f>
        <v>54.93</v>
      </c>
      <c r="DG524">
        <f t="shared" si="220"/>
        <v>0</v>
      </c>
      <c r="DH524">
        <f t="shared" si="221"/>
        <v>0</v>
      </c>
      <c r="DI524">
        <f t="shared" si="219"/>
        <v>0</v>
      </c>
      <c r="DJ524">
        <f>DF524</f>
        <v>54.93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ROW(Source!A221)</f>
        <v>221</v>
      </c>
      <c r="B525">
        <v>55747649</v>
      </c>
      <c r="C525">
        <v>55748368</v>
      </c>
      <c r="D525">
        <v>54702434</v>
      </c>
      <c r="E525">
        <v>1081</v>
      </c>
      <c r="F525">
        <v>1</v>
      </c>
      <c r="G525">
        <v>1081</v>
      </c>
      <c r="H525">
        <v>1</v>
      </c>
      <c r="I525" t="s">
        <v>473</v>
      </c>
      <c r="J525" t="s">
        <v>3</v>
      </c>
      <c r="K525" t="s">
        <v>474</v>
      </c>
      <c r="L525">
        <v>1191</v>
      </c>
      <c r="N525">
        <v>1013</v>
      </c>
      <c r="O525" t="s">
        <v>475</v>
      </c>
      <c r="P525" t="s">
        <v>475</v>
      </c>
      <c r="Q525">
        <v>1</v>
      </c>
      <c r="W525">
        <v>0</v>
      </c>
      <c r="X525">
        <v>476480486</v>
      </c>
      <c r="Y525">
        <f>((AT525*1.15)*1.2)</f>
        <v>2.0286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1.47</v>
      </c>
      <c r="AU525" t="s">
        <v>98</v>
      </c>
      <c r="AV525">
        <v>1</v>
      </c>
      <c r="AW525">
        <v>2</v>
      </c>
      <c r="AX525">
        <v>55748376</v>
      </c>
      <c r="AY525">
        <v>1</v>
      </c>
      <c r="AZ525">
        <v>0</v>
      </c>
      <c r="BA525">
        <v>561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U525">
        <f>ROUND(AT525*Source!I221*AH525*AL525,2)</f>
        <v>0</v>
      </c>
      <c r="CV525">
        <f>ROUND(Y525*Source!I221,9)</f>
        <v>24.3432</v>
      </c>
      <c r="CW525">
        <v>0</v>
      </c>
      <c r="CX525">
        <f>ROUND(Y525*Source!I221,9)</f>
        <v>24.3432</v>
      </c>
      <c r="CY525">
        <f>AD525</f>
        <v>0</v>
      </c>
      <c r="CZ525">
        <f>AH525</f>
        <v>0</v>
      </c>
      <c r="DA525">
        <f>AL525</f>
        <v>1</v>
      </c>
      <c r="DB525">
        <f>ROUND(((ROUND(AT525*CZ525,2)*1.15)*1.2),6)</f>
        <v>0</v>
      </c>
      <c r="DC525">
        <f>ROUND(((ROUND(AT525*AG525,2)*1.15)*1.2),6)</f>
        <v>0</v>
      </c>
      <c r="DD525" t="s">
        <v>3</v>
      </c>
      <c r="DE525" t="s">
        <v>3</v>
      </c>
      <c r="DF525">
        <f t="shared" ref="DF525:DF534" si="222">ROUND(ROUND(AE525,2)*CX525,2)</f>
        <v>0</v>
      </c>
      <c r="DG525">
        <f t="shared" si="220"/>
        <v>0</v>
      </c>
      <c r="DH525">
        <f t="shared" si="221"/>
        <v>0</v>
      </c>
      <c r="DI525">
        <f t="shared" si="219"/>
        <v>0</v>
      </c>
      <c r="DJ525">
        <f>DI525</f>
        <v>0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ROW(Source!A221)</f>
        <v>221</v>
      </c>
      <c r="B526">
        <v>55747649</v>
      </c>
      <c r="C526">
        <v>55748368</v>
      </c>
      <c r="D526">
        <v>54768040</v>
      </c>
      <c r="E526">
        <v>1</v>
      </c>
      <c r="F526">
        <v>1</v>
      </c>
      <c r="G526">
        <v>1081</v>
      </c>
      <c r="H526">
        <v>2</v>
      </c>
      <c r="I526" t="s">
        <v>476</v>
      </c>
      <c r="J526" t="s">
        <v>477</v>
      </c>
      <c r="K526" t="s">
        <v>478</v>
      </c>
      <c r="L526">
        <v>1368</v>
      </c>
      <c r="N526">
        <v>1011</v>
      </c>
      <c r="O526" t="s">
        <v>479</v>
      </c>
      <c r="P526" t="s">
        <v>479</v>
      </c>
      <c r="Q526">
        <v>1</v>
      </c>
      <c r="W526">
        <v>0</v>
      </c>
      <c r="X526">
        <v>1498588441</v>
      </c>
      <c r="Y526">
        <f>((AT526*1.25)*1.2)</f>
        <v>0.52500000000000002</v>
      </c>
      <c r="AA526">
        <v>0</v>
      </c>
      <c r="AB526">
        <v>7.59</v>
      </c>
      <c r="AC526">
        <v>0</v>
      </c>
      <c r="AD526">
        <v>0</v>
      </c>
      <c r="AE526">
        <v>0</v>
      </c>
      <c r="AF526">
        <v>7.11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0.35</v>
      </c>
      <c r="AU526" t="s">
        <v>97</v>
      </c>
      <c r="AV526">
        <v>0</v>
      </c>
      <c r="AW526">
        <v>2</v>
      </c>
      <c r="AX526">
        <v>55748377</v>
      </c>
      <c r="AY526">
        <v>1</v>
      </c>
      <c r="AZ526">
        <v>0</v>
      </c>
      <c r="BA526">
        <v>562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ROUND(Y526*Source!I221*DO526,9)</f>
        <v>0</v>
      </c>
      <c r="CX526">
        <f>ROUND(Y526*Source!I221,9)</f>
        <v>6.3</v>
      </c>
      <c r="CY526">
        <f>AB526</f>
        <v>7.59</v>
      </c>
      <c r="CZ526">
        <f>AF526</f>
        <v>7.11</v>
      </c>
      <c r="DA526">
        <f>AJ526</f>
        <v>1</v>
      </c>
      <c r="DB526">
        <f>ROUND(((ROUND(AT526*CZ526,2)*1.25)*1.2),6)</f>
        <v>3.7349999999999999</v>
      </c>
      <c r="DC526">
        <f>ROUND(((ROUND(AT526*AG526,2)*1.25)*1.2),6)</f>
        <v>0</v>
      </c>
      <c r="DD526" t="s">
        <v>3</v>
      </c>
      <c r="DE526" t="s">
        <v>3</v>
      </c>
      <c r="DF526">
        <f t="shared" si="222"/>
        <v>0</v>
      </c>
      <c r="DG526">
        <f t="shared" si="220"/>
        <v>44.79</v>
      </c>
      <c r="DH526">
        <f t="shared" si="221"/>
        <v>0</v>
      </c>
      <c r="DI526">
        <f t="shared" si="219"/>
        <v>0</v>
      </c>
      <c r="DJ526">
        <f>DG526</f>
        <v>44.79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ROW(Source!A221)</f>
        <v>221</v>
      </c>
      <c r="B527">
        <v>55747649</v>
      </c>
      <c r="C527">
        <v>55748368</v>
      </c>
      <c r="D527">
        <v>54768339</v>
      </c>
      <c r="E527">
        <v>1</v>
      </c>
      <c r="F527">
        <v>1</v>
      </c>
      <c r="G527">
        <v>1081</v>
      </c>
      <c r="H527">
        <v>2</v>
      </c>
      <c r="I527" t="s">
        <v>483</v>
      </c>
      <c r="J527" t="s">
        <v>484</v>
      </c>
      <c r="K527" t="s">
        <v>485</v>
      </c>
      <c r="L527">
        <v>1368</v>
      </c>
      <c r="N527">
        <v>1011</v>
      </c>
      <c r="O527" t="s">
        <v>479</v>
      </c>
      <c r="P527" t="s">
        <v>479</v>
      </c>
      <c r="Q527">
        <v>1</v>
      </c>
      <c r="W527">
        <v>0</v>
      </c>
      <c r="X527">
        <v>874612079</v>
      </c>
      <c r="Y527">
        <f>((AT527*1.25)*1.2)</f>
        <v>1.4999999999999999E-2</v>
      </c>
      <c r="AA527">
        <v>0</v>
      </c>
      <c r="AB527">
        <v>88.67</v>
      </c>
      <c r="AC527">
        <v>13.47</v>
      </c>
      <c r="AD527">
        <v>0</v>
      </c>
      <c r="AE527">
        <v>0</v>
      </c>
      <c r="AF527">
        <v>83.1</v>
      </c>
      <c r="AG527">
        <v>12.62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0.01</v>
      </c>
      <c r="AU527" t="s">
        <v>97</v>
      </c>
      <c r="AV527">
        <v>0</v>
      </c>
      <c r="AW527">
        <v>2</v>
      </c>
      <c r="AX527">
        <v>55748378</v>
      </c>
      <c r="AY527">
        <v>1</v>
      </c>
      <c r="AZ527">
        <v>0</v>
      </c>
      <c r="BA527">
        <v>563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ROUND(Y527*Source!I221*DO527,9)</f>
        <v>2.2715999999999998</v>
      </c>
      <c r="CX527">
        <f>ROUND(Y527*Source!I221,9)</f>
        <v>0.18</v>
      </c>
      <c r="CY527">
        <f>AB527</f>
        <v>88.67</v>
      </c>
      <c r="CZ527">
        <f>AF527</f>
        <v>83.1</v>
      </c>
      <c r="DA527">
        <f>AJ527</f>
        <v>1</v>
      </c>
      <c r="DB527">
        <f>ROUND(((ROUND(AT527*CZ527,2)*1.25)*1.2),6)</f>
        <v>1.2450000000000001</v>
      </c>
      <c r="DC527">
        <f>ROUND(((ROUND(AT527*AG527,2)*1.25)*1.2),6)</f>
        <v>0.19500000000000001</v>
      </c>
      <c r="DD527" t="s">
        <v>3</v>
      </c>
      <c r="DE527" t="s">
        <v>3</v>
      </c>
      <c r="DF527">
        <f t="shared" si="222"/>
        <v>0</v>
      </c>
      <c r="DG527">
        <f t="shared" si="220"/>
        <v>14.96</v>
      </c>
      <c r="DH527">
        <f t="shared" si="221"/>
        <v>2.27</v>
      </c>
      <c r="DI527">
        <f t="shared" si="219"/>
        <v>0</v>
      </c>
      <c r="DJ527">
        <f>DG527</f>
        <v>14.96</v>
      </c>
      <c r="DK527">
        <v>0</v>
      </c>
      <c r="DL527" t="s">
        <v>486</v>
      </c>
      <c r="DM527">
        <v>0</v>
      </c>
      <c r="DN527" t="s">
        <v>475</v>
      </c>
      <c r="DO527">
        <v>12.62</v>
      </c>
    </row>
    <row r="528" spans="1:119" x14ac:dyDescent="0.2">
      <c r="A528">
        <f>ROW(Source!A221)</f>
        <v>221</v>
      </c>
      <c r="B528">
        <v>55747649</v>
      </c>
      <c r="C528">
        <v>55748368</v>
      </c>
      <c r="D528">
        <v>54738509</v>
      </c>
      <c r="E528">
        <v>1</v>
      </c>
      <c r="F528">
        <v>1</v>
      </c>
      <c r="G528">
        <v>1081</v>
      </c>
      <c r="H528">
        <v>3</v>
      </c>
      <c r="I528" t="s">
        <v>646</v>
      </c>
      <c r="J528" t="s">
        <v>647</v>
      </c>
      <c r="K528" t="s">
        <v>648</v>
      </c>
      <c r="L528">
        <v>1348</v>
      </c>
      <c r="N528">
        <v>1009</v>
      </c>
      <c r="O528" t="s">
        <v>282</v>
      </c>
      <c r="P528" t="s">
        <v>282</v>
      </c>
      <c r="Q528">
        <v>1000</v>
      </c>
      <c r="W528">
        <v>0</v>
      </c>
      <c r="X528">
        <v>1001555392</v>
      </c>
      <c r="Y528">
        <f>((AT528*1)*1)</f>
        <v>1.3999999999999999E-4</v>
      </c>
      <c r="AA528">
        <v>9879.51</v>
      </c>
      <c r="AB528">
        <v>0</v>
      </c>
      <c r="AC528">
        <v>0</v>
      </c>
      <c r="AD528">
        <v>0</v>
      </c>
      <c r="AE528">
        <v>9879.51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1.3999999999999999E-4</v>
      </c>
      <c r="AU528" t="s">
        <v>38</v>
      </c>
      <c r="AV528">
        <v>0</v>
      </c>
      <c r="AW528">
        <v>2</v>
      </c>
      <c r="AX528">
        <v>55748379</v>
      </c>
      <c r="AY528">
        <v>1</v>
      </c>
      <c r="AZ528">
        <v>0</v>
      </c>
      <c r="BA528">
        <v>564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ROUND(Y528*Source!I221,9)</f>
        <v>1.6800000000000001E-3</v>
      </c>
      <c r="CY528">
        <f>AA528</f>
        <v>9879.51</v>
      </c>
      <c r="CZ528">
        <f>AE528</f>
        <v>9879.51</v>
      </c>
      <c r="DA528">
        <f>AI528</f>
        <v>1</v>
      </c>
      <c r="DB528">
        <f>ROUND(((ROUND(AT528*CZ528,2)*1)*1),6)</f>
        <v>1.38</v>
      </c>
      <c r="DC528">
        <f>ROUND(((ROUND(AT528*AG528,2)*1)*1),6)</f>
        <v>0</v>
      </c>
      <c r="DD528" t="s">
        <v>3</v>
      </c>
      <c r="DE528" t="s">
        <v>3</v>
      </c>
      <c r="DF528">
        <f t="shared" si="222"/>
        <v>16.600000000000001</v>
      </c>
      <c r="DG528">
        <f t="shared" si="220"/>
        <v>0</v>
      </c>
      <c r="DH528">
        <f t="shared" si="221"/>
        <v>0</v>
      </c>
      <c r="DI528">
        <f t="shared" si="219"/>
        <v>0</v>
      </c>
      <c r="DJ528">
        <f>DF528</f>
        <v>16.600000000000001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ROW(Source!A221)</f>
        <v>221</v>
      </c>
      <c r="B529">
        <v>55747649</v>
      </c>
      <c r="C529">
        <v>55748368</v>
      </c>
      <c r="D529">
        <v>54737318</v>
      </c>
      <c r="E529">
        <v>1</v>
      </c>
      <c r="F529">
        <v>1</v>
      </c>
      <c r="G529">
        <v>1081</v>
      </c>
      <c r="H529">
        <v>3</v>
      </c>
      <c r="I529" t="s">
        <v>526</v>
      </c>
      <c r="J529" t="s">
        <v>527</v>
      </c>
      <c r="K529" t="s">
        <v>528</v>
      </c>
      <c r="L529">
        <v>1348</v>
      </c>
      <c r="N529">
        <v>1009</v>
      </c>
      <c r="O529" t="s">
        <v>282</v>
      </c>
      <c r="P529" t="s">
        <v>282</v>
      </c>
      <c r="Q529">
        <v>1000</v>
      </c>
      <c r="W529">
        <v>0</v>
      </c>
      <c r="X529">
        <v>-268464753</v>
      </c>
      <c r="Y529">
        <f>((AT529*1)*1)</f>
        <v>1.1000000000000001E-3</v>
      </c>
      <c r="AA529">
        <v>17868.28</v>
      </c>
      <c r="AB529">
        <v>0</v>
      </c>
      <c r="AC529">
        <v>0</v>
      </c>
      <c r="AD529">
        <v>0</v>
      </c>
      <c r="AE529">
        <v>17868.28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1.1000000000000001E-3</v>
      </c>
      <c r="AU529" t="s">
        <v>38</v>
      </c>
      <c r="AV529">
        <v>0</v>
      </c>
      <c r="AW529">
        <v>2</v>
      </c>
      <c r="AX529">
        <v>55748380</v>
      </c>
      <c r="AY529">
        <v>1</v>
      </c>
      <c r="AZ529">
        <v>0</v>
      </c>
      <c r="BA529">
        <v>565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ROUND(Y529*Source!I221,9)</f>
        <v>1.32E-2</v>
      </c>
      <c r="CY529">
        <f>AA529</f>
        <v>17868.28</v>
      </c>
      <c r="CZ529">
        <f>AE529</f>
        <v>17868.28</v>
      </c>
      <c r="DA529">
        <f>AI529</f>
        <v>1</v>
      </c>
      <c r="DB529">
        <f>ROUND(((ROUND(AT529*CZ529,2)*1)*1),6)</f>
        <v>19.66</v>
      </c>
      <c r="DC529">
        <f>ROUND(((ROUND(AT529*AG529,2)*1)*1),6)</f>
        <v>0</v>
      </c>
      <c r="DD529" t="s">
        <v>3</v>
      </c>
      <c r="DE529" t="s">
        <v>3</v>
      </c>
      <c r="DF529">
        <f t="shared" si="222"/>
        <v>235.86</v>
      </c>
      <c r="DG529">
        <f t="shared" si="220"/>
        <v>0</v>
      </c>
      <c r="DH529">
        <f t="shared" si="221"/>
        <v>0</v>
      </c>
      <c r="DI529">
        <f t="shared" si="219"/>
        <v>0</v>
      </c>
      <c r="DJ529">
        <f>DF529</f>
        <v>235.86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ROW(Source!A221)</f>
        <v>221</v>
      </c>
      <c r="B530">
        <v>55747649</v>
      </c>
      <c r="C530">
        <v>55748368</v>
      </c>
      <c r="D530">
        <v>54754950</v>
      </c>
      <c r="E530">
        <v>1</v>
      </c>
      <c r="F530">
        <v>1</v>
      </c>
      <c r="G530">
        <v>1081</v>
      </c>
      <c r="H530">
        <v>3</v>
      </c>
      <c r="I530" t="s">
        <v>396</v>
      </c>
      <c r="J530" t="s">
        <v>398</v>
      </c>
      <c r="K530" t="s">
        <v>397</v>
      </c>
      <c r="L530">
        <v>1354</v>
      </c>
      <c r="N530">
        <v>1010</v>
      </c>
      <c r="O530" t="s">
        <v>118</v>
      </c>
      <c r="P530" t="s">
        <v>118</v>
      </c>
      <c r="Q530">
        <v>1</v>
      </c>
      <c r="W530">
        <v>0</v>
      </c>
      <c r="X530">
        <v>1616596241</v>
      </c>
      <c r="Y530">
        <f>((AT530*1)*1)</f>
        <v>1</v>
      </c>
      <c r="AA530">
        <v>54.24</v>
      </c>
      <c r="AB530">
        <v>0</v>
      </c>
      <c r="AC530">
        <v>0</v>
      </c>
      <c r="AD530">
        <v>0</v>
      </c>
      <c r="AE530">
        <v>54.24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 t="s">
        <v>3</v>
      </c>
      <c r="AT530">
        <v>1</v>
      </c>
      <c r="AU530" t="s">
        <v>38</v>
      </c>
      <c r="AV530">
        <v>0</v>
      </c>
      <c r="AW530">
        <v>1</v>
      </c>
      <c r="AX530">
        <v>-1</v>
      </c>
      <c r="AY530">
        <v>0</v>
      </c>
      <c r="AZ530">
        <v>0</v>
      </c>
      <c r="BA530" t="s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ROUND(Y530*Source!I221,9)</f>
        <v>12</v>
      </c>
      <c r="CY530">
        <f>AA530</f>
        <v>54.24</v>
      </c>
      <c r="CZ530">
        <f>AE530</f>
        <v>54.24</v>
      </c>
      <c r="DA530">
        <f>AI530</f>
        <v>1</v>
      </c>
      <c r="DB530">
        <f>ROUND(((ROUND(AT530*CZ530,2)*1)*1),6)</f>
        <v>54.24</v>
      </c>
      <c r="DC530">
        <f>ROUND(((ROUND(AT530*AG530,2)*1)*1),6)</f>
        <v>0</v>
      </c>
      <c r="DD530" t="s">
        <v>3</v>
      </c>
      <c r="DE530" t="s">
        <v>3</v>
      </c>
      <c r="DF530">
        <f t="shared" si="222"/>
        <v>650.88</v>
      </c>
      <c r="DG530">
        <f t="shared" si="220"/>
        <v>0</v>
      </c>
      <c r="DH530">
        <f t="shared" si="221"/>
        <v>0</v>
      </c>
      <c r="DI530">
        <f t="shared" si="219"/>
        <v>0</v>
      </c>
      <c r="DJ530">
        <f>DF530</f>
        <v>650.88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ROW(Source!A221)</f>
        <v>221</v>
      </c>
      <c r="B531">
        <v>55747649</v>
      </c>
      <c r="C531">
        <v>55748368</v>
      </c>
      <c r="D531">
        <v>54758097</v>
      </c>
      <c r="E531">
        <v>1</v>
      </c>
      <c r="F531">
        <v>1</v>
      </c>
      <c r="G531">
        <v>1081</v>
      </c>
      <c r="H531">
        <v>3</v>
      </c>
      <c r="I531" t="s">
        <v>643</v>
      </c>
      <c r="J531" t="s">
        <v>644</v>
      </c>
      <c r="K531" t="s">
        <v>645</v>
      </c>
      <c r="L531">
        <v>1346</v>
      </c>
      <c r="N531">
        <v>1009</v>
      </c>
      <c r="O531" t="s">
        <v>503</v>
      </c>
      <c r="P531" t="s">
        <v>503</v>
      </c>
      <c r="Q531">
        <v>1</v>
      </c>
      <c r="W531">
        <v>0</v>
      </c>
      <c r="X531">
        <v>1225074207</v>
      </c>
      <c r="Y531">
        <f>((AT531*1)*1)</f>
        <v>0.02</v>
      </c>
      <c r="AA531">
        <v>19.28</v>
      </c>
      <c r="AB531">
        <v>0</v>
      </c>
      <c r="AC531">
        <v>0</v>
      </c>
      <c r="AD531">
        <v>0</v>
      </c>
      <c r="AE531">
        <v>19.28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0.02</v>
      </c>
      <c r="AU531" t="s">
        <v>38</v>
      </c>
      <c r="AV531">
        <v>0</v>
      </c>
      <c r="AW531">
        <v>2</v>
      </c>
      <c r="AX531">
        <v>55748381</v>
      </c>
      <c r="AY531">
        <v>1</v>
      </c>
      <c r="AZ531">
        <v>0</v>
      </c>
      <c r="BA531">
        <v>566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ROUND(Y531*Source!I221,9)</f>
        <v>0.24</v>
      </c>
      <c r="CY531">
        <f>AA531</f>
        <v>19.28</v>
      </c>
      <c r="CZ531">
        <f>AE531</f>
        <v>19.28</v>
      </c>
      <c r="DA531">
        <f>AI531</f>
        <v>1</v>
      </c>
      <c r="DB531">
        <f>ROUND(((ROUND(AT531*CZ531,2)*1)*1),6)</f>
        <v>0.39</v>
      </c>
      <c r="DC531">
        <f>ROUND(((ROUND(AT531*AG531,2)*1)*1),6)</f>
        <v>0</v>
      </c>
      <c r="DD531" t="s">
        <v>3</v>
      </c>
      <c r="DE531" t="s">
        <v>3</v>
      </c>
      <c r="DF531">
        <f t="shared" si="222"/>
        <v>4.63</v>
      </c>
      <c r="DG531">
        <f t="shared" si="220"/>
        <v>0</v>
      </c>
      <c r="DH531">
        <f t="shared" si="221"/>
        <v>0</v>
      </c>
      <c r="DI531">
        <f t="shared" si="219"/>
        <v>0</v>
      </c>
      <c r="DJ531">
        <f>DF531</f>
        <v>4.63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ROW(Source!A222)</f>
        <v>222</v>
      </c>
      <c r="B532">
        <v>55747651</v>
      </c>
      <c r="C532">
        <v>55748368</v>
      </c>
      <c r="D532">
        <v>54702434</v>
      </c>
      <c r="E532">
        <v>1081</v>
      </c>
      <c r="F532">
        <v>1</v>
      </c>
      <c r="G532">
        <v>1081</v>
      </c>
      <c r="H532">
        <v>1</v>
      </c>
      <c r="I532" t="s">
        <v>473</v>
      </c>
      <c r="J532" t="s">
        <v>3</v>
      </c>
      <c r="K532" t="s">
        <v>474</v>
      </c>
      <c r="L532">
        <v>1191</v>
      </c>
      <c r="N532">
        <v>1013</v>
      </c>
      <c r="O532" t="s">
        <v>475</v>
      </c>
      <c r="P532" t="s">
        <v>475</v>
      </c>
      <c r="Q532">
        <v>1</v>
      </c>
      <c r="W532">
        <v>0</v>
      </c>
      <c r="X532">
        <v>476480486</v>
      </c>
      <c r="Y532">
        <f>((AT532*1.15)*1.2)</f>
        <v>2.0286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5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1.47</v>
      </c>
      <c r="AU532" t="s">
        <v>98</v>
      </c>
      <c r="AV532">
        <v>1</v>
      </c>
      <c r="AW532">
        <v>2</v>
      </c>
      <c r="AX532">
        <v>55748376</v>
      </c>
      <c r="AY532">
        <v>1</v>
      </c>
      <c r="AZ532">
        <v>0</v>
      </c>
      <c r="BA532">
        <v>569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U532">
        <f>ROUND(AT532*Source!I222*AH532*AL532,2)</f>
        <v>0</v>
      </c>
      <c r="CV532">
        <f>ROUND(Y532*Source!I222,9)</f>
        <v>24.3432</v>
      </c>
      <c r="CW532">
        <v>0</v>
      </c>
      <c r="CX532">
        <f>ROUND(Y532*Source!I222,9)</f>
        <v>24.3432</v>
      </c>
      <c r="CY532">
        <f>AD532</f>
        <v>0</v>
      </c>
      <c r="CZ532">
        <f>AH532</f>
        <v>0</v>
      </c>
      <c r="DA532">
        <f>AL532</f>
        <v>1</v>
      </c>
      <c r="DB532">
        <f>ROUND(((ROUND(AT532*CZ532,2)*1.15)*1.2),6)</f>
        <v>0</v>
      </c>
      <c r="DC532">
        <f>ROUND(((ROUND(AT532*AG532,2)*1.15)*1.2),6)</f>
        <v>0</v>
      </c>
      <c r="DD532" t="s">
        <v>3</v>
      </c>
      <c r="DE532" t="s">
        <v>3</v>
      </c>
      <c r="DF532">
        <f t="shared" si="222"/>
        <v>0</v>
      </c>
      <c r="DG532">
        <f t="shared" si="220"/>
        <v>0</v>
      </c>
      <c r="DH532">
        <f t="shared" si="221"/>
        <v>0</v>
      </c>
      <c r="DI532">
        <f t="shared" si="219"/>
        <v>0</v>
      </c>
      <c r="DJ532">
        <f>DI532</f>
        <v>0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ROW(Source!A222)</f>
        <v>222</v>
      </c>
      <c r="B533">
        <v>55747651</v>
      </c>
      <c r="C533">
        <v>55748368</v>
      </c>
      <c r="D533">
        <v>54768040</v>
      </c>
      <c r="E533">
        <v>1</v>
      </c>
      <c r="F533">
        <v>1</v>
      </c>
      <c r="G533">
        <v>1081</v>
      </c>
      <c r="H533">
        <v>2</v>
      </c>
      <c r="I533" t="s">
        <v>476</v>
      </c>
      <c r="J533" t="s">
        <v>477</v>
      </c>
      <c r="K533" t="s">
        <v>478</v>
      </c>
      <c r="L533">
        <v>1368</v>
      </c>
      <c r="N533">
        <v>1011</v>
      </c>
      <c r="O533" t="s">
        <v>479</v>
      </c>
      <c r="P533" t="s">
        <v>479</v>
      </c>
      <c r="Q533">
        <v>1</v>
      </c>
      <c r="W533">
        <v>0</v>
      </c>
      <c r="X533">
        <v>1498588441</v>
      </c>
      <c r="Y533">
        <f>((AT533*1.25)*1.2)</f>
        <v>0.52500000000000002</v>
      </c>
      <c r="AA533">
        <v>0</v>
      </c>
      <c r="AB533">
        <v>102.11</v>
      </c>
      <c r="AC533">
        <v>0</v>
      </c>
      <c r="AD533">
        <v>0</v>
      </c>
      <c r="AE533">
        <v>0</v>
      </c>
      <c r="AF533">
        <v>7.11</v>
      </c>
      <c r="AG533">
        <v>0</v>
      </c>
      <c r="AH533">
        <v>0</v>
      </c>
      <c r="AI533">
        <v>1</v>
      </c>
      <c r="AJ533">
        <v>13.46</v>
      </c>
      <c r="AK533">
        <v>1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0.35</v>
      </c>
      <c r="AU533" t="s">
        <v>97</v>
      </c>
      <c r="AV533">
        <v>0</v>
      </c>
      <c r="AW533">
        <v>2</v>
      </c>
      <c r="AX533">
        <v>55748377</v>
      </c>
      <c r="AY533">
        <v>1</v>
      </c>
      <c r="AZ533">
        <v>0</v>
      </c>
      <c r="BA533">
        <v>570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ROUND(Y533*Source!I222*DO533,9)</f>
        <v>0</v>
      </c>
      <c r="CX533">
        <f>ROUND(Y533*Source!I222,9)</f>
        <v>6.3</v>
      </c>
      <c r="CY533">
        <f>AB533</f>
        <v>102.11</v>
      </c>
      <c r="CZ533">
        <f>AF533</f>
        <v>7.11</v>
      </c>
      <c r="DA533">
        <f>AJ533</f>
        <v>13.46</v>
      </c>
      <c r="DB533">
        <f>ROUND(((ROUND(AT533*CZ533,2)*1.25)*1.2),6)</f>
        <v>3.7349999999999999</v>
      </c>
      <c r="DC533">
        <f>ROUND(((ROUND(AT533*AG533,2)*1.25)*1.2),6)</f>
        <v>0</v>
      </c>
      <c r="DD533" t="s">
        <v>3</v>
      </c>
      <c r="DE533" t="s">
        <v>3</v>
      </c>
      <c r="DF533">
        <f t="shared" si="222"/>
        <v>0</v>
      </c>
      <c r="DG533">
        <f>ROUND(ROUND(AF533*AJ533,2)*CX533,2)</f>
        <v>602.91</v>
      </c>
      <c r="DH533">
        <f t="shared" si="221"/>
        <v>0</v>
      </c>
      <c r="DI533">
        <f t="shared" si="219"/>
        <v>0</v>
      </c>
      <c r="DJ533">
        <f>DG533</f>
        <v>602.91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ROW(Source!A222)</f>
        <v>222</v>
      </c>
      <c r="B534">
        <v>55747651</v>
      </c>
      <c r="C534">
        <v>55748368</v>
      </c>
      <c r="D534">
        <v>54768339</v>
      </c>
      <c r="E534">
        <v>1</v>
      </c>
      <c r="F534">
        <v>1</v>
      </c>
      <c r="G534">
        <v>1081</v>
      </c>
      <c r="H534">
        <v>2</v>
      </c>
      <c r="I534" t="s">
        <v>483</v>
      </c>
      <c r="J534" t="s">
        <v>484</v>
      </c>
      <c r="K534" t="s">
        <v>485</v>
      </c>
      <c r="L534">
        <v>1368</v>
      </c>
      <c r="N534">
        <v>1011</v>
      </c>
      <c r="O534" t="s">
        <v>479</v>
      </c>
      <c r="P534" t="s">
        <v>479</v>
      </c>
      <c r="Q534">
        <v>1</v>
      </c>
      <c r="W534">
        <v>0</v>
      </c>
      <c r="X534">
        <v>874612079</v>
      </c>
      <c r="Y534">
        <f>((AT534*1.25)*1.2)</f>
        <v>1.4999999999999999E-2</v>
      </c>
      <c r="AA534">
        <v>0</v>
      </c>
      <c r="AB534">
        <v>1513.56</v>
      </c>
      <c r="AC534">
        <v>758.78</v>
      </c>
      <c r="AD534">
        <v>0</v>
      </c>
      <c r="AE534">
        <v>0</v>
      </c>
      <c r="AF534">
        <v>83.1</v>
      </c>
      <c r="AG534">
        <v>12.62</v>
      </c>
      <c r="AH534">
        <v>0</v>
      </c>
      <c r="AI534">
        <v>1</v>
      </c>
      <c r="AJ534">
        <v>17.07</v>
      </c>
      <c r="AK534">
        <v>56.35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0.01</v>
      </c>
      <c r="AU534" t="s">
        <v>97</v>
      </c>
      <c r="AV534">
        <v>0</v>
      </c>
      <c r="AW534">
        <v>2</v>
      </c>
      <c r="AX534">
        <v>55748378</v>
      </c>
      <c r="AY534">
        <v>1</v>
      </c>
      <c r="AZ534">
        <v>0</v>
      </c>
      <c r="BA534">
        <v>571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f>ROUND(Y534*Source!I222*DO534,9)</f>
        <v>2.2715999999999998</v>
      </c>
      <c r="CX534">
        <f>ROUND(Y534*Source!I222,9)</f>
        <v>0.18</v>
      </c>
      <c r="CY534">
        <f>AB534</f>
        <v>1513.56</v>
      </c>
      <c r="CZ534">
        <f>AF534</f>
        <v>83.1</v>
      </c>
      <c r="DA534">
        <f>AJ534</f>
        <v>17.07</v>
      </c>
      <c r="DB534">
        <f>ROUND(((ROUND(AT534*CZ534,2)*1.25)*1.2),6)</f>
        <v>1.2450000000000001</v>
      </c>
      <c r="DC534">
        <f>ROUND(((ROUND(AT534*AG534,2)*1.25)*1.2),6)</f>
        <v>0.19500000000000001</v>
      </c>
      <c r="DD534" t="s">
        <v>3</v>
      </c>
      <c r="DE534" t="s">
        <v>3</v>
      </c>
      <c r="DF534">
        <f t="shared" si="222"/>
        <v>0</v>
      </c>
      <c r="DG534">
        <f>ROUND(ROUND(AF534*AJ534,2)*CX534,2)</f>
        <v>255.33</v>
      </c>
      <c r="DH534">
        <f>ROUND(ROUND(AG534*AK534,2)*CX534,2)</f>
        <v>128.01</v>
      </c>
      <c r="DI534">
        <f t="shared" si="219"/>
        <v>0</v>
      </c>
      <c r="DJ534">
        <f>DG534</f>
        <v>255.33</v>
      </c>
      <c r="DK534">
        <v>0</v>
      </c>
      <c r="DL534" t="s">
        <v>486</v>
      </c>
      <c r="DM534">
        <v>0</v>
      </c>
      <c r="DN534" t="s">
        <v>475</v>
      </c>
      <c r="DO534">
        <v>12.62</v>
      </c>
    </row>
    <row r="535" spans="1:119" x14ac:dyDescent="0.2">
      <c r="A535">
        <f>ROW(Source!A222)</f>
        <v>222</v>
      </c>
      <c r="B535">
        <v>55747651</v>
      </c>
      <c r="C535">
        <v>55748368</v>
      </c>
      <c r="D535">
        <v>54738509</v>
      </c>
      <c r="E535">
        <v>1</v>
      </c>
      <c r="F535">
        <v>1</v>
      </c>
      <c r="G535">
        <v>1081</v>
      </c>
      <c r="H535">
        <v>3</v>
      </c>
      <c r="I535" t="s">
        <v>646</v>
      </c>
      <c r="J535" t="s">
        <v>647</v>
      </c>
      <c r="K535" t="s">
        <v>648</v>
      </c>
      <c r="L535">
        <v>1348</v>
      </c>
      <c r="N535">
        <v>1009</v>
      </c>
      <c r="O535" t="s">
        <v>282</v>
      </c>
      <c r="P535" t="s">
        <v>282</v>
      </c>
      <c r="Q535">
        <v>1000</v>
      </c>
      <c r="W535">
        <v>0</v>
      </c>
      <c r="X535">
        <v>1001555392</v>
      </c>
      <c r="Y535">
        <f>((AT535*1)*1)</f>
        <v>1.3999999999999999E-4</v>
      </c>
      <c r="AA535">
        <v>204110.68</v>
      </c>
      <c r="AB535">
        <v>0</v>
      </c>
      <c r="AC535">
        <v>0</v>
      </c>
      <c r="AD535">
        <v>0</v>
      </c>
      <c r="AE535">
        <v>9879.51</v>
      </c>
      <c r="AF535">
        <v>0</v>
      </c>
      <c r="AG535">
        <v>0</v>
      </c>
      <c r="AH535">
        <v>0</v>
      </c>
      <c r="AI535">
        <v>20.66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1.3999999999999999E-4</v>
      </c>
      <c r="AU535" t="s">
        <v>38</v>
      </c>
      <c r="AV535">
        <v>0</v>
      </c>
      <c r="AW535">
        <v>2</v>
      </c>
      <c r="AX535">
        <v>55748379</v>
      </c>
      <c r="AY535">
        <v>1</v>
      </c>
      <c r="AZ535">
        <v>0</v>
      </c>
      <c r="BA535">
        <v>572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ROUND(Y535*Source!I222,9)</f>
        <v>1.6800000000000001E-3</v>
      </c>
      <c r="CY535">
        <f>AA535</f>
        <v>204110.68</v>
      </c>
      <c r="CZ535">
        <f>AE535</f>
        <v>9879.51</v>
      </c>
      <c r="DA535">
        <f>AI535</f>
        <v>20.66</v>
      </c>
      <c r="DB535">
        <f>ROUND(((ROUND(AT535*CZ535,2)*1)*1),6)</f>
        <v>1.38</v>
      </c>
      <c r="DC535">
        <f>ROUND(((ROUND(AT535*AG535,2)*1)*1),6)</f>
        <v>0</v>
      </c>
      <c r="DD535" t="s">
        <v>3</v>
      </c>
      <c r="DE535" t="s">
        <v>3</v>
      </c>
      <c r="DF535">
        <f>ROUND(ROUND(AE535*AI535,2)*CX535,2)</f>
        <v>342.91</v>
      </c>
      <c r="DG535">
        <f t="shared" ref="DG535:DG545" si="223">ROUND(ROUND(AF535,2)*CX535,2)</f>
        <v>0</v>
      </c>
      <c r="DH535">
        <f t="shared" ref="DH535:DH560" si="224">ROUND(ROUND(AG535,2)*CX535,2)</f>
        <v>0</v>
      </c>
      <c r="DI535">
        <f t="shared" si="219"/>
        <v>0</v>
      </c>
      <c r="DJ535">
        <f>DF535</f>
        <v>342.91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ROW(Source!A222)</f>
        <v>222</v>
      </c>
      <c r="B536">
        <v>55747651</v>
      </c>
      <c r="C536">
        <v>55748368</v>
      </c>
      <c r="D536">
        <v>54737318</v>
      </c>
      <c r="E536">
        <v>1</v>
      </c>
      <c r="F536">
        <v>1</v>
      </c>
      <c r="G536">
        <v>1081</v>
      </c>
      <c r="H536">
        <v>3</v>
      </c>
      <c r="I536" t="s">
        <v>526</v>
      </c>
      <c r="J536" t="s">
        <v>527</v>
      </c>
      <c r="K536" t="s">
        <v>528</v>
      </c>
      <c r="L536">
        <v>1348</v>
      </c>
      <c r="N536">
        <v>1009</v>
      </c>
      <c r="O536" t="s">
        <v>282</v>
      </c>
      <c r="P536" t="s">
        <v>282</v>
      </c>
      <c r="Q536">
        <v>1000</v>
      </c>
      <c r="W536">
        <v>0</v>
      </c>
      <c r="X536">
        <v>-268464753</v>
      </c>
      <c r="Y536">
        <f>((AT536*1)*1)</f>
        <v>1.1000000000000001E-3</v>
      </c>
      <c r="AA536">
        <v>121682.99</v>
      </c>
      <c r="AB536">
        <v>0</v>
      </c>
      <c r="AC536">
        <v>0</v>
      </c>
      <c r="AD536">
        <v>0</v>
      </c>
      <c r="AE536">
        <v>17868.28</v>
      </c>
      <c r="AF536">
        <v>0</v>
      </c>
      <c r="AG536">
        <v>0</v>
      </c>
      <c r="AH536">
        <v>0</v>
      </c>
      <c r="AI536">
        <v>6.81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1.1000000000000001E-3</v>
      </c>
      <c r="AU536" t="s">
        <v>38</v>
      </c>
      <c r="AV536">
        <v>0</v>
      </c>
      <c r="AW536">
        <v>2</v>
      </c>
      <c r="AX536">
        <v>55748380</v>
      </c>
      <c r="AY536">
        <v>1</v>
      </c>
      <c r="AZ536">
        <v>0</v>
      </c>
      <c r="BA536">
        <v>573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ROUND(Y536*Source!I222,9)</f>
        <v>1.32E-2</v>
      </c>
      <c r="CY536">
        <f>AA536</f>
        <v>121682.99</v>
      </c>
      <c r="CZ536">
        <f>AE536</f>
        <v>17868.28</v>
      </c>
      <c r="DA536">
        <f>AI536</f>
        <v>6.81</v>
      </c>
      <c r="DB536">
        <f>ROUND(((ROUND(AT536*CZ536,2)*1)*1),6)</f>
        <v>19.66</v>
      </c>
      <c r="DC536">
        <f>ROUND(((ROUND(AT536*AG536,2)*1)*1),6)</f>
        <v>0</v>
      </c>
      <c r="DD536" t="s">
        <v>3</v>
      </c>
      <c r="DE536" t="s">
        <v>3</v>
      </c>
      <c r="DF536">
        <f>ROUND(ROUND(AE536*AI536,2)*CX536,2)</f>
        <v>1606.22</v>
      </c>
      <c r="DG536">
        <f t="shared" si="223"/>
        <v>0</v>
      </c>
      <c r="DH536">
        <f t="shared" si="224"/>
        <v>0</v>
      </c>
      <c r="DI536">
        <f t="shared" si="219"/>
        <v>0</v>
      </c>
      <c r="DJ536">
        <f>DF536</f>
        <v>1606.22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ROW(Source!A222)</f>
        <v>222</v>
      </c>
      <c r="B537">
        <v>55747651</v>
      </c>
      <c r="C537">
        <v>55748368</v>
      </c>
      <c r="D537">
        <v>54754950</v>
      </c>
      <c r="E537">
        <v>1</v>
      </c>
      <c r="F537">
        <v>1</v>
      </c>
      <c r="G537">
        <v>1081</v>
      </c>
      <c r="H537">
        <v>3</v>
      </c>
      <c r="I537" t="s">
        <v>396</v>
      </c>
      <c r="J537" t="s">
        <v>398</v>
      </c>
      <c r="K537" t="s">
        <v>397</v>
      </c>
      <c r="L537">
        <v>1354</v>
      </c>
      <c r="N537">
        <v>1010</v>
      </c>
      <c r="O537" t="s">
        <v>118</v>
      </c>
      <c r="P537" t="s">
        <v>118</v>
      </c>
      <c r="Q537">
        <v>1</v>
      </c>
      <c r="W537">
        <v>0</v>
      </c>
      <c r="X537">
        <v>1616596241</v>
      </c>
      <c r="Y537">
        <f>((AT537*1)*1)</f>
        <v>1</v>
      </c>
      <c r="AA537">
        <v>170.31</v>
      </c>
      <c r="AB537">
        <v>0</v>
      </c>
      <c r="AC537">
        <v>0</v>
      </c>
      <c r="AD537">
        <v>0</v>
      </c>
      <c r="AE537">
        <v>54.24</v>
      </c>
      <c r="AF537">
        <v>0</v>
      </c>
      <c r="AG537">
        <v>0</v>
      </c>
      <c r="AH537">
        <v>0</v>
      </c>
      <c r="AI537">
        <v>3.14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</v>
      </c>
      <c r="AU537" t="s">
        <v>38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ROUND(Y537*Source!I222,9)</f>
        <v>12</v>
      </c>
      <c r="CY537">
        <f>AA537</f>
        <v>170.31</v>
      </c>
      <c r="CZ537">
        <f>AE537</f>
        <v>54.24</v>
      </c>
      <c r="DA537">
        <f>AI537</f>
        <v>3.14</v>
      </c>
      <c r="DB537">
        <f>ROUND(((ROUND(AT537*CZ537,2)*1)*1),6)</f>
        <v>54.24</v>
      </c>
      <c r="DC537">
        <f>ROUND(((ROUND(AT537*AG537,2)*1)*1),6)</f>
        <v>0</v>
      </c>
      <c r="DD537" t="s">
        <v>3</v>
      </c>
      <c r="DE537" t="s">
        <v>3</v>
      </c>
      <c r="DF537">
        <f>ROUND(ROUND(AE537*AI537,2)*CX537,2)</f>
        <v>2043.72</v>
      </c>
      <c r="DG537">
        <f t="shared" si="223"/>
        <v>0</v>
      </c>
      <c r="DH537">
        <f t="shared" si="224"/>
        <v>0</v>
      </c>
      <c r="DI537">
        <f t="shared" si="219"/>
        <v>0</v>
      </c>
      <c r="DJ537">
        <f>DF537</f>
        <v>2043.72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ROW(Source!A222)</f>
        <v>222</v>
      </c>
      <c r="B538">
        <v>55747651</v>
      </c>
      <c r="C538">
        <v>55748368</v>
      </c>
      <c r="D538">
        <v>54758097</v>
      </c>
      <c r="E538">
        <v>1</v>
      </c>
      <c r="F538">
        <v>1</v>
      </c>
      <c r="G538">
        <v>1081</v>
      </c>
      <c r="H538">
        <v>3</v>
      </c>
      <c r="I538" t="s">
        <v>643</v>
      </c>
      <c r="J538" t="s">
        <v>644</v>
      </c>
      <c r="K538" t="s">
        <v>645</v>
      </c>
      <c r="L538">
        <v>1346</v>
      </c>
      <c r="N538">
        <v>1009</v>
      </c>
      <c r="O538" t="s">
        <v>503</v>
      </c>
      <c r="P538" t="s">
        <v>503</v>
      </c>
      <c r="Q538">
        <v>1</v>
      </c>
      <c r="W538">
        <v>0</v>
      </c>
      <c r="X538">
        <v>1225074207</v>
      </c>
      <c r="Y538">
        <f>((AT538*1)*1)</f>
        <v>0.02</v>
      </c>
      <c r="AA538">
        <v>333.16</v>
      </c>
      <c r="AB538">
        <v>0</v>
      </c>
      <c r="AC538">
        <v>0</v>
      </c>
      <c r="AD538">
        <v>0</v>
      </c>
      <c r="AE538">
        <v>19.28</v>
      </c>
      <c r="AF538">
        <v>0</v>
      </c>
      <c r="AG538">
        <v>0</v>
      </c>
      <c r="AH538">
        <v>0</v>
      </c>
      <c r="AI538">
        <v>17.28</v>
      </c>
      <c r="AJ538">
        <v>1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0.02</v>
      </c>
      <c r="AU538" t="s">
        <v>38</v>
      </c>
      <c r="AV538">
        <v>0</v>
      </c>
      <c r="AW538">
        <v>2</v>
      </c>
      <c r="AX538">
        <v>55748381</v>
      </c>
      <c r="AY538">
        <v>1</v>
      </c>
      <c r="AZ538">
        <v>0</v>
      </c>
      <c r="BA538">
        <v>574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ROUND(Y538*Source!I222,9)</f>
        <v>0.24</v>
      </c>
      <c r="CY538">
        <f>AA538</f>
        <v>333.16</v>
      </c>
      <c r="CZ538">
        <f>AE538</f>
        <v>19.28</v>
      </c>
      <c r="DA538">
        <f>AI538</f>
        <v>17.28</v>
      </c>
      <c r="DB538">
        <f>ROUND(((ROUND(AT538*CZ538,2)*1)*1),6)</f>
        <v>0.39</v>
      </c>
      <c r="DC538">
        <f>ROUND(((ROUND(AT538*AG538,2)*1)*1),6)</f>
        <v>0</v>
      </c>
      <c r="DD538" t="s">
        <v>3</v>
      </c>
      <c r="DE538" t="s">
        <v>3</v>
      </c>
      <c r="DF538">
        <f>ROUND(ROUND(AE538*AI538,2)*CX538,2)</f>
        <v>79.959999999999994</v>
      </c>
      <c r="DG538">
        <f t="shared" si="223"/>
        <v>0</v>
      </c>
      <c r="DH538">
        <f t="shared" si="224"/>
        <v>0</v>
      </c>
      <c r="DI538">
        <f t="shared" si="219"/>
        <v>0</v>
      </c>
      <c r="DJ538">
        <f>DF538</f>
        <v>79.959999999999994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ROW(Source!A225)</f>
        <v>225</v>
      </c>
      <c r="B539">
        <v>55747649</v>
      </c>
      <c r="C539">
        <v>57261085</v>
      </c>
      <c r="D539">
        <v>54702434</v>
      </c>
      <c r="E539">
        <v>1081</v>
      </c>
      <c r="F539">
        <v>1</v>
      </c>
      <c r="G539">
        <v>1081</v>
      </c>
      <c r="H539">
        <v>1</v>
      </c>
      <c r="I539" t="s">
        <v>473</v>
      </c>
      <c r="J539" t="s">
        <v>3</v>
      </c>
      <c r="K539" t="s">
        <v>474</v>
      </c>
      <c r="L539">
        <v>1191</v>
      </c>
      <c r="N539">
        <v>1013</v>
      </c>
      <c r="O539" t="s">
        <v>475</v>
      </c>
      <c r="P539" t="s">
        <v>475</v>
      </c>
      <c r="Q539">
        <v>1</v>
      </c>
      <c r="W539">
        <v>0</v>
      </c>
      <c r="X539">
        <v>476480486</v>
      </c>
      <c r="Y539">
        <f>(AT539*1.2)</f>
        <v>5.76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-2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4.8</v>
      </c>
      <c r="AU539" t="s">
        <v>49</v>
      </c>
      <c r="AV539">
        <v>1</v>
      </c>
      <c r="AW539">
        <v>2</v>
      </c>
      <c r="AX539">
        <v>57261118</v>
      </c>
      <c r="AY539">
        <v>1</v>
      </c>
      <c r="AZ539">
        <v>0</v>
      </c>
      <c r="BA539">
        <v>577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U539">
        <f>ROUND(AT539*Source!I225*AH539*AL539,2)</f>
        <v>0</v>
      </c>
      <c r="CV539">
        <f>ROUND(Y539*Source!I225,9)</f>
        <v>69.12</v>
      </c>
      <c r="CW539">
        <v>0</v>
      </c>
      <c r="CX539">
        <f>ROUND(Y539*Source!I225,9)</f>
        <v>69.12</v>
      </c>
      <c r="CY539">
        <f>AD539</f>
        <v>0</v>
      </c>
      <c r="CZ539">
        <f>AH539</f>
        <v>0</v>
      </c>
      <c r="DA539">
        <f>AL539</f>
        <v>1</v>
      </c>
      <c r="DB539">
        <f>ROUND((ROUND(AT539*CZ539,2)*1.2),6)</f>
        <v>0</v>
      </c>
      <c r="DC539">
        <f>ROUND((ROUND(AT539*AG539,2)*1.2),6)</f>
        <v>0</v>
      </c>
      <c r="DD539" t="s">
        <v>3</v>
      </c>
      <c r="DE539" t="s">
        <v>3</v>
      </c>
      <c r="DF539">
        <f t="shared" ref="DF539:DF546" si="225">ROUND(ROUND(AE539,2)*CX539,2)</f>
        <v>0</v>
      </c>
      <c r="DG539">
        <f t="shared" si="223"/>
        <v>0</v>
      </c>
      <c r="DH539">
        <f t="shared" si="224"/>
        <v>0</v>
      </c>
      <c r="DI539">
        <f t="shared" si="219"/>
        <v>0</v>
      </c>
      <c r="DJ539">
        <f>DI539</f>
        <v>0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ROW(Source!A225)</f>
        <v>225</v>
      </c>
      <c r="B540">
        <v>55747649</v>
      </c>
      <c r="C540">
        <v>57261085</v>
      </c>
      <c r="D540">
        <v>54768040</v>
      </c>
      <c r="E540">
        <v>1</v>
      </c>
      <c r="F540">
        <v>1</v>
      </c>
      <c r="G540">
        <v>1081</v>
      </c>
      <c r="H540">
        <v>2</v>
      </c>
      <c r="I540" t="s">
        <v>476</v>
      </c>
      <c r="J540" t="s">
        <v>477</v>
      </c>
      <c r="K540" t="s">
        <v>478</v>
      </c>
      <c r="L540">
        <v>1368</v>
      </c>
      <c r="N540">
        <v>1011</v>
      </c>
      <c r="O540" t="s">
        <v>479</v>
      </c>
      <c r="P540" t="s">
        <v>479</v>
      </c>
      <c r="Q540">
        <v>1</v>
      </c>
      <c r="W540">
        <v>0</v>
      </c>
      <c r="X540">
        <v>1498588441</v>
      </c>
      <c r="Y540">
        <f>(AT540*1.2)</f>
        <v>0.57599999999999996</v>
      </c>
      <c r="AA540">
        <v>0</v>
      </c>
      <c r="AB540">
        <v>7.59</v>
      </c>
      <c r="AC540">
        <v>0</v>
      </c>
      <c r="AD540">
        <v>0</v>
      </c>
      <c r="AE540">
        <v>0</v>
      </c>
      <c r="AF540">
        <v>7.11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0.48</v>
      </c>
      <c r="AU540" t="s">
        <v>49</v>
      </c>
      <c r="AV540">
        <v>0</v>
      </c>
      <c r="AW540">
        <v>2</v>
      </c>
      <c r="AX540">
        <v>57261119</v>
      </c>
      <c r="AY540">
        <v>1</v>
      </c>
      <c r="AZ540">
        <v>0</v>
      </c>
      <c r="BA540">
        <v>578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ROUND(Y540*Source!I225*DO540,9)</f>
        <v>0</v>
      </c>
      <c r="CX540">
        <f>ROUND(Y540*Source!I225,9)</f>
        <v>6.9119999999999999</v>
      </c>
      <c r="CY540">
        <f>AB540</f>
        <v>7.59</v>
      </c>
      <c r="CZ540">
        <f>AF540</f>
        <v>7.11</v>
      </c>
      <c r="DA540">
        <f>AJ540</f>
        <v>1</v>
      </c>
      <c r="DB540">
        <f>ROUND((ROUND(AT540*CZ540,2)*1.2),6)</f>
        <v>4.0919999999999996</v>
      </c>
      <c r="DC540">
        <f>ROUND((ROUND(AT540*AG540,2)*1.2),6)</f>
        <v>0</v>
      </c>
      <c r="DD540" t="s">
        <v>3</v>
      </c>
      <c r="DE540" t="s">
        <v>3</v>
      </c>
      <c r="DF540">
        <f t="shared" si="225"/>
        <v>0</v>
      </c>
      <c r="DG540">
        <f t="shared" si="223"/>
        <v>49.14</v>
      </c>
      <c r="DH540">
        <f t="shared" si="224"/>
        <v>0</v>
      </c>
      <c r="DI540">
        <f t="shared" si="219"/>
        <v>0</v>
      </c>
      <c r="DJ540">
        <f>DG540</f>
        <v>49.14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ROW(Source!A225)</f>
        <v>225</v>
      </c>
      <c r="B541">
        <v>55747649</v>
      </c>
      <c r="C541">
        <v>57261085</v>
      </c>
      <c r="D541">
        <v>54738505</v>
      </c>
      <c r="E541">
        <v>1</v>
      </c>
      <c r="F541">
        <v>1</v>
      </c>
      <c r="G541">
        <v>1081</v>
      </c>
      <c r="H541">
        <v>3</v>
      </c>
      <c r="I541" t="s">
        <v>580</v>
      </c>
      <c r="J541" t="s">
        <v>581</v>
      </c>
      <c r="K541" t="s">
        <v>582</v>
      </c>
      <c r="L541">
        <v>1346</v>
      </c>
      <c r="N541">
        <v>1009</v>
      </c>
      <c r="O541" t="s">
        <v>503</v>
      </c>
      <c r="P541" t="s">
        <v>503</v>
      </c>
      <c r="Q541">
        <v>1</v>
      </c>
      <c r="W541">
        <v>0</v>
      </c>
      <c r="X541">
        <v>732400950</v>
      </c>
      <c r="Y541">
        <f>(AT541*1)</f>
        <v>0.2</v>
      </c>
      <c r="AA541">
        <v>21.59</v>
      </c>
      <c r="AB541">
        <v>0</v>
      </c>
      <c r="AC541">
        <v>0</v>
      </c>
      <c r="AD541">
        <v>0</v>
      </c>
      <c r="AE541">
        <v>21</v>
      </c>
      <c r="AF541">
        <v>0</v>
      </c>
      <c r="AG541">
        <v>0</v>
      </c>
      <c r="AH541">
        <v>0</v>
      </c>
      <c r="AI541">
        <v>1</v>
      </c>
      <c r="AJ541">
        <v>1</v>
      </c>
      <c r="AK541">
        <v>1</v>
      </c>
      <c r="AL541">
        <v>1</v>
      </c>
      <c r="AM541">
        <v>-2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0.2</v>
      </c>
      <c r="AU541" t="s">
        <v>48</v>
      </c>
      <c r="AV541">
        <v>0</v>
      </c>
      <c r="AW541">
        <v>2</v>
      </c>
      <c r="AX541">
        <v>57261120</v>
      </c>
      <c r="AY541">
        <v>1</v>
      </c>
      <c r="AZ541">
        <v>0</v>
      </c>
      <c r="BA541">
        <v>579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ROUND(Y541*Source!I225,9)</f>
        <v>2.4</v>
      </c>
      <c r="CY541">
        <f>AA541</f>
        <v>21.59</v>
      </c>
      <c r="CZ541">
        <f>AE541</f>
        <v>21</v>
      </c>
      <c r="DA541">
        <f>AI541</f>
        <v>1</v>
      </c>
      <c r="DB541">
        <f>ROUND((ROUND(AT541*CZ541,2)*1),6)</f>
        <v>4.2</v>
      </c>
      <c r="DC541">
        <f>ROUND((ROUND(AT541*AG541,2)*1),6)</f>
        <v>0</v>
      </c>
      <c r="DD541" t="s">
        <v>3</v>
      </c>
      <c r="DE541" t="s">
        <v>3</v>
      </c>
      <c r="DF541">
        <f t="shared" si="225"/>
        <v>50.4</v>
      </c>
      <c r="DG541">
        <f t="shared" si="223"/>
        <v>0</v>
      </c>
      <c r="DH541">
        <f t="shared" si="224"/>
        <v>0</v>
      </c>
      <c r="DI541">
        <f t="shared" si="219"/>
        <v>0</v>
      </c>
      <c r="DJ541">
        <f>DF541</f>
        <v>50.4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ROW(Source!A225)</f>
        <v>225</v>
      </c>
      <c r="B542">
        <v>55747649</v>
      </c>
      <c r="C542">
        <v>57261085</v>
      </c>
      <c r="D542">
        <v>54737299</v>
      </c>
      <c r="E542">
        <v>1</v>
      </c>
      <c r="F542">
        <v>1</v>
      </c>
      <c r="G542">
        <v>1081</v>
      </c>
      <c r="H542">
        <v>3</v>
      </c>
      <c r="I542" t="s">
        <v>583</v>
      </c>
      <c r="J542" t="s">
        <v>584</v>
      </c>
      <c r="K542" t="s">
        <v>585</v>
      </c>
      <c r="L542">
        <v>1339</v>
      </c>
      <c r="N542">
        <v>1007</v>
      </c>
      <c r="O542" t="s">
        <v>507</v>
      </c>
      <c r="P542" t="s">
        <v>507</v>
      </c>
      <c r="Q542">
        <v>1</v>
      </c>
      <c r="W542">
        <v>0</v>
      </c>
      <c r="X542">
        <v>-676034668</v>
      </c>
      <c r="Y542">
        <f>(AT542*1)</f>
        <v>8.9999999999999993E-3</v>
      </c>
      <c r="AA542">
        <v>54.92</v>
      </c>
      <c r="AB542">
        <v>0</v>
      </c>
      <c r="AC542">
        <v>0</v>
      </c>
      <c r="AD542">
        <v>0</v>
      </c>
      <c r="AE542">
        <v>53.42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-2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8.9999999999999993E-3</v>
      </c>
      <c r="AU542" t="s">
        <v>48</v>
      </c>
      <c r="AV542">
        <v>0</v>
      </c>
      <c r="AW542">
        <v>2</v>
      </c>
      <c r="AX542">
        <v>57261121</v>
      </c>
      <c r="AY542">
        <v>1</v>
      </c>
      <c r="AZ542">
        <v>0</v>
      </c>
      <c r="BA542">
        <v>580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ROUND(Y542*Source!I225,9)</f>
        <v>0.108</v>
      </c>
      <c r="CY542">
        <f>AA542</f>
        <v>54.92</v>
      </c>
      <c r="CZ542">
        <f>AE542</f>
        <v>53.42</v>
      </c>
      <c r="DA542">
        <f>AI542</f>
        <v>1</v>
      </c>
      <c r="DB542">
        <f>ROUND((ROUND(AT542*CZ542,2)*1),6)</f>
        <v>0.48</v>
      </c>
      <c r="DC542">
        <f>ROUND((ROUND(AT542*AG542,2)*1),6)</f>
        <v>0</v>
      </c>
      <c r="DD542" t="s">
        <v>3</v>
      </c>
      <c r="DE542" t="s">
        <v>3</v>
      </c>
      <c r="DF542">
        <f t="shared" si="225"/>
        <v>5.77</v>
      </c>
      <c r="DG542">
        <f t="shared" si="223"/>
        <v>0</v>
      </c>
      <c r="DH542">
        <f t="shared" si="224"/>
        <v>0</v>
      </c>
      <c r="DI542">
        <f t="shared" si="219"/>
        <v>0</v>
      </c>
      <c r="DJ542">
        <f>DF542</f>
        <v>5.77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ROW(Source!A225)</f>
        <v>225</v>
      </c>
      <c r="B543">
        <v>55747649</v>
      </c>
      <c r="C543">
        <v>57261085</v>
      </c>
      <c r="D543">
        <v>54739191</v>
      </c>
      <c r="E543">
        <v>1</v>
      </c>
      <c r="F543">
        <v>1</v>
      </c>
      <c r="G543">
        <v>1081</v>
      </c>
      <c r="H543">
        <v>3</v>
      </c>
      <c r="I543" t="s">
        <v>500</v>
      </c>
      <c r="J543" t="s">
        <v>501</v>
      </c>
      <c r="K543" t="s">
        <v>502</v>
      </c>
      <c r="L543">
        <v>1346</v>
      </c>
      <c r="N543">
        <v>1009</v>
      </c>
      <c r="O543" t="s">
        <v>503</v>
      </c>
      <c r="P543" t="s">
        <v>503</v>
      </c>
      <c r="Q543">
        <v>1</v>
      </c>
      <c r="W543">
        <v>0</v>
      </c>
      <c r="X543">
        <v>-2132327540</v>
      </c>
      <c r="Y543">
        <f>(AT543*1)</f>
        <v>2E-3</v>
      </c>
      <c r="AA543">
        <v>6.43</v>
      </c>
      <c r="AB543">
        <v>0</v>
      </c>
      <c r="AC543">
        <v>0</v>
      </c>
      <c r="AD543">
        <v>0</v>
      </c>
      <c r="AE543">
        <v>6.25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2E-3</v>
      </c>
      <c r="AU543" t="s">
        <v>48</v>
      </c>
      <c r="AV543">
        <v>0</v>
      </c>
      <c r="AW543">
        <v>2</v>
      </c>
      <c r="AX543">
        <v>57261122</v>
      </c>
      <c r="AY543">
        <v>1</v>
      </c>
      <c r="AZ543">
        <v>0</v>
      </c>
      <c r="BA543">
        <v>581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ROUND(Y543*Source!I225,9)</f>
        <v>2.4E-2</v>
      </c>
      <c r="CY543">
        <f>AA543</f>
        <v>6.43</v>
      </c>
      <c r="CZ543">
        <f>AE543</f>
        <v>6.25</v>
      </c>
      <c r="DA543">
        <f>AI543</f>
        <v>1</v>
      </c>
      <c r="DB543">
        <f>ROUND((ROUND(AT543*CZ543,2)*1),6)</f>
        <v>0.01</v>
      </c>
      <c r="DC543">
        <f>ROUND((ROUND(AT543*AG543,2)*1),6)</f>
        <v>0</v>
      </c>
      <c r="DD543" t="s">
        <v>3</v>
      </c>
      <c r="DE543" t="s">
        <v>3</v>
      </c>
      <c r="DF543">
        <f t="shared" si="225"/>
        <v>0.15</v>
      </c>
      <c r="DG543">
        <f t="shared" si="223"/>
        <v>0</v>
      </c>
      <c r="DH543">
        <f t="shared" si="224"/>
        <v>0</v>
      </c>
      <c r="DI543">
        <f t="shared" si="219"/>
        <v>0</v>
      </c>
      <c r="DJ543">
        <f>DF543</f>
        <v>0.15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ROW(Source!A225)</f>
        <v>225</v>
      </c>
      <c r="B544">
        <v>55747649</v>
      </c>
      <c r="C544">
        <v>57261085</v>
      </c>
      <c r="D544">
        <v>54737565</v>
      </c>
      <c r="E544">
        <v>1</v>
      </c>
      <c r="F544">
        <v>1</v>
      </c>
      <c r="G544">
        <v>1081</v>
      </c>
      <c r="H544">
        <v>3</v>
      </c>
      <c r="I544" t="s">
        <v>504</v>
      </c>
      <c r="J544" t="s">
        <v>505</v>
      </c>
      <c r="K544" t="s">
        <v>506</v>
      </c>
      <c r="L544">
        <v>1339</v>
      </c>
      <c r="N544">
        <v>1007</v>
      </c>
      <c r="O544" t="s">
        <v>507</v>
      </c>
      <c r="P544" t="s">
        <v>507</v>
      </c>
      <c r="Q544">
        <v>1</v>
      </c>
      <c r="W544">
        <v>0</v>
      </c>
      <c r="X544">
        <v>-1235260082</v>
      </c>
      <c r="Y544">
        <f>(AT544*1)</f>
        <v>1.9E-2</v>
      </c>
      <c r="AA544">
        <v>5.98</v>
      </c>
      <c r="AB544">
        <v>0</v>
      </c>
      <c r="AC544">
        <v>0</v>
      </c>
      <c r="AD544">
        <v>0</v>
      </c>
      <c r="AE544">
        <v>5.82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-2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1.9E-2</v>
      </c>
      <c r="AU544" t="s">
        <v>48</v>
      </c>
      <c r="AV544">
        <v>0</v>
      </c>
      <c r="AW544">
        <v>2</v>
      </c>
      <c r="AX544">
        <v>57261123</v>
      </c>
      <c r="AY544">
        <v>1</v>
      </c>
      <c r="AZ544">
        <v>0</v>
      </c>
      <c r="BA544">
        <v>582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ROUND(Y544*Source!I225,9)</f>
        <v>0.22800000000000001</v>
      </c>
      <c r="CY544">
        <f>AA544</f>
        <v>5.98</v>
      </c>
      <c r="CZ544">
        <f>AE544</f>
        <v>5.82</v>
      </c>
      <c r="DA544">
        <f>AI544</f>
        <v>1</v>
      </c>
      <c r="DB544">
        <f>ROUND((ROUND(AT544*CZ544,2)*1),6)</f>
        <v>0.11</v>
      </c>
      <c r="DC544">
        <f>ROUND((ROUND(AT544*AG544,2)*1),6)</f>
        <v>0</v>
      </c>
      <c r="DD544" t="s">
        <v>3</v>
      </c>
      <c r="DE544" t="s">
        <v>3</v>
      </c>
      <c r="DF544">
        <f t="shared" si="225"/>
        <v>1.33</v>
      </c>
      <c r="DG544">
        <f t="shared" si="223"/>
        <v>0</v>
      </c>
      <c r="DH544">
        <f t="shared" si="224"/>
        <v>0</v>
      </c>
      <c r="DI544">
        <f t="shared" si="219"/>
        <v>0</v>
      </c>
      <c r="DJ544">
        <f>DF544</f>
        <v>1.33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ROW(Source!A226)</f>
        <v>226</v>
      </c>
      <c r="B545">
        <v>55747651</v>
      </c>
      <c r="C545">
        <v>57261085</v>
      </c>
      <c r="D545">
        <v>54702434</v>
      </c>
      <c r="E545">
        <v>1081</v>
      </c>
      <c r="F545">
        <v>1</v>
      </c>
      <c r="G545">
        <v>1081</v>
      </c>
      <c r="H545">
        <v>1</v>
      </c>
      <c r="I545" t="s">
        <v>473</v>
      </c>
      <c r="J545" t="s">
        <v>3</v>
      </c>
      <c r="K545" t="s">
        <v>474</v>
      </c>
      <c r="L545">
        <v>1191</v>
      </c>
      <c r="N545">
        <v>1013</v>
      </c>
      <c r="O545" t="s">
        <v>475</v>
      </c>
      <c r="P545" t="s">
        <v>475</v>
      </c>
      <c r="Q545">
        <v>1</v>
      </c>
      <c r="W545">
        <v>0</v>
      </c>
      <c r="X545">
        <v>476480486</v>
      </c>
      <c r="Y545">
        <f>(AT545*1.2)</f>
        <v>5.76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5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4.8</v>
      </c>
      <c r="AU545" t="s">
        <v>49</v>
      </c>
      <c r="AV545">
        <v>1</v>
      </c>
      <c r="AW545">
        <v>2</v>
      </c>
      <c r="AX545">
        <v>57261118</v>
      </c>
      <c r="AY545">
        <v>1</v>
      </c>
      <c r="AZ545">
        <v>0</v>
      </c>
      <c r="BA545">
        <v>584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ROUND(AT545*Source!I226*AH545*AL545,2)</f>
        <v>0</v>
      </c>
      <c r="CV545">
        <f>ROUND(Y545*Source!I226,9)</f>
        <v>69.12</v>
      </c>
      <c r="CW545">
        <v>0</v>
      </c>
      <c r="CX545">
        <f>ROUND(Y545*Source!I226,9)</f>
        <v>69.12</v>
      </c>
      <c r="CY545">
        <f>AD545</f>
        <v>0</v>
      </c>
      <c r="CZ545">
        <f>AH545</f>
        <v>0</v>
      </c>
      <c r="DA545">
        <f>AL545</f>
        <v>1</v>
      </c>
      <c r="DB545">
        <f>ROUND((ROUND(AT545*CZ545,2)*1.2),6)</f>
        <v>0</v>
      </c>
      <c r="DC545">
        <f>ROUND((ROUND(AT545*AG545,2)*1.2),6)</f>
        <v>0</v>
      </c>
      <c r="DD545" t="s">
        <v>3</v>
      </c>
      <c r="DE545" t="s">
        <v>3</v>
      </c>
      <c r="DF545">
        <f t="shared" si="225"/>
        <v>0</v>
      </c>
      <c r="DG545">
        <f t="shared" si="223"/>
        <v>0</v>
      </c>
      <c r="DH545">
        <f t="shared" si="224"/>
        <v>0</v>
      </c>
      <c r="DI545">
        <f t="shared" si="219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ROW(Source!A226)</f>
        <v>226</v>
      </c>
      <c r="B546">
        <v>55747651</v>
      </c>
      <c r="C546">
        <v>57261085</v>
      </c>
      <c r="D546">
        <v>54768040</v>
      </c>
      <c r="E546">
        <v>1</v>
      </c>
      <c r="F546">
        <v>1</v>
      </c>
      <c r="G546">
        <v>1081</v>
      </c>
      <c r="H546">
        <v>2</v>
      </c>
      <c r="I546" t="s">
        <v>476</v>
      </c>
      <c r="J546" t="s">
        <v>477</v>
      </c>
      <c r="K546" t="s">
        <v>478</v>
      </c>
      <c r="L546">
        <v>1368</v>
      </c>
      <c r="N546">
        <v>1011</v>
      </c>
      <c r="O546" t="s">
        <v>479</v>
      </c>
      <c r="P546" t="s">
        <v>479</v>
      </c>
      <c r="Q546">
        <v>1</v>
      </c>
      <c r="W546">
        <v>0</v>
      </c>
      <c r="X546">
        <v>1498588441</v>
      </c>
      <c r="Y546">
        <f>(AT546*1.2)</f>
        <v>0.57599999999999996</v>
      </c>
      <c r="AA546">
        <v>0</v>
      </c>
      <c r="AB546">
        <v>102.11</v>
      </c>
      <c r="AC546">
        <v>0</v>
      </c>
      <c r="AD546">
        <v>0</v>
      </c>
      <c r="AE546">
        <v>0</v>
      </c>
      <c r="AF546">
        <v>7.11</v>
      </c>
      <c r="AG546">
        <v>0</v>
      </c>
      <c r="AH546">
        <v>0</v>
      </c>
      <c r="AI546">
        <v>1</v>
      </c>
      <c r="AJ546">
        <v>13.46</v>
      </c>
      <c r="AK546">
        <v>1</v>
      </c>
      <c r="AL546">
        <v>1</v>
      </c>
      <c r="AM546">
        <v>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0.48</v>
      </c>
      <c r="AU546" t="s">
        <v>49</v>
      </c>
      <c r="AV546">
        <v>0</v>
      </c>
      <c r="AW546">
        <v>2</v>
      </c>
      <c r="AX546">
        <v>57261119</v>
      </c>
      <c r="AY546">
        <v>1</v>
      </c>
      <c r="AZ546">
        <v>0</v>
      </c>
      <c r="BA546">
        <v>585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f>ROUND(Y546*Source!I226*DO546,9)</f>
        <v>0</v>
      </c>
      <c r="CX546">
        <f>ROUND(Y546*Source!I226,9)</f>
        <v>6.9119999999999999</v>
      </c>
      <c r="CY546">
        <f>AB546</f>
        <v>102.11</v>
      </c>
      <c r="CZ546">
        <f>AF546</f>
        <v>7.11</v>
      </c>
      <c r="DA546">
        <f>AJ546</f>
        <v>13.46</v>
      </c>
      <c r="DB546">
        <f>ROUND((ROUND(AT546*CZ546,2)*1.2),6)</f>
        <v>4.0919999999999996</v>
      </c>
      <c r="DC546">
        <f>ROUND((ROUND(AT546*AG546,2)*1.2),6)</f>
        <v>0</v>
      </c>
      <c r="DD546" t="s">
        <v>3</v>
      </c>
      <c r="DE546" t="s">
        <v>3</v>
      </c>
      <c r="DF546">
        <f t="shared" si="225"/>
        <v>0</v>
      </c>
      <c r="DG546">
        <f>ROUND(ROUND(AF546*AJ546,2)*CX546,2)</f>
        <v>661.48</v>
      </c>
      <c r="DH546">
        <f t="shared" si="224"/>
        <v>0</v>
      </c>
      <c r="DI546">
        <f t="shared" si="219"/>
        <v>0</v>
      </c>
      <c r="DJ546">
        <f>DG546</f>
        <v>661.48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ROW(Source!A226)</f>
        <v>226</v>
      </c>
      <c r="B547">
        <v>55747651</v>
      </c>
      <c r="C547">
        <v>57261085</v>
      </c>
      <c r="D547">
        <v>54738505</v>
      </c>
      <c r="E547">
        <v>1</v>
      </c>
      <c r="F547">
        <v>1</v>
      </c>
      <c r="G547">
        <v>1081</v>
      </c>
      <c r="H547">
        <v>3</v>
      </c>
      <c r="I547" t="s">
        <v>580</v>
      </c>
      <c r="J547" t="s">
        <v>581</v>
      </c>
      <c r="K547" t="s">
        <v>582</v>
      </c>
      <c r="L547">
        <v>1346</v>
      </c>
      <c r="N547">
        <v>1009</v>
      </c>
      <c r="O547" t="s">
        <v>503</v>
      </c>
      <c r="P547" t="s">
        <v>503</v>
      </c>
      <c r="Q547">
        <v>1</v>
      </c>
      <c r="W547">
        <v>0</v>
      </c>
      <c r="X547">
        <v>732400950</v>
      </c>
      <c r="Y547">
        <f>(AT547*1)</f>
        <v>0.2</v>
      </c>
      <c r="AA547">
        <v>94.12</v>
      </c>
      <c r="AB547">
        <v>0</v>
      </c>
      <c r="AC547">
        <v>0</v>
      </c>
      <c r="AD547">
        <v>0</v>
      </c>
      <c r="AE547">
        <v>21</v>
      </c>
      <c r="AF547">
        <v>0</v>
      </c>
      <c r="AG547">
        <v>0</v>
      </c>
      <c r="AH547">
        <v>0</v>
      </c>
      <c r="AI547">
        <v>4.3600000000000003</v>
      </c>
      <c r="AJ547">
        <v>1</v>
      </c>
      <c r="AK547">
        <v>1</v>
      </c>
      <c r="AL547">
        <v>1</v>
      </c>
      <c r="AM547">
        <v>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0.2</v>
      </c>
      <c r="AU547" t="s">
        <v>48</v>
      </c>
      <c r="AV547">
        <v>0</v>
      </c>
      <c r="AW547">
        <v>2</v>
      </c>
      <c r="AX547">
        <v>57261120</v>
      </c>
      <c r="AY547">
        <v>1</v>
      </c>
      <c r="AZ547">
        <v>0</v>
      </c>
      <c r="BA547">
        <v>586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ROUND(Y547*Source!I226,9)</f>
        <v>2.4</v>
      </c>
      <c r="CY547">
        <f>AA547</f>
        <v>94.12</v>
      </c>
      <c r="CZ547">
        <f>AE547</f>
        <v>21</v>
      </c>
      <c r="DA547">
        <f>AI547</f>
        <v>4.3600000000000003</v>
      </c>
      <c r="DB547">
        <f>ROUND((ROUND(AT547*CZ547,2)*1),6)</f>
        <v>4.2</v>
      </c>
      <c r="DC547">
        <f>ROUND((ROUND(AT547*AG547,2)*1),6)</f>
        <v>0</v>
      </c>
      <c r="DD547" t="s">
        <v>3</v>
      </c>
      <c r="DE547" t="s">
        <v>3</v>
      </c>
      <c r="DF547">
        <f>ROUND(ROUND(AE547*AI547,2)*CX547,2)</f>
        <v>219.74</v>
      </c>
      <c r="DG547">
        <f t="shared" ref="DG547:DG559" si="226">ROUND(ROUND(AF547,2)*CX547,2)</f>
        <v>0</v>
      </c>
      <c r="DH547">
        <f t="shared" si="224"/>
        <v>0</v>
      </c>
      <c r="DI547">
        <f t="shared" si="219"/>
        <v>0</v>
      </c>
      <c r="DJ547">
        <f>DF547</f>
        <v>219.74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ROW(Source!A226)</f>
        <v>226</v>
      </c>
      <c r="B548">
        <v>55747651</v>
      </c>
      <c r="C548">
        <v>57261085</v>
      </c>
      <c r="D548">
        <v>54737299</v>
      </c>
      <c r="E548">
        <v>1</v>
      </c>
      <c r="F548">
        <v>1</v>
      </c>
      <c r="G548">
        <v>1081</v>
      </c>
      <c r="H548">
        <v>3</v>
      </c>
      <c r="I548" t="s">
        <v>583</v>
      </c>
      <c r="J548" t="s">
        <v>584</v>
      </c>
      <c r="K548" t="s">
        <v>585</v>
      </c>
      <c r="L548">
        <v>1339</v>
      </c>
      <c r="N548">
        <v>1007</v>
      </c>
      <c r="O548" t="s">
        <v>507</v>
      </c>
      <c r="P548" t="s">
        <v>507</v>
      </c>
      <c r="Q548">
        <v>1</v>
      </c>
      <c r="W548">
        <v>0</v>
      </c>
      <c r="X548">
        <v>-676034668</v>
      </c>
      <c r="Y548">
        <f>(AT548*1)</f>
        <v>8.9999999999999993E-3</v>
      </c>
      <c r="AA548">
        <v>781.45</v>
      </c>
      <c r="AB548">
        <v>0</v>
      </c>
      <c r="AC548">
        <v>0</v>
      </c>
      <c r="AD548">
        <v>0</v>
      </c>
      <c r="AE548">
        <v>53.42</v>
      </c>
      <c r="AF548">
        <v>0</v>
      </c>
      <c r="AG548">
        <v>0</v>
      </c>
      <c r="AH548">
        <v>0</v>
      </c>
      <c r="AI548">
        <v>14.23</v>
      </c>
      <c r="AJ548">
        <v>1</v>
      </c>
      <c r="AK548">
        <v>1</v>
      </c>
      <c r="AL548">
        <v>1</v>
      </c>
      <c r="AM548">
        <v>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8.9999999999999993E-3</v>
      </c>
      <c r="AU548" t="s">
        <v>48</v>
      </c>
      <c r="AV548">
        <v>0</v>
      </c>
      <c r="AW548">
        <v>2</v>
      </c>
      <c r="AX548">
        <v>57261121</v>
      </c>
      <c r="AY548">
        <v>1</v>
      </c>
      <c r="AZ548">
        <v>0</v>
      </c>
      <c r="BA548">
        <v>587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ROUND(Y548*Source!I226,9)</f>
        <v>0.108</v>
      </c>
      <c r="CY548">
        <f>AA548</f>
        <v>781.45</v>
      </c>
      <c r="CZ548">
        <f>AE548</f>
        <v>53.42</v>
      </c>
      <c r="DA548">
        <f>AI548</f>
        <v>14.23</v>
      </c>
      <c r="DB548">
        <f>ROUND((ROUND(AT548*CZ548,2)*1),6)</f>
        <v>0.48</v>
      </c>
      <c r="DC548">
        <f>ROUND((ROUND(AT548*AG548,2)*1),6)</f>
        <v>0</v>
      </c>
      <c r="DD548" t="s">
        <v>3</v>
      </c>
      <c r="DE548" t="s">
        <v>3</v>
      </c>
      <c r="DF548">
        <f>ROUND(ROUND(AE548*AI548,2)*CX548,2)</f>
        <v>82.1</v>
      </c>
      <c r="DG548">
        <f t="shared" si="226"/>
        <v>0</v>
      </c>
      <c r="DH548">
        <f t="shared" si="224"/>
        <v>0</v>
      </c>
      <c r="DI548">
        <f t="shared" si="219"/>
        <v>0</v>
      </c>
      <c r="DJ548">
        <f>DF548</f>
        <v>82.1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ROW(Source!A226)</f>
        <v>226</v>
      </c>
      <c r="B549">
        <v>55747651</v>
      </c>
      <c r="C549">
        <v>57261085</v>
      </c>
      <c r="D549">
        <v>54739191</v>
      </c>
      <c r="E549">
        <v>1</v>
      </c>
      <c r="F549">
        <v>1</v>
      </c>
      <c r="G549">
        <v>1081</v>
      </c>
      <c r="H549">
        <v>3</v>
      </c>
      <c r="I549" t="s">
        <v>500</v>
      </c>
      <c r="J549" t="s">
        <v>501</v>
      </c>
      <c r="K549" t="s">
        <v>502</v>
      </c>
      <c r="L549">
        <v>1346</v>
      </c>
      <c r="N549">
        <v>1009</v>
      </c>
      <c r="O549" t="s">
        <v>503</v>
      </c>
      <c r="P549" t="s">
        <v>503</v>
      </c>
      <c r="Q549">
        <v>1</v>
      </c>
      <c r="W549">
        <v>0</v>
      </c>
      <c r="X549">
        <v>-2132327540</v>
      </c>
      <c r="Y549">
        <f>(AT549*1)</f>
        <v>2E-3</v>
      </c>
      <c r="AA549">
        <v>64.760000000000005</v>
      </c>
      <c r="AB549">
        <v>0</v>
      </c>
      <c r="AC549">
        <v>0</v>
      </c>
      <c r="AD549">
        <v>0</v>
      </c>
      <c r="AE549">
        <v>6.25</v>
      </c>
      <c r="AF549">
        <v>0</v>
      </c>
      <c r="AG549">
        <v>0</v>
      </c>
      <c r="AH549">
        <v>0</v>
      </c>
      <c r="AI549">
        <v>10.08</v>
      </c>
      <c r="AJ549">
        <v>1</v>
      </c>
      <c r="AK549">
        <v>1</v>
      </c>
      <c r="AL549">
        <v>1</v>
      </c>
      <c r="AM549">
        <v>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2E-3</v>
      </c>
      <c r="AU549" t="s">
        <v>48</v>
      </c>
      <c r="AV549">
        <v>0</v>
      </c>
      <c r="AW549">
        <v>2</v>
      </c>
      <c r="AX549">
        <v>57261122</v>
      </c>
      <c r="AY549">
        <v>1</v>
      </c>
      <c r="AZ549">
        <v>0</v>
      </c>
      <c r="BA549">
        <v>588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ROUND(Y549*Source!I226,9)</f>
        <v>2.4E-2</v>
      </c>
      <c r="CY549">
        <f>AA549</f>
        <v>64.760000000000005</v>
      </c>
      <c r="CZ549">
        <f>AE549</f>
        <v>6.25</v>
      </c>
      <c r="DA549">
        <f>AI549</f>
        <v>10.08</v>
      </c>
      <c r="DB549">
        <f>ROUND((ROUND(AT549*CZ549,2)*1),6)</f>
        <v>0.01</v>
      </c>
      <c r="DC549">
        <f>ROUND((ROUND(AT549*AG549,2)*1),6)</f>
        <v>0</v>
      </c>
      <c r="DD549" t="s">
        <v>3</v>
      </c>
      <c r="DE549" t="s">
        <v>3</v>
      </c>
      <c r="DF549">
        <f>ROUND(ROUND(AE549*AI549,2)*CX549,2)</f>
        <v>1.51</v>
      </c>
      <c r="DG549">
        <f t="shared" si="226"/>
        <v>0</v>
      </c>
      <c r="DH549">
        <f t="shared" si="224"/>
        <v>0</v>
      </c>
      <c r="DI549">
        <f t="shared" si="219"/>
        <v>0</v>
      </c>
      <c r="DJ549">
        <f>DF549</f>
        <v>1.51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ROW(Source!A226)</f>
        <v>226</v>
      </c>
      <c r="B550">
        <v>55747651</v>
      </c>
      <c r="C550">
        <v>57261085</v>
      </c>
      <c r="D550">
        <v>54737565</v>
      </c>
      <c r="E550">
        <v>1</v>
      </c>
      <c r="F550">
        <v>1</v>
      </c>
      <c r="G550">
        <v>1081</v>
      </c>
      <c r="H550">
        <v>3</v>
      </c>
      <c r="I550" t="s">
        <v>504</v>
      </c>
      <c r="J550" t="s">
        <v>505</v>
      </c>
      <c r="K550" t="s">
        <v>506</v>
      </c>
      <c r="L550">
        <v>1339</v>
      </c>
      <c r="N550">
        <v>1007</v>
      </c>
      <c r="O550" t="s">
        <v>507</v>
      </c>
      <c r="P550" t="s">
        <v>507</v>
      </c>
      <c r="Q550">
        <v>1</v>
      </c>
      <c r="W550">
        <v>0</v>
      </c>
      <c r="X550">
        <v>-1235260082</v>
      </c>
      <c r="Y550">
        <f>(AT550*1)</f>
        <v>1.9E-2</v>
      </c>
      <c r="AA550">
        <v>104.16</v>
      </c>
      <c r="AB550">
        <v>0</v>
      </c>
      <c r="AC550">
        <v>0</v>
      </c>
      <c r="AD550">
        <v>0</v>
      </c>
      <c r="AE550">
        <v>5.82</v>
      </c>
      <c r="AF550">
        <v>0</v>
      </c>
      <c r="AG550">
        <v>0</v>
      </c>
      <c r="AH550">
        <v>0</v>
      </c>
      <c r="AI550">
        <v>17.41</v>
      </c>
      <c r="AJ550">
        <v>1</v>
      </c>
      <c r="AK550">
        <v>1</v>
      </c>
      <c r="AL550">
        <v>1</v>
      </c>
      <c r="AM550">
        <v>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1.9E-2</v>
      </c>
      <c r="AU550" t="s">
        <v>48</v>
      </c>
      <c r="AV550">
        <v>0</v>
      </c>
      <c r="AW550">
        <v>2</v>
      </c>
      <c r="AX550">
        <v>57261123</v>
      </c>
      <c r="AY550">
        <v>1</v>
      </c>
      <c r="AZ550">
        <v>0</v>
      </c>
      <c r="BA550">
        <v>589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ROUND(Y550*Source!I226,9)</f>
        <v>0.22800000000000001</v>
      </c>
      <c r="CY550">
        <f>AA550</f>
        <v>104.16</v>
      </c>
      <c r="CZ550">
        <f>AE550</f>
        <v>5.82</v>
      </c>
      <c r="DA550">
        <f>AI550</f>
        <v>17.41</v>
      </c>
      <c r="DB550">
        <f>ROUND((ROUND(AT550*CZ550,2)*1),6)</f>
        <v>0.11</v>
      </c>
      <c r="DC550">
        <f>ROUND((ROUND(AT550*AG550,2)*1),6)</f>
        <v>0</v>
      </c>
      <c r="DD550" t="s">
        <v>3</v>
      </c>
      <c r="DE550" t="s">
        <v>3</v>
      </c>
      <c r="DF550">
        <f>ROUND(ROUND(AE550*AI550,2)*CX550,2)</f>
        <v>23.1</v>
      </c>
      <c r="DG550">
        <f t="shared" si="226"/>
        <v>0</v>
      </c>
      <c r="DH550">
        <f t="shared" si="224"/>
        <v>0</v>
      </c>
      <c r="DI550">
        <f t="shared" si="219"/>
        <v>0</v>
      </c>
      <c r="DJ550">
        <f>DF550</f>
        <v>23.1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ROW(Source!A229)</f>
        <v>229</v>
      </c>
      <c r="B551">
        <v>55747649</v>
      </c>
      <c r="C551">
        <v>55748385</v>
      </c>
      <c r="D551">
        <v>54702434</v>
      </c>
      <c r="E551">
        <v>1081</v>
      </c>
      <c r="F551">
        <v>1</v>
      </c>
      <c r="G551">
        <v>1081</v>
      </c>
      <c r="H551">
        <v>1</v>
      </c>
      <c r="I551" t="s">
        <v>473</v>
      </c>
      <c r="J551" t="s">
        <v>3</v>
      </c>
      <c r="K551" t="s">
        <v>474</v>
      </c>
      <c r="L551">
        <v>1191</v>
      </c>
      <c r="N551">
        <v>1013</v>
      </c>
      <c r="O551" t="s">
        <v>475</v>
      </c>
      <c r="P551" t="s">
        <v>475</v>
      </c>
      <c r="Q551">
        <v>1</v>
      </c>
      <c r="W551">
        <v>0</v>
      </c>
      <c r="X551">
        <v>476480486</v>
      </c>
      <c r="Y551">
        <f>(AT551*1.2)</f>
        <v>72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60</v>
      </c>
      <c r="AU551" t="s">
        <v>49</v>
      </c>
      <c r="AV551">
        <v>1</v>
      </c>
      <c r="AW551">
        <v>2</v>
      </c>
      <c r="AX551">
        <v>55748395</v>
      </c>
      <c r="AY551">
        <v>1</v>
      </c>
      <c r="AZ551">
        <v>0</v>
      </c>
      <c r="BA551">
        <v>591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U551">
        <f>ROUND(AT551*Source!I229*AH551*AL551,2)</f>
        <v>0</v>
      </c>
      <c r="CV551">
        <f>ROUND(Y551*Source!I229,9)</f>
        <v>560.16</v>
      </c>
      <c r="CW551">
        <v>0</v>
      </c>
      <c r="CX551">
        <f>ROUND(Y551*Source!I229,9)</f>
        <v>560.16</v>
      </c>
      <c r="CY551">
        <f>AD551</f>
        <v>0</v>
      </c>
      <c r="CZ551">
        <f>AH551</f>
        <v>0</v>
      </c>
      <c r="DA551">
        <f>AL551</f>
        <v>1</v>
      </c>
      <c r="DB551">
        <f>ROUND((ROUND(AT551*CZ551,2)*1.2),6)</f>
        <v>0</v>
      </c>
      <c r="DC551">
        <f>ROUND((ROUND(AT551*AG551,2)*1.2),6)</f>
        <v>0</v>
      </c>
      <c r="DD551" t="s">
        <v>3</v>
      </c>
      <c r="DE551" t="s">
        <v>3</v>
      </c>
      <c r="DF551">
        <f t="shared" ref="DF551:DF561" si="227">ROUND(ROUND(AE551,2)*CX551,2)</f>
        <v>0</v>
      </c>
      <c r="DG551">
        <f t="shared" si="226"/>
        <v>0</v>
      </c>
      <c r="DH551">
        <f t="shared" si="224"/>
        <v>0</v>
      </c>
      <c r="DI551">
        <f t="shared" si="219"/>
        <v>0</v>
      </c>
      <c r="DJ551">
        <f>DI551</f>
        <v>0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ROW(Source!A229)</f>
        <v>229</v>
      </c>
      <c r="B552">
        <v>55747649</v>
      </c>
      <c r="C552">
        <v>55748385</v>
      </c>
      <c r="D552">
        <v>54768040</v>
      </c>
      <c r="E552">
        <v>1</v>
      </c>
      <c r="F552">
        <v>1</v>
      </c>
      <c r="G552">
        <v>1081</v>
      </c>
      <c r="H552">
        <v>2</v>
      </c>
      <c r="I552" t="s">
        <v>476</v>
      </c>
      <c r="J552" t="s">
        <v>477</v>
      </c>
      <c r="K552" t="s">
        <v>478</v>
      </c>
      <c r="L552">
        <v>1368</v>
      </c>
      <c r="N552">
        <v>1011</v>
      </c>
      <c r="O552" t="s">
        <v>479</v>
      </c>
      <c r="P552" t="s">
        <v>479</v>
      </c>
      <c r="Q552">
        <v>1</v>
      </c>
      <c r="W552">
        <v>0</v>
      </c>
      <c r="X552">
        <v>1498588441</v>
      </c>
      <c r="Y552">
        <f>(AT552*1.2)</f>
        <v>56.64</v>
      </c>
      <c r="AA552">
        <v>0</v>
      </c>
      <c r="AB552">
        <v>7.59</v>
      </c>
      <c r="AC552">
        <v>0</v>
      </c>
      <c r="AD552">
        <v>0</v>
      </c>
      <c r="AE552">
        <v>0</v>
      </c>
      <c r="AF552">
        <v>7.11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47.2</v>
      </c>
      <c r="AU552" t="s">
        <v>49</v>
      </c>
      <c r="AV552">
        <v>0</v>
      </c>
      <c r="AW552">
        <v>2</v>
      </c>
      <c r="AX552">
        <v>55748396</v>
      </c>
      <c r="AY552">
        <v>1</v>
      </c>
      <c r="AZ552">
        <v>0</v>
      </c>
      <c r="BA552">
        <v>592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f>ROUND(Y552*Source!I229*DO552,9)</f>
        <v>0</v>
      </c>
      <c r="CX552">
        <f>ROUND(Y552*Source!I229,9)</f>
        <v>440.6592</v>
      </c>
      <c r="CY552">
        <f>AB552</f>
        <v>7.59</v>
      </c>
      <c r="CZ552">
        <f>AF552</f>
        <v>7.11</v>
      </c>
      <c r="DA552">
        <f>AJ552</f>
        <v>1</v>
      </c>
      <c r="DB552">
        <f>ROUND((ROUND(AT552*CZ552,2)*1.2),6)</f>
        <v>402.70800000000003</v>
      </c>
      <c r="DC552">
        <f>ROUND((ROUND(AT552*AG552,2)*1.2),6)</f>
        <v>0</v>
      </c>
      <c r="DD552" t="s">
        <v>3</v>
      </c>
      <c r="DE552" t="s">
        <v>3</v>
      </c>
      <c r="DF552">
        <f t="shared" si="227"/>
        <v>0</v>
      </c>
      <c r="DG552">
        <f t="shared" si="226"/>
        <v>3133.09</v>
      </c>
      <c r="DH552">
        <f t="shared" si="224"/>
        <v>0</v>
      </c>
      <c r="DI552">
        <f t="shared" si="219"/>
        <v>0</v>
      </c>
      <c r="DJ552">
        <f>DG552</f>
        <v>3133.09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ROW(Source!A229)</f>
        <v>229</v>
      </c>
      <c r="B553">
        <v>55747649</v>
      </c>
      <c r="C553">
        <v>55748385</v>
      </c>
      <c r="D553">
        <v>54768339</v>
      </c>
      <c r="E553">
        <v>1</v>
      </c>
      <c r="F553">
        <v>1</v>
      </c>
      <c r="G553">
        <v>1081</v>
      </c>
      <c r="H553">
        <v>2</v>
      </c>
      <c r="I553" t="s">
        <v>483</v>
      </c>
      <c r="J553" t="s">
        <v>484</v>
      </c>
      <c r="K553" t="s">
        <v>485</v>
      </c>
      <c r="L553">
        <v>1368</v>
      </c>
      <c r="N553">
        <v>1011</v>
      </c>
      <c r="O553" t="s">
        <v>479</v>
      </c>
      <c r="P553" t="s">
        <v>479</v>
      </c>
      <c r="Q553">
        <v>1</v>
      </c>
      <c r="W553">
        <v>0</v>
      </c>
      <c r="X553">
        <v>874612079</v>
      </c>
      <c r="Y553">
        <f>(AT553*1.2)</f>
        <v>1.2E-2</v>
      </c>
      <c r="AA553">
        <v>0</v>
      </c>
      <c r="AB553">
        <v>88.67</v>
      </c>
      <c r="AC553">
        <v>13.47</v>
      </c>
      <c r="AD553">
        <v>0</v>
      </c>
      <c r="AE553">
        <v>0</v>
      </c>
      <c r="AF553">
        <v>83.1</v>
      </c>
      <c r="AG553">
        <v>12.62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0.01</v>
      </c>
      <c r="AU553" t="s">
        <v>49</v>
      </c>
      <c r="AV553">
        <v>0</v>
      </c>
      <c r="AW553">
        <v>2</v>
      </c>
      <c r="AX553">
        <v>55748397</v>
      </c>
      <c r="AY553">
        <v>1</v>
      </c>
      <c r="AZ553">
        <v>0</v>
      </c>
      <c r="BA553">
        <v>593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f>ROUND(Y553*Source!I229*DO553,9)</f>
        <v>1.1782032</v>
      </c>
      <c r="CX553">
        <f>ROUND(Y553*Source!I229,9)</f>
        <v>9.3359999999999999E-2</v>
      </c>
      <c r="CY553">
        <f>AB553</f>
        <v>88.67</v>
      </c>
      <c r="CZ553">
        <f>AF553</f>
        <v>83.1</v>
      </c>
      <c r="DA553">
        <f>AJ553</f>
        <v>1</v>
      </c>
      <c r="DB553">
        <f>ROUND((ROUND(AT553*CZ553,2)*1.2),6)</f>
        <v>0.996</v>
      </c>
      <c r="DC553">
        <f>ROUND((ROUND(AT553*AG553,2)*1.2),6)</f>
        <v>0.156</v>
      </c>
      <c r="DD553" t="s">
        <v>3</v>
      </c>
      <c r="DE553" t="s">
        <v>3</v>
      </c>
      <c r="DF553">
        <f t="shared" si="227"/>
        <v>0</v>
      </c>
      <c r="DG553">
        <f t="shared" si="226"/>
        <v>7.76</v>
      </c>
      <c r="DH553">
        <f t="shared" si="224"/>
        <v>1.18</v>
      </c>
      <c r="DI553">
        <f t="shared" si="219"/>
        <v>0</v>
      </c>
      <c r="DJ553">
        <f>DG553</f>
        <v>7.76</v>
      </c>
      <c r="DK553">
        <v>0</v>
      </c>
      <c r="DL553" t="s">
        <v>486</v>
      </c>
      <c r="DM553">
        <v>0</v>
      </c>
      <c r="DN553" t="s">
        <v>475</v>
      </c>
      <c r="DO553">
        <v>12.62</v>
      </c>
    </row>
    <row r="554" spans="1:119" x14ac:dyDescent="0.2">
      <c r="A554">
        <f>ROW(Source!A229)</f>
        <v>229</v>
      </c>
      <c r="B554">
        <v>55747649</v>
      </c>
      <c r="C554">
        <v>55748385</v>
      </c>
      <c r="D554">
        <v>54737969</v>
      </c>
      <c r="E554">
        <v>1</v>
      </c>
      <c r="F554">
        <v>1</v>
      </c>
      <c r="G554">
        <v>1081</v>
      </c>
      <c r="H554">
        <v>3</v>
      </c>
      <c r="I554" t="s">
        <v>511</v>
      </c>
      <c r="J554" t="s">
        <v>512</v>
      </c>
      <c r="K554" t="s">
        <v>513</v>
      </c>
      <c r="L554">
        <v>1348</v>
      </c>
      <c r="N554">
        <v>1009</v>
      </c>
      <c r="O554" t="s">
        <v>282</v>
      </c>
      <c r="P554" t="s">
        <v>282</v>
      </c>
      <c r="Q554">
        <v>1000</v>
      </c>
      <c r="W554">
        <v>0</v>
      </c>
      <c r="X554">
        <v>-287838193</v>
      </c>
      <c r="Y554">
        <f>(AT554*1)</f>
        <v>3.0000000000000001E-3</v>
      </c>
      <c r="AA554">
        <v>23761.63</v>
      </c>
      <c r="AB554">
        <v>0</v>
      </c>
      <c r="AC554">
        <v>0</v>
      </c>
      <c r="AD554">
        <v>0</v>
      </c>
      <c r="AE554">
        <v>23114.43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3.0000000000000001E-3</v>
      </c>
      <c r="AU554" t="s">
        <v>48</v>
      </c>
      <c r="AV554">
        <v>0</v>
      </c>
      <c r="AW554">
        <v>2</v>
      </c>
      <c r="AX554">
        <v>55748398</v>
      </c>
      <c r="AY554">
        <v>1</v>
      </c>
      <c r="AZ554">
        <v>0</v>
      </c>
      <c r="BA554">
        <v>594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ROUND(Y554*Source!I229,9)</f>
        <v>2.334E-2</v>
      </c>
      <c r="CY554">
        <f>AA554</f>
        <v>23761.63</v>
      </c>
      <c r="CZ554">
        <f>AE554</f>
        <v>23114.43</v>
      </c>
      <c r="DA554">
        <f>AI554</f>
        <v>1</v>
      </c>
      <c r="DB554">
        <f>ROUND((ROUND(AT554*CZ554,2)*1),6)</f>
        <v>69.34</v>
      </c>
      <c r="DC554">
        <f>ROUND((ROUND(AT554*AG554,2)*1),6)</f>
        <v>0</v>
      </c>
      <c r="DD554" t="s">
        <v>3</v>
      </c>
      <c r="DE554" t="s">
        <v>3</v>
      </c>
      <c r="DF554">
        <f t="shared" si="227"/>
        <v>539.49</v>
      </c>
      <c r="DG554">
        <f t="shared" si="226"/>
        <v>0</v>
      </c>
      <c r="DH554">
        <f t="shared" si="224"/>
        <v>0</v>
      </c>
      <c r="DI554">
        <f t="shared" si="219"/>
        <v>0</v>
      </c>
      <c r="DJ554">
        <f>DF554</f>
        <v>539.49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ROW(Source!A229)</f>
        <v>229</v>
      </c>
      <c r="B555">
        <v>55747649</v>
      </c>
      <c r="C555">
        <v>55748385</v>
      </c>
      <c r="D555">
        <v>54738430</v>
      </c>
      <c r="E555">
        <v>1</v>
      </c>
      <c r="F555">
        <v>1</v>
      </c>
      <c r="G555">
        <v>1081</v>
      </c>
      <c r="H555">
        <v>3</v>
      </c>
      <c r="I555" t="s">
        <v>562</v>
      </c>
      <c r="J555" t="s">
        <v>563</v>
      </c>
      <c r="K555" t="s">
        <v>564</v>
      </c>
      <c r="L555">
        <v>1348</v>
      </c>
      <c r="N555">
        <v>1009</v>
      </c>
      <c r="O555" t="s">
        <v>282</v>
      </c>
      <c r="P555" t="s">
        <v>282</v>
      </c>
      <c r="Q555">
        <v>1000</v>
      </c>
      <c r="W555">
        <v>0</v>
      </c>
      <c r="X555">
        <v>63955816</v>
      </c>
      <c r="Y555">
        <f>(AT555*1)</f>
        <v>0.01</v>
      </c>
      <c r="AA555">
        <v>7387.02</v>
      </c>
      <c r="AB555">
        <v>0</v>
      </c>
      <c r="AC555">
        <v>0</v>
      </c>
      <c r="AD555">
        <v>0</v>
      </c>
      <c r="AE555">
        <v>7185.82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-2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0.01</v>
      </c>
      <c r="AU555" t="s">
        <v>48</v>
      </c>
      <c r="AV555">
        <v>0</v>
      </c>
      <c r="AW555">
        <v>2</v>
      </c>
      <c r="AX555">
        <v>55748399</v>
      </c>
      <c r="AY555">
        <v>1</v>
      </c>
      <c r="AZ555">
        <v>0</v>
      </c>
      <c r="BA555">
        <v>595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ROUND(Y555*Source!I229,9)</f>
        <v>7.7799999999999994E-2</v>
      </c>
      <c r="CY555">
        <f>AA555</f>
        <v>7387.02</v>
      </c>
      <c r="CZ555">
        <f>AE555</f>
        <v>7185.82</v>
      </c>
      <c r="DA555">
        <f>AI555</f>
        <v>1</v>
      </c>
      <c r="DB555">
        <f>ROUND((ROUND(AT555*CZ555,2)*1),6)</f>
        <v>71.86</v>
      </c>
      <c r="DC555">
        <f>ROUND((ROUND(AT555*AG555,2)*1),6)</f>
        <v>0</v>
      </c>
      <c r="DD555" t="s">
        <v>3</v>
      </c>
      <c r="DE555" t="s">
        <v>3</v>
      </c>
      <c r="DF555">
        <f t="shared" si="227"/>
        <v>559.05999999999995</v>
      </c>
      <c r="DG555">
        <f t="shared" si="226"/>
        <v>0</v>
      </c>
      <c r="DH555">
        <f t="shared" si="224"/>
        <v>0</v>
      </c>
      <c r="DI555">
        <f t="shared" si="219"/>
        <v>0</v>
      </c>
      <c r="DJ555">
        <f>DF555</f>
        <v>559.05999999999995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ROW(Source!A229)</f>
        <v>229</v>
      </c>
      <c r="B556">
        <v>55747649</v>
      </c>
      <c r="C556">
        <v>55748385</v>
      </c>
      <c r="D556">
        <v>54753861</v>
      </c>
      <c r="E556">
        <v>1</v>
      </c>
      <c r="F556">
        <v>1</v>
      </c>
      <c r="G556">
        <v>1081</v>
      </c>
      <c r="H556">
        <v>3</v>
      </c>
      <c r="I556" t="s">
        <v>361</v>
      </c>
      <c r="J556" t="s">
        <v>363</v>
      </c>
      <c r="K556" t="s">
        <v>362</v>
      </c>
      <c r="L556">
        <v>1354</v>
      </c>
      <c r="N556">
        <v>1010</v>
      </c>
      <c r="O556" t="s">
        <v>118</v>
      </c>
      <c r="P556" t="s">
        <v>118</v>
      </c>
      <c r="Q556">
        <v>1</v>
      </c>
      <c r="W556">
        <v>0</v>
      </c>
      <c r="X556">
        <v>-1614271934</v>
      </c>
      <c r="Y556">
        <f>(AT556*1)</f>
        <v>100</v>
      </c>
      <c r="AA556">
        <v>31.64</v>
      </c>
      <c r="AB556">
        <v>0</v>
      </c>
      <c r="AC556">
        <v>0</v>
      </c>
      <c r="AD556">
        <v>0</v>
      </c>
      <c r="AE556">
        <v>31.64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 t="s">
        <v>3</v>
      </c>
      <c r="AT556">
        <v>100</v>
      </c>
      <c r="AU556" t="s">
        <v>48</v>
      </c>
      <c r="AV556">
        <v>0</v>
      </c>
      <c r="AW556">
        <v>1</v>
      </c>
      <c r="AX556">
        <v>-1</v>
      </c>
      <c r="AY556">
        <v>0</v>
      </c>
      <c r="AZ556">
        <v>0</v>
      </c>
      <c r="BA556" t="s">
        <v>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ROUND(Y556*Source!I229,9)</f>
        <v>778</v>
      </c>
      <c r="CY556">
        <f>AA556</f>
        <v>31.64</v>
      </c>
      <c r="CZ556">
        <f>AE556</f>
        <v>31.64</v>
      </c>
      <c r="DA556">
        <f>AI556</f>
        <v>1</v>
      </c>
      <c r="DB556">
        <f>ROUND((ROUND(AT556*CZ556,2)*1),6)</f>
        <v>3164</v>
      </c>
      <c r="DC556">
        <f>ROUND((ROUND(AT556*AG556,2)*1),6)</f>
        <v>0</v>
      </c>
      <c r="DD556" t="s">
        <v>3</v>
      </c>
      <c r="DE556" t="s">
        <v>3</v>
      </c>
      <c r="DF556">
        <f t="shared" si="227"/>
        <v>24615.919999999998</v>
      </c>
      <c r="DG556">
        <f t="shared" si="226"/>
        <v>0</v>
      </c>
      <c r="DH556">
        <f t="shared" si="224"/>
        <v>0</v>
      </c>
      <c r="DI556">
        <f t="shared" si="219"/>
        <v>0</v>
      </c>
      <c r="DJ556">
        <f>DF556</f>
        <v>24615.919999999998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ROW(Source!A229)</f>
        <v>229</v>
      </c>
      <c r="B557">
        <v>55747649</v>
      </c>
      <c r="C557">
        <v>55748385</v>
      </c>
      <c r="D557">
        <v>54753866</v>
      </c>
      <c r="E557">
        <v>1</v>
      </c>
      <c r="F557">
        <v>1</v>
      </c>
      <c r="G557">
        <v>1081</v>
      </c>
      <c r="H557">
        <v>3</v>
      </c>
      <c r="I557" t="s">
        <v>637</v>
      </c>
      <c r="J557" t="s">
        <v>638</v>
      </c>
      <c r="K557" t="s">
        <v>639</v>
      </c>
      <c r="L557">
        <v>1354</v>
      </c>
      <c r="N557">
        <v>1010</v>
      </c>
      <c r="O557" t="s">
        <v>118</v>
      </c>
      <c r="P557" t="s">
        <v>118</v>
      </c>
      <c r="Q557">
        <v>1</v>
      </c>
      <c r="W557">
        <v>0</v>
      </c>
      <c r="X557">
        <v>-1710543629</v>
      </c>
      <c r="Y557">
        <f>(AT557*1)</f>
        <v>100</v>
      </c>
      <c r="AA557">
        <v>11.44</v>
      </c>
      <c r="AB557">
        <v>0</v>
      </c>
      <c r="AC557">
        <v>0</v>
      </c>
      <c r="AD557">
        <v>0</v>
      </c>
      <c r="AE557">
        <v>11.13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100</v>
      </c>
      <c r="AU557" t="s">
        <v>48</v>
      </c>
      <c r="AV557">
        <v>0</v>
      </c>
      <c r="AW557">
        <v>2</v>
      </c>
      <c r="AX557">
        <v>55748400</v>
      </c>
      <c r="AY557">
        <v>1</v>
      </c>
      <c r="AZ557">
        <v>0</v>
      </c>
      <c r="BA557">
        <v>596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ROUND(Y557*Source!I229,9)</f>
        <v>778</v>
      </c>
      <c r="CY557">
        <f>AA557</f>
        <v>11.44</v>
      </c>
      <c r="CZ557">
        <f>AE557</f>
        <v>11.13</v>
      </c>
      <c r="DA557">
        <f>AI557</f>
        <v>1</v>
      </c>
      <c r="DB557">
        <f>ROUND((ROUND(AT557*CZ557,2)*1),6)</f>
        <v>1113</v>
      </c>
      <c r="DC557">
        <f>ROUND((ROUND(AT557*AG557,2)*1),6)</f>
        <v>0</v>
      </c>
      <c r="DD557" t="s">
        <v>3</v>
      </c>
      <c r="DE557" t="s">
        <v>3</v>
      </c>
      <c r="DF557">
        <f t="shared" si="227"/>
        <v>8659.14</v>
      </c>
      <c r="DG557">
        <f t="shared" si="226"/>
        <v>0</v>
      </c>
      <c r="DH557">
        <f t="shared" si="224"/>
        <v>0</v>
      </c>
      <c r="DI557">
        <f t="shared" si="219"/>
        <v>0</v>
      </c>
      <c r="DJ557">
        <f>DF557</f>
        <v>8659.14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ROW(Source!A229)</f>
        <v>229</v>
      </c>
      <c r="B558">
        <v>55747649</v>
      </c>
      <c r="C558">
        <v>55748385</v>
      </c>
      <c r="D558">
        <v>54758173</v>
      </c>
      <c r="E558">
        <v>1</v>
      </c>
      <c r="F558">
        <v>1</v>
      </c>
      <c r="G558">
        <v>1081</v>
      </c>
      <c r="H558">
        <v>3</v>
      </c>
      <c r="I558" t="s">
        <v>640</v>
      </c>
      <c r="J558" t="s">
        <v>641</v>
      </c>
      <c r="K558" t="s">
        <v>642</v>
      </c>
      <c r="L558">
        <v>1354</v>
      </c>
      <c r="N558">
        <v>1010</v>
      </c>
      <c r="O558" t="s">
        <v>118</v>
      </c>
      <c r="P558" t="s">
        <v>118</v>
      </c>
      <c r="Q558">
        <v>1</v>
      </c>
      <c r="W558">
        <v>0</v>
      </c>
      <c r="X558">
        <v>-640005846</v>
      </c>
      <c r="Y558">
        <f>(AT558*1)</f>
        <v>100</v>
      </c>
      <c r="AA558">
        <v>22.7</v>
      </c>
      <c r="AB558">
        <v>0</v>
      </c>
      <c r="AC558">
        <v>0</v>
      </c>
      <c r="AD558">
        <v>0</v>
      </c>
      <c r="AE558">
        <v>22.08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100</v>
      </c>
      <c r="AU558" t="s">
        <v>48</v>
      </c>
      <c r="AV558">
        <v>0</v>
      </c>
      <c r="AW558">
        <v>2</v>
      </c>
      <c r="AX558">
        <v>55748401</v>
      </c>
      <c r="AY558">
        <v>1</v>
      </c>
      <c r="AZ558">
        <v>0</v>
      </c>
      <c r="BA558">
        <v>597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ROUND(Y558*Source!I229,9)</f>
        <v>778</v>
      </c>
      <c r="CY558">
        <f>AA558</f>
        <v>22.7</v>
      </c>
      <c r="CZ558">
        <f>AE558</f>
        <v>22.08</v>
      </c>
      <c r="DA558">
        <f>AI558</f>
        <v>1</v>
      </c>
      <c r="DB558">
        <f>ROUND((ROUND(AT558*CZ558,2)*1),6)</f>
        <v>2208</v>
      </c>
      <c r="DC558">
        <f>ROUND((ROUND(AT558*AG558,2)*1),6)</f>
        <v>0</v>
      </c>
      <c r="DD558" t="s">
        <v>3</v>
      </c>
      <c r="DE558" t="s">
        <v>3</v>
      </c>
      <c r="DF558">
        <f t="shared" si="227"/>
        <v>17178.240000000002</v>
      </c>
      <c r="DG558">
        <f t="shared" si="226"/>
        <v>0</v>
      </c>
      <c r="DH558">
        <f t="shared" si="224"/>
        <v>0</v>
      </c>
      <c r="DI558">
        <f t="shared" si="219"/>
        <v>0</v>
      </c>
      <c r="DJ558">
        <f>DF558</f>
        <v>17178.240000000002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ROW(Source!A230)</f>
        <v>230</v>
      </c>
      <c r="B559">
        <v>55747651</v>
      </c>
      <c r="C559">
        <v>55748385</v>
      </c>
      <c r="D559">
        <v>54702434</v>
      </c>
      <c r="E559">
        <v>1081</v>
      </c>
      <c r="F559">
        <v>1</v>
      </c>
      <c r="G559">
        <v>1081</v>
      </c>
      <c r="H559">
        <v>1</v>
      </c>
      <c r="I559" t="s">
        <v>473</v>
      </c>
      <c r="J559" t="s">
        <v>3</v>
      </c>
      <c r="K559" t="s">
        <v>474</v>
      </c>
      <c r="L559">
        <v>1191</v>
      </c>
      <c r="N559">
        <v>1013</v>
      </c>
      <c r="O559" t="s">
        <v>475</v>
      </c>
      <c r="P559" t="s">
        <v>475</v>
      </c>
      <c r="Q559">
        <v>1</v>
      </c>
      <c r="W559">
        <v>0</v>
      </c>
      <c r="X559">
        <v>476480486</v>
      </c>
      <c r="Y559">
        <f>(AT559*1.2)</f>
        <v>72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5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60</v>
      </c>
      <c r="AU559" t="s">
        <v>49</v>
      </c>
      <c r="AV559">
        <v>1</v>
      </c>
      <c r="AW559">
        <v>2</v>
      </c>
      <c r="AX559">
        <v>55748395</v>
      </c>
      <c r="AY559">
        <v>1</v>
      </c>
      <c r="AZ559">
        <v>0</v>
      </c>
      <c r="BA559">
        <v>599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U559">
        <f>ROUND(AT559*Source!I230*AH559*AL559,2)</f>
        <v>0</v>
      </c>
      <c r="CV559">
        <f>ROUND(Y559*Source!I230,9)</f>
        <v>560.16</v>
      </c>
      <c r="CW559">
        <v>0</v>
      </c>
      <c r="CX559">
        <f>ROUND(Y559*Source!I230,9)</f>
        <v>560.16</v>
      </c>
      <c r="CY559">
        <f>AD559</f>
        <v>0</v>
      </c>
      <c r="CZ559">
        <f>AH559</f>
        <v>0</v>
      </c>
      <c r="DA559">
        <f>AL559</f>
        <v>1</v>
      </c>
      <c r="DB559">
        <f>ROUND((ROUND(AT559*CZ559,2)*1.2),6)</f>
        <v>0</v>
      </c>
      <c r="DC559">
        <f>ROUND((ROUND(AT559*AG559,2)*1.2),6)</f>
        <v>0</v>
      </c>
      <c r="DD559" t="s">
        <v>3</v>
      </c>
      <c r="DE559" t="s">
        <v>3</v>
      </c>
      <c r="DF559">
        <f t="shared" si="227"/>
        <v>0</v>
      </c>
      <c r="DG559">
        <f t="shared" si="226"/>
        <v>0</v>
      </c>
      <c r="DH559">
        <f t="shared" si="224"/>
        <v>0</v>
      </c>
      <c r="DI559">
        <f t="shared" si="219"/>
        <v>0</v>
      </c>
      <c r="DJ559">
        <f>DI559</f>
        <v>0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">
      <c r="A560">
        <f>ROW(Source!A230)</f>
        <v>230</v>
      </c>
      <c r="B560">
        <v>55747651</v>
      </c>
      <c r="C560">
        <v>55748385</v>
      </c>
      <c r="D560">
        <v>54768040</v>
      </c>
      <c r="E560">
        <v>1</v>
      </c>
      <c r="F560">
        <v>1</v>
      </c>
      <c r="G560">
        <v>1081</v>
      </c>
      <c r="H560">
        <v>2</v>
      </c>
      <c r="I560" t="s">
        <v>476</v>
      </c>
      <c r="J560" t="s">
        <v>477</v>
      </c>
      <c r="K560" t="s">
        <v>478</v>
      </c>
      <c r="L560">
        <v>1368</v>
      </c>
      <c r="N560">
        <v>1011</v>
      </c>
      <c r="O560" t="s">
        <v>479</v>
      </c>
      <c r="P560" t="s">
        <v>479</v>
      </c>
      <c r="Q560">
        <v>1</v>
      </c>
      <c r="W560">
        <v>0</v>
      </c>
      <c r="X560">
        <v>1498588441</v>
      </c>
      <c r="Y560">
        <f>(AT560*1.2)</f>
        <v>56.64</v>
      </c>
      <c r="AA560">
        <v>0</v>
      </c>
      <c r="AB560">
        <v>102.11</v>
      </c>
      <c r="AC560">
        <v>0</v>
      </c>
      <c r="AD560">
        <v>0</v>
      </c>
      <c r="AE560">
        <v>0</v>
      </c>
      <c r="AF560">
        <v>7.11</v>
      </c>
      <c r="AG560">
        <v>0</v>
      </c>
      <c r="AH560">
        <v>0</v>
      </c>
      <c r="AI560">
        <v>1</v>
      </c>
      <c r="AJ560">
        <v>13.46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47.2</v>
      </c>
      <c r="AU560" t="s">
        <v>49</v>
      </c>
      <c r="AV560">
        <v>0</v>
      </c>
      <c r="AW560">
        <v>2</v>
      </c>
      <c r="AX560">
        <v>55748396</v>
      </c>
      <c r="AY560">
        <v>1</v>
      </c>
      <c r="AZ560">
        <v>0</v>
      </c>
      <c r="BA560">
        <v>600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ROUND(Y560*Source!I230*DO560,9)</f>
        <v>0</v>
      </c>
      <c r="CX560">
        <f>ROUND(Y560*Source!I230,9)</f>
        <v>440.6592</v>
      </c>
      <c r="CY560">
        <f>AB560</f>
        <v>102.11</v>
      </c>
      <c r="CZ560">
        <f>AF560</f>
        <v>7.11</v>
      </c>
      <c r="DA560">
        <f>AJ560</f>
        <v>13.46</v>
      </c>
      <c r="DB560">
        <f>ROUND((ROUND(AT560*CZ560,2)*1.2),6)</f>
        <v>402.70800000000003</v>
      </c>
      <c r="DC560">
        <f>ROUND((ROUND(AT560*AG560,2)*1.2),6)</f>
        <v>0</v>
      </c>
      <c r="DD560" t="s">
        <v>3</v>
      </c>
      <c r="DE560" t="s">
        <v>3</v>
      </c>
      <c r="DF560">
        <f t="shared" si="227"/>
        <v>0</v>
      </c>
      <c r="DG560">
        <f>ROUND(ROUND(AF560*AJ560,2)*CX560,2)</f>
        <v>42171.09</v>
      </c>
      <c r="DH560">
        <f t="shared" si="224"/>
        <v>0</v>
      </c>
      <c r="DI560">
        <f t="shared" si="219"/>
        <v>0</v>
      </c>
      <c r="DJ560">
        <f>DG560</f>
        <v>42171.09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ROW(Source!A230)</f>
        <v>230</v>
      </c>
      <c r="B561">
        <v>55747651</v>
      </c>
      <c r="C561">
        <v>55748385</v>
      </c>
      <c r="D561">
        <v>54768339</v>
      </c>
      <c r="E561">
        <v>1</v>
      </c>
      <c r="F561">
        <v>1</v>
      </c>
      <c r="G561">
        <v>1081</v>
      </c>
      <c r="H561">
        <v>2</v>
      </c>
      <c r="I561" t="s">
        <v>483</v>
      </c>
      <c r="J561" t="s">
        <v>484</v>
      </c>
      <c r="K561" t="s">
        <v>485</v>
      </c>
      <c r="L561">
        <v>1368</v>
      </c>
      <c r="N561">
        <v>1011</v>
      </c>
      <c r="O561" t="s">
        <v>479</v>
      </c>
      <c r="P561" t="s">
        <v>479</v>
      </c>
      <c r="Q561">
        <v>1</v>
      </c>
      <c r="W561">
        <v>0</v>
      </c>
      <c r="X561">
        <v>874612079</v>
      </c>
      <c r="Y561">
        <f>(AT561*1.2)</f>
        <v>1.2E-2</v>
      </c>
      <c r="AA561">
        <v>0</v>
      </c>
      <c r="AB561">
        <v>1513.56</v>
      </c>
      <c r="AC561">
        <v>758.78</v>
      </c>
      <c r="AD561">
        <v>0</v>
      </c>
      <c r="AE561">
        <v>0</v>
      </c>
      <c r="AF561">
        <v>83.1</v>
      </c>
      <c r="AG561">
        <v>12.62</v>
      </c>
      <c r="AH561">
        <v>0</v>
      </c>
      <c r="AI561">
        <v>1</v>
      </c>
      <c r="AJ561">
        <v>17.07</v>
      </c>
      <c r="AK561">
        <v>56.35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0.01</v>
      </c>
      <c r="AU561" t="s">
        <v>49</v>
      </c>
      <c r="AV561">
        <v>0</v>
      </c>
      <c r="AW561">
        <v>2</v>
      </c>
      <c r="AX561">
        <v>55748397</v>
      </c>
      <c r="AY561">
        <v>1</v>
      </c>
      <c r="AZ561">
        <v>0</v>
      </c>
      <c r="BA561">
        <v>601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f>ROUND(Y561*Source!I230*DO561,9)</f>
        <v>1.1782032</v>
      </c>
      <c r="CX561">
        <f>ROUND(Y561*Source!I230,9)</f>
        <v>9.3359999999999999E-2</v>
      </c>
      <c r="CY561">
        <f>AB561</f>
        <v>1513.56</v>
      </c>
      <c r="CZ561">
        <f>AF561</f>
        <v>83.1</v>
      </c>
      <c r="DA561">
        <f>AJ561</f>
        <v>17.07</v>
      </c>
      <c r="DB561">
        <f>ROUND((ROUND(AT561*CZ561,2)*1.2),6)</f>
        <v>0.996</v>
      </c>
      <c r="DC561">
        <f>ROUND((ROUND(AT561*AG561,2)*1.2),6)</f>
        <v>0.156</v>
      </c>
      <c r="DD561" t="s">
        <v>3</v>
      </c>
      <c r="DE561" t="s">
        <v>3</v>
      </c>
      <c r="DF561">
        <f t="shared" si="227"/>
        <v>0</v>
      </c>
      <c r="DG561">
        <f>ROUND(ROUND(AF561*AJ561,2)*CX561,2)</f>
        <v>132.43</v>
      </c>
      <c r="DH561">
        <f>ROUND(ROUND(AG561*AK561,2)*CX561,2)</f>
        <v>66.39</v>
      </c>
      <c r="DI561">
        <f t="shared" si="219"/>
        <v>0</v>
      </c>
      <c r="DJ561">
        <f>DG561</f>
        <v>132.43</v>
      </c>
      <c r="DK561">
        <v>0</v>
      </c>
      <c r="DL561" t="s">
        <v>486</v>
      </c>
      <c r="DM561">
        <v>0</v>
      </c>
      <c r="DN561" t="s">
        <v>475</v>
      </c>
      <c r="DO561">
        <v>12.62</v>
      </c>
    </row>
    <row r="562" spans="1:119" x14ac:dyDescent="0.2">
      <c r="A562">
        <f>ROW(Source!A230)</f>
        <v>230</v>
      </c>
      <c r="B562">
        <v>55747651</v>
      </c>
      <c r="C562">
        <v>55748385</v>
      </c>
      <c r="D562">
        <v>54737969</v>
      </c>
      <c r="E562">
        <v>1</v>
      </c>
      <c r="F562">
        <v>1</v>
      </c>
      <c r="G562">
        <v>1081</v>
      </c>
      <c r="H562">
        <v>3</v>
      </c>
      <c r="I562" t="s">
        <v>511</v>
      </c>
      <c r="J562" t="s">
        <v>512</v>
      </c>
      <c r="K562" t="s">
        <v>513</v>
      </c>
      <c r="L562">
        <v>1348</v>
      </c>
      <c r="N562">
        <v>1009</v>
      </c>
      <c r="O562" t="s">
        <v>282</v>
      </c>
      <c r="P562" t="s">
        <v>282</v>
      </c>
      <c r="Q562">
        <v>1000</v>
      </c>
      <c r="W562">
        <v>0</v>
      </c>
      <c r="X562">
        <v>-287838193</v>
      </c>
      <c r="Y562">
        <f>(AT562*1)</f>
        <v>3.0000000000000001E-3</v>
      </c>
      <c r="AA562">
        <v>106689.74</v>
      </c>
      <c r="AB562">
        <v>0</v>
      </c>
      <c r="AC562">
        <v>0</v>
      </c>
      <c r="AD562">
        <v>0</v>
      </c>
      <c r="AE562">
        <v>23114.43</v>
      </c>
      <c r="AF562">
        <v>0</v>
      </c>
      <c r="AG562">
        <v>0</v>
      </c>
      <c r="AH562">
        <v>0</v>
      </c>
      <c r="AI562">
        <v>4.49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3.0000000000000001E-3</v>
      </c>
      <c r="AU562" t="s">
        <v>48</v>
      </c>
      <c r="AV562">
        <v>0</v>
      </c>
      <c r="AW562">
        <v>2</v>
      </c>
      <c r="AX562">
        <v>55748398</v>
      </c>
      <c r="AY562">
        <v>1</v>
      </c>
      <c r="AZ562">
        <v>0</v>
      </c>
      <c r="BA562">
        <v>602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ROUND(Y562*Source!I230,9)</f>
        <v>2.334E-2</v>
      </c>
      <c r="CY562">
        <f>AA562</f>
        <v>106689.74</v>
      </c>
      <c r="CZ562">
        <f>AE562</f>
        <v>23114.43</v>
      </c>
      <c r="DA562">
        <f>AI562</f>
        <v>4.49</v>
      </c>
      <c r="DB562">
        <f>ROUND((ROUND(AT562*CZ562,2)*1),6)</f>
        <v>69.34</v>
      </c>
      <c r="DC562">
        <f>ROUND((ROUND(AT562*AG562,2)*1),6)</f>
        <v>0</v>
      </c>
      <c r="DD562" t="s">
        <v>3</v>
      </c>
      <c r="DE562" t="s">
        <v>3</v>
      </c>
      <c r="DF562">
        <f>ROUND(ROUND(AE562*AI562,2)*CX562,2)</f>
        <v>2422.31</v>
      </c>
      <c r="DG562">
        <f t="shared" ref="DG562:DG576" si="228">ROUND(ROUND(AF562,2)*CX562,2)</f>
        <v>0</v>
      </c>
      <c r="DH562">
        <f t="shared" ref="DH562:DH576" si="229">ROUND(ROUND(AG562,2)*CX562,2)</f>
        <v>0</v>
      </c>
      <c r="DI562">
        <f t="shared" si="219"/>
        <v>0</v>
      </c>
      <c r="DJ562">
        <f>DF562</f>
        <v>2422.31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ROW(Source!A230)</f>
        <v>230</v>
      </c>
      <c r="B563">
        <v>55747651</v>
      </c>
      <c r="C563">
        <v>55748385</v>
      </c>
      <c r="D563">
        <v>54738430</v>
      </c>
      <c r="E563">
        <v>1</v>
      </c>
      <c r="F563">
        <v>1</v>
      </c>
      <c r="G563">
        <v>1081</v>
      </c>
      <c r="H563">
        <v>3</v>
      </c>
      <c r="I563" t="s">
        <v>562</v>
      </c>
      <c r="J563" t="s">
        <v>563</v>
      </c>
      <c r="K563" t="s">
        <v>564</v>
      </c>
      <c r="L563">
        <v>1348</v>
      </c>
      <c r="N563">
        <v>1009</v>
      </c>
      <c r="O563" t="s">
        <v>282</v>
      </c>
      <c r="P563" t="s">
        <v>282</v>
      </c>
      <c r="Q563">
        <v>1000</v>
      </c>
      <c r="W563">
        <v>0</v>
      </c>
      <c r="X563">
        <v>63955816</v>
      </c>
      <c r="Y563">
        <f>(AT563*1)</f>
        <v>0.01</v>
      </c>
      <c r="AA563">
        <v>99503.2</v>
      </c>
      <c r="AB563">
        <v>0</v>
      </c>
      <c r="AC563">
        <v>0</v>
      </c>
      <c r="AD563">
        <v>0</v>
      </c>
      <c r="AE563">
        <v>7185.82</v>
      </c>
      <c r="AF563">
        <v>0</v>
      </c>
      <c r="AG563">
        <v>0</v>
      </c>
      <c r="AH563">
        <v>0</v>
      </c>
      <c r="AI563">
        <v>13.47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0.01</v>
      </c>
      <c r="AU563" t="s">
        <v>48</v>
      </c>
      <c r="AV563">
        <v>0</v>
      </c>
      <c r="AW563">
        <v>2</v>
      </c>
      <c r="AX563">
        <v>55748399</v>
      </c>
      <c r="AY563">
        <v>1</v>
      </c>
      <c r="AZ563">
        <v>0</v>
      </c>
      <c r="BA563">
        <v>603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ROUND(Y563*Source!I230,9)</f>
        <v>7.7799999999999994E-2</v>
      </c>
      <c r="CY563">
        <f>AA563</f>
        <v>99503.2</v>
      </c>
      <c r="CZ563">
        <f>AE563</f>
        <v>7185.82</v>
      </c>
      <c r="DA563">
        <f>AI563</f>
        <v>13.47</v>
      </c>
      <c r="DB563">
        <f>ROUND((ROUND(AT563*CZ563,2)*1),6)</f>
        <v>71.86</v>
      </c>
      <c r="DC563">
        <f>ROUND((ROUND(AT563*AG563,2)*1),6)</f>
        <v>0</v>
      </c>
      <c r="DD563" t="s">
        <v>3</v>
      </c>
      <c r="DE563" t="s">
        <v>3</v>
      </c>
      <c r="DF563">
        <f>ROUND(ROUND(AE563*AI563,2)*CX563,2)</f>
        <v>7530.5</v>
      </c>
      <c r="DG563">
        <f t="shared" si="228"/>
        <v>0</v>
      </c>
      <c r="DH563">
        <f t="shared" si="229"/>
        <v>0</v>
      </c>
      <c r="DI563">
        <f t="shared" si="219"/>
        <v>0</v>
      </c>
      <c r="DJ563">
        <f>DF563</f>
        <v>7530.5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ROW(Source!A230)</f>
        <v>230</v>
      </c>
      <c r="B564">
        <v>55747651</v>
      </c>
      <c r="C564">
        <v>55748385</v>
      </c>
      <c r="D564">
        <v>54753861</v>
      </c>
      <c r="E564">
        <v>1</v>
      </c>
      <c r="F564">
        <v>1</v>
      </c>
      <c r="G564">
        <v>1081</v>
      </c>
      <c r="H564">
        <v>3</v>
      </c>
      <c r="I564" t="s">
        <v>361</v>
      </c>
      <c r="J564" t="s">
        <v>363</v>
      </c>
      <c r="K564" t="s">
        <v>362</v>
      </c>
      <c r="L564">
        <v>1354</v>
      </c>
      <c r="N564">
        <v>1010</v>
      </c>
      <c r="O564" t="s">
        <v>118</v>
      </c>
      <c r="P564" t="s">
        <v>118</v>
      </c>
      <c r="Q564">
        <v>1</v>
      </c>
      <c r="W564">
        <v>0</v>
      </c>
      <c r="X564">
        <v>-1614271934</v>
      </c>
      <c r="Y564">
        <f>(AT564*1)</f>
        <v>100</v>
      </c>
      <c r="AA564">
        <v>204.08</v>
      </c>
      <c r="AB564">
        <v>0</v>
      </c>
      <c r="AC564">
        <v>0</v>
      </c>
      <c r="AD564">
        <v>0</v>
      </c>
      <c r="AE564">
        <v>31.64</v>
      </c>
      <c r="AF564">
        <v>0</v>
      </c>
      <c r="AG564">
        <v>0</v>
      </c>
      <c r="AH564">
        <v>0</v>
      </c>
      <c r="AI564">
        <v>6.45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100</v>
      </c>
      <c r="AU564" t="s">
        <v>48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ROUND(Y564*Source!I230,9)</f>
        <v>778</v>
      </c>
      <c r="CY564">
        <f>AA564</f>
        <v>204.08</v>
      </c>
      <c r="CZ564">
        <f>AE564</f>
        <v>31.64</v>
      </c>
      <c r="DA564">
        <f>AI564</f>
        <v>6.45</v>
      </c>
      <c r="DB564">
        <f>ROUND((ROUND(AT564*CZ564,2)*1),6)</f>
        <v>3164</v>
      </c>
      <c r="DC564">
        <f>ROUND((ROUND(AT564*AG564,2)*1),6)</f>
        <v>0</v>
      </c>
      <c r="DD564" t="s">
        <v>3</v>
      </c>
      <c r="DE564" t="s">
        <v>3</v>
      </c>
      <c r="DF564">
        <f>ROUND(ROUND(AE564*AI564,2)*CX564,2)</f>
        <v>158774.24</v>
      </c>
      <c r="DG564">
        <f t="shared" si="228"/>
        <v>0</v>
      </c>
      <c r="DH564">
        <f t="shared" si="229"/>
        <v>0</v>
      </c>
      <c r="DI564">
        <f t="shared" si="219"/>
        <v>0</v>
      </c>
      <c r="DJ564">
        <f>DF564</f>
        <v>158774.24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ROW(Source!A230)</f>
        <v>230</v>
      </c>
      <c r="B565">
        <v>55747651</v>
      </c>
      <c r="C565">
        <v>55748385</v>
      </c>
      <c r="D565">
        <v>54753866</v>
      </c>
      <c r="E565">
        <v>1</v>
      </c>
      <c r="F565">
        <v>1</v>
      </c>
      <c r="G565">
        <v>1081</v>
      </c>
      <c r="H565">
        <v>3</v>
      </c>
      <c r="I565" t="s">
        <v>637</v>
      </c>
      <c r="J565" t="s">
        <v>638</v>
      </c>
      <c r="K565" t="s">
        <v>639</v>
      </c>
      <c r="L565">
        <v>1354</v>
      </c>
      <c r="N565">
        <v>1010</v>
      </c>
      <c r="O565" t="s">
        <v>118</v>
      </c>
      <c r="P565" t="s">
        <v>118</v>
      </c>
      <c r="Q565">
        <v>1</v>
      </c>
      <c r="W565">
        <v>0</v>
      </c>
      <c r="X565">
        <v>-1710543629</v>
      </c>
      <c r="Y565">
        <f>(AT565*1)</f>
        <v>100</v>
      </c>
      <c r="AA565">
        <v>102.86</v>
      </c>
      <c r="AB565">
        <v>0</v>
      </c>
      <c r="AC565">
        <v>0</v>
      </c>
      <c r="AD565">
        <v>0</v>
      </c>
      <c r="AE565">
        <v>11.13</v>
      </c>
      <c r="AF565">
        <v>0</v>
      </c>
      <c r="AG565">
        <v>0</v>
      </c>
      <c r="AH565">
        <v>0</v>
      </c>
      <c r="AI565">
        <v>8.99</v>
      </c>
      <c r="AJ565">
        <v>1</v>
      </c>
      <c r="AK565">
        <v>1</v>
      </c>
      <c r="AL565">
        <v>1</v>
      </c>
      <c r="AM565">
        <v>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100</v>
      </c>
      <c r="AU565" t="s">
        <v>48</v>
      </c>
      <c r="AV565">
        <v>0</v>
      </c>
      <c r="AW565">
        <v>2</v>
      </c>
      <c r="AX565">
        <v>55748400</v>
      </c>
      <c r="AY565">
        <v>1</v>
      </c>
      <c r="AZ565">
        <v>0</v>
      </c>
      <c r="BA565">
        <v>604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ROUND(Y565*Source!I230,9)</f>
        <v>778</v>
      </c>
      <c r="CY565">
        <f>AA565</f>
        <v>102.86</v>
      </c>
      <c r="CZ565">
        <f>AE565</f>
        <v>11.13</v>
      </c>
      <c r="DA565">
        <f>AI565</f>
        <v>8.99</v>
      </c>
      <c r="DB565">
        <f>ROUND((ROUND(AT565*CZ565,2)*1),6)</f>
        <v>1113</v>
      </c>
      <c r="DC565">
        <f>ROUND((ROUND(AT565*AG565,2)*1),6)</f>
        <v>0</v>
      </c>
      <c r="DD565" t="s">
        <v>3</v>
      </c>
      <c r="DE565" t="s">
        <v>3</v>
      </c>
      <c r="DF565">
        <f>ROUND(ROUND(AE565*AI565,2)*CX565,2)</f>
        <v>77846.679999999993</v>
      </c>
      <c r="DG565">
        <f t="shared" si="228"/>
        <v>0</v>
      </c>
      <c r="DH565">
        <f t="shared" si="229"/>
        <v>0</v>
      </c>
      <c r="DI565">
        <f t="shared" si="219"/>
        <v>0</v>
      </c>
      <c r="DJ565">
        <f>DF565</f>
        <v>77846.679999999993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ROW(Source!A230)</f>
        <v>230</v>
      </c>
      <c r="B566">
        <v>55747651</v>
      </c>
      <c r="C566">
        <v>55748385</v>
      </c>
      <c r="D566">
        <v>54758173</v>
      </c>
      <c r="E566">
        <v>1</v>
      </c>
      <c r="F566">
        <v>1</v>
      </c>
      <c r="G566">
        <v>1081</v>
      </c>
      <c r="H566">
        <v>3</v>
      </c>
      <c r="I566" t="s">
        <v>640</v>
      </c>
      <c r="J566" t="s">
        <v>641</v>
      </c>
      <c r="K566" t="s">
        <v>642</v>
      </c>
      <c r="L566">
        <v>1354</v>
      </c>
      <c r="N566">
        <v>1010</v>
      </c>
      <c r="O566" t="s">
        <v>118</v>
      </c>
      <c r="P566" t="s">
        <v>118</v>
      </c>
      <c r="Q566">
        <v>1</v>
      </c>
      <c r="W566">
        <v>0</v>
      </c>
      <c r="X566">
        <v>-640005846</v>
      </c>
      <c r="Y566">
        <f>(AT566*1)</f>
        <v>100</v>
      </c>
      <c r="AA566">
        <v>186.81</v>
      </c>
      <c r="AB566">
        <v>0</v>
      </c>
      <c r="AC566">
        <v>0</v>
      </c>
      <c r="AD566">
        <v>0</v>
      </c>
      <c r="AE566">
        <v>22.08</v>
      </c>
      <c r="AF566">
        <v>0</v>
      </c>
      <c r="AG566">
        <v>0</v>
      </c>
      <c r="AH566">
        <v>0</v>
      </c>
      <c r="AI566">
        <v>8.23</v>
      </c>
      <c r="AJ566">
        <v>1</v>
      </c>
      <c r="AK566">
        <v>1</v>
      </c>
      <c r="AL566">
        <v>1</v>
      </c>
      <c r="AM566">
        <v>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100</v>
      </c>
      <c r="AU566" t="s">
        <v>48</v>
      </c>
      <c r="AV566">
        <v>0</v>
      </c>
      <c r="AW566">
        <v>2</v>
      </c>
      <c r="AX566">
        <v>55748401</v>
      </c>
      <c r="AY566">
        <v>1</v>
      </c>
      <c r="AZ566">
        <v>0</v>
      </c>
      <c r="BA566">
        <v>605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ROUND(Y566*Source!I230,9)</f>
        <v>778</v>
      </c>
      <c r="CY566">
        <f>AA566</f>
        <v>186.81</v>
      </c>
      <c r="CZ566">
        <f>AE566</f>
        <v>22.08</v>
      </c>
      <c r="DA566">
        <f>AI566</f>
        <v>8.23</v>
      </c>
      <c r="DB566">
        <f>ROUND((ROUND(AT566*CZ566,2)*1),6)</f>
        <v>2208</v>
      </c>
      <c r="DC566">
        <f>ROUND((ROUND(AT566*AG566,2)*1),6)</f>
        <v>0</v>
      </c>
      <c r="DD566" t="s">
        <v>3</v>
      </c>
      <c r="DE566" t="s">
        <v>3</v>
      </c>
      <c r="DF566">
        <f>ROUND(ROUND(AE566*AI566,2)*CX566,2)</f>
        <v>141378.16</v>
      </c>
      <c r="DG566">
        <f t="shared" si="228"/>
        <v>0</v>
      </c>
      <c r="DH566">
        <f t="shared" si="229"/>
        <v>0</v>
      </c>
      <c r="DI566">
        <f t="shared" si="219"/>
        <v>0</v>
      </c>
      <c r="DJ566">
        <f>DF566</f>
        <v>141378.16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ROW(Source!A233)</f>
        <v>233</v>
      </c>
      <c r="B567">
        <v>55747649</v>
      </c>
      <c r="C567">
        <v>55748404</v>
      </c>
      <c r="D567">
        <v>54702434</v>
      </c>
      <c r="E567">
        <v>1081</v>
      </c>
      <c r="F567">
        <v>1</v>
      </c>
      <c r="G567">
        <v>1081</v>
      </c>
      <c r="H567">
        <v>1</v>
      </c>
      <c r="I567" t="s">
        <v>473</v>
      </c>
      <c r="J567" t="s">
        <v>3</v>
      </c>
      <c r="K567" t="s">
        <v>474</v>
      </c>
      <c r="L567">
        <v>1191</v>
      </c>
      <c r="N567">
        <v>1013</v>
      </c>
      <c r="O567" t="s">
        <v>475</v>
      </c>
      <c r="P567" t="s">
        <v>475</v>
      </c>
      <c r="Q567">
        <v>1</v>
      </c>
      <c r="W567">
        <v>0</v>
      </c>
      <c r="X567">
        <v>476480486</v>
      </c>
      <c r="Y567">
        <f t="shared" ref="Y567:Y572" si="230">(AT567*1.2)</f>
        <v>190.79999999999998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159</v>
      </c>
      <c r="AU567" t="s">
        <v>49</v>
      </c>
      <c r="AV567">
        <v>1</v>
      </c>
      <c r="AW567">
        <v>2</v>
      </c>
      <c r="AX567">
        <v>55748414</v>
      </c>
      <c r="AY567">
        <v>1</v>
      </c>
      <c r="AZ567">
        <v>0</v>
      </c>
      <c r="BA567">
        <v>607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U567">
        <f>ROUND(AT567*Source!I233*AH567*AL567,2)</f>
        <v>0</v>
      </c>
      <c r="CV567">
        <f>ROUND(Y567*Source!I233,9)</f>
        <v>1125.72</v>
      </c>
      <c r="CW567">
        <v>0</v>
      </c>
      <c r="CX567">
        <f>ROUND(Y567*Source!I233,9)</f>
        <v>1125.72</v>
      </c>
      <c r="CY567">
        <f>AD567</f>
        <v>0</v>
      </c>
      <c r="CZ567">
        <f>AH567</f>
        <v>0</v>
      </c>
      <c r="DA567">
        <f>AL567</f>
        <v>1</v>
      </c>
      <c r="DB567">
        <f t="shared" ref="DB567:DB572" si="231">ROUND((ROUND(AT567*CZ567,2)*1.2),6)</f>
        <v>0</v>
      </c>
      <c r="DC567">
        <f t="shared" ref="DC567:DC572" si="232">ROUND((ROUND(AT567*AG567,2)*1.2),6)</f>
        <v>0</v>
      </c>
      <c r="DD567" t="s">
        <v>3</v>
      </c>
      <c r="DE567" t="s">
        <v>3</v>
      </c>
      <c r="DF567">
        <f t="shared" ref="DF567:DF581" si="233">ROUND(ROUND(AE567,2)*CX567,2)</f>
        <v>0</v>
      </c>
      <c r="DG567">
        <f t="shared" si="228"/>
        <v>0</v>
      </c>
      <c r="DH567">
        <f t="shared" si="229"/>
        <v>0</v>
      </c>
      <c r="DI567">
        <f t="shared" si="219"/>
        <v>0</v>
      </c>
      <c r="DJ567">
        <f>DI567</f>
        <v>0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ROW(Source!A233)</f>
        <v>233</v>
      </c>
      <c r="B568">
        <v>55747649</v>
      </c>
      <c r="C568">
        <v>55748404</v>
      </c>
      <c r="D568">
        <v>54767934</v>
      </c>
      <c r="E568">
        <v>1</v>
      </c>
      <c r="F568">
        <v>1</v>
      </c>
      <c r="G568">
        <v>1081</v>
      </c>
      <c r="H568">
        <v>2</v>
      </c>
      <c r="I568" t="s">
        <v>586</v>
      </c>
      <c r="J568" t="s">
        <v>587</v>
      </c>
      <c r="K568" t="s">
        <v>588</v>
      </c>
      <c r="L568">
        <v>1368</v>
      </c>
      <c r="N568">
        <v>1011</v>
      </c>
      <c r="O568" t="s">
        <v>479</v>
      </c>
      <c r="P568" t="s">
        <v>479</v>
      </c>
      <c r="Q568">
        <v>1</v>
      </c>
      <c r="W568">
        <v>0</v>
      </c>
      <c r="X568">
        <v>-1222619517</v>
      </c>
      <c r="Y568">
        <f t="shared" si="230"/>
        <v>11.28</v>
      </c>
      <c r="AA568">
        <v>0</v>
      </c>
      <c r="AB568">
        <v>51.29</v>
      </c>
      <c r="AC568">
        <v>13.47</v>
      </c>
      <c r="AD568">
        <v>0</v>
      </c>
      <c r="AE568">
        <v>0</v>
      </c>
      <c r="AF568">
        <v>48.07</v>
      </c>
      <c r="AG568">
        <v>12.62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9.4</v>
      </c>
      <c r="AU568" t="s">
        <v>49</v>
      </c>
      <c r="AV568">
        <v>0</v>
      </c>
      <c r="AW568">
        <v>2</v>
      </c>
      <c r="AX568">
        <v>55748415</v>
      </c>
      <c r="AY568">
        <v>1</v>
      </c>
      <c r="AZ568">
        <v>0</v>
      </c>
      <c r="BA568">
        <v>608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ROUND(Y568*Source!I233*DO568,9)</f>
        <v>839.88624000000004</v>
      </c>
      <c r="CX568">
        <f>ROUND(Y568*Source!I233,9)</f>
        <v>66.552000000000007</v>
      </c>
      <c r="CY568">
        <f>AB568</f>
        <v>51.29</v>
      </c>
      <c r="CZ568">
        <f>AF568</f>
        <v>48.07</v>
      </c>
      <c r="DA568">
        <f>AJ568</f>
        <v>1</v>
      </c>
      <c r="DB568">
        <f t="shared" si="231"/>
        <v>542.23199999999997</v>
      </c>
      <c r="DC568">
        <f t="shared" si="232"/>
        <v>142.35599999999999</v>
      </c>
      <c r="DD568" t="s">
        <v>3</v>
      </c>
      <c r="DE568" t="s">
        <v>3</v>
      </c>
      <c r="DF568">
        <f t="shared" si="233"/>
        <v>0</v>
      </c>
      <c r="DG568">
        <f t="shared" si="228"/>
        <v>3199.15</v>
      </c>
      <c r="DH568">
        <f t="shared" si="229"/>
        <v>839.89</v>
      </c>
      <c r="DI568">
        <f t="shared" si="219"/>
        <v>0</v>
      </c>
      <c r="DJ568">
        <f>DG568</f>
        <v>3199.15</v>
      </c>
      <c r="DK568">
        <v>0</v>
      </c>
      <c r="DL568" t="s">
        <v>486</v>
      </c>
      <c r="DM568">
        <v>0</v>
      </c>
      <c r="DN568" t="s">
        <v>475</v>
      </c>
      <c r="DO568">
        <v>12.62</v>
      </c>
    </row>
    <row r="569" spans="1:119" x14ac:dyDescent="0.2">
      <c r="A569">
        <f>ROW(Source!A233)</f>
        <v>233</v>
      </c>
      <c r="B569">
        <v>55747649</v>
      </c>
      <c r="C569">
        <v>55748404</v>
      </c>
      <c r="D569">
        <v>54767971</v>
      </c>
      <c r="E569">
        <v>1</v>
      </c>
      <c r="F569">
        <v>1</v>
      </c>
      <c r="G569">
        <v>1081</v>
      </c>
      <c r="H569">
        <v>2</v>
      </c>
      <c r="I569" t="s">
        <v>589</v>
      </c>
      <c r="J569" t="s">
        <v>590</v>
      </c>
      <c r="K569" t="s">
        <v>591</v>
      </c>
      <c r="L569">
        <v>1368</v>
      </c>
      <c r="N569">
        <v>1011</v>
      </c>
      <c r="O569" t="s">
        <v>479</v>
      </c>
      <c r="P569" t="s">
        <v>479</v>
      </c>
      <c r="Q569">
        <v>1</v>
      </c>
      <c r="W569">
        <v>0</v>
      </c>
      <c r="X569">
        <v>210297649</v>
      </c>
      <c r="Y569">
        <f t="shared" si="230"/>
        <v>10.199999999999999</v>
      </c>
      <c r="AA569">
        <v>0</v>
      </c>
      <c r="AB569">
        <v>6.18</v>
      </c>
      <c r="AC569">
        <v>0</v>
      </c>
      <c r="AD569">
        <v>0</v>
      </c>
      <c r="AE569">
        <v>0</v>
      </c>
      <c r="AF569">
        <v>5.79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8.5</v>
      </c>
      <c r="AU569" t="s">
        <v>49</v>
      </c>
      <c r="AV569">
        <v>0</v>
      </c>
      <c r="AW569">
        <v>2</v>
      </c>
      <c r="AX569">
        <v>55748416</v>
      </c>
      <c r="AY569">
        <v>1</v>
      </c>
      <c r="AZ569">
        <v>0</v>
      </c>
      <c r="BA569">
        <v>609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f>ROUND(Y569*Source!I233*DO569,9)</f>
        <v>0</v>
      </c>
      <c r="CX569">
        <f>ROUND(Y569*Source!I233,9)</f>
        <v>60.18</v>
      </c>
      <c r="CY569">
        <f>AB569</f>
        <v>6.18</v>
      </c>
      <c r="CZ569">
        <f>AF569</f>
        <v>5.79</v>
      </c>
      <c r="DA569">
        <f>AJ569</f>
        <v>1</v>
      </c>
      <c r="DB569">
        <f t="shared" si="231"/>
        <v>59.064</v>
      </c>
      <c r="DC569">
        <f t="shared" si="232"/>
        <v>0</v>
      </c>
      <c r="DD569" t="s">
        <v>3</v>
      </c>
      <c r="DE569" t="s">
        <v>3</v>
      </c>
      <c r="DF569">
        <f t="shared" si="233"/>
        <v>0</v>
      </c>
      <c r="DG569">
        <f t="shared" si="228"/>
        <v>348.44</v>
      </c>
      <c r="DH569">
        <f t="shared" si="229"/>
        <v>0</v>
      </c>
      <c r="DI569">
        <f t="shared" si="219"/>
        <v>0</v>
      </c>
      <c r="DJ569">
        <f>DG569</f>
        <v>348.44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ROW(Source!A233)</f>
        <v>233</v>
      </c>
      <c r="B570">
        <v>55747649</v>
      </c>
      <c r="C570">
        <v>55748404</v>
      </c>
      <c r="D570">
        <v>54768040</v>
      </c>
      <c r="E570">
        <v>1</v>
      </c>
      <c r="F570">
        <v>1</v>
      </c>
      <c r="G570">
        <v>1081</v>
      </c>
      <c r="H570">
        <v>2</v>
      </c>
      <c r="I570" t="s">
        <v>476</v>
      </c>
      <c r="J570" t="s">
        <v>477</v>
      </c>
      <c r="K570" t="s">
        <v>478</v>
      </c>
      <c r="L570">
        <v>1368</v>
      </c>
      <c r="N570">
        <v>1011</v>
      </c>
      <c r="O570" t="s">
        <v>479</v>
      </c>
      <c r="P570" t="s">
        <v>479</v>
      </c>
      <c r="Q570">
        <v>1</v>
      </c>
      <c r="W570">
        <v>0</v>
      </c>
      <c r="X570">
        <v>1498588441</v>
      </c>
      <c r="Y570">
        <f t="shared" si="230"/>
        <v>30</v>
      </c>
      <c r="AA570">
        <v>0</v>
      </c>
      <c r="AB570">
        <v>7.59</v>
      </c>
      <c r="AC570">
        <v>0</v>
      </c>
      <c r="AD570">
        <v>0</v>
      </c>
      <c r="AE570">
        <v>0</v>
      </c>
      <c r="AF570">
        <v>7.11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25</v>
      </c>
      <c r="AU570" t="s">
        <v>49</v>
      </c>
      <c r="AV570">
        <v>0</v>
      </c>
      <c r="AW570">
        <v>2</v>
      </c>
      <c r="AX570">
        <v>55748417</v>
      </c>
      <c r="AY570">
        <v>1</v>
      </c>
      <c r="AZ570">
        <v>0</v>
      </c>
      <c r="BA570">
        <v>610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ROUND(Y570*Source!I233*DO570,9)</f>
        <v>0</v>
      </c>
      <c r="CX570">
        <f>ROUND(Y570*Source!I233,9)</f>
        <v>177</v>
      </c>
      <c r="CY570">
        <f>AB570</f>
        <v>7.59</v>
      </c>
      <c r="CZ570">
        <f>AF570</f>
        <v>7.11</v>
      </c>
      <c r="DA570">
        <f>AJ570</f>
        <v>1</v>
      </c>
      <c r="DB570">
        <f t="shared" si="231"/>
        <v>213.3</v>
      </c>
      <c r="DC570">
        <f t="shared" si="232"/>
        <v>0</v>
      </c>
      <c r="DD570" t="s">
        <v>3</v>
      </c>
      <c r="DE570" t="s">
        <v>3</v>
      </c>
      <c r="DF570">
        <f t="shared" si="233"/>
        <v>0</v>
      </c>
      <c r="DG570">
        <f t="shared" si="228"/>
        <v>1258.47</v>
      </c>
      <c r="DH570">
        <f t="shared" si="229"/>
        <v>0</v>
      </c>
      <c r="DI570">
        <f t="shared" si="219"/>
        <v>0</v>
      </c>
      <c r="DJ570">
        <f>DG570</f>
        <v>1258.47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">
      <c r="A571">
        <f>ROW(Source!A233)</f>
        <v>233</v>
      </c>
      <c r="B571">
        <v>55747649</v>
      </c>
      <c r="C571">
        <v>55748404</v>
      </c>
      <c r="D571">
        <v>54768339</v>
      </c>
      <c r="E571">
        <v>1</v>
      </c>
      <c r="F571">
        <v>1</v>
      </c>
      <c r="G571">
        <v>1081</v>
      </c>
      <c r="H571">
        <v>2</v>
      </c>
      <c r="I571" t="s">
        <v>483</v>
      </c>
      <c r="J571" t="s">
        <v>484</v>
      </c>
      <c r="K571" t="s">
        <v>485</v>
      </c>
      <c r="L571">
        <v>1368</v>
      </c>
      <c r="N571">
        <v>1011</v>
      </c>
      <c r="O571" t="s">
        <v>479</v>
      </c>
      <c r="P571" t="s">
        <v>479</v>
      </c>
      <c r="Q571">
        <v>1</v>
      </c>
      <c r="W571">
        <v>0</v>
      </c>
      <c r="X571">
        <v>874612079</v>
      </c>
      <c r="Y571">
        <f t="shared" si="230"/>
        <v>1.9919999999999998</v>
      </c>
      <c r="AA571">
        <v>0</v>
      </c>
      <c r="AB571">
        <v>88.67</v>
      </c>
      <c r="AC571">
        <v>13.47</v>
      </c>
      <c r="AD571">
        <v>0</v>
      </c>
      <c r="AE571">
        <v>0</v>
      </c>
      <c r="AF571">
        <v>83.1</v>
      </c>
      <c r="AG571">
        <v>12.62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1.66</v>
      </c>
      <c r="AU571" t="s">
        <v>49</v>
      </c>
      <c r="AV571">
        <v>0</v>
      </c>
      <c r="AW571">
        <v>2</v>
      </c>
      <c r="AX571">
        <v>55748418</v>
      </c>
      <c r="AY571">
        <v>1</v>
      </c>
      <c r="AZ571">
        <v>0</v>
      </c>
      <c r="BA571">
        <v>611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f>ROUND(Y571*Source!I233*DO571,9)</f>
        <v>148.320336</v>
      </c>
      <c r="CX571">
        <f>ROUND(Y571*Source!I233,9)</f>
        <v>11.752800000000001</v>
      </c>
      <c r="CY571">
        <f>AB571</f>
        <v>88.67</v>
      </c>
      <c r="CZ571">
        <f>AF571</f>
        <v>83.1</v>
      </c>
      <c r="DA571">
        <f>AJ571</f>
        <v>1</v>
      </c>
      <c r="DB571">
        <f t="shared" si="231"/>
        <v>165.54</v>
      </c>
      <c r="DC571">
        <f t="shared" si="232"/>
        <v>25.14</v>
      </c>
      <c r="DD571" t="s">
        <v>3</v>
      </c>
      <c r="DE571" t="s">
        <v>3</v>
      </c>
      <c r="DF571">
        <f t="shared" si="233"/>
        <v>0</v>
      </c>
      <c r="DG571">
        <f t="shared" si="228"/>
        <v>976.66</v>
      </c>
      <c r="DH571">
        <f t="shared" si="229"/>
        <v>148.32</v>
      </c>
      <c r="DI571">
        <f t="shared" si="219"/>
        <v>0</v>
      </c>
      <c r="DJ571">
        <f>DG571</f>
        <v>976.66</v>
      </c>
      <c r="DK571">
        <v>0</v>
      </c>
      <c r="DL571" t="s">
        <v>486</v>
      </c>
      <c r="DM571">
        <v>0</v>
      </c>
      <c r="DN571" t="s">
        <v>475</v>
      </c>
      <c r="DO571">
        <v>12.62</v>
      </c>
    </row>
    <row r="572" spans="1:119" x14ac:dyDescent="0.2">
      <c r="A572">
        <f>ROW(Source!A233)</f>
        <v>233</v>
      </c>
      <c r="B572">
        <v>55747649</v>
      </c>
      <c r="C572">
        <v>55748404</v>
      </c>
      <c r="D572">
        <v>54767657</v>
      </c>
      <c r="E572">
        <v>1</v>
      </c>
      <c r="F572">
        <v>1</v>
      </c>
      <c r="G572">
        <v>1081</v>
      </c>
      <c r="H572">
        <v>2</v>
      </c>
      <c r="I572" t="s">
        <v>592</v>
      </c>
      <c r="J572" t="s">
        <v>593</v>
      </c>
      <c r="K572" t="s">
        <v>594</v>
      </c>
      <c r="L572">
        <v>1368</v>
      </c>
      <c r="N572">
        <v>1011</v>
      </c>
      <c r="O572" t="s">
        <v>479</v>
      </c>
      <c r="P572" t="s">
        <v>479</v>
      </c>
      <c r="Q572">
        <v>1</v>
      </c>
      <c r="W572">
        <v>0</v>
      </c>
      <c r="X572">
        <v>-1755828087</v>
      </c>
      <c r="Y572">
        <f t="shared" si="230"/>
        <v>1.464</v>
      </c>
      <c r="AA572">
        <v>0</v>
      </c>
      <c r="AB572">
        <v>3.39</v>
      </c>
      <c r="AC572">
        <v>0</v>
      </c>
      <c r="AD572">
        <v>0</v>
      </c>
      <c r="AE572">
        <v>0</v>
      </c>
      <c r="AF572">
        <v>3.18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1.22</v>
      </c>
      <c r="AU572" t="s">
        <v>49</v>
      </c>
      <c r="AV572">
        <v>0</v>
      </c>
      <c r="AW572">
        <v>2</v>
      </c>
      <c r="AX572">
        <v>55748419</v>
      </c>
      <c r="AY572">
        <v>1</v>
      </c>
      <c r="AZ572">
        <v>0</v>
      </c>
      <c r="BA572">
        <v>612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f>ROUND(Y572*Source!I233*DO572,9)</f>
        <v>0</v>
      </c>
      <c r="CX572">
        <f>ROUND(Y572*Source!I233,9)</f>
        <v>8.6376000000000008</v>
      </c>
      <c r="CY572">
        <f>AB572</f>
        <v>3.39</v>
      </c>
      <c r="CZ572">
        <f>AF572</f>
        <v>3.18</v>
      </c>
      <c r="DA572">
        <f>AJ572</f>
        <v>1</v>
      </c>
      <c r="DB572">
        <f t="shared" si="231"/>
        <v>4.6559999999999997</v>
      </c>
      <c r="DC572">
        <f t="shared" si="232"/>
        <v>0</v>
      </c>
      <c r="DD572" t="s">
        <v>3</v>
      </c>
      <c r="DE572" t="s">
        <v>3</v>
      </c>
      <c r="DF572">
        <f t="shared" si="233"/>
        <v>0</v>
      </c>
      <c r="DG572">
        <f t="shared" si="228"/>
        <v>27.47</v>
      </c>
      <c r="DH572">
        <f t="shared" si="229"/>
        <v>0</v>
      </c>
      <c r="DI572">
        <f t="shared" si="219"/>
        <v>0</v>
      </c>
      <c r="DJ572">
        <f>DG572</f>
        <v>27.47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ROW(Source!A233)</f>
        <v>233</v>
      </c>
      <c r="B573">
        <v>55747649</v>
      </c>
      <c r="C573">
        <v>55748404</v>
      </c>
      <c r="D573">
        <v>54737367</v>
      </c>
      <c r="E573">
        <v>1</v>
      </c>
      <c r="F573">
        <v>1</v>
      </c>
      <c r="G573">
        <v>1081</v>
      </c>
      <c r="H573">
        <v>3</v>
      </c>
      <c r="I573" t="s">
        <v>538</v>
      </c>
      <c r="J573" t="s">
        <v>539</v>
      </c>
      <c r="K573" t="s">
        <v>540</v>
      </c>
      <c r="L573">
        <v>1339</v>
      </c>
      <c r="N573">
        <v>1007</v>
      </c>
      <c r="O573" t="s">
        <v>507</v>
      </c>
      <c r="P573" t="s">
        <v>507</v>
      </c>
      <c r="Q573">
        <v>1</v>
      </c>
      <c r="W573">
        <v>0</v>
      </c>
      <c r="X573">
        <v>-1622585150</v>
      </c>
      <c r="Y573">
        <f>(AT573*1)</f>
        <v>10</v>
      </c>
      <c r="AA573">
        <v>7.27</v>
      </c>
      <c r="AB573">
        <v>0</v>
      </c>
      <c r="AC573">
        <v>0</v>
      </c>
      <c r="AD573">
        <v>0</v>
      </c>
      <c r="AE573">
        <v>7.07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10</v>
      </c>
      <c r="AU573" t="s">
        <v>48</v>
      </c>
      <c r="AV573">
        <v>0</v>
      </c>
      <c r="AW573">
        <v>2</v>
      </c>
      <c r="AX573">
        <v>55748420</v>
      </c>
      <c r="AY573">
        <v>1</v>
      </c>
      <c r="AZ573">
        <v>0</v>
      </c>
      <c r="BA573">
        <v>613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ROUND(Y573*Source!I233,9)</f>
        <v>59</v>
      </c>
      <c r="CY573">
        <f>AA573</f>
        <v>7.27</v>
      </c>
      <c r="CZ573">
        <f>AE573</f>
        <v>7.07</v>
      </c>
      <c r="DA573">
        <f>AI573</f>
        <v>1</v>
      </c>
      <c r="DB573">
        <f>ROUND((ROUND(AT573*CZ573,2)*1),6)</f>
        <v>70.7</v>
      </c>
      <c r="DC573">
        <f>ROUND((ROUND(AT573*AG573,2)*1),6)</f>
        <v>0</v>
      </c>
      <c r="DD573" t="s">
        <v>3</v>
      </c>
      <c r="DE573" t="s">
        <v>3</v>
      </c>
      <c r="DF573">
        <f t="shared" si="233"/>
        <v>417.13</v>
      </c>
      <c r="DG573">
        <f t="shared" si="228"/>
        <v>0</v>
      </c>
      <c r="DH573">
        <f t="shared" si="229"/>
        <v>0</v>
      </c>
      <c r="DI573">
        <f t="shared" si="219"/>
        <v>0</v>
      </c>
      <c r="DJ573">
        <f>DF573</f>
        <v>417.13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ROW(Source!A233)</f>
        <v>233</v>
      </c>
      <c r="B574">
        <v>55747649</v>
      </c>
      <c r="C574">
        <v>55748404</v>
      </c>
      <c r="D574">
        <v>54738430</v>
      </c>
      <c r="E574">
        <v>1</v>
      </c>
      <c r="F574">
        <v>1</v>
      </c>
      <c r="G574">
        <v>1081</v>
      </c>
      <c r="H574">
        <v>3</v>
      </c>
      <c r="I574" t="s">
        <v>562</v>
      </c>
      <c r="J574" t="s">
        <v>563</v>
      </c>
      <c r="K574" t="s">
        <v>564</v>
      </c>
      <c r="L574">
        <v>1348</v>
      </c>
      <c r="N574">
        <v>1009</v>
      </c>
      <c r="O574" t="s">
        <v>282</v>
      </c>
      <c r="P574" t="s">
        <v>282</v>
      </c>
      <c r="Q574">
        <v>1000</v>
      </c>
      <c r="W574">
        <v>0</v>
      </c>
      <c r="X574">
        <v>63955816</v>
      </c>
      <c r="Y574">
        <f>(AT574*1)</f>
        <v>7.7000000000000002E-3</v>
      </c>
      <c r="AA574">
        <v>7387.02</v>
      </c>
      <c r="AB574">
        <v>0</v>
      </c>
      <c r="AC574">
        <v>0</v>
      </c>
      <c r="AD574">
        <v>0</v>
      </c>
      <c r="AE574">
        <v>7185.82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-2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7.7000000000000002E-3</v>
      </c>
      <c r="AU574" t="s">
        <v>48</v>
      </c>
      <c r="AV574">
        <v>0</v>
      </c>
      <c r="AW574">
        <v>2</v>
      </c>
      <c r="AX574">
        <v>55748421</v>
      </c>
      <c r="AY574">
        <v>1</v>
      </c>
      <c r="AZ574">
        <v>0</v>
      </c>
      <c r="BA574">
        <v>614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ROUND(Y574*Source!I233,9)</f>
        <v>4.5429999999999998E-2</v>
      </c>
      <c r="CY574">
        <f>AA574</f>
        <v>7387.02</v>
      </c>
      <c r="CZ574">
        <f>AE574</f>
        <v>7185.82</v>
      </c>
      <c r="DA574">
        <f>AI574</f>
        <v>1</v>
      </c>
      <c r="DB574">
        <f>ROUND((ROUND(AT574*CZ574,2)*1),6)</f>
        <v>55.33</v>
      </c>
      <c r="DC574">
        <f>ROUND((ROUND(AT574*AG574,2)*1),6)</f>
        <v>0</v>
      </c>
      <c r="DD574" t="s">
        <v>3</v>
      </c>
      <c r="DE574" t="s">
        <v>3</v>
      </c>
      <c r="DF574">
        <f t="shared" si="233"/>
        <v>326.45</v>
      </c>
      <c r="DG574">
        <f t="shared" si="228"/>
        <v>0</v>
      </c>
      <c r="DH574">
        <f t="shared" si="229"/>
        <v>0</v>
      </c>
      <c r="DI574">
        <f t="shared" si="219"/>
        <v>0</v>
      </c>
      <c r="DJ574">
        <f>DF574</f>
        <v>326.45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ROW(Source!A233)</f>
        <v>233</v>
      </c>
      <c r="B575">
        <v>55747649</v>
      </c>
      <c r="C575">
        <v>55748404</v>
      </c>
      <c r="D575">
        <v>54752026</v>
      </c>
      <c r="E575">
        <v>1</v>
      </c>
      <c r="F575">
        <v>1</v>
      </c>
      <c r="G575">
        <v>1081</v>
      </c>
      <c r="H575">
        <v>3</v>
      </c>
      <c r="I575" t="s">
        <v>199</v>
      </c>
      <c r="J575" t="s">
        <v>201</v>
      </c>
      <c r="K575" t="s">
        <v>200</v>
      </c>
      <c r="L575">
        <v>1301</v>
      </c>
      <c r="N575">
        <v>1003</v>
      </c>
      <c r="O575" t="s">
        <v>191</v>
      </c>
      <c r="P575" t="s">
        <v>191</v>
      </c>
      <c r="Q575">
        <v>1</v>
      </c>
      <c r="W575">
        <v>0</v>
      </c>
      <c r="X575">
        <v>-648477377</v>
      </c>
      <c r="Y575">
        <f>AT575</f>
        <v>100.5</v>
      </c>
      <c r="AA575">
        <v>80.59</v>
      </c>
      <c r="AB575">
        <v>0</v>
      </c>
      <c r="AC575">
        <v>0</v>
      </c>
      <c r="AD575">
        <v>0</v>
      </c>
      <c r="AE575">
        <v>80.59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 t="s">
        <v>3</v>
      </c>
      <c r="AT575">
        <v>100.5</v>
      </c>
      <c r="AU575" t="s">
        <v>3</v>
      </c>
      <c r="AV575">
        <v>0</v>
      </c>
      <c r="AW575">
        <v>1</v>
      </c>
      <c r="AX575">
        <v>-1</v>
      </c>
      <c r="AY575">
        <v>0</v>
      </c>
      <c r="AZ575">
        <v>0</v>
      </c>
      <c r="BA575" t="s">
        <v>3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ROUND(Y575*Source!I233,9)</f>
        <v>592.95000000000005</v>
      </c>
      <c r="CY575">
        <f>AA575</f>
        <v>80.59</v>
      </c>
      <c r="CZ575">
        <f>AE575</f>
        <v>80.59</v>
      </c>
      <c r="DA575">
        <f>AI575</f>
        <v>1</v>
      </c>
      <c r="DB575">
        <f>ROUND(ROUND(AT575*CZ575,2),6)</f>
        <v>8099.3</v>
      </c>
      <c r="DC575">
        <f>ROUND(ROUND(AT575*AG575,2),6)</f>
        <v>0</v>
      </c>
      <c r="DD575" t="s">
        <v>3</v>
      </c>
      <c r="DE575" t="s">
        <v>3</v>
      </c>
      <c r="DF575">
        <f t="shared" si="233"/>
        <v>47785.84</v>
      </c>
      <c r="DG575">
        <f t="shared" si="228"/>
        <v>0</v>
      </c>
      <c r="DH575">
        <f t="shared" si="229"/>
        <v>0</v>
      </c>
      <c r="DI575">
        <f t="shared" si="219"/>
        <v>0</v>
      </c>
      <c r="DJ575">
        <f>DF575</f>
        <v>47785.84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ROW(Source!A234)</f>
        <v>234</v>
      </c>
      <c r="B576">
        <v>55747651</v>
      </c>
      <c r="C576">
        <v>55748404</v>
      </c>
      <c r="D576">
        <v>54702434</v>
      </c>
      <c r="E576">
        <v>1081</v>
      </c>
      <c r="F576">
        <v>1</v>
      </c>
      <c r="G576">
        <v>1081</v>
      </c>
      <c r="H576">
        <v>1</v>
      </c>
      <c r="I576" t="s">
        <v>473</v>
      </c>
      <c r="J576" t="s">
        <v>3</v>
      </c>
      <c r="K576" t="s">
        <v>474</v>
      </c>
      <c r="L576">
        <v>1191</v>
      </c>
      <c r="N576">
        <v>1013</v>
      </c>
      <c r="O576" t="s">
        <v>475</v>
      </c>
      <c r="P576" t="s">
        <v>475</v>
      </c>
      <c r="Q576">
        <v>1</v>
      </c>
      <c r="W576">
        <v>0</v>
      </c>
      <c r="X576">
        <v>476480486</v>
      </c>
      <c r="Y576">
        <f t="shared" ref="Y576:Y581" si="234">(AT576*1.2)</f>
        <v>190.79999999999998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5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159</v>
      </c>
      <c r="AU576" t="s">
        <v>49</v>
      </c>
      <c r="AV576">
        <v>1</v>
      </c>
      <c r="AW576">
        <v>2</v>
      </c>
      <c r="AX576">
        <v>55748414</v>
      </c>
      <c r="AY576">
        <v>1</v>
      </c>
      <c r="AZ576">
        <v>0</v>
      </c>
      <c r="BA576">
        <v>616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U576">
        <f>ROUND(AT576*Source!I234*AH576*AL576,2)</f>
        <v>0</v>
      </c>
      <c r="CV576">
        <f>ROUND(Y576*Source!I234,9)</f>
        <v>1125.72</v>
      </c>
      <c r="CW576">
        <v>0</v>
      </c>
      <c r="CX576">
        <f>ROUND(Y576*Source!I234,9)</f>
        <v>1125.72</v>
      </c>
      <c r="CY576">
        <f>AD576</f>
        <v>0</v>
      </c>
      <c r="CZ576">
        <f>AH576</f>
        <v>0</v>
      </c>
      <c r="DA576">
        <f>AL576</f>
        <v>1</v>
      </c>
      <c r="DB576">
        <f t="shared" ref="DB576:DB581" si="235">ROUND((ROUND(AT576*CZ576,2)*1.2),6)</f>
        <v>0</v>
      </c>
      <c r="DC576">
        <f t="shared" ref="DC576:DC581" si="236">ROUND((ROUND(AT576*AG576,2)*1.2),6)</f>
        <v>0</v>
      </c>
      <c r="DD576" t="s">
        <v>3</v>
      </c>
      <c r="DE576" t="s">
        <v>3</v>
      </c>
      <c r="DF576">
        <f t="shared" si="233"/>
        <v>0</v>
      </c>
      <c r="DG576">
        <f t="shared" si="228"/>
        <v>0</v>
      </c>
      <c r="DH576">
        <f t="shared" si="229"/>
        <v>0</v>
      </c>
      <c r="DI576">
        <f t="shared" si="219"/>
        <v>0</v>
      </c>
      <c r="DJ576">
        <f>DI576</f>
        <v>0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ROW(Source!A234)</f>
        <v>234</v>
      </c>
      <c r="B577">
        <v>55747651</v>
      </c>
      <c r="C577">
        <v>55748404</v>
      </c>
      <c r="D577">
        <v>54767934</v>
      </c>
      <c r="E577">
        <v>1</v>
      </c>
      <c r="F577">
        <v>1</v>
      </c>
      <c r="G577">
        <v>1081</v>
      </c>
      <c r="H577">
        <v>2</v>
      </c>
      <c r="I577" t="s">
        <v>586</v>
      </c>
      <c r="J577" t="s">
        <v>587</v>
      </c>
      <c r="K577" t="s">
        <v>588</v>
      </c>
      <c r="L577">
        <v>1368</v>
      </c>
      <c r="N577">
        <v>1011</v>
      </c>
      <c r="O577" t="s">
        <v>479</v>
      </c>
      <c r="P577" t="s">
        <v>479</v>
      </c>
      <c r="Q577">
        <v>1</v>
      </c>
      <c r="W577">
        <v>0</v>
      </c>
      <c r="X577">
        <v>-1222619517</v>
      </c>
      <c r="Y577">
        <f t="shared" si="234"/>
        <v>11.28</v>
      </c>
      <c r="AA577">
        <v>0</v>
      </c>
      <c r="AB577">
        <v>1209.95</v>
      </c>
      <c r="AC577">
        <v>758.78</v>
      </c>
      <c r="AD577">
        <v>0</v>
      </c>
      <c r="AE577">
        <v>0</v>
      </c>
      <c r="AF577">
        <v>48.07</v>
      </c>
      <c r="AG577">
        <v>12.62</v>
      </c>
      <c r="AH577">
        <v>0</v>
      </c>
      <c r="AI577">
        <v>1</v>
      </c>
      <c r="AJ577">
        <v>23.59</v>
      </c>
      <c r="AK577">
        <v>56.35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9.4</v>
      </c>
      <c r="AU577" t="s">
        <v>49</v>
      </c>
      <c r="AV577">
        <v>0</v>
      </c>
      <c r="AW577">
        <v>2</v>
      </c>
      <c r="AX577">
        <v>55748415</v>
      </c>
      <c r="AY577">
        <v>1</v>
      </c>
      <c r="AZ577">
        <v>0</v>
      </c>
      <c r="BA577">
        <v>617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ROUND(Y577*Source!I234*DO577,9)</f>
        <v>839.88624000000004</v>
      </c>
      <c r="CX577">
        <f>ROUND(Y577*Source!I234,9)</f>
        <v>66.552000000000007</v>
      </c>
      <c r="CY577">
        <f>AB577</f>
        <v>1209.95</v>
      </c>
      <c r="CZ577">
        <f>AF577</f>
        <v>48.07</v>
      </c>
      <c r="DA577">
        <f>AJ577</f>
        <v>23.59</v>
      </c>
      <c r="DB577">
        <f t="shared" si="235"/>
        <v>542.23199999999997</v>
      </c>
      <c r="DC577">
        <f t="shared" si="236"/>
        <v>142.35599999999999</v>
      </c>
      <c r="DD577" t="s">
        <v>3</v>
      </c>
      <c r="DE577" t="s">
        <v>3</v>
      </c>
      <c r="DF577">
        <f t="shared" si="233"/>
        <v>0</v>
      </c>
      <c r="DG577">
        <f>ROUND(ROUND(AF577*AJ577,2)*CX577,2)</f>
        <v>75467.97</v>
      </c>
      <c r="DH577">
        <f>ROUND(ROUND(AG577*AK577,2)*CX577,2)</f>
        <v>47327.79</v>
      </c>
      <c r="DI577">
        <f t="shared" ref="DI577:DI640" si="237">ROUND(ROUND(AH577,2)*CX577,2)</f>
        <v>0</v>
      </c>
      <c r="DJ577">
        <f>DG577</f>
        <v>75467.97</v>
      </c>
      <c r="DK577">
        <v>0</v>
      </c>
      <c r="DL577" t="s">
        <v>486</v>
      </c>
      <c r="DM577">
        <v>0</v>
      </c>
      <c r="DN577" t="s">
        <v>475</v>
      </c>
      <c r="DO577">
        <v>12.62</v>
      </c>
    </row>
    <row r="578" spans="1:119" x14ac:dyDescent="0.2">
      <c r="A578">
        <f>ROW(Source!A234)</f>
        <v>234</v>
      </c>
      <c r="B578">
        <v>55747651</v>
      </c>
      <c r="C578">
        <v>55748404</v>
      </c>
      <c r="D578">
        <v>54767971</v>
      </c>
      <c r="E578">
        <v>1</v>
      </c>
      <c r="F578">
        <v>1</v>
      </c>
      <c r="G578">
        <v>1081</v>
      </c>
      <c r="H578">
        <v>2</v>
      </c>
      <c r="I578" t="s">
        <v>589</v>
      </c>
      <c r="J578" t="s">
        <v>590</v>
      </c>
      <c r="K578" t="s">
        <v>591</v>
      </c>
      <c r="L578">
        <v>1368</v>
      </c>
      <c r="N578">
        <v>1011</v>
      </c>
      <c r="O578" t="s">
        <v>479</v>
      </c>
      <c r="P578" t="s">
        <v>479</v>
      </c>
      <c r="Q578">
        <v>1</v>
      </c>
      <c r="W578">
        <v>0</v>
      </c>
      <c r="X578">
        <v>210297649</v>
      </c>
      <c r="Y578">
        <f t="shared" si="234"/>
        <v>10.199999999999999</v>
      </c>
      <c r="AA578">
        <v>0</v>
      </c>
      <c r="AB578">
        <v>65.790000000000006</v>
      </c>
      <c r="AC578">
        <v>0</v>
      </c>
      <c r="AD578">
        <v>0</v>
      </c>
      <c r="AE578">
        <v>0</v>
      </c>
      <c r="AF578">
        <v>5.79</v>
      </c>
      <c r="AG578">
        <v>0</v>
      </c>
      <c r="AH578">
        <v>0</v>
      </c>
      <c r="AI578">
        <v>1</v>
      </c>
      <c r="AJ578">
        <v>10.65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8.5</v>
      </c>
      <c r="AU578" t="s">
        <v>49</v>
      </c>
      <c r="AV578">
        <v>0</v>
      </c>
      <c r="AW578">
        <v>2</v>
      </c>
      <c r="AX578">
        <v>55748416</v>
      </c>
      <c r="AY578">
        <v>1</v>
      </c>
      <c r="AZ578">
        <v>0</v>
      </c>
      <c r="BA578">
        <v>618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f>ROUND(Y578*Source!I234*DO578,9)</f>
        <v>0</v>
      </c>
      <c r="CX578">
        <f>ROUND(Y578*Source!I234,9)</f>
        <v>60.18</v>
      </c>
      <c r="CY578">
        <f>AB578</f>
        <v>65.790000000000006</v>
      </c>
      <c r="CZ578">
        <f>AF578</f>
        <v>5.79</v>
      </c>
      <c r="DA578">
        <f>AJ578</f>
        <v>10.65</v>
      </c>
      <c r="DB578">
        <f t="shared" si="235"/>
        <v>59.064</v>
      </c>
      <c r="DC578">
        <f t="shared" si="236"/>
        <v>0</v>
      </c>
      <c r="DD578" t="s">
        <v>3</v>
      </c>
      <c r="DE578" t="s">
        <v>3</v>
      </c>
      <c r="DF578">
        <f t="shared" si="233"/>
        <v>0</v>
      </c>
      <c r="DG578">
        <f>ROUND(ROUND(AF578*AJ578,2)*CX578,2)</f>
        <v>3710.7</v>
      </c>
      <c r="DH578">
        <f>ROUND(ROUND(AG578,2)*CX578,2)</f>
        <v>0</v>
      </c>
      <c r="DI578">
        <f t="shared" si="237"/>
        <v>0</v>
      </c>
      <c r="DJ578">
        <f>DG578</f>
        <v>3710.7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ROW(Source!A234)</f>
        <v>234</v>
      </c>
      <c r="B579">
        <v>55747651</v>
      </c>
      <c r="C579">
        <v>55748404</v>
      </c>
      <c r="D579">
        <v>54768040</v>
      </c>
      <c r="E579">
        <v>1</v>
      </c>
      <c r="F579">
        <v>1</v>
      </c>
      <c r="G579">
        <v>1081</v>
      </c>
      <c r="H579">
        <v>2</v>
      </c>
      <c r="I579" t="s">
        <v>476</v>
      </c>
      <c r="J579" t="s">
        <v>477</v>
      </c>
      <c r="K579" t="s">
        <v>478</v>
      </c>
      <c r="L579">
        <v>1368</v>
      </c>
      <c r="N579">
        <v>1011</v>
      </c>
      <c r="O579" t="s">
        <v>479</v>
      </c>
      <c r="P579" t="s">
        <v>479</v>
      </c>
      <c r="Q579">
        <v>1</v>
      </c>
      <c r="W579">
        <v>0</v>
      </c>
      <c r="X579">
        <v>1498588441</v>
      </c>
      <c r="Y579">
        <f t="shared" si="234"/>
        <v>30</v>
      </c>
      <c r="AA579">
        <v>0</v>
      </c>
      <c r="AB579">
        <v>102.11</v>
      </c>
      <c r="AC579">
        <v>0</v>
      </c>
      <c r="AD579">
        <v>0</v>
      </c>
      <c r="AE579">
        <v>0</v>
      </c>
      <c r="AF579">
        <v>7.11</v>
      </c>
      <c r="AG579">
        <v>0</v>
      </c>
      <c r="AH579">
        <v>0</v>
      </c>
      <c r="AI579">
        <v>1</v>
      </c>
      <c r="AJ579">
        <v>13.46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25</v>
      </c>
      <c r="AU579" t="s">
        <v>49</v>
      </c>
      <c r="AV579">
        <v>0</v>
      </c>
      <c r="AW579">
        <v>2</v>
      </c>
      <c r="AX579">
        <v>55748417</v>
      </c>
      <c r="AY579">
        <v>1</v>
      </c>
      <c r="AZ579">
        <v>0</v>
      </c>
      <c r="BA579">
        <v>619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f>ROUND(Y579*Source!I234*DO579,9)</f>
        <v>0</v>
      </c>
      <c r="CX579">
        <f>ROUND(Y579*Source!I234,9)</f>
        <v>177</v>
      </c>
      <c r="CY579">
        <f>AB579</f>
        <v>102.11</v>
      </c>
      <c r="CZ579">
        <f>AF579</f>
        <v>7.11</v>
      </c>
      <c r="DA579">
        <f>AJ579</f>
        <v>13.46</v>
      </c>
      <c r="DB579">
        <f t="shared" si="235"/>
        <v>213.3</v>
      </c>
      <c r="DC579">
        <f t="shared" si="236"/>
        <v>0</v>
      </c>
      <c r="DD579" t="s">
        <v>3</v>
      </c>
      <c r="DE579" t="s">
        <v>3</v>
      </c>
      <c r="DF579">
        <f t="shared" si="233"/>
        <v>0</v>
      </c>
      <c r="DG579">
        <f>ROUND(ROUND(AF579*AJ579,2)*CX579,2)</f>
        <v>16938.900000000001</v>
      </c>
      <c r="DH579">
        <f>ROUND(ROUND(AG579,2)*CX579,2)</f>
        <v>0</v>
      </c>
      <c r="DI579">
        <f t="shared" si="237"/>
        <v>0</v>
      </c>
      <c r="DJ579">
        <f>DG579</f>
        <v>16938.900000000001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ROW(Source!A234)</f>
        <v>234</v>
      </c>
      <c r="B580">
        <v>55747651</v>
      </c>
      <c r="C580">
        <v>55748404</v>
      </c>
      <c r="D580">
        <v>54768339</v>
      </c>
      <c r="E580">
        <v>1</v>
      </c>
      <c r="F580">
        <v>1</v>
      </c>
      <c r="G580">
        <v>1081</v>
      </c>
      <c r="H580">
        <v>2</v>
      </c>
      <c r="I580" t="s">
        <v>483</v>
      </c>
      <c r="J580" t="s">
        <v>484</v>
      </c>
      <c r="K580" t="s">
        <v>485</v>
      </c>
      <c r="L580">
        <v>1368</v>
      </c>
      <c r="N580">
        <v>1011</v>
      </c>
      <c r="O580" t="s">
        <v>479</v>
      </c>
      <c r="P580" t="s">
        <v>479</v>
      </c>
      <c r="Q580">
        <v>1</v>
      </c>
      <c r="W580">
        <v>0</v>
      </c>
      <c r="X580">
        <v>874612079</v>
      </c>
      <c r="Y580">
        <f t="shared" si="234"/>
        <v>1.9919999999999998</v>
      </c>
      <c r="AA580">
        <v>0</v>
      </c>
      <c r="AB580">
        <v>1513.56</v>
      </c>
      <c r="AC580">
        <v>758.78</v>
      </c>
      <c r="AD580">
        <v>0</v>
      </c>
      <c r="AE580">
        <v>0</v>
      </c>
      <c r="AF580">
        <v>83.1</v>
      </c>
      <c r="AG580">
        <v>12.62</v>
      </c>
      <c r="AH580">
        <v>0</v>
      </c>
      <c r="AI580">
        <v>1</v>
      </c>
      <c r="AJ580">
        <v>17.07</v>
      </c>
      <c r="AK580">
        <v>56.35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1.66</v>
      </c>
      <c r="AU580" t="s">
        <v>49</v>
      </c>
      <c r="AV580">
        <v>0</v>
      </c>
      <c r="AW580">
        <v>2</v>
      </c>
      <c r="AX580">
        <v>55748418</v>
      </c>
      <c r="AY580">
        <v>1</v>
      </c>
      <c r="AZ580">
        <v>0</v>
      </c>
      <c r="BA580">
        <v>620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f>ROUND(Y580*Source!I234*DO580,9)</f>
        <v>148.320336</v>
      </c>
      <c r="CX580">
        <f>ROUND(Y580*Source!I234,9)</f>
        <v>11.752800000000001</v>
      </c>
      <c r="CY580">
        <f>AB580</f>
        <v>1513.56</v>
      </c>
      <c r="CZ580">
        <f>AF580</f>
        <v>83.1</v>
      </c>
      <c r="DA580">
        <f>AJ580</f>
        <v>17.07</v>
      </c>
      <c r="DB580">
        <f t="shared" si="235"/>
        <v>165.54</v>
      </c>
      <c r="DC580">
        <f t="shared" si="236"/>
        <v>25.14</v>
      </c>
      <c r="DD580" t="s">
        <v>3</v>
      </c>
      <c r="DE580" t="s">
        <v>3</v>
      </c>
      <c r="DF580">
        <f t="shared" si="233"/>
        <v>0</v>
      </c>
      <c r="DG580">
        <f>ROUND(ROUND(AF580*AJ580,2)*CX580,2)</f>
        <v>16671.580000000002</v>
      </c>
      <c r="DH580">
        <f>ROUND(ROUND(AG580*AK580,2)*CX580,2)</f>
        <v>8357.89</v>
      </c>
      <c r="DI580">
        <f t="shared" si="237"/>
        <v>0</v>
      </c>
      <c r="DJ580">
        <f>DG580</f>
        <v>16671.580000000002</v>
      </c>
      <c r="DK580">
        <v>0</v>
      </c>
      <c r="DL580" t="s">
        <v>486</v>
      </c>
      <c r="DM580">
        <v>0</v>
      </c>
      <c r="DN580" t="s">
        <v>475</v>
      </c>
      <c r="DO580">
        <v>12.62</v>
      </c>
    </row>
    <row r="581" spans="1:119" x14ac:dyDescent="0.2">
      <c r="A581">
        <f>ROW(Source!A234)</f>
        <v>234</v>
      </c>
      <c r="B581">
        <v>55747651</v>
      </c>
      <c r="C581">
        <v>55748404</v>
      </c>
      <c r="D581">
        <v>54767657</v>
      </c>
      <c r="E581">
        <v>1</v>
      </c>
      <c r="F581">
        <v>1</v>
      </c>
      <c r="G581">
        <v>1081</v>
      </c>
      <c r="H581">
        <v>2</v>
      </c>
      <c r="I581" t="s">
        <v>592</v>
      </c>
      <c r="J581" t="s">
        <v>593</v>
      </c>
      <c r="K581" t="s">
        <v>594</v>
      </c>
      <c r="L581">
        <v>1368</v>
      </c>
      <c r="N581">
        <v>1011</v>
      </c>
      <c r="O581" t="s">
        <v>479</v>
      </c>
      <c r="P581" t="s">
        <v>479</v>
      </c>
      <c r="Q581">
        <v>1</v>
      </c>
      <c r="W581">
        <v>0</v>
      </c>
      <c r="X581">
        <v>-1755828087</v>
      </c>
      <c r="Y581">
        <f t="shared" si="234"/>
        <v>1.464</v>
      </c>
      <c r="AA581">
        <v>0</v>
      </c>
      <c r="AB581">
        <v>34.85</v>
      </c>
      <c r="AC581">
        <v>0</v>
      </c>
      <c r="AD581">
        <v>0</v>
      </c>
      <c r="AE581">
        <v>0</v>
      </c>
      <c r="AF581">
        <v>3.18</v>
      </c>
      <c r="AG581">
        <v>0</v>
      </c>
      <c r="AH581">
        <v>0</v>
      </c>
      <c r="AI581">
        <v>1</v>
      </c>
      <c r="AJ581">
        <v>10.27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1.22</v>
      </c>
      <c r="AU581" t="s">
        <v>49</v>
      </c>
      <c r="AV581">
        <v>0</v>
      </c>
      <c r="AW581">
        <v>2</v>
      </c>
      <c r="AX581">
        <v>55748419</v>
      </c>
      <c r="AY581">
        <v>1</v>
      </c>
      <c r="AZ581">
        <v>0</v>
      </c>
      <c r="BA581">
        <v>621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f>ROUND(Y581*Source!I234*DO581,9)</f>
        <v>0</v>
      </c>
      <c r="CX581">
        <f>ROUND(Y581*Source!I234,9)</f>
        <v>8.6376000000000008</v>
      </c>
      <c r="CY581">
        <f>AB581</f>
        <v>34.85</v>
      </c>
      <c r="CZ581">
        <f>AF581</f>
        <v>3.18</v>
      </c>
      <c r="DA581">
        <f>AJ581</f>
        <v>10.27</v>
      </c>
      <c r="DB581">
        <f t="shared" si="235"/>
        <v>4.6559999999999997</v>
      </c>
      <c r="DC581">
        <f t="shared" si="236"/>
        <v>0</v>
      </c>
      <c r="DD581" t="s">
        <v>3</v>
      </c>
      <c r="DE581" t="s">
        <v>3</v>
      </c>
      <c r="DF581">
        <f t="shared" si="233"/>
        <v>0</v>
      </c>
      <c r="DG581">
        <f>ROUND(ROUND(AF581*AJ581,2)*CX581,2)</f>
        <v>282.10000000000002</v>
      </c>
      <c r="DH581">
        <f t="shared" ref="DH581:DH594" si="238">ROUND(ROUND(AG581,2)*CX581,2)</f>
        <v>0</v>
      </c>
      <c r="DI581">
        <f t="shared" si="237"/>
        <v>0</v>
      </c>
      <c r="DJ581">
        <f>DG581</f>
        <v>282.10000000000002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ROW(Source!A234)</f>
        <v>234</v>
      </c>
      <c r="B582">
        <v>55747651</v>
      </c>
      <c r="C582">
        <v>55748404</v>
      </c>
      <c r="D582">
        <v>54737367</v>
      </c>
      <c r="E582">
        <v>1</v>
      </c>
      <c r="F582">
        <v>1</v>
      </c>
      <c r="G582">
        <v>1081</v>
      </c>
      <c r="H582">
        <v>3</v>
      </c>
      <c r="I582" t="s">
        <v>538</v>
      </c>
      <c r="J582" t="s">
        <v>539</v>
      </c>
      <c r="K582" t="s">
        <v>540</v>
      </c>
      <c r="L582">
        <v>1339</v>
      </c>
      <c r="N582">
        <v>1007</v>
      </c>
      <c r="O582" t="s">
        <v>507</v>
      </c>
      <c r="P582" t="s">
        <v>507</v>
      </c>
      <c r="Q582">
        <v>1</v>
      </c>
      <c r="W582">
        <v>0</v>
      </c>
      <c r="X582">
        <v>-1622585150</v>
      </c>
      <c r="Y582">
        <f>(AT582*1)</f>
        <v>10</v>
      </c>
      <c r="AA582">
        <v>56.33</v>
      </c>
      <c r="AB582">
        <v>0</v>
      </c>
      <c r="AC582">
        <v>0</v>
      </c>
      <c r="AD582">
        <v>0</v>
      </c>
      <c r="AE582">
        <v>7.07</v>
      </c>
      <c r="AF582">
        <v>0</v>
      </c>
      <c r="AG582">
        <v>0</v>
      </c>
      <c r="AH582">
        <v>0</v>
      </c>
      <c r="AI582">
        <v>7.75</v>
      </c>
      <c r="AJ582">
        <v>1</v>
      </c>
      <c r="AK582">
        <v>1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10</v>
      </c>
      <c r="AU582" t="s">
        <v>48</v>
      </c>
      <c r="AV582">
        <v>0</v>
      </c>
      <c r="AW582">
        <v>2</v>
      </c>
      <c r="AX582">
        <v>55748420</v>
      </c>
      <c r="AY582">
        <v>1</v>
      </c>
      <c r="AZ582">
        <v>0</v>
      </c>
      <c r="BA582">
        <v>622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ROUND(Y582*Source!I234,9)</f>
        <v>59</v>
      </c>
      <c r="CY582">
        <f>AA582</f>
        <v>56.33</v>
      </c>
      <c r="CZ582">
        <f>AE582</f>
        <v>7.07</v>
      </c>
      <c r="DA582">
        <f>AI582</f>
        <v>7.75</v>
      </c>
      <c r="DB582">
        <f>ROUND((ROUND(AT582*CZ582,2)*1),6)</f>
        <v>70.7</v>
      </c>
      <c r="DC582">
        <f>ROUND((ROUND(AT582*AG582,2)*1),6)</f>
        <v>0</v>
      </c>
      <c r="DD582" t="s">
        <v>3</v>
      </c>
      <c r="DE582" t="s">
        <v>3</v>
      </c>
      <c r="DF582">
        <f>ROUND(ROUND(AE582*AI582,2)*CX582,2)</f>
        <v>3232.61</v>
      </c>
      <c r="DG582">
        <f t="shared" ref="DG582:DG593" si="239">ROUND(ROUND(AF582,2)*CX582,2)</f>
        <v>0</v>
      </c>
      <c r="DH582">
        <f t="shared" si="238"/>
        <v>0</v>
      </c>
      <c r="DI582">
        <f t="shared" si="237"/>
        <v>0</v>
      </c>
      <c r="DJ582">
        <f>DF582</f>
        <v>3232.61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ROW(Source!A234)</f>
        <v>234</v>
      </c>
      <c r="B583">
        <v>55747651</v>
      </c>
      <c r="C583">
        <v>55748404</v>
      </c>
      <c r="D583">
        <v>54738430</v>
      </c>
      <c r="E583">
        <v>1</v>
      </c>
      <c r="F583">
        <v>1</v>
      </c>
      <c r="G583">
        <v>1081</v>
      </c>
      <c r="H583">
        <v>3</v>
      </c>
      <c r="I583" t="s">
        <v>562</v>
      </c>
      <c r="J583" t="s">
        <v>563</v>
      </c>
      <c r="K583" t="s">
        <v>564</v>
      </c>
      <c r="L583">
        <v>1348</v>
      </c>
      <c r="N583">
        <v>1009</v>
      </c>
      <c r="O583" t="s">
        <v>282</v>
      </c>
      <c r="P583" t="s">
        <v>282</v>
      </c>
      <c r="Q583">
        <v>1000</v>
      </c>
      <c r="W583">
        <v>0</v>
      </c>
      <c r="X583">
        <v>63955816</v>
      </c>
      <c r="Y583">
        <f>(AT583*1)</f>
        <v>7.7000000000000002E-3</v>
      </c>
      <c r="AA583">
        <v>99503.2</v>
      </c>
      <c r="AB583">
        <v>0</v>
      </c>
      <c r="AC583">
        <v>0</v>
      </c>
      <c r="AD583">
        <v>0</v>
      </c>
      <c r="AE583">
        <v>7185.82</v>
      </c>
      <c r="AF583">
        <v>0</v>
      </c>
      <c r="AG583">
        <v>0</v>
      </c>
      <c r="AH583">
        <v>0</v>
      </c>
      <c r="AI583">
        <v>13.47</v>
      </c>
      <c r="AJ583">
        <v>1</v>
      </c>
      <c r="AK583">
        <v>1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7.7000000000000002E-3</v>
      </c>
      <c r="AU583" t="s">
        <v>48</v>
      </c>
      <c r="AV583">
        <v>0</v>
      </c>
      <c r="AW583">
        <v>2</v>
      </c>
      <c r="AX583">
        <v>55748421</v>
      </c>
      <c r="AY583">
        <v>1</v>
      </c>
      <c r="AZ583">
        <v>0</v>
      </c>
      <c r="BA583">
        <v>623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ROUND(Y583*Source!I234,9)</f>
        <v>4.5429999999999998E-2</v>
      </c>
      <c r="CY583">
        <f>AA583</f>
        <v>99503.2</v>
      </c>
      <c r="CZ583">
        <f>AE583</f>
        <v>7185.82</v>
      </c>
      <c r="DA583">
        <f>AI583</f>
        <v>13.47</v>
      </c>
      <c r="DB583">
        <f>ROUND((ROUND(AT583*CZ583,2)*1),6)</f>
        <v>55.33</v>
      </c>
      <c r="DC583">
        <f>ROUND((ROUND(AT583*AG583,2)*1),6)</f>
        <v>0</v>
      </c>
      <c r="DD583" t="s">
        <v>3</v>
      </c>
      <c r="DE583" t="s">
        <v>3</v>
      </c>
      <c r="DF583">
        <f>ROUND(ROUND(AE583*AI583,2)*CX583,2)</f>
        <v>4397.3100000000004</v>
      </c>
      <c r="DG583">
        <f t="shared" si="239"/>
        <v>0</v>
      </c>
      <c r="DH583">
        <f t="shared" si="238"/>
        <v>0</v>
      </c>
      <c r="DI583">
        <f t="shared" si="237"/>
        <v>0</v>
      </c>
      <c r="DJ583">
        <f>DF583</f>
        <v>4397.3100000000004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ROW(Source!A234)</f>
        <v>234</v>
      </c>
      <c r="B584">
        <v>55747651</v>
      </c>
      <c r="C584">
        <v>55748404</v>
      </c>
      <c r="D584">
        <v>54752026</v>
      </c>
      <c r="E584">
        <v>1</v>
      </c>
      <c r="F584">
        <v>1</v>
      </c>
      <c r="G584">
        <v>1081</v>
      </c>
      <c r="H584">
        <v>3</v>
      </c>
      <c r="I584" t="s">
        <v>199</v>
      </c>
      <c r="J584" t="s">
        <v>201</v>
      </c>
      <c r="K584" t="s">
        <v>200</v>
      </c>
      <c r="L584">
        <v>1301</v>
      </c>
      <c r="N584">
        <v>1003</v>
      </c>
      <c r="O584" t="s">
        <v>191</v>
      </c>
      <c r="P584" t="s">
        <v>191</v>
      </c>
      <c r="Q584">
        <v>1</v>
      </c>
      <c r="W584">
        <v>0</v>
      </c>
      <c r="X584">
        <v>-648477377</v>
      </c>
      <c r="Y584">
        <f>AT584</f>
        <v>100.5</v>
      </c>
      <c r="AA584">
        <v>369.91</v>
      </c>
      <c r="AB584">
        <v>0</v>
      </c>
      <c r="AC584">
        <v>0</v>
      </c>
      <c r="AD584">
        <v>0</v>
      </c>
      <c r="AE584">
        <v>80.59</v>
      </c>
      <c r="AF584">
        <v>0</v>
      </c>
      <c r="AG584">
        <v>0</v>
      </c>
      <c r="AH584">
        <v>0</v>
      </c>
      <c r="AI584">
        <v>4.59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100.5</v>
      </c>
      <c r="AU584" t="s">
        <v>3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ROUND(Y584*Source!I234,9)</f>
        <v>592.95000000000005</v>
      </c>
      <c r="CY584">
        <f>AA584</f>
        <v>369.91</v>
      </c>
      <c r="CZ584">
        <f>AE584</f>
        <v>80.59</v>
      </c>
      <c r="DA584">
        <f>AI584</f>
        <v>4.59</v>
      </c>
      <c r="DB584">
        <f>ROUND(ROUND(AT584*CZ584,2),6)</f>
        <v>8099.3</v>
      </c>
      <c r="DC584">
        <f>ROUND(ROUND(AT584*AG584,2),6)</f>
        <v>0</v>
      </c>
      <c r="DD584" t="s">
        <v>3</v>
      </c>
      <c r="DE584" t="s">
        <v>3</v>
      </c>
      <c r="DF584">
        <f>ROUND(ROUND(AE584*AI584,2)*CX584,2)</f>
        <v>219338.13</v>
      </c>
      <c r="DG584">
        <f t="shared" si="239"/>
        <v>0</v>
      </c>
      <c r="DH584">
        <f t="shared" si="238"/>
        <v>0</v>
      </c>
      <c r="DI584">
        <f t="shared" si="237"/>
        <v>0</v>
      </c>
      <c r="DJ584">
        <f>DF584</f>
        <v>219338.13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ROW(Source!A241)</f>
        <v>241</v>
      </c>
      <c r="B585">
        <v>55747649</v>
      </c>
      <c r="C585">
        <v>55748424</v>
      </c>
      <c r="D585">
        <v>54702434</v>
      </c>
      <c r="E585">
        <v>1081</v>
      </c>
      <c r="F585">
        <v>1</v>
      </c>
      <c r="G585">
        <v>1081</v>
      </c>
      <c r="H585">
        <v>1</v>
      </c>
      <c r="I585" t="s">
        <v>473</v>
      </c>
      <c r="J585" t="s">
        <v>3</v>
      </c>
      <c r="K585" t="s">
        <v>474</v>
      </c>
      <c r="L585">
        <v>1191</v>
      </c>
      <c r="N585">
        <v>1013</v>
      </c>
      <c r="O585" t="s">
        <v>475</v>
      </c>
      <c r="P585" t="s">
        <v>475</v>
      </c>
      <c r="Q585">
        <v>1</v>
      </c>
      <c r="W585">
        <v>0</v>
      </c>
      <c r="X585">
        <v>476480486</v>
      </c>
      <c r="Y585">
        <f>(AT585*1.2)</f>
        <v>6.48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5.4</v>
      </c>
      <c r="AU585" t="s">
        <v>49</v>
      </c>
      <c r="AV585">
        <v>1</v>
      </c>
      <c r="AW585">
        <v>2</v>
      </c>
      <c r="AX585">
        <v>55748433</v>
      </c>
      <c r="AY585">
        <v>1</v>
      </c>
      <c r="AZ585">
        <v>0</v>
      </c>
      <c r="BA585">
        <v>625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U585">
        <f>ROUND(AT585*Source!I241*AH585*AL585,2)</f>
        <v>0</v>
      </c>
      <c r="CV585">
        <f>ROUND(Y585*Source!I241,9)</f>
        <v>155.52000000000001</v>
      </c>
      <c r="CW585">
        <v>0</v>
      </c>
      <c r="CX585">
        <f>ROUND(Y585*Source!I241,9)</f>
        <v>155.52000000000001</v>
      </c>
      <c r="CY585">
        <f>AD585</f>
        <v>0</v>
      </c>
      <c r="CZ585">
        <f>AH585</f>
        <v>0</v>
      </c>
      <c r="DA585">
        <f>AL585</f>
        <v>1</v>
      </c>
      <c r="DB585">
        <f>ROUND((ROUND(AT585*CZ585,2)*1.2),6)</f>
        <v>0</v>
      </c>
      <c r="DC585">
        <f>ROUND((ROUND(AT585*AG585,2)*1.2),6)</f>
        <v>0</v>
      </c>
      <c r="DD585" t="s">
        <v>3</v>
      </c>
      <c r="DE585" t="s">
        <v>3</v>
      </c>
      <c r="DF585">
        <f t="shared" ref="DF585:DF595" si="240">ROUND(ROUND(AE585,2)*CX585,2)</f>
        <v>0</v>
      </c>
      <c r="DG585">
        <f t="shared" si="239"/>
        <v>0</v>
      </c>
      <c r="DH585">
        <f t="shared" si="238"/>
        <v>0</v>
      </c>
      <c r="DI585">
        <f t="shared" si="237"/>
        <v>0</v>
      </c>
      <c r="DJ585">
        <f>DI585</f>
        <v>0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ROW(Source!A241)</f>
        <v>241</v>
      </c>
      <c r="B586">
        <v>55747649</v>
      </c>
      <c r="C586">
        <v>55748424</v>
      </c>
      <c r="D586">
        <v>54768040</v>
      </c>
      <c r="E586">
        <v>1</v>
      </c>
      <c r="F586">
        <v>1</v>
      </c>
      <c r="G586">
        <v>1081</v>
      </c>
      <c r="H586">
        <v>2</v>
      </c>
      <c r="I586" t="s">
        <v>476</v>
      </c>
      <c r="J586" t="s">
        <v>477</v>
      </c>
      <c r="K586" t="s">
        <v>478</v>
      </c>
      <c r="L586">
        <v>1368</v>
      </c>
      <c r="N586">
        <v>1011</v>
      </c>
      <c r="O586" t="s">
        <v>479</v>
      </c>
      <c r="P586" t="s">
        <v>479</v>
      </c>
      <c r="Q586">
        <v>1</v>
      </c>
      <c r="W586">
        <v>0</v>
      </c>
      <c r="X586">
        <v>1498588441</v>
      </c>
      <c r="Y586">
        <f>(AT586*1.2)</f>
        <v>1.08</v>
      </c>
      <c r="AA586">
        <v>0</v>
      </c>
      <c r="AB586">
        <v>7.59</v>
      </c>
      <c r="AC586">
        <v>0</v>
      </c>
      <c r="AD586">
        <v>0</v>
      </c>
      <c r="AE586">
        <v>0</v>
      </c>
      <c r="AF586">
        <v>7.11</v>
      </c>
      <c r="AG586">
        <v>0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0.9</v>
      </c>
      <c r="AU586" t="s">
        <v>49</v>
      </c>
      <c r="AV586">
        <v>0</v>
      </c>
      <c r="AW586">
        <v>2</v>
      </c>
      <c r="AX586">
        <v>55748434</v>
      </c>
      <c r="AY586">
        <v>1</v>
      </c>
      <c r="AZ586">
        <v>0</v>
      </c>
      <c r="BA586">
        <v>626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f>ROUND(Y586*Source!I241*DO586,9)</f>
        <v>0</v>
      </c>
      <c r="CX586">
        <f>ROUND(Y586*Source!I241,9)</f>
        <v>25.92</v>
      </c>
      <c r="CY586">
        <f>AB586</f>
        <v>7.59</v>
      </c>
      <c r="CZ586">
        <f>AF586</f>
        <v>7.11</v>
      </c>
      <c r="DA586">
        <f>AJ586</f>
        <v>1</v>
      </c>
      <c r="DB586">
        <f>ROUND((ROUND(AT586*CZ586,2)*1.2),6)</f>
        <v>7.68</v>
      </c>
      <c r="DC586">
        <f>ROUND((ROUND(AT586*AG586,2)*1.2),6)</f>
        <v>0</v>
      </c>
      <c r="DD586" t="s">
        <v>3</v>
      </c>
      <c r="DE586" t="s">
        <v>3</v>
      </c>
      <c r="DF586">
        <f t="shared" si="240"/>
        <v>0</v>
      </c>
      <c r="DG586">
        <f t="shared" si="239"/>
        <v>184.29</v>
      </c>
      <c r="DH586">
        <f t="shared" si="238"/>
        <v>0</v>
      </c>
      <c r="DI586">
        <f t="shared" si="237"/>
        <v>0</v>
      </c>
      <c r="DJ586">
        <f>DG586</f>
        <v>184.29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ROW(Source!A241)</f>
        <v>241</v>
      </c>
      <c r="B587">
        <v>55747649</v>
      </c>
      <c r="C587">
        <v>55748424</v>
      </c>
      <c r="D587">
        <v>54768339</v>
      </c>
      <c r="E587">
        <v>1</v>
      </c>
      <c r="F587">
        <v>1</v>
      </c>
      <c r="G587">
        <v>1081</v>
      </c>
      <c r="H587">
        <v>2</v>
      </c>
      <c r="I587" t="s">
        <v>483</v>
      </c>
      <c r="J587" t="s">
        <v>484</v>
      </c>
      <c r="K587" t="s">
        <v>485</v>
      </c>
      <c r="L587">
        <v>1368</v>
      </c>
      <c r="N587">
        <v>1011</v>
      </c>
      <c r="O587" t="s">
        <v>479</v>
      </c>
      <c r="P587" t="s">
        <v>479</v>
      </c>
      <c r="Q587">
        <v>1</v>
      </c>
      <c r="W587">
        <v>0</v>
      </c>
      <c r="X587">
        <v>874612079</v>
      </c>
      <c r="Y587">
        <f>(AT587*1.2)</f>
        <v>2.4E-2</v>
      </c>
      <c r="AA587">
        <v>0</v>
      </c>
      <c r="AB587">
        <v>88.67</v>
      </c>
      <c r="AC587">
        <v>13.47</v>
      </c>
      <c r="AD587">
        <v>0</v>
      </c>
      <c r="AE587">
        <v>0</v>
      </c>
      <c r="AF587">
        <v>83.1</v>
      </c>
      <c r="AG587">
        <v>12.62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0.02</v>
      </c>
      <c r="AU587" t="s">
        <v>49</v>
      </c>
      <c r="AV587">
        <v>0</v>
      </c>
      <c r="AW587">
        <v>2</v>
      </c>
      <c r="AX587">
        <v>55748435</v>
      </c>
      <c r="AY587">
        <v>1</v>
      </c>
      <c r="AZ587">
        <v>0</v>
      </c>
      <c r="BA587">
        <v>627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f>ROUND(Y587*Source!I241*DO587,9)</f>
        <v>7.26912</v>
      </c>
      <c r="CX587">
        <f>ROUND(Y587*Source!I241,9)</f>
        <v>0.57599999999999996</v>
      </c>
      <c r="CY587">
        <f>AB587</f>
        <v>88.67</v>
      </c>
      <c r="CZ587">
        <f>AF587</f>
        <v>83.1</v>
      </c>
      <c r="DA587">
        <f>AJ587</f>
        <v>1</v>
      </c>
      <c r="DB587">
        <f>ROUND((ROUND(AT587*CZ587,2)*1.2),6)</f>
        <v>1.992</v>
      </c>
      <c r="DC587">
        <f>ROUND((ROUND(AT587*AG587,2)*1.2),6)</f>
        <v>0.3</v>
      </c>
      <c r="DD587" t="s">
        <v>3</v>
      </c>
      <c r="DE587" t="s">
        <v>3</v>
      </c>
      <c r="DF587">
        <f t="shared" si="240"/>
        <v>0</v>
      </c>
      <c r="DG587">
        <f t="shared" si="239"/>
        <v>47.87</v>
      </c>
      <c r="DH587">
        <f t="shared" si="238"/>
        <v>7.27</v>
      </c>
      <c r="DI587">
        <f t="shared" si="237"/>
        <v>0</v>
      </c>
      <c r="DJ587">
        <f>DG587</f>
        <v>47.87</v>
      </c>
      <c r="DK587">
        <v>0</v>
      </c>
      <c r="DL587" t="s">
        <v>486</v>
      </c>
      <c r="DM587">
        <v>0</v>
      </c>
      <c r="DN587" t="s">
        <v>475</v>
      </c>
      <c r="DO587">
        <v>12.62</v>
      </c>
    </row>
    <row r="588" spans="1:119" x14ac:dyDescent="0.2">
      <c r="A588">
        <f>ROW(Source!A241)</f>
        <v>241</v>
      </c>
      <c r="B588">
        <v>55747649</v>
      </c>
      <c r="C588">
        <v>55748424</v>
      </c>
      <c r="D588">
        <v>54738518</v>
      </c>
      <c r="E588">
        <v>1</v>
      </c>
      <c r="F588">
        <v>1</v>
      </c>
      <c r="G588">
        <v>1081</v>
      </c>
      <c r="H588">
        <v>3</v>
      </c>
      <c r="I588" t="s">
        <v>493</v>
      </c>
      <c r="J588" t="s">
        <v>494</v>
      </c>
      <c r="K588" t="s">
        <v>495</v>
      </c>
      <c r="L588">
        <v>1348</v>
      </c>
      <c r="N588">
        <v>1009</v>
      </c>
      <c r="O588" t="s">
        <v>282</v>
      </c>
      <c r="P588" t="s">
        <v>282</v>
      </c>
      <c r="Q588">
        <v>1000</v>
      </c>
      <c r="W588">
        <v>0</v>
      </c>
      <c r="X588">
        <v>205566664</v>
      </c>
      <c r="Y588">
        <f>(AT588*1)</f>
        <v>4.4000000000000002E-4</v>
      </c>
      <c r="AA588">
        <v>9367.64</v>
      </c>
      <c r="AB588">
        <v>0</v>
      </c>
      <c r="AC588">
        <v>0</v>
      </c>
      <c r="AD588">
        <v>0</v>
      </c>
      <c r="AE588">
        <v>9112.49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4.4000000000000002E-4</v>
      </c>
      <c r="AU588" t="s">
        <v>48</v>
      </c>
      <c r="AV588">
        <v>0</v>
      </c>
      <c r="AW588">
        <v>2</v>
      </c>
      <c r="AX588">
        <v>55748436</v>
      </c>
      <c r="AY588">
        <v>1</v>
      </c>
      <c r="AZ588">
        <v>0</v>
      </c>
      <c r="BA588">
        <v>628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ROUND(Y588*Source!I241,9)</f>
        <v>1.056E-2</v>
      </c>
      <c r="CY588">
        <f>AA588</f>
        <v>9367.64</v>
      </c>
      <c r="CZ588">
        <f>AE588</f>
        <v>9112.49</v>
      </c>
      <c r="DA588">
        <f>AI588</f>
        <v>1</v>
      </c>
      <c r="DB588">
        <f>ROUND((ROUND(AT588*CZ588,2)*1),6)</f>
        <v>4.01</v>
      </c>
      <c r="DC588">
        <f>ROUND((ROUND(AT588*AG588,2)*1),6)</f>
        <v>0</v>
      </c>
      <c r="DD588" t="s">
        <v>3</v>
      </c>
      <c r="DE588" t="s">
        <v>3</v>
      </c>
      <c r="DF588">
        <f t="shared" si="240"/>
        <v>96.23</v>
      </c>
      <c r="DG588">
        <f t="shared" si="239"/>
        <v>0</v>
      </c>
      <c r="DH588">
        <f t="shared" si="238"/>
        <v>0</v>
      </c>
      <c r="DI588">
        <f t="shared" si="237"/>
        <v>0</v>
      </c>
      <c r="DJ588">
        <f>DF588</f>
        <v>96.23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ROW(Source!A241)</f>
        <v>241</v>
      </c>
      <c r="B589">
        <v>55747649</v>
      </c>
      <c r="C589">
        <v>55748424</v>
      </c>
      <c r="D589">
        <v>54739191</v>
      </c>
      <c r="E589">
        <v>1</v>
      </c>
      <c r="F589">
        <v>1</v>
      </c>
      <c r="G589">
        <v>1081</v>
      </c>
      <c r="H589">
        <v>3</v>
      </c>
      <c r="I589" t="s">
        <v>500</v>
      </c>
      <c r="J589" t="s">
        <v>501</v>
      </c>
      <c r="K589" t="s">
        <v>502</v>
      </c>
      <c r="L589">
        <v>1346</v>
      </c>
      <c r="N589">
        <v>1009</v>
      </c>
      <c r="O589" t="s">
        <v>503</v>
      </c>
      <c r="P589" t="s">
        <v>503</v>
      </c>
      <c r="Q589">
        <v>1</v>
      </c>
      <c r="W589">
        <v>0</v>
      </c>
      <c r="X589">
        <v>-2132327540</v>
      </c>
      <c r="Y589">
        <f>(AT589*1)</f>
        <v>1.0999999999999999E-2</v>
      </c>
      <c r="AA589">
        <v>6.43</v>
      </c>
      <c r="AB589">
        <v>0</v>
      </c>
      <c r="AC589">
        <v>0</v>
      </c>
      <c r="AD589">
        <v>0</v>
      </c>
      <c r="AE589">
        <v>6.25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1.0999999999999999E-2</v>
      </c>
      <c r="AU589" t="s">
        <v>48</v>
      </c>
      <c r="AV589">
        <v>0</v>
      </c>
      <c r="AW589">
        <v>2</v>
      </c>
      <c r="AX589">
        <v>55748437</v>
      </c>
      <c r="AY589">
        <v>1</v>
      </c>
      <c r="AZ589">
        <v>0</v>
      </c>
      <c r="BA589">
        <v>629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ROUND(Y589*Source!I241,9)</f>
        <v>0.26400000000000001</v>
      </c>
      <c r="CY589">
        <f>AA589</f>
        <v>6.43</v>
      </c>
      <c r="CZ589">
        <f>AE589</f>
        <v>6.25</v>
      </c>
      <c r="DA589">
        <f>AI589</f>
        <v>1</v>
      </c>
      <c r="DB589">
        <f>ROUND((ROUND(AT589*CZ589,2)*1),6)</f>
        <v>7.0000000000000007E-2</v>
      </c>
      <c r="DC589">
        <f>ROUND((ROUND(AT589*AG589,2)*1),6)</f>
        <v>0</v>
      </c>
      <c r="DD589" t="s">
        <v>3</v>
      </c>
      <c r="DE589" t="s">
        <v>3</v>
      </c>
      <c r="DF589">
        <f t="shared" si="240"/>
        <v>1.65</v>
      </c>
      <c r="DG589">
        <f t="shared" si="239"/>
        <v>0</v>
      </c>
      <c r="DH589">
        <f t="shared" si="238"/>
        <v>0</v>
      </c>
      <c r="DI589">
        <f t="shared" si="237"/>
        <v>0</v>
      </c>
      <c r="DJ589">
        <f>DF589</f>
        <v>1.65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ROW(Source!A241)</f>
        <v>241</v>
      </c>
      <c r="B590">
        <v>55747649</v>
      </c>
      <c r="C590">
        <v>55748424</v>
      </c>
      <c r="D590">
        <v>54737565</v>
      </c>
      <c r="E590">
        <v>1</v>
      </c>
      <c r="F590">
        <v>1</v>
      </c>
      <c r="G590">
        <v>1081</v>
      </c>
      <c r="H590">
        <v>3</v>
      </c>
      <c r="I590" t="s">
        <v>504</v>
      </c>
      <c r="J590" t="s">
        <v>505</v>
      </c>
      <c r="K590" t="s">
        <v>506</v>
      </c>
      <c r="L590">
        <v>1339</v>
      </c>
      <c r="N590">
        <v>1007</v>
      </c>
      <c r="O590" t="s">
        <v>507</v>
      </c>
      <c r="P590" t="s">
        <v>507</v>
      </c>
      <c r="Q590">
        <v>1</v>
      </c>
      <c r="W590">
        <v>0</v>
      </c>
      <c r="X590">
        <v>-1235260082</v>
      </c>
      <c r="Y590">
        <f>(AT590*1)</f>
        <v>4.3999999999999997E-2</v>
      </c>
      <c r="AA590">
        <v>5.98</v>
      </c>
      <c r="AB590">
        <v>0</v>
      </c>
      <c r="AC590">
        <v>0</v>
      </c>
      <c r="AD590">
        <v>0</v>
      </c>
      <c r="AE590">
        <v>5.82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4.3999999999999997E-2</v>
      </c>
      <c r="AU590" t="s">
        <v>48</v>
      </c>
      <c r="AV590">
        <v>0</v>
      </c>
      <c r="AW590">
        <v>2</v>
      </c>
      <c r="AX590">
        <v>55748438</v>
      </c>
      <c r="AY590">
        <v>1</v>
      </c>
      <c r="AZ590">
        <v>0</v>
      </c>
      <c r="BA590">
        <v>630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ROUND(Y590*Source!I241,9)</f>
        <v>1.056</v>
      </c>
      <c r="CY590">
        <f>AA590</f>
        <v>5.98</v>
      </c>
      <c r="CZ590">
        <f>AE590</f>
        <v>5.82</v>
      </c>
      <c r="DA590">
        <f>AI590</f>
        <v>1</v>
      </c>
      <c r="DB590">
        <f>ROUND((ROUND(AT590*CZ590,2)*1),6)</f>
        <v>0.26</v>
      </c>
      <c r="DC590">
        <f>ROUND((ROUND(AT590*AG590,2)*1),6)</f>
        <v>0</v>
      </c>
      <c r="DD590" t="s">
        <v>3</v>
      </c>
      <c r="DE590" t="s">
        <v>3</v>
      </c>
      <c r="DF590">
        <f t="shared" si="240"/>
        <v>6.15</v>
      </c>
      <c r="DG590">
        <f t="shared" si="239"/>
        <v>0</v>
      </c>
      <c r="DH590">
        <f t="shared" si="238"/>
        <v>0</v>
      </c>
      <c r="DI590">
        <f t="shared" si="237"/>
        <v>0</v>
      </c>
      <c r="DJ590">
        <f>DF590</f>
        <v>6.15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ROW(Source!A241)</f>
        <v>241</v>
      </c>
      <c r="B591">
        <v>55747649</v>
      </c>
      <c r="C591">
        <v>55748424</v>
      </c>
      <c r="D591">
        <v>54754079</v>
      </c>
      <c r="E591">
        <v>1</v>
      </c>
      <c r="F591">
        <v>1</v>
      </c>
      <c r="G591">
        <v>1081</v>
      </c>
      <c r="H591">
        <v>3</v>
      </c>
      <c r="I591" t="s">
        <v>409</v>
      </c>
      <c r="J591" t="s">
        <v>411</v>
      </c>
      <c r="K591" t="s">
        <v>410</v>
      </c>
      <c r="L591">
        <v>1354</v>
      </c>
      <c r="N591">
        <v>1010</v>
      </c>
      <c r="O591" t="s">
        <v>118</v>
      </c>
      <c r="P591" t="s">
        <v>118</v>
      </c>
      <c r="Q591">
        <v>1</v>
      </c>
      <c r="W591">
        <v>0</v>
      </c>
      <c r="X591">
        <v>814129051</v>
      </c>
      <c r="Y591">
        <f>(AT591*1)</f>
        <v>0.16666666999999999</v>
      </c>
      <c r="AA591">
        <v>296.99</v>
      </c>
      <c r="AB591">
        <v>0</v>
      </c>
      <c r="AC591">
        <v>0</v>
      </c>
      <c r="AD591">
        <v>0</v>
      </c>
      <c r="AE591">
        <v>296.99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t="s">
        <v>3</v>
      </c>
      <c r="AT591">
        <v>0.16666666999999999</v>
      </c>
      <c r="AU591" t="s">
        <v>48</v>
      </c>
      <c r="AV591">
        <v>0</v>
      </c>
      <c r="AW591">
        <v>1</v>
      </c>
      <c r="AX591">
        <v>-1</v>
      </c>
      <c r="AY591">
        <v>0</v>
      </c>
      <c r="AZ591">
        <v>0</v>
      </c>
      <c r="BA591" t="s">
        <v>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ROUND(Y591*Source!I241,9)</f>
        <v>4.0000000800000004</v>
      </c>
      <c r="CY591">
        <f>AA591</f>
        <v>296.99</v>
      </c>
      <c r="CZ591">
        <f>AE591</f>
        <v>296.99</v>
      </c>
      <c r="DA591">
        <f>AI591</f>
        <v>1</v>
      </c>
      <c r="DB591">
        <f>ROUND((ROUND(AT591*CZ591,2)*1),6)</f>
        <v>49.5</v>
      </c>
      <c r="DC591">
        <f>ROUND((ROUND(AT591*AG591,2)*1),6)</f>
        <v>0</v>
      </c>
      <c r="DD591" t="s">
        <v>3</v>
      </c>
      <c r="DE591" t="s">
        <v>3</v>
      </c>
      <c r="DF591">
        <f t="shared" si="240"/>
        <v>1187.96</v>
      </c>
      <c r="DG591">
        <f t="shared" si="239"/>
        <v>0</v>
      </c>
      <c r="DH591">
        <f t="shared" si="238"/>
        <v>0</v>
      </c>
      <c r="DI591">
        <f t="shared" si="237"/>
        <v>0</v>
      </c>
      <c r="DJ591">
        <f>DF591</f>
        <v>1187.96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ROW(Source!A241)</f>
        <v>241</v>
      </c>
      <c r="B592">
        <v>55747649</v>
      </c>
      <c r="C592">
        <v>55748424</v>
      </c>
      <c r="D592">
        <v>54754024</v>
      </c>
      <c r="E592">
        <v>1</v>
      </c>
      <c r="F592">
        <v>1</v>
      </c>
      <c r="G592">
        <v>1081</v>
      </c>
      <c r="H592">
        <v>3</v>
      </c>
      <c r="I592" t="s">
        <v>158</v>
      </c>
      <c r="J592" t="s">
        <v>160</v>
      </c>
      <c r="K592" t="s">
        <v>159</v>
      </c>
      <c r="L592">
        <v>1354</v>
      </c>
      <c r="N592">
        <v>1010</v>
      </c>
      <c r="O592" t="s">
        <v>118</v>
      </c>
      <c r="P592" t="s">
        <v>118</v>
      </c>
      <c r="Q592">
        <v>1</v>
      </c>
      <c r="W592">
        <v>0</v>
      </c>
      <c r="X592">
        <v>-1214401210</v>
      </c>
      <c r="Y592">
        <f>(AT592*1)</f>
        <v>0.83333332999999998</v>
      </c>
      <c r="AA592">
        <v>130.07</v>
      </c>
      <c r="AB592">
        <v>0</v>
      </c>
      <c r="AC592">
        <v>0</v>
      </c>
      <c r="AD592">
        <v>0</v>
      </c>
      <c r="AE592">
        <v>130.07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s">
        <v>3</v>
      </c>
      <c r="AT592">
        <v>0.83333332999999998</v>
      </c>
      <c r="AU592" t="s">
        <v>48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ROUND(Y592*Source!I241,9)</f>
        <v>19.99999992</v>
      </c>
      <c r="CY592">
        <f>AA592</f>
        <v>130.07</v>
      </c>
      <c r="CZ592">
        <f>AE592</f>
        <v>130.07</v>
      </c>
      <c r="DA592">
        <f>AI592</f>
        <v>1</v>
      </c>
      <c r="DB592">
        <f>ROUND((ROUND(AT592*CZ592,2)*1),6)</f>
        <v>108.39</v>
      </c>
      <c r="DC592">
        <f>ROUND((ROUND(AT592*AG592,2)*1),6)</f>
        <v>0</v>
      </c>
      <c r="DD592" t="s">
        <v>3</v>
      </c>
      <c r="DE592" t="s">
        <v>3</v>
      </c>
      <c r="DF592">
        <f t="shared" si="240"/>
        <v>2601.4</v>
      </c>
      <c r="DG592">
        <f t="shared" si="239"/>
        <v>0</v>
      </c>
      <c r="DH592">
        <f t="shared" si="238"/>
        <v>0</v>
      </c>
      <c r="DI592">
        <f t="shared" si="237"/>
        <v>0</v>
      </c>
      <c r="DJ592">
        <f>DF592</f>
        <v>2601.4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ROW(Source!A242)</f>
        <v>242</v>
      </c>
      <c r="B593">
        <v>55747651</v>
      </c>
      <c r="C593">
        <v>55748424</v>
      </c>
      <c r="D593">
        <v>54702434</v>
      </c>
      <c r="E593">
        <v>1081</v>
      </c>
      <c r="F593">
        <v>1</v>
      </c>
      <c r="G593">
        <v>1081</v>
      </c>
      <c r="H593">
        <v>1</v>
      </c>
      <c r="I593" t="s">
        <v>473</v>
      </c>
      <c r="J593" t="s">
        <v>3</v>
      </c>
      <c r="K593" t="s">
        <v>474</v>
      </c>
      <c r="L593">
        <v>1191</v>
      </c>
      <c r="N593">
        <v>1013</v>
      </c>
      <c r="O593" t="s">
        <v>475</v>
      </c>
      <c r="P593" t="s">
        <v>475</v>
      </c>
      <c r="Q593">
        <v>1</v>
      </c>
      <c r="W593">
        <v>0</v>
      </c>
      <c r="X593">
        <v>476480486</v>
      </c>
      <c r="Y593">
        <f>(AT593*1.2)</f>
        <v>6.48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5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5.4</v>
      </c>
      <c r="AU593" t="s">
        <v>49</v>
      </c>
      <c r="AV593">
        <v>1</v>
      </c>
      <c r="AW593">
        <v>2</v>
      </c>
      <c r="AX593">
        <v>55748433</v>
      </c>
      <c r="AY593">
        <v>1</v>
      </c>
      <c r="AZ593">
        <v>0</v>
      </c>
      <c r="BA593">
        <v>632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U593">
        <f>ROUND(AT593*Source!I242*AH593*AL593,2)</f>
        <v>0</v>
      </c>
      <c r="CV593">
        <f>ROUND(Y593*Source!I242,9)</f>
        <v>155.52000000000001</v>
      </c>
      <c r="CW593">
        <v>0</v>
      </c>
      <c r="CX593">
        <f>ROUND(Y593*Source!I242,9)</f>
        <v>155.52000000000001</v>
      </c>
      <c r="CY593">
        <f>AD593</f>
        <v>0</v>
      </c>
      <c r="CZ593">
        <f>AH593</f>
        <v>0</v>
      </c>
      <c r="DA593">
        <f>AL593</f>
        <v>1</v>
      </c>
      <c r="DB593">
        <f>ROUND((ROUND(AT593*CZ593,2)*1.2),6)</f>
        <v>0</v>
      </c>
      <c r="DC593">
        <f>ROUND((ROUND(AT593*AG593,2)*1.2),6)</f>
        <v>0</v>
      </c>
      <c r="DD593" t="s">
        <v>3</v>
      </c>
      <c r="DE593" t="s">
        <v>3</v>
      </c>
      <c r="DF593">
        <f t="shared" si="240"/>
        <v>0</v>
      </c>
      <c r="DG593">
        <f t="shared" si="239"/>
        <v>0</v>
      </c>
      <c r="DH593">
        <f t="shared" si="238"/>
        <v>0</v>
      </c>
      <c r="DI593">
        <f t="shared" si="237"/>
        <v>0</v>
      </c>
      <c r="DJ593">
        <f>DI593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ROW(Source!A242)</f>
        <v>242</v>
      </c>
      <c r="B594">
        <v>55747651</v>
      </c>
      <c r="C594">
        <v>55748424</v>
      </c>
      <c r="D594">
        <v>54768040</v>
      </c>
      <c r="E594">
        <v>1</v>
      </c>
      <c r="F594">
        <v>1</v>
      </c>
      <c r="G594">
        <v>1081</v>
      </c>
      <c r="H594">
        <v>2</v>
      </c>
      <c r="I594" t="s">
        <v>476</v>
      </c>
      <c r="J594" t="s">
        <v>477</v>
      </c>
      <c r="K594" t="s">
        <v>478</v>
      </c>
      <c r="L594">
        <v>1368</v>
      </c>
      <c r="N594">
        <v>1011</v>
      </c>
      <c r="O594" t="s">
        <v>479</v>
      </c>
      <c r="P594" t="s">
        <v>479</v>
      </c>
      <c r="Q594">
        <v>1</v>
      </c>
      <c r="W594">
        <v>0</v>
      </c>
      <c r="X594">
        <v>1498588441</v>
      </c>
      <c r="Y594">
        <f>(AT594*1.2)</f>
        <v>1.08</v>
      </c>
      <c r="AA594">
        <v>0</v>
      </c>
      <c r="AB594">
        <v>102.11</v>
      </c>
      <c r="AC594">
        <v>0</v>
      </c>
      <c r="AD594">
        <v>0</v>
      </c>
      <c r="AE594">
        <v>0</v>
      </c>
      <c r="AF594">
        <v>7.11</v>
      </c>
      <c r="AG594">
        <v>0</v>
      </c>
      <c r="AH594">
        <v>0</v>
      </c>
      <c r="AI594">
        <v>1</v>
      </c>
      <c r="AJ594">
        <v>13.46</v>
      </c>
      <c r="AK594">
        <v>1</v>
      </c>
      <c r="AL594">
        <v>1</v>
      </c>
      <c r="AM594">
        <v>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0.9</v>
      </c>
      <c r="AU594" t="s">
        <v>49</v>
      </c>
      <c r="AV594">
        <v>0</v>
      </c>
      <c r="AW594">
        <v>2</v>
      </c>
      <c r="AX594">
        <v>55748434</v>
      </c>
      <c r="AY594">
        <v>1</v>
      </c>
      <c r="AZ594">
        <v>0</v>
      </c>
      <c r="BA594">
        <v>633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ROUND(Y594*Source!I242*DO594,9)</f>
        <v>0</v>
      </c>
      <c r="CX594">
        <f>ROUND(Y594*Source!I242,9)</f>
        <v>25.92</v>
      </c>
      <c r="CY594">
        <f>AB594</f>
        <v>102.11</v>
      </c>
      <c r="CZ594">
        <f>AF594</f>
        <v>7.11</v>
      </c>
      <c r="DA594">
        <f>AJ594</f>
        <v>13.46</v>
      </c>
      <c r="DB594">
        <f>ROUND((ROUND(AT594*CZ594,2)*1.2),6)</f>
        <v>7.68</v>
      </c>
      <c r="DC594">
        <f>ROUND((ROUND(AT594*AG594,2)*1.2),6)</f>
        <v>0</v>
      </c>
      <c r="DD594" t="s">
        <v>3</v>
      </c>
      <c r="DE594" t="s">
        <v>3</v>
      </c>
      <c r="DF594">
        <f t="shared" si="240"/>
        <v>0</v>
      </c>
      <c r="DG594">
        <f>ROUND(ROUND(AF594*AJ594,2)*CX594,2)</f>
        <v>2480.54</v>
      </c>
      <c r="DH594">
        <f t="shared" si="238"/>
        <v>0</v>
      </c>
      <c r="DI594">
        <f t="shared" si="237"/>
        <v>0</v>
      </c>
      <c r="DJ594">
        <f>DG594</f>
        <v>2480.54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ROW(Source!A242)</f>
        <v>242</v>
      </c>
      <c r="B595">
        <v>55747651</v>
      </c>
      <c r="C595">
        <v>55748424</v>
      </c>
      <c r="D595">
        <v>54768339</v>
      </c>
      <c r="E595">
        <v>1</v>
      </c>
      <c r="F595">
        <v>1</v>
      </c>
      <c r="G595">
        <v>1081</v>
      </c>
      <c r="H595">
        <v>2</v>
      </c>
      <c r="I595" t="s">
        <v>483</v>
      </c>
      <c r="J595" t="s">
        <v>484</v>
      </c>
      <c r="K595" t="s">
        <v>485</v>
      </c>
      <c r="L595">
        <v>1368</v>
      </c>
      <c r="N595">
        <v>1011</v>
      </c>
      <c r="O595" t="s">
        <v>479</v>
      </c>
      <c r="P595" t="s">
        <v>479</v>
      </c>
      <c r="Q595">
        <v>1</v>
      </c>
      <c r="W595">
        <v>0</v>
      </c>
      <c r="X595">
        <v>874612079</v>
      </c>
      <c r="Y595">
        <f>(AT595*1.2)</f>
        <v>2.4E-2</v>
      </c>
      <c r="AA595">
        <v>0</v>
      </c>
      <c r="AB595">
        <v>1513.56</v>
      </c>
      <c r="AC595">
        <v>758.78</v>
      </c>
      <c r="AD595">
        <v>0</v>
      </c>
      <c r="AE595">
        <v>0</v>
      </c>
      <c r="AF595">
        <v>83.1</v>
      </c>
      <c r="AG595">
        <v>12.62</v>
      </c>
      <c r="AH595">
        <v>0</v>
      </c>
      <c r="AI595">
        <v>1</v>
      </c>
      <c r="AJ595">
        <v>17.07</v>
      </c>
      <c r="AK595">
        <v>56.35</v>
      </c>
      <c r="AL595">
        <v>1</v>
      </c>
      <c r="AM595">
        <v>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0.02</v>
      </c>
      <c r="AU595" t="s">
        <v>49</v>
      </c>
      <c r="AV595">
        <v>0</v>
      </c>
      <c r="AW595">
        <v>2</v>
      </c>
      <c r="AX595">
        <v>55748435</v>
      </c>
      <c r="AY595">
        <v>1</v>
      </c>
      <c r="AZ595">
        <v>0</v>
      </c>
      <c r="BA595">
        <v>634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f>ROUND(Y595*Source!I242*DO595,9)</f>
        <v>7.26912</v>
      </c>
      <c r="CX595">
        <f>ROUND(Y595*Source!I242,9)</f>
        <v>0.57599999999999996</v>
      </c>
      <c r="CY595">
        <f>AB595</f>
        <v>1513.56</v>
      </c>
      <c r="CZ595">
        <f>AF595</f>
        <v>83.1</v>
      </c>
      <c r="DA595">
        <f>AJ595</f>
        <v>17.07</v>
      </c>
      <c r="DB595">
        <f>ROUND((ROUND(AT595*CZ595,2)*1.2),6)</f>
        <v>1.992</v>
      </c>
      <c r="DC595">
        <f>ROUND((ROUND(AT595*AG595,2)*1.2),6)</f>
        <v>0.3</v>
      </c>
      <c r="DD595" t="s">
        <v>3</v>
      </c>
      <c r="DE595" t="s">
        <v>3</v>
      </c>
      <c r="DF595">
        <f t="shared" si="240"/>
        <v>0</v>
      </c>
      <c r="DG595">
        <f>ROUND(ROUND(AF595*AJ595,2)*CX595,2)</f>
        <v>817.07</v>
      </c>
      <c r="DH595">
        <f>ROUND(ROUND(AG595*AK595,2)*CX595,2)</f>
        <v>409.62</v>
      </c>
      <c r="DI595">
        <f t="shared" si="237"/>
        <v>0</v>
      </c>
      <c r="DJ595">
        <f>DG595</f>
        <v>817.07</v>
      </c>
      <c r="DK595">
        <v>0</v>
      </c>
      <c r="DL595" t="s">
        <v>486</v>
      </c>
      <c r="DM595">
        <v>0</v>
      </c>
      <c r="DN595" t="s">
        <v>475</v>
      </c>
      <c r="DO595">
        <v>12.62</v>
      </c>
    </row>
    <row r="596" spans="1:119" x14ac:dyDescent="0.2">
      <c r="A596">
        <f>ROW(Source!A242)</f>
        <v>242</v>
      </c>
      <c r="B596">
        <v>55747651</v>
      </c>
      <c r="C596">
        <v>55748424</v>
      </c>
      <c r="D596">
        <v>54738518</v>
      </c>
      <c r="E596">
        <v>1</v>
      </c>
      <c r="F596">
        <v>1</v>
      </c>
      <c r="G596">
        <v>1081</v>
      </c>
      <c r="H596">
        <v>3</v>
      </c>
      <c r="I596" t="s">
        <v>493</v>
      </c>
      <c r="J596" t="s">
        <v>494</v>
      </c>
      <c r="K596" t="s">
        <v>495</v>
      </c>
      <c r="L596">
        <v>1348</v>
      </c>
      <c r="N596">
        <v>1009</v>
      </c>
      <c r="O596" t="s">
        <v>282</v>
      </c>
      <c r="P596" t="s">
        <v>282</v>
      </c>
      <c r="Q596">
        <v>1000</v>
      </c>
      <c r="W596">
        <v>0</v>
      </c>
      <c r="X596">
        <v>205566664</v>
      </c>
      <c r="Y596">
        <f>(AT596*1)</f>
        <v>4.4000000000000002E-4</v>
      </c>
      <c r="AA596">
        <v>95081.54</v>
      </c>
      <c r="AB596">
        <v>0</v>
      </c>
      <c r="AC596">
        <v>0</v>
      </c>
      <c r="AD596">
        <v>0</v>
      </c>
      <c r="AE596">
        <v>9112.49</v>
      </c>
      <c r="AF596">
        <v>0</v>
      </c>
      <c r="AG596">
        <v>0</v>
      </c>
      <c r="AH596">
        <v>0</v>
      </c>
      <c r="AI596">
        <v>10.15</v>
      </c>
      <c r="AJ596">
        <v>1</v>
      </c>
      <c r="AK596">
        <v>1</v>
      </c>
      <c r="AL596">
        <v>1</v>
      </c>
      <c r="AM596">
        <v>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4.4000000000000002E-4</v>
      </c>
      <c r="AU596" t="s">
        <v>48</v>
      </c>
      <c r="AV596">
        <v>0</v>
      </c>
      <c r="AW596">
        <v>2</v>
      </c>
      <c r="AX596">
        <v>55748436</v>
      </c>
      <c r="AY596">
        <v>1</v>
      </c>
      <c r="AZ596">
        <v>0</v>
      </c>
      <c r="BA596">
        <v>635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ROUND(Y596*Source!I242,9)</f>
        <v>1.056E-2</v>
      </c>
      <c r="CY596">
        <f>AA596</f>
        <v>95081.54</v>
      </c>
      <c r="CZ596">
        <f>AE596</f>
        <v>9112.49</v>
      </c>
      <c r="DA596">
        <f>AI596</f>
        <v>10.15</v>
      </c>
      <c r="DB596">
        <f>ROUND((ROUND(AT596*CZ596,2)*1),6)</f>
        <v>4.01</v>
      </c>
      <c r="DC596">
        <f>ROUND((ROUND(AT596*AG596,2)*1),6)</f>
        <v>0</v>
      </c>
      <c r="DD596" t="s">
        <v>3</v>
      </c>
      <c r="DE596" t="s">
        <v>3</v>
      </c>
      <c r="DF596">
        <f>ROUND(ROUND(AE596*AI596,2)*CX596,2)</f>
        <v>976.71</v>
      </c>
      <c r="DG596">
        <f t="shared" ref="DG596:DG618" si="241">ROUND(ROUND(AF596,2)*CX596,2)</f>
        <v>0</v>
      </c>
      <c r="DH596">
        <f t="shared" ref="DH596:DH618" si="242">ROUND(ROUND(AG596,2)*CX596,2)</f>
        <v>0</v>
      </c>
      <c r="DI596">
        <f t="shared" si="237"/>
        <v>0</v>
      </c>
      <c r="DJ596">
        <f>DF596</f>
        <v>976.71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">
      <c r="A597">
        <f>ROW(Source!A242)</f>
        <v>242</v>
      </c>
      <c r="B597">
        <v>55747651</v>
      </c>
      <c r="C597">
        <v>55748424</v>
      </c>
      <c r="D597">
        <v>54739191</v>
      </c>
      <c r="E597">
        <v>1</v>
      </c>
      <c r="F597">
        <v>1</v>
      </c>
      <c r="G597">
        <v>1081</v>
      </c>
      <c r="H597">
        <v>3</v>
      </c>
      <c r="I597" t="s">
        <v>500</v>
      </c>
      <c r="J597" t="s">
        <v>501</v>
      </c>
      <c r="K597" t="s">
        <v>502</v>
      </c>
      <c r="L597">
        <v>1346</v>
      </c>
      <c r="N597">
        <v>1009</v>
      </c>
      <c r="O597" t="s">
        <v>503</v>
      </c>
      <c r="P597" t="s">
        <v>503</v>
      </c>
      <c r="Q597">
        <v>1</v>
      </c>
      <c r="W597">
        <v>0</v>
      </c>
      <c r="X597">
        <v>-2132327540</v>
      </c>
      <c r="Y597">
        <f>(AT597*1)</f>
        <v>1.0999999999999999E-2</v>
      </c>
      <c r="AA597">
        <v>64.760000000000005</v>
      </c>
      <c r="AB597">
        <v>0</v>
      </c>
      <c r="AC597">
        <v>0</v>
      </c>
      <c r="AD597">
        <v>0</v>
      </c>
      <c r="AE597">
        <v>6.25</v>
      </c>
      <c r="AF597">
        <v>0</v>
      </c>
      <c r="AG597">
        <v>0</v>
      </c>
      <c r="AH597">
        <v>0</v>
      </c>
      <c r="AI597">
        <v>10.08</v>
      </c>
      <c r="AJ597">
        <v>1</v>
      </c>
      <c r="AK597">
        <v>1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1.0999999999999999E-2</v>
      </c>
      <c r="AU597" t="s">
        <v>48</v>
      </c>
      <c r="AV597">
        <v>0</v>
      </c>
      <c r="AW597">
        <v>2</v>
      </c>
      <c r="AX597">
        <v>55748437</v>
      </c>
      <c r="AY597">
        <v>1</v>
      </c>
      <c r="AZ597">
        <v>0</v>
      </c>
      <c r="BA597">
        <v>636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ROUND(Y597*Source!I242,9)</f>
        <v>0.26400000000000001</v>
      </c>
      <c r="CY597">
        <f>AA597</f>
        <v>64.760000000000005</v>
      </c>
      <c r="CZ597">
        <f>AE597</f>
        <v>6.25</v>
      </c>
      <c r="DA597">
        <f>AI597</f>
        <v>10.08</v>
      </c>
      <c r="DB597">
        <f>ROUND((ROUND(AT597*CZ597,2)*1),6)</f>
        <v>7.0000000000000007E-2</v>
      </c>
      <c r="DC597">
        <f>ROUND((ROUND(AT597*AG597,2)*1),6)</f>
        <v>0</v>
      </c>
      <c r="DD597" t="s">
        <v>3</v>
      </c>
      <c r="DE597" t="s">
        <v>3</v>
      </c>
      <c r="DF597">
        <f>ROUND(ROUND(AE597*AI597,2)*CX597,2)</f>
        <v>16.63</v>
      </c>
      <c r="DG597">
        <f t="shared" si="241"/>
        <v>0</v>
      </c>
      <c r="DH597">
        <f t="shared" si="242"/>
        <v>0</v>
      </c>
      <c r="DI597">
        <f t="shared" si="237"/>
        <v>0</v>
      </c>
      <c r="DJ597">
        <f>DF597</f>
        <v>16.63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ROW(Source!A242)</f>
        <v>242</v>
      </c>
      <c r="B598">
        <v>55747651</v>
      </c>
      <c r="C598">
        <v>55748424</v>
      </c>
      <c r="D598">
        <v>54737565</v>
      </c>
      <c r="E598">
        <v>1</v>
      </c>
      <c r="F598">
        <v>1</v>
      </c>
      <c r="G598">
        <v>1081</v>
      </c>
      <c r="H598">
        <v>3</v>
      </c>
      <c r="I598" t="s">
        <v>504</v>
      </c>
      <c r="J598" t="s">
        <v>505</v>
      </c>
      <c r="K598" t="s">
        <v>506</v>
      </c>
      <c r="L598">
        <v>1339</v>
      </c>
      <c r="N598">
        <v>1007</v>
      </c>
      <c r="O598" t="s">
        <v>507</v>
      </c>
      <c r="P598" t="s">
        <v>507</v>
      </c>
      <c r="Q598">
        <v>1</v>
      </c>
      <c r="W598">
        <v>0</v>
      </c>
      <c r="X598">
        <v>-1235260082</v>
      </c>
      <c r="Y598">
        <f>(AT598*1)</f>
        <v>4.3999999999999997E-2</v>
      </c>
      <c r="AA598">
        <v>104.16</v>
      </c>
      <c r="AB598">
        <v>0</v>
      </c>
      <c r="AC598">
        <v>0</v>
      </c>
      <c r="AD598">
        <v>0</v>
      </c>
      <c r="AE598">
        <v>5.82</v>
      </c>
      <c r="AF598">
        <v>0</v>
      </c>
      <c r="AG598">
        <v>0</v>
      </c>
      <c r="AH598">
        <v>0</v>
      </c>
      <c r="AI598">
        <v>17.41</v>
      </c>
      <c r="AJ598">
        <v>1</v>
      </c>
      <c r="AK598">
        <v>1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4.3999999999999997E-2</v>
      </c>
      <c r="AU598" t="s">
        <v>48</v>
      </c>
      <c r="AV598">
        <v>0</v>
      </c>
      <c r="AW598">
        <v>2</v>
      </c>
      <c r="AX598">
        <v>55748438</v>
      </c>
      <c r="AY598">
        <v>1</v>
      </c>
      <c r="AZ598">
        <v>0</v>
      </c>
      <c r="BA598">
        <v>637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ROUND(Y598*Source!I242,9)</f>
        <v>1.056</v>
      </c>
      <c r="CY598">
        <f>AA598</f>
        <v>104.16</v>
      </c>
      <c r="CZ598">
        <f>AE598</f>
        <v>5.82</v>
      </c>
      <c r="DA598">
        <f>AI598</f>
        <v>17.41</v>
      </c>
      <c r="DB598">
        <f>ROUND((ROUND(AT598*CZ598,2)*1),6)</f>
        <v>0.26</v>
      </c>
      <c r="DC598">
        <f>ROUND((ROUND(AT598*AG598,2)*1),6)</f>
        <v>0</v>
      </c>
      <c r="DD598" t="s">
        <v>3</v>
      </c>
      <c r="DE598" t="s">
        <v>3</v>
      </c>
      <c r="DF598">
        <f>ROUND(ROUND(AE598*AI598,2)*CX598,2)</f>
        <v>107</v>
      </c>
      <c r="DG598">
        <f t="shared" si="241"/>
        <v>0</v>
      </c>
      <c r="DH598">
        <f t="shared" si="242"/>
        <v>0</v>
      </c>
      <c r="DI598">
        <f t="shared" si="237"/>
        <v>0</v>
      </c>
      <c r="DJ598">
        <f>DF598</f>
        <v>107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ROW(Source!A242)</f>
        <v>242</v>
      </c>
      <c r="B599">
        <v>55747651</v>
      </c>
      <c r="C599">
        <v>55748424</v>
      </c>
      <c r="D599">
        <v>54754079</v>
      </c>
      <c r="E599">
        <v>1</v>
      </c>
      <c r="F599">
        <v>1</v>
      </c>
      <c r="G599">
        <v>1081</v>
      </c>
      <c r="H599">
        <v>3</v>
      </c>
      <c r="I599" t="s">
        <v>409</v>
      </c>
      <c r="J599" t="s">
        <v>411</v>
      </c>
      <c r="K599" t="s">
        <v>410</v>
      </c>
      <c r="L599">
        <v>1354</v>
      </c>
      <c r="N599">
        <v>1010</v>
      </c>
      <c r="O599" t="s">
        <v>118</v>
      </c>
      <c r="P599" t="s">
        <v>118</v>
      </c>
      <c r="Q599">
        <v>1</v>
      </c>
      <c r="W599">
        <v>0</v>
      </c>
      <c r="X599">
        <v>814129051</v>
      </c>
      <c r="Y599">
        <f>(AT599*1)</f>
        <v>0.16666666999999999</v>
      </c>
      <c r="AA599">
        <v>902.85</v>
      </c>
      <c r="AB599">
        <v>0</v>
      </c>
      <c r="AC599">
        <v>0</v>
      </c>
      <c r="AD599">
        <v>0</v>
      </c>
      <c r="AE599">
        <v>296.99</v>
      </c>
      <c r="AF599">
        <v>0</v>
      </c>
      <c r="AG599">
        <v>0</v>
      </c>
      <c r="AH599">
        <v>0</v>
      </c>
      <c r="AI599">
        <v>3.04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 t="s">
        <v>3</v>
      </c>
      <c r="AT599">
        <v>0.16666666999999999</v>
      </c>
      <c r="AU599" t="s">
        <v>48</v>
      </c>
      <c r="AV599">
        <v>0</v>
      </c>
      <c r="AW599">
        <v>1</v>
      </c>
      <c r="AX599">
        <v>-1</v>
      </c>
      <c r="AY599">
        <v>0</v>
      </c>
      <c r="AZ599">
        <v>0</v>
      </c>
      <c r="BA599" t="s">
        <v>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ROUND(Y599*Source!I242,9)</f>
        <v>4.0000000800000004</v>
      </c>
      <c r="CY599">
        <f>AA599</f>
        <v>902.85</v>
      </c>
      <c r="CZ599">
        <f>AE599</f>
        <v>296.99</v>
      </c>
      <c r="DA599">
        <f>AI599</f>
        <v>3.04</v>
      </c>
      <c r="DB599">
        <f>ROUND((ROUND(AT599*CZ599,2)*1),6)</f>
        <v>49.5</v>
      </c>
      <c r="DC599">
        <f>ROUND((ROUND(AT599*AG599,2)*1),6)</f>
        <v>0</v>
      </c>
      <c r="DD599" t="s">
        <v>3</v>
      </c>
      <c r="DE599" t="s">
        <v>3</v>
      </c>
      <c r="DF599">
        <f>ROUND(ROUND(AE599*AI599,2)*CX599,2)</f>
        <v>3611.4</v>
      </c>
      <c r="DG599">
        <f t="shared" si="241"/>
        <v>0</v>
      </c>
      <c r="DH599">
        <f t="shared" si="242"/>
        <v>0</v>
      </c>
      <c r="DI599">
        <f t="shared" si="237"/>
        <v>0</v>
      </c>
      <c r="DJ599">
        <f>DF599</f>
        <v>3611.4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ROW(Source!A242)</f>
        <v>242</v>
      </c>
      <c r="B600">
        <v>55747651</v>
      </c>
      <c r="C600">
        <v>55748424</v>
      </c>
      <c r="D600">
        <v>54754024</v>
      </c>
      <c r="E600">
        <v>1</v>
      </c>
      <c r="F600">
        <v>1</v>
      </c>
      <c r="G600">
        <v>1081</v>
      </c>
      <c r="H600">
        <v>3</v>
      </c>
      <c r="I600" t="s">
        <v>158</v>
      </c>
      <c r="J600" t="s">
        <v>160</v>
      </c>
      <c r="K600" t="s">
        <v>159</v>
      </c>
      <c r="L600">
        <v>1354</v>
      </c>
      <c r="N600">
        <v>1010</v>
      </c>
      <c r="O600" t="s">
        <v>118</v>
      </c>
      <c r="P600" t="s">
        <v>118</v>
      </c>
      <c r="Q600">
        <v>1</v>
      </c>
      <c r="W600">
        <v>0</v>
      </c>
      <c r="X600">
        <v>-1214401210</v>
      </c>
      <c r="Y600">
        <f>(AT600*1)</f>
        <v>0.83333332999999998</v>
      </c>
      <c r="AA600">
        <v>626.94000000000005</v>
      </c>
      <c r="AB600">
        <v>0</v>
      </c>
      <c r="AC600">
        <v>0</v>
      </c>
      <c r="AD600">
        <v>0</v>
      </c>
      <c r="AE600">
        <v>130.07</v>
      </c>
      <c r="AF600">
        <v>0</v>
      </c>
      <c r="AG600">
        <v>0</v>
      </c>
      <c r="AH600">
        <v>0</v>
      </c>
      <c r="AI600">
        <v>4.82</v>
      </c>
      <c r="AJ600">
        <v>1</v>
      </c>
      <c r="AK600">
        <v>1</v>
      </c>
      <c r="AL600">
        <v>1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 t="s">
        <v>3</v>
      </c>
      <c r="AT600">
        <v>0.83333332999999998</v>
      </c>
      <c r="AU600" t="s">
        <v>48</v>
      </c>
      <c r="AV600">
        <v>0</v>
      </c>
      <c r="AW600">
        <v>1</v>
      </c>
      <c r="AX600">
        <v>-1</v>
      </c>
      <c r="AY600">
        <v>0</v>
      </c>
      <c r="AZ600">
        <v>0</v>
      </c>
      <c r="BA600" t="s">
        <v>3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ROUND(Y600*Source!I242,9)</f>
        <v>19.99999992</v>
      </c>
      <c r="CY600">
        <f>AA600</f>
        <v>626.94000000000005</v>
      </c>
      <c r="CZ600">
        <f>AE600</f>
        <v>130.07</v>
      </c>
      <c r="DA600">
        <f>AI600</f>
        <v>4.82</v>
      </c>
      <c r="DB600">
        <f>ROUND((ROUND(AT600*CZ600,2)*1),6)</f>
        <v>108.39</v>
      </c>
      <c r="DC600">
        <f>ROUND((ROUND(AT600*AG600,2)*1),6)</f>
        <v>0</v>
      </c>
      <c r="DD600" t="s">
        <v>3</v>
      </c>
      <c r="DE600" t="s">
        <v>3</v>
      </c>
      <c r="DF600">
        <f>ROUND(ROUND(AE600*AI600,2)*CX600,2)</f>
        <v>12538.8</v>
      </c>
      <c r="DG600">
        <f t="shared" si="241"/>
        <v>0</v>
      </c>
      <c r="DH600">
        <f t="shared" si="242"/>
        <v>0</v>
      </c>
      <c r="DI600">
        <f t="shared" si="237"/>
        <v>0</v>
      </c>
      <c r="DJ600">
        <f>DF600</f>
        <v>12538.8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ROW(Source!A247)</f>
        <v>247</v>
      </c>
      <c r="B601">
        <v>55747649</v>
      </c>
      <c r="C601">
        <v>55748442</v>
      </c>
      <c r="D601">
        <v>54702434</v>
      </c>
      <c r="E601">
        <v>1081</v>
      </c>
      <c r="F601">
        <v>1</v>
      </c>
      <c r="G601">
        <v>1081</v>
      </c>
      <c r="H601">
        <v>1</v>
      </c>
      <c r="I601" t="s">
        <v>473</v>
      </c>
      <c r="J601" t="s">
        <v>3</v>
      </c>
      <c r="K601" t="s">
        <v>474</v>
      </c>
      <c r="L601">
        <v>1191</v>
      </c>
      <c r="N601">
        <v>1013</v>
      </c>
      <c r="O601" t="s">
        <v>475</v>
      </c>
      <c r="P601" t="s">
        <v>475</v>
      </c>
      <c r="Q601">
        <v>1</v>
      </c>
      <c r="W601">
        <v>0</v>
      </c>
      <c r="X601">
        <v>476480486</v>
      </c>
      <c r="Y601">
        <f t="shared" ref="Y601:Y634" si="243">AT601</f>
        <v>1730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1730</v>
      </c>
      <c r="AU601" t="s">
        <v>3</v>
      </c>
      <c r="AV601">
        <v>1</v>
      </c>
      <c r="AW601">
        <v>2</v>
      </c>
      <c r="AX601">
        <v>55748460</v>
      </c>
      <c r="AY601">
        <v>1</v>
      </c>
      <c r="AZ601">
        <v>0</v>
      </c>
      <c r="BA601">
        <v>639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U601">
        <f>ROUND(AT601*Source!I247*AH601*AL601,2)</f>
        <v>0</v>
      </c>
      <c r="CV601">
        <f>ROUND(Y601*Source!I247,9)</f>
        <v>3287</v>
      </c>
      <c r="CW601">
        <v>0</v>
      </c>
      <c r="CX601">
        <f>ROUND(Y601*Source!I247,9)</f>
        <v>3287</v>
      </c>
      <c r="CY601">
        <f>AD601</f>
        <v>0</v>
      </c>
      <c r="CZ601">
        <f>AH601</f>
        <v>0</v>
      </c>
      <c r="DA601">
        <f>AL601</f>
        <v>1</v>
      </c>
      <c r="DB601">
        <f t="shared" ref="DB601:DB634" si="244">ROUND(ROUND(AT601*CZ601,2),6)</f>
        <v>0</v>
      </c>
      <c r="DC601">
        <f t="shared" ref="DC601:DC634" si="245">ROUND(ROUND(AT601*AG601,2),6)</f>
        <v>0</v>
      </c>
      <c r="DD601" t="s">
        <v>3</v>
      </c>
      <c r="DE601" t="s">
        <v>3</v>
      </c>
      <c r="DF601">
        <f t="shared" ref="DF601:DF623" si="246">ROUND(ROUND(AE601,2)*CX601,2)</f>
        <v>0</v>
      </c>
      <c r="DG601">
        <f t="shared" si="241"/>
        <v>0</v>
      </c>
      <c r="DH601">
        <f t="shared" si="242"/>
        <v>0</v>
      </c>
      <c r="DI601">
        <f t="shared" si="237"/>
        <v>0</v>
      </c>
      <c r="DJ601">
        <f>DI601</f>
        <v>0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ROW(Source!A247)</f>
        <v>247</v>
      </c>
      <c r="B602">
        <v>55747649</v>
      </c>
      <c r="C602">
        <v>55748442</v>
      </c>
      <c r="D602">
        <v>54767934</v>
      </c>
      <c r="E602">
        <v>1</v>
      </c>
      <c r="F602">
        <v>1</v>
      </c>
      <c r="G602">
        <v>1081</v>
      </c>
      <c r="H602">
        <v>2</v>
      </c>
      <c r="I602" t="s">
        <v>586</v>
      </c>
      <c r="J602" t="s">
        <v>587</v>
      </c>
      <c r="K602" t="s">
        <v>588</v>
      </c>
      <c r="L602">
        <v>1368</v>
      </c>
      <c r="N602">
        <v>1011</v>
      </c>
      <c r="O602" t="s">
        <v>479</v>
      </c>
      <c r="P602" t="s">
        <v>479</v>
      </c>
      <c r="Q602">
        <v>1</v>
      </c>
      <c r="W602">
        <v>0</v>
      </c>
      <c r="X602">
        <v>-1222619517</v>
      </c>
      <c r="Y602">
        <f t="shared" si="243"/>
        <v>13.5</v>
      </c>
      <c r="AA602">
        <v>0</v>
      </c>
      <c r="AB602">
        <v>51.29</v>
      </c>
      <c r="AC602">
        <v>13.47</v>
      </c>
      <c r="AD602">
        <v>0</v>
      </c>
      <c r="AE602">
        <v>0</v>
      </c>
      <c r="AF602">
        <v>48.07</v>
      </c>
      <c r="AG602">
        <v>12.62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13.5</v>
      </c>
      <c r="AU602" t="s">
        <v>3</v>
      </c>
      <c r="AV602">
        <v>0</v>
      </c>
      <c r="AW602">
        <v>2</v>
      </c>
      <c r="AX602">
        <v>55748461</v>
      </c>
      <c r="AY602">
        <v>1</v>
      </c>
      <c r="AZ602">
        <v>0</v>
      </c>
      <c r="BA602">
        <v>640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f>ROUND(Y602*Source!I247*DO602,9)</f>
        <v>323.70299999999997</v>
      </c>
      <c r="CX602">
        <f>ROUND(Y602*Source!I247,9)</f>
        <v>25.65</v>
      </c>
      <c r="CY602">
        <f>AB602</f>
        <v>51.29</v>
      </c>
      <c r="CZ602">
        <f>AF602</f>
        <v>48.07</v>
      </c>
      <c r="DA602">
        <f>AJ602</f>
        <v>1</v>
      </c>
      <c r="DB602">
        <f t="shared" si="244"/>
        <v>648.95000000000005</v>
      </c>
      <c r="DC602">
        <f t="shared" si="245"/>
        <v>170.37</v>
      </c>
      <c r="DD602" t="s">
        <v>3</v>
      </c>
      <c r="DE602" t="s">
        <v>3</v>
      </c>
      <c r="DF602">
        <f t="shared" si="246"/>
        <v>0</v>
      </c>
      <c r="DG602">
        <f t="shared" si="241"/>
        <v>1233</v>
      </c>
      <c r="DH602">
        <f t="shared" si="242"/>
        <v>323.7</v>
      </c>
      <c r="DI602">
        <f t="shared" si="237"/>
        <v>0</v>
      </c>
      <c r="DJ602">
        <f>DG602</f>
        <v>1233</v>
      </c>
      <c r="DK602">
        <v>0</v>
      </c>
      <c r="DL602" t="s">
        <v>486</v>
      </c>
      <c r="DM602">
        <v>0</v>
      </c>
      <c r="DN602" t="s">
        <v>475</v>
      </c>
      <c r="DO602">
        <v>12.62</v>
      </c>
    </row>
    <row r="603" spans="1:119" x14ac:dyDescent="0.2">
      <c r="A603">
        <f>ROW(Source!A247)</f>
        <v>247</v>
      </c>
      <c r="B603">
        <v>55747649</v>
      </c>
      <c r="C603">
        <v>55748442</v>
      </c>
      <c r="D603">
        <v>54767971</v>
      </c>
      <c r="E603">
        <v>1</v>
      </c>
      <c r="F603">
        <v>1</v>
      </c>
      <c r="G603">
        <v>1081</v>
      </c>
      <c r="H603">
        <v>2</v>
      </c>
      <c r="I603" t="s">
        <v>589</v>
      </c>
      <c r="J603" t="s">
        <v>590</v>
      </c>
      <c r="K603" t="s">
        <v>591</v>
      </c>
      <c r="L603">
        <v>1368</v>
      </c>
      <c r="N603">
        <v>1011</v>
      </c>
      <c r="O603" t="s">
        <v>479</v>
      </c>
      <c r="P603" t="s">
        <v>479</v>
      </c>
      <c r="Q603">
        <v>1</v>
      </c>
      <c r="W603">
        <v>0</v>
      </c>
      <c r="X603">
        <v>210297649</v>
      </c>
      <c r="Y603">
        <f t="shared" si="243"/>
        <v>110</v>
      </c>
      <c r="AA603">
        <v>0</v>
      </c>
      <c r="AB603">
        <v>6.18</v>
      </c>
      <c r="AC603">
        <v>0</v>
      </c>
      <c r="AD603">
        <v>0</v>
      </c>
      <c r="AE603">
        <v>0</v>
      </c>
      <c r="AF603">
        <v>5.79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110</v>
      </c>
      <c r="AU603" t="s">
        <v>3</v>
      </c>
      <c r="AV603">
        <v>0</v>
      </c>
      <c r="AW603">
        <v>2</v>
      </c>
      <c r="AX603">
        <v>55748462</v>
      </c>
      <c r="AY603">
        <v>1</v>
      </c>
      <c r="AZ603">
        <v>0</v>
      </c>
      <c r="BA603">
        <v>641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f>ROUND(Y603*Source!I247*DO603,9)</f>
        <v>0</v>
      </c>
      <c r="CX603">
        <f>ROUND(Y603*Source!I247,9)</f>
        <v>209</v>
      </c>
      <c r="CY603">
        <f>AB603</f>
        <v>6.18</v>
      </c>
      <c r="CZ603">
        <f>AF603</f>
        <v>5.79</v>
      </c>
      <c r="DA603">
        <f>AJ603</f>
        <v>1</v>
      </c>
      <c r="DB603">
        <f t="shared" si="244"/>
        <v>636.9</v>
      </c>
      <c r="DC603">
        <f t="shared" si="245"/>
        <v>0</v>
      </c>
      <c r="DD603" t="s">
        <v>3</v>
      </c>
      <c r="DE603" t="s">
        <v>3</v>
      </c>
      <c r="DF603">
        <f t="shared" si="246"/>
        <v>0</v>
      </c>
      <c r="DG603">
        <f t="shared" si="241"/>
        <v>1210.1099999999999</v>
      </c>
      <c r="DH603">
        <f t="shared" si="242"/>
        <v>0</v>
      </c>
      <c r="DI603">
        <f t="shared" si="237"/>
        <v>0</v>
      </c>
      <c r="DJ603">
        <f>DG603</f>
        <v>1210.1099999999999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ROW(Source!A247)</f>
        <v>247</v>
      </c>
      <c r="B604">
        <v>55747649</v>
      </c>
      <c r="C604">
        <v>55748442</v>
      </c>
      <c r="D604">
        <v>54768040</v>
      </c>
      <c r="E604">
        <v>1</v>
      </c>
      <c r="F604">
        <v>1</v>
      </c>
      <c r="G604">
        <v>1081</v>
      </c>
      <c r="H604">
        <v>2</v>
      </c>
      <c r="I604" t="s">
        <v>476</v>
      </c>
      <c r="J604" t="s">
        <v>477</v>
      </c>
      <c r="K604" t="s">
        <v>478</v>
      </c>
      <c r="L604">
        <v>1368</v>
      </c>
      <c r="N604">
        <v>1011</v>
      </c>
      <c r="O604" t="s">
        <v>479</v>
      </c>
      <c r="P604" t="s">
        <v>479</v>
      </c>
      <c r="Q604">
        <v>1</v>
      </c>
      <c r="W604">
        <v>0</v>
      </c>
      <c r="X604">
        <v>1498588441</v>
      </c>
      <c r="Y604">
        <f t="shared" si="243"/>
        <v>114</v>
      </c>
      <c r="AA604">
        <v>0</v>
      </c>
      <c r="AB604">
        <v>7.59</v>
      </c>
      <c r="AC604">
        <v>0</v>
      </c>
      <c r="AD604">
        <v>0</v>
      </c>
      <c r="AE604">
        <v>0</v>
      </c>
      <c r="AF604">
        <v>7.11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114</v>
      </c>
      <c r="AU604" t="s">
        <v>3</v>
      </c>
      <c r="AV604">
        <v>0</v>
      </c>
      <c r="AW604">
        <v>2</v>
      </c>
      <c r="AX604">
        <v>55748463</v>
      </c>
      <c r="AY604">
        <v>1</v>
      </c>
      <c r="AZ604">
        <v>0</v>
      </c>
      <c r="BA604">
        <v>642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f>ROUND(Y604*Source!I247*DO604,9)</f>
        <v>0</v>
      </c>
      <c r="CX604">
        <f>ROUND(Y604*Source!I247,9)</f>
        <v>216.6</v>
      </c>
      <c r="CY604">
        <f>AB604</f>
        <v>7.59</v>
      </c>
      <c r="CZ604">
        <f>AF604</f>
        <v>7.11</v>
      </c>
      <c r="DA604">
        <f>AJ604</f>
        <v>1</v>
      </c>
      <c r="DB604">
        <f t="shared" si="244"/>
        <v>810.54</v>
      </c>
      <c r="DC604">
        <f t="shared" si="245"/>
        <v>0</v>
      </c>
      <c r="DD604" t="s">
        <v>3</v>
      </c>
      <c r="DE604" t="s">
        <v>3</v>
      </c>
      <c r="DF604">
        <f t="shared" si="246"/>
        <v>0</v>
      </c>
      <c r="DG604">
        <f t="shared" si="241"/>
        <v>1540.03</v>
      </c>
      <c r="DH604">
        <f t="shared" si="242"/>
        <v>0</v>
      </c>
      <c r="DI604">
        <f t="shared" si="237"/>
        <v>0</v>
      </c>
      <c r="DJ604">
        <f>DG604</f>
        <v>1540.03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ROW(Source!A247)</f>
        <v>247</v>
      </c>
      <c r="B605">
        <v>55747649</v>
      </c>
      <c r="C605">
        <v>55748442</v>
      </c>
      <c r="D605">
        <v>54768339</v>
      </c>
      <c r="E605">
        <v>1</v>
      </c>
      <c r="F605">
        <v>1</v>
      </c>
      <c r="G605">
        <v>1081</v>
      </c>
      <c r="H605">
        <v>2</v>
      </c>
      <c r="I605" t="s">
        <v>483</v>
      </c>
      <c r="J605" t="s">
        <v>484</v>
      </c>
      <c r="K605" t="s">
        <v>485</v>
      </c>
      <c r="L605">
        <v>1368</v>
      </c>
      <c r="N605">
        <v>1011</v>
      </c>
      <c r="O605" t="s">
        <v>479</v>
      </c>
      <c r="P605" t="s">
        <v>479</v>
      </c>
      <c r="Q605">
        <v>1</v>
      </c>
      <c r="W605">
        <v>0</v>
      </c>
      <c r="X605">
        <v>874612079</v>
      </c>
      <c r="Y605">
        <f t="shared" si="243"/>
        <v>5.36</v>
      </c>
      <c r="AA605">
        <v>0</v>
      </c>
      <c r="AB605">
        <v>88.67</v>
      </c>
      <c r="AC605">
        <v>13.47</v>
      </c>
      <c r="AD605">
        <v>0</v>
      </c>
      <c r="AE605">
        <v>0</v>
      </c>
      <c r="AF605">
        <v>83.1</v>
      </c>
      <c r="AG605">
        <v>12.62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-2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5.36</v>
      </c>
      <c r="AU605" t="s">
        <v>3</v>
      </c>
      <c r="AV605">
        <v>0</v>
      </c>
      <c r="AW605">
        <v>2</v>
      </c>
      <c r="AX605">
        <v>55748464</v>
      </c>
      <c r="AY605">
        <v>1</v>
      </c>
      <c r="AZ605">
        <v>0</v>
      </c>
      <c r="BA605">
        <v>643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f>ROUND(Y605*Source!I247*DO605,9)</f>
        <v>128.52207999999999</v>
      </c>
      <c r="CX605">
        <f>ROUND(Y605*Source!I247,9)</f>
        <v>10.183999999999999</v>
      </c>
      <c r="CY605">
        <f>AB605</f>
        <v>88.67</v>
      </c>
      <c r="CZ605">
        <f>AF605</f>
        <v>83.1</v>
      </c>
      <c r="DA605">
        <f>AJ605</f>
        <v>1</v>
      </c>
      <c r="DB605">
        <f t="shared" si="244"/>
        <v>445.42</v>
      </c>
      <c r="DC605">
        <f t="shared" si="245"/>
        <v>67.64</v>
      </c>
      <c r="DD605" t="s">
        <v>3</v>
      </c>
      <c r="DE605" t="s">
        <v>3</v>
      </c>
      <c r="DF605">
        <f t="shared" si="246"/>
        <v>0</v>
      </c>
      <c r="DG605">
        <f t="shared" si="241"/>
        <v>846.29</v>
      </c>
      <c r="DH605">
        <f t="shared" si="242"/>
        <v>128.52000000000001</v>
      </c>
      <c r="DI605">
        <f t="shared" si="237"/>
        <v>0</v>
      </c>
      <c r="DJ605">
        <f>DG605</f>
        <v>846.29</v>
      </c>
      <c r="DK605">
        <v>0</v>
      </c>
      <c r="DL605" t="s">
        <v>486</v>
      </c>
      <c r="DM605">
        <v>0</v>
      </c>
      <c r="DN605" t="s">
        <v>475</v>
      </c>
      <c r="DO605">
        <v>12.62</v>
      </c>
    </row>
    <row r="606" spans="1:119" x14ac:dyDescent="0.2">
      <c r="A606">
        <f>ROW(Source!A247)</f>
        <v>247</v>
      </c>
      <c r="B606">
        <v>55747649</v>
      </c>
      <c r="C606">
        <v>55748442</v>
      </c>
      <c r="D606">
        <v>54767657</v>
      </c>
      <c r="E606">
        <v>1</v>
      </c>
      <c r="F606">
        <v>1</v>
      </c>
      <c r="G606">
        <v>1081</v>
      </c>
      <c r="H606">
        <v>2</v>
      </c>
      <c r="I606" t="s">
        <v>592</v>
      </c>
      <c r="J606" t="s">
        <v>593</v>
      </c>
      <c r="K606" t="s">
        <v>594</v>
      </c>
      <c r="L606">
        <v>1368</v>
      </c>
      <c r="N606">
        <v>1011</v>
      </c>
      <c r="O606" t="s">
        <v>479</v>
      </c>
      <c r="P606" t="s">
        <v>479</v>
      </c>
      <c r="Q606">
        <v>1</v>
      </c>
      <c r="W606">
        <v>0</v>
      </c>
      <c r="X606">
        <v>-1755828087</v>
      </c>
      <c r="Y606">
        <f t="shared" si="243"/>
        <v>4</v>
      </c>
      <c r="AA606">
        <v>0</v>
      </c>
      <c r="AB606">
        <v>3.39</v>
      </c>
      <c r="AC606">
        <v>0</v>
      </c>
      <c r="AD606">
        <v>0</v>
      </c>
      <c r="AE606">
        <v>0</v>
      </c>
      <c r="AF606">
        <v>3.18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-2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4</v>
      </c>
      <c r="AU606" t="s">
        <v>3</v>
      </c>
      <c r="AV606">
        <v>0</v>
      </c>
      <c r="AW606">
        <v>2</v>
      </c>
      <c r="AX606">
        <v>55748465</v>
      </c>
      <c r="AY606">
        <v>1</v>
      </c>
      <c r="AZ606">
        <v>0</v>
      </c>
      <c r="BA606">
        <v>644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f>ROUND(Y606*Source!I247*DO606,9)</f>
        <v>0</v>
      </c>
      <c r="CX606">
        <f>ROUND(Y606*Source!I247,9)</f>
        <v>7.6</v>
      </c>
      <c r="CY606">
        <f>AB606</f>
        <v>3.39</v>
      </c>
      <c r="CZ606">
        <f>AF606</f>
        <v>3.18</v>
      </c>
      <c r="DA606">
        <f>AJ606</f>
        <v>1</v>
      </c>
      <c r="DB606">
        <f t="shared" si="244"/>
        <v>12.72</v>
      </c>
      <c r="DC606">
        <f t="shared" si="245"/>
        <v>0</v>
      </c>
      <c r="DD606" t="s">
        <v>3</v>
      </c>
      <c r="DE606" t="s">
        <v>3</v>
      </c>
      <c r="DF606">
        <f t="shared" si="246"/>
        <v>0</v>
      </c>
      <c r="DG606">
        <f t="shared" si="241"/>
        <v>24.17</v>
      </c>
      <c r="DH606">
        <f t="shared" si="242"/>
        <v>0</v>
      </c>
      <c r="DI606">
        <f t="shared" si="237"/>
        <v>0</v>
      </c>
      <c r="DJ606">
        <f>DG606</f>
        <v>24.17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ROW(Source!A247)</f>
        <v>247</v>
      </c>
      <c r="B607">
        <v>55747649</v>
      </c>
      <c r="C607">
        <v>55748442</v>
      </c>
      <c r="D607">
        <v>54737367</v>
      </c>
      <c r="E607">
        <v>1</v>
      </c>
      <c r="F607">
        <v>1</v>
      </c>
      <c r="G607">
        <v>1081</v>
      </c>
      <c r="H607">
        <v>3</v>
      </c>
      <c r="I607" t="s">
        <v>538</v>
      </c>
      <c r="J607" t="s">
        <v>539</v>
      </c>
      <c r="K607" t="s">
        <v>540</v>
      </c>
      <c r="L607">
        <v>1339</v>
      </c>
      <c r="N607">
        <v>1007</v>
      </c>
      <c r="O607" t="s">
        <v>507</v>
      </c>
      <c r="P607" t="s">
        <v>507</v>
      </c>
      <c r="Q607">
        <v>1</v>
      </c>
      <c r="W607">
        <v>0</v>
      </c>
      <c r="X607">
        <v>-1622585150</v>
      </c>
      <c r="Y607">
        <f t="shared" si="243"/>
        <v>30</v>
      </c>
      <c r="AA607">
        <v>7.27</v>
      </c>
      <c r="AB607">
        <v>0</v>
      </c>
      <c r="AC607">
        <v>0</v>
      </c>
      <c r="AD607">
        <v>0</v>
      </c>
      <c r="AE607">
        <v>7.07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30</v>
      </c>
      <c r="AU607" t="s">
        <v>3</v>
      </c>
      <c r="AV607">
        <v>0</v>
      </c>
      <c r="AW607">
        <v>2</v>
      </c>
      <c r="AX607">
        <v>55748466</v>
      </c>
      <c r="AY607">
        <v>1</v>
      </c>
      <c r="AZ607">
        <v>0</v>
      </c>
      <c r="BA607">
        <v>645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ROUND(Y607*Source!I247,9)</f>
        <v>57</v>
      </c>
      <c r="CY607">
        <f t="shared" ref="CY607:CY617" si="247">AA607</f>
        <v>7.27</v>
      </c>
      <c r="CZ607">
        <f t="shared" ref="CZ607:CZ617" si="248">AE607</f>
        <v>7.07</v>
      </c>
      <c r="DA607">
        <f t="shared" ref="DA607:DA617" si="249">AI607</f>
        <v>1</v>
      </c>
      <c r="DB607">
        <f t="shared" si="244"/>
        <v>212.1</v>
      </c>
      <c r="DC607">
        <f t="shared" si="245"/>
        <v>0</v>
      </c>
      <c r="DD607" t="s">
        <v>3</v>
      </c>
      <c r="DE607" t="s">
        <v>3</v>
      </c>
      <c r="DF607">
        <f t="shared" si="246"/>
        <v>402.99</v>
      </c>
      <c r="DG607">
        <f t="shared" si="241"/>
        <v>0</v>
      </c>
      <c r="DH607">
        <f t="shared" si="242"/>
        <v>0</v>
      </c>
      <c r="DI607">
        <f t="shared" si="237"/>
        <v>0</v>
      </c>
      <c r="DJ607">
        <f t="shared" ref="DJ607:DJ617" si="250">DF607</f>
        <v>402.99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ROW(Source!A247)</f>
        <v>247</v>
      </c>
      <c r="B608">
        <v>55747649</v>
      </c>
      <c r="C608">
        <v>55748442</v>
      </c>
      <c r="D608">
        <v>54738430</v>
      </c>
      <c r="E608">
        <v>1</v>
      </c>
      <c r="F608">
        <v>1</v>
      </c>
      <c r="G608">
        <v>1081</v>
      </c>
      <c r="H608">
        <v>3</v>
      </c>
      <c r="I608" t="s">
        <v>562</v>
      </c>
      <c r="J608" t="s">
        <v>563</v>
      </c>
      <c r="K608" t="s">
        <v>564</v>
      </c>
      <c r="L608">
        <v>1348</v>
      </c>
      <c r="N608">
        <v>1009</v>
      </c>
      <c r="O608" t="s">
        <v>282</v>
      </c>
      <c r="P608" t="s">
        <v>282</v>
      </c>
      <c r="Q608">
        <v>1000</v>
      </c>
      <c r="W608">
        <v>0</v>
      </c>
      <c r="X608">
        <v>63955816</v>
      </c>
      <c r="Y608">
        <f t="shared" si="243"/>
        <v>2.3599999999999999E-2</v>
      </c>
      <c r="AA608">
        <v>7387.02</v>
      </c>
      <c r="AB608">
        <v>0</v>
      </c>
      <c r="AC608">
        <v>0</v>
      </c>
      <c r="AD608">
        <v>0</v>
      </c>
      <c r="AE608">
        <v>7185.82</v>
      </c>
      <c r="AF608">
        <v>0</v>
      </c>
      <c r="AG608">
        <v>0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2.3599999999999999E-2</v>
      </c>
      <c r="AU608" t="s">
        <v>3</v>
      </c>
      <c r="AV608">
        <v>0</v>
      </c>
      <c r="AW608">
        <v>2</v>
      </c>
      <c r="AX608">
        <v>55748467</v>
      </c>
      <c r="AY608">
        <v>1</v>
      </c>
      <c r="AZ608">
        <v>0</v>
      </c>
      <c r="BA608">
        <v>646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ROUND(Y608*Source!I247,9)</f>
        <v>4.4839999999999998E-2</v>
      </c>
      <c r="CY608">
        <f t="shared" si="247"/>
        <v>7387.02</v>
      </c>
      <c r="CZ608">
        <f t="shared" si="248"/>
        <v>7185.82</v>
      </c>
      <c r="DA608">
        <f t="shared" si="249"/>
        <v>1</v>
      </c>
      <c r="DB608">
        <f t="shared" si="244"/>
        <v>169.59</v>
      </c>
      <c r="DC608">
        <f t="shared" si="245"/>
        <v>0</v>
      </c>
      <c r="DD608" t="s">
        <v>3</v>
      </c>
      <c r="DE608" t="s">
        <v>3</v>
      </c>
      <c r="DF608">
        <f t="shared" si="246"/>
        <v>322.20999999999998</v>
      </c>
      <c r="DG608">
        <f t="shared" si="241"/>
        <v>0</v>
      </c>
      <c r="DH608">
        <f t="shared" si="242"/>
        <v>0</v>
      </c>
      <c r="DI608">
        <f t="shared" si="237"/>
        <v>0</v>
      </c>
      <c r="DJ608">
        <f t="shared" si="250"/>
        <v>322.20999999999998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ROW(Source!A247)</f>
        <v>247</v>
      </c>
      <c r="B609">
        <v>55747649</v>
      </c>
      <c r="C609">
        <v>55748442</v>
      </c>
      <c r="D609">
        <v>54738505</v>
      </c>
      <c r="E609">
        <v>1</v>
      </c>
      <c r="F609">
        <v>1</v>
      </c>
      <c r="G609">
        <v>1081</v>
      </c>
      <c r="H609">
        <v>3</v>
      </c>
      <c r="I609" t="s">
        <v>580</v>
      </c>
      <c r="J609" t="s">
        <v>581</v>
      </c>
      <c r="K609" t="s">
        <v>582</v>
      </c>
      <c r="L609">
        <v>1346</v>
      </c>
      <c r="N609">
        <v>1009</v>
      </c>
      <c r="O609" t="s">
        <v>503</v>
      </c>
      <c r="P609" t="s">
        <v>503</v>
      </c>
      <c r="Q609">
        <v>1</v>
      </c>
      <c r="W609">
        <v>0</v>
      </c>
      <c r="X609">
        <v>732400950</v>
      </c>
      <c r="Y609">
        <f t="shared" si="243"/>
        <v>11.6</v>
      </c>
      <c r="AA609">
        <v>21.59</v>
      </c>
      <c r="AB609">
        <v>0</v>
      </c>
      <c r="AC609">
        <v>0</v>
      </c>
      <c r="AD609">
        <v>0</v>
      </c>
      <c r="AE609">
        <v>21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11.6</v>
      </c>
      <c r="AU609" t="s">
        <v>3</v>
      </c>
      <c r="AV609">
        <v>0</v>
      </c>
      <c r="AW609">
        <v>2</v>
      </c>
      <c r="AX609">
        <v>55748468</v>
      </c>
      <c r="AY609">
        <v>1</v>
      </c>
      <c r="AZ609">
        <v>0</v>
      </c>
      <c r="BA609">
        <v>647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ROUND(Y609*Source!I247,9)</f>
        <v>22.04</v>
      </c>
      <c r="CY609">
        <f t="shared" si="247"/>
        <v>21.59</v>
      </c>
      <c r="CZ609">
        <f t="shared" si="248"/>
        <v>21</v>
      </c>
      <c r="DA609">
        <f t="shared" si="249"/>
        <v>1</v>
      </c>
      <c r="DB609">
        <f t="shared" si="244"/>
        <v>243.6</v>
      </c>
      <c r="DC609">
        <f t="shared" si="245"/>
        <v>0</v>
      </c>
      <c r="DD609" t="s">
        <v>3</v>
      </c>
      <c r="DE609" t="s">
        <v>3</v>
      </c>
      <c r="DF609">
        <f t="shared" si="246"/>
        <v>462.84</v>
      </c>
      <c r="DG609">
        <f t="shared" si="241"/>
        <v>0</v>
      </c>
      <c r="DH609">
        <f t="shared" si="242"/>
        <v>0</v>
      </c>
      <c r="DI609">
        <f t="shared" si="237"/>
        <v>0</v>
      </c>
      <c r="DJ609">
        <f t="shared" si="250"/>
        <v>462.84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ROW(Source!A247)</f>
        <v>247</v>
      </c>
      <c r="B610">
        <v>55747649</v>
      </c>
      <c r="C610">
        <v>55748442</v>
      </c>
      <c r="D610">
        <v>54738703</v>
      </c>
      <c r="E610">
        <v>1</v>
      </c>
      <c r="F610">
        <v>1</v>
      </c>
      <c r="G610">
        <v>1081</v>
      </c>
      <c r="H610">
        <v>3</v>
      </c>
      <c r="I610" t="s">
        <v>595</v>
      </c>
      <c r="J610" t="s">
        <v>596</v>
      </c>
      <c r="K610" t="s">
        <v>597</v>
      </c>
      <c r="L610">
        <v>1355</v>
      </c>
      <c r="N610">
        <v>1010</v>
      </c>
      <c r="O610" t="s">
        <v>254</v>
      </c>
      <c r="P610" t="s">
        <v>254</v>
      </c>
      <c r="Q610">
        <v>100</v>
      </c>
      <c r="W610">
        <v>0</v>
      </c>
      <c r="X610">
        <v>1567739421</v>
      </c>
      <c r="Y610">
        <f t="shared" si="243"/>
        <v>3.6</v>
      </c>
      <c r="AA610">
        <v>510.7</v>
      </c>
      <c r="AB610">
        <v>0</v>
      </c>
      <c r="AC610">
        <v>0</v>
      </c>
      <c r="AD610">
        <v>0</v>
      </c>
      <c r="AE610">
        <v>496.79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3.6</v>
      </c>
      <c r="AU610" t="s">
        <v>3</v>
      </c>
      <c r="AV610">
        <v>0</v>
      </c>
      <c r="AW610">
        <v>2</v>
      </c>
      <c r="AX610">
        <v>55748469</v>
      </c>
      <c r="AY610">
        <v>1</v>
      </c>
      <c r="AZ610">
        <v>0</v>
      </c>
      <c r="BA610">
        <v>648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ROUND(Y610*Source!I247,9)</f>
        <v>6.84</v>
      </c>
      <c r="CY610">
        <f t="shared" si="247"/>
        <v>510.7</v>
      </c>
      <c r="CZ610">
        <f t="shared" si="248"/>
        <v>496.79</v>
      </c>
      <c r="DA610">
        <f t="shared" si="249"/>
        <v>1</v>
      </c>
      <c r="DB610">
        <f t="shared" si="244"/>
        <v>1788.44</v>
      </c>
      <c r="DC610">
        <f t="shared" si="245"/>
        <v>0</v>
      </c>
      <c r="DD610" t="s">
        <v>3</v>
      </c>
      <c r="DE610" t="s">
        <v>3</v>
      </c>
      <c r="DF610">
        <f t="shared" si="246"/>
        <v>3398.04</v>
      </c>
      <c r="DG610">
        <f t="shared" si="241"/>
        <v>0</v>
      </c>
      <c r="DH610">
        <f t="shared" si="242"/>
        <v>0</v>
      </c>
      <c r="DI610">
        <f t="shared" si="237"/>
        <v>0</v>
      </c>
      <c r="DJ610">
        <f t="shared" si="250"/>
        <v>3398.04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ROW(Source!A247)</f>
        <v>247</v>
      </c>
      <c r="B611">
        <v>55747649</v>
      </c>
      <c r="C611">
        <v>55748442</v>
      </c>
      <c r="D611">
        <v>54738704</v>
      </c>
      <c r="E611">
        <v>1</v>
      </c>
      <c r="F611">
        <v>1</v>
      </c>
      <c r="G611">
        <v>1081</v>
      </c>
      <c r="H611">
        <v>3</v>
      </c>
      <c r="I611" t="s">
        <v>598</v>
      </c>
      <c r="J611" t="s">
        <v>599</v>
      </c>
      <c r="K611" t="s">
        <v>600</v>
      </c>
      <c r="L611">
        <v>1355</v>
      </c>
      <c r="N611">
        <v>1010</v>
      </c>
      <c r="O611" t="s">
        <v>254</v>
      </c>
      <c r="P611" t="s">
        <v>254</v>
      </c>
      <c r="Q611">
        <v>100</v>
      </c>
      <c r="W611">
        <v>0</v>
      </c>
      <c r="X611">
        <v>-96727844</v>
      </c>
      <c r="Y611">
        <f t="shared" si="243"/>
        <v>3.6</v>
      </c>
      <c r="AA611">
        <v>250.58</v>
      </c>
      <c r="AB611">
        <v>0</v>
      </c>
      <c r="AC611">
        <v>0</v>
      </c>
      <c r="AD611">
        <v>0</v>
      </c>
      <c r="AE611">
        <v>243.75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3.6</v>
      </c>
      <c r="AU611" t="s">
        <v>3</v>
      </c>
      <c r="AV611">
        <v>0</v>
      </c>
      <c r="AW611">
        <v>2</v>
      </c>
      <c r="AX611">
        <v>55748470</v>
      </c>
      <c r="AY611">
        <v>1</v>
      </c>
      <c r="AZ611">
        <v>0</v>
      </c>
      <c r="BA611">
        <v>649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ROUND(Y611*Source!I247,9)</f>
        <v>6.84</v>
      </c>
      <c r="CY611">
        <f t="shared" si="247"/>
        <v>250.58</v>
      </c>
      <c r="CZ611">
        <f t="shared" si="248"/>
        <v>243.75</v>
      </c>
      <c r="DA611">
        <f t="shared" si="249"/>
        <v>1</v>
      </c>
      <c r="DB611">
        <f t="shared" si="244"/>
        <v>877.5</v>
      </c>
      <c r="DC611">
        <f t="shared" si="245"/>
        <v>0</v>
      </c>
      <c r="DD611" t="s">
        <v>3</v>
      </c>
      <c r="DE611" t="s">
        <v>3</v>
      </c>
      <c r="DF611">
        <f t="shared" si="246"/>
        <v>1667.25</v>
      </c>
      <c r="DG611">
        <f t="shared" si="241"/>
        <v>0</v>
      </c>
      <c r="DH611">
        <f t="shared" si="242"/>
        <v>0</v>
      </c>
      <c r="DI611">
        <f t="shared" si="237"/>
        <v>0</v>
      </c>
      <c r="DJ611">
        <f t="shared" si="250"/>
        <v>1667.25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ROW(Source!A247)</f>
        <v>247</v>
      </c>
      <c r="B612">
        <v>55747649</v>
      </c>
      <c r="C612">
        <v>55748442</v>
      </c>
      <c r="D612">
        <v>54737299</v>
      </c>
      <c r="E612">
        <v>1</v>
      </c>
      <c r="F612">
        <v>1</v>
      </c>
      <c r="G612">
        <v>1081</v>
      </c>
      <c r="H612">
        <v>3</v>
      </c>
      <c r="I612" t="s">
        <v>583</v>
      </c>
      <c r="J612" t="s">
        <v>584</v>
      </c>
      <c r="K612" t="s">
        <v>585</v>
      </c>
      <c r="L612">
        <v>1339</v>
      </c>
      <c r="N612">
        <v>1007</v>
      </c>
      <c r="O612" t="s">
        <v>507</v>
      </c>
      <c r="P612" t="s">
        <v>507</v>
      </c>
      <c r="Q612">
        <v>1</v>
      </c>
      <c r="W612">
        <v>0</v>
      </c>
      <c r="X612">
        <v>-676034668</v>
      </c>
      <c r="Y612">
        <f t="shared" si="243"/>
        <v>9</v>
      </c>
      <c r="AA612">
        <v>54.92</v>
      </c>
      <c r="AB612">
        <v>0</v>
      </c>
      <c r="AC612">
        <v>0</v>
      </c>
      <c r="AD612">
        <v>0</v>
      </c>
      <c r="AE612">
        <v>53.42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9</v>
      </c>
      <c r="AU612" t="s">
        <v>3</v>
      </c>
      <c r="AV612">
        <v>0</v>
      </c>
      <c r="AW612">
        <v>2</v>
      </c>
      <c r="AX612">
        <v>55748471</v>
      </c>
      <c r="AY612">
        <v>1</v>
      </c>
      <c r="AZ612">
        <v>0</v>
      </c>
      <c r="BA612">
        <v>650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ROUND(Y612*Source!I247,9)</f>
        <v>17.100000000000001</v>
      </c>
      <c r="CY612">
        <f t="shared" si="247"/>
        <v>54.92</v>
      </c>
      <c r="CZ612">
        <f t="shared" si="248"/>
        <v>53.42</v>
      </c>
      <c r="DA612">
        <f t="shared" si="249"/>
        <v>1</v>
      </c>
      <c r="DB612">
        <f t="shared" si="244"/>
        <v>480.78</v>
      </c>
      <c r="DC612">
        <f t="shared" si="245"/>
        <v>0</v>
      </c>
      <c r="DD612" t="s">
        <v>3</v>
      </c>
      <c r="DE612" t="s">
        <v>3</v>
      </c>
      <c r="DF612">
        <f t="shared" si="246"/>
        <v>913.48</v>
      </c>
      <c r="DG612">
        <f t="shared" si="241"/>
        <v>0</v>
      </c>
      <c r="DH612">
        <f t="shared" si="242"/>
        <v>0</v>
      </c>
      <c r="DI612">
        <f t="shared" si="237"/>
        <v>0</v>
      </c>
      <c r="DJ612">
        <f t="shared" si="250"/>
        <v>913.48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ROW(Source!A247)</f>
        <v>247</v>
      </c>
      <c r="B613">
        <v>55747649</v>
      </c>
      <c r="C613">
        <v>55748442</v>
      </c>
      <c r="D613">
        <v>54737565</v>
      </c>
      <c r="E613">
        <v>1</v>
      </c>
      <c r="F613">
        <v>1</v>
      </c>
      <c r="G613">
        <v>1081</v>
      </c>
      <c r="H613">
        <v>3</v>
      </c>
      <c r="I613" t="s">
        <v>504</v>
      </c>
      <c r="J613" t="s">
        <v>505</v>
      </c>
      <c r="K613" t="s">
        <v>506</v>
      </c>
      <c r="L613">
        <v>1339</v>
      </c>
      <c r="N613">
        <v>1007</v>
      </c>
      <c r="O613" t="s">
        <v>507</v>
      </c>
      <c r="P613" t="s">
        <v>507</v>
      </c>
      <c r="Q613">
        <v>1</v>
      </c>
      <c r="W613">
        <v>0</v>
      </c>
      <c r="X613">
        <v>-1235260082</v>
      </c>
      <c r="Y613">
        <f t="shared" si="243"/>
        <v>11.6</v>
      </c>
      <c r="AA613">
        <v>5.98</v>
      </c>
      <c r="AB613">
        <v>0</v>
      </c>
      <c r="AC613">
        <v>0</v>
      </c>
      <c r="AD613">
        <v>0</v>
      </c>
      <c r="AE613">
        <v>5.82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11.6</v>
      </c>
      <c r="AU613" t="s">
        <v>3</v>
      </c>
      <c r="AV613">
        <v>0</v>
      </c>
      <c r="AW613">
        <v>2</v>
      </c>
      <c r="AX613">
        <v>55748472</v>
      </c>
      <c r="AY613">
        <v>1</v>
      </c>
      <c r="AZ613">
        <v>0</v>
      </c>
      <c r="BA613">
        <v>651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ROUND(Y613*Source!I247,9)</f>
        <v>22.04</v>
      </c>
      <c r="CY613">
        <f t="shared" si="247"/>
        <v>5.98</v>
      </c>
      <c r="CZ613">
        <f t="shared" si="248"/>
        <v>5.82</v>
      </c>
      <c r="DA613">
        <f t="shared" si="249"/>
        <v>1</v>
      </c>
      <c r="DB613">
        <f t="shared" si="244"/>
        <v>67.510000000000005</v>
      </c>
      <c r="DC613">
        <f t="shared" si="245"/>
        <v>0</v>
      </c>
      <c r="DD613" t="s">
        <v>3</v>
      </c>
      <c r="DE613" t="s">
        <v>3</v>
      </c>
      <c r="DF613">
        <f t="shared" si="246"/>
        <v>128.27000000000001</v>
      </c>
      <c r="DG613">
        <f t="shared" si="241"/>
        <v>0</v>
      </c>
      <c r="DH613">
        <f t="shared" si="242"/>
        <v>0</v>
      </c>
      <c r="DI613">
        <f t="shared" si="237"/>
        <v>0</v>
      </c>
      <c r="DJ613">
        <f t="shared" si="250"/>
        <v>128.27000000000001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ROW(Source!A247)</f>
        <v>247</v>
      </c>
      <c r="B614">
        <v>55747649</v>
      </c>
      <c r="C614">
        <v>55748442</v>
      </c>
      <c r="D614">
        <v>54749865</v>
      </c>
      <c r="E614">
        <v>1</v>
      </c>
      <c r="F614">
        <v>1</v>
      </c>
      <c r="G614">
        <v>1081</v>
      </c>
      <c r="H614">
        <v>3</v>
      </c>
      <c r="I614" t="s">
        <v>227</v>
      </c>
      <c r="J614" t="s">
        <v>229</v>
      </c>
      <c r="K614" t="s">
        <v>228</v>
      </c>
      <c r="L614">
        <v>1301</v>
      </c>
      <c r="N614">
        <v>1003</v>
      </c>
      <c r="O614" t="s">
        <v>191</v>
      </c>
      <c r="P614" t="s">
        <v>191</v>
      </c>
      <c r="Q614">
        <v>1</v>
      </c>
      <c r="W614">
        <v>0</v>
      </c>
      <c r="X614">
        <v>-2048145394</v>
      </c>
      <c r="Y614">
        <f t="shared" si="243"/>
        <v>105.7894737</v>
      </c>
      <c r="AA614">
        <v>41.57</v>
      </c>
      <c r="AB614">
        <v>0</v>
      </c>
      <c r="AC614">
        <v>0</v>
      </c>
      <c r="AD614">
        <v>0</v>
      </c>
      <c r="AE614">
        <v>41.57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0</v>
      </c>
      <c r="AS614" t="s">
        <v>3</v>
      </c>
      <c r="AT614">
        <v>105.7894737</v>
      </c>
      <c r="AU614" t="s">
        <v>3</v>
      </c>
      <c r="AV614">
        <v>0</v>
      </c>
      <c r="AW614">
        <v>1</v>
      </c>
      <c r="AX614">
        <v>-1</v>
      </c>
      <c r="AY614">
        <v>0</v>
      </c>
      <c r="AZ614">
        <v>0</v>
      </c>
      <c r="BA614" t="s">
        <v>3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ROUND(Y614*Source!I247,9)</f>
        <v>201.00000003</v>
      </c>
      <c r="CY614">
        <f t="shared" si="247"/>
        <v>41.57</v>
      </c>
      <c r="CZ614">
        <f t="shared" si="248"/>
        <v>41.57</v>
      </c>
      <c r="DA614">
        <f t="shared" si="249"/>
        <v>1</v>
      </c>
      <c r="DB614">
        <f t="shared" si="244"/>
        <v>4397.67</v>
      </c>
      <c r="DC614">
        <f t="shared" si="245"/>
        <v>0</v>
      </c>
      <c r="DD614" t="s">
        <v>3</v>
      </c>
      <c r="DE614" t="s">
        <v>3</v>
      </c>
      <c r="DF614">
        <f t="shared" si="246"/>
        <v>8355.57</v>
      </c>
      <c r="DG614">
        <f t="shared" si="241"/>
        <v>0</v>
      </c>
      <c r="DH614">
        <f t="shared" si="242"/>
        <v>0</v>
      </c>
      <c r="DI614">
        <f t="shared" si="237"/>
        <v>0</v>
      </c>
      <c r="DJ614">
        <f t="shared" si="250"/>
        <v>8355.57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ROW(Source!A247)</f>
        <v>247</v>
      </c>
      <c r="B615">
        <v>55747649</v>
      </c>
      <c r="C615">
        <v>55748442</v>
      </c>
      <c r="D615">
        <v>54749866</v>
      </c>
      <c r="E615">
        <v>1</v>
      </c>
      <c r="F615">
        <v>1</v>
      </c>
      <c r="G615">
        <v>1081</v>
      </c>
      <c r="H615">
        <v>3</v>
      </c>
      <c r="I615" t="s">
        <v>224</v>
      </c>
      <c r="J615" t="s">
        <v>226</v>
      </c>
      <c r="K615" t="s">
        <v>225</v>
      </c>
      <c r="L615">
        <v>1301</v>
      </c>
      <c r="N615">
        <v>1003</v>
      </c>
      <c r="O615" t="s">
        <v>191</v>
      </c>
      <c r="P615" t="s">
        <v>191</v>
      </c>
      <c r="Q615">
        <v>1</v>
      </c>
      <c r="W615">
        <v>0</v>
      </c>
      <c r="X615">
        <v>-173671470</v>
      </c>
      <c r="Y615">
        <f t="shared" si="243"/>
        <v>476.05263159999998</v>
      </c>
      <c r="AA615">
        <v>51.28</v>
      </c>
      <c r="AB615">
        <v>0</v>
      </c>
      <c r="AC615">
        <v>0</v>
      </c>
      <c r="AD615">
        <v>0</v>
      </c>
      <c r="AE615">
        <v>51.28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 t="s">
        <v>3</v>
      </c>
      <c r="AT615">
        <v>476.05263159999998</v>
      </c>
      <c r="AU615" t="s">
        <v>3</v>
      </c>
      <c r="AV615">
        <v>0</v>
      </c>
      <c r="AW615">
        <v>1</v>
      </c>
      <c r="AX615">
        <v>-1</v>
      </c>
      <c r="AY615">
        <v>0</v>
      </c>
      <c r="AZ615">
        <v>0</v>
      </c>
      <c r="BA615" t="s">
        <v>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ROUND(Y615*Source!I247,9)</f>
        <v>904.50000004000003</v>
      </c>
      <c r="CY615">
        <f t="shared" si="247"/>
        <v>51.28</v>
      </c>
      <c r="CZ615">
        <f t="shared" si="248"/>
        <v>51.28</v>
      </c>
      <c r="DA615">
        <f t="shared" si="249"/>
        <v>1</v>
      </c>
      <c r="DB615">
        <f t="shared" si="244"/>
        <v>24411.98</v>
      </c>
      <c r="DC615">
        <f t="shared" si="245"/>
        <v>0</v>
      </c>
      <c r="DD615" t="s">
        <v>3</v>
      </c>
      <c r="DE615" t="s">
        <v>3</v>
      </c>
      <c r="DF615">
        <f t="shared" si="246"/>
        <v>46382.76</v>
      </c>
      <c r="DG615">
        <f t="shared" si="241"/>
        <v>0</v>
      </c>
      <c r="DH615">
        <f t="shared" si="242"/>
        <v>0</v>
      </c>
      <c r="DI615">
        <f t="shared" si="237"/>
        <v>0</v>
      </c>
      <c r="DJ615">
        <f t="shared" si="250"/>
        <v>46382.76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ROW(Source!A247)</f>
        <v>247</v>
      </c>
      <c r="B616">
        <v>55747649</v>
      </c>
      <c r="C616">
        <v>55748442</v>
      </c>
      <c r="D616">
        <v>54749867</v>
      </c>
      <c r="E616">
        <v>1</v>
      </c>
      <c r="F616">
        <v>1</v>
      </c>
      <c r="G616">
        <v>1081</v>
      </c>
      <c r="H616">
        <v>3</v>
      </c>
      <c r="I616" t="s">
        <v>412</v>
      </c>
      <c r="J616" t="s">
        <v>414</v>
      </c>
      <c r="K616" t="s">
        <v>413</v>
      </c>
      <c r="L616">
        <v>1301</v>
      </c>
      <c r="N616">
        <v>1003</v>
      </c>
      <c r="O616" t="s">
        <v>191</v>
      </c>
      <c r="P616" t="s">
        <v>191</v>
      </c>
      <c r="Q616">
        <v>1</v>
      </c>
      <c r="W616">
        <v>0</v>
      </c>
      <c r="X616">
        <v>-2119850974</v>
      </c>
      <c r="Y616">
        <f t="shared" si="243"/>
        <v>423.15789469999999</v>
      </c>
      <c r="AA616">
        <v>61.58</v>
      </c>
      <c r="AB616">
        <v>0</v>
      </c>
      <c r="AC616">
        <v>0</v>
      </c>
      <c r="AD616">
        <v>0</v>
      </c>
      <c r="AE616">
        <v>61.58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3</v>
      </c>
      <c r="AT616">
        <v>423.15789469999999</v>
      </c>
      <c r="AU616" t="s">
        <v>3</v>
      </c>
      <c r="AV616">
        <v>0</v>
      </c>
      <c r="AW616">
        <v>1</v>
      </c>
      <c r="AX616">
        <v>-1</v>
      </c>
      <c r="AY616">
        <v>0</v>
      </c>
      <c r="AZ616">
        <v>0</v>
      </c>
      <c r="BA616" t="s">
        <v>3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ROUND(Y616*Source!I247,9)</f>
        <v>803.99999992999994</v>
      </c>
      <c r="CY616">
        <f t="shared" si="247"/>
        <v>61.58</v>
      </c>
      <c r="CZ616">
        <f t="shared" si="248"/>
        <v>61.58</v>
      </c>
      <c r="DA616">
        <f t="shared" si="249"/>
        <v>1</v>
      </c>
      <c r="DB616">
        <f t="shared" si="244"/>
        <v>26058.06</v>
      </c>
      <c r="DC616">
        <f t="shared" si="245"/>
        <v>0</v>
      </c>
      <c r="DD616" t="s">
        <v>3</v>
      </c>
      <c r="DE616" t="s">
        <v>3</v>
      </c>
      <c r="DF616">
        <f t="shared" si="246"/>
        <v>49510.32</v>
      </c>
      <c r="DG616">
        <f t="shared" si="241"/>
        <v>0</v>
      </c>
      <c r="DH616">
        <f t="shared" si="242"/>
        <v>0</v>
      </c>
      <c r="DI616">
        <f t="shared" si="237"/>
        <v>0</v>
      </c>
      <c r="DJ616">
        <f t="shared" si="250"/>
        <v>49510.32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ROW(Source!A247)</f>
        <v>247</v>
      </c>
      <c r="B617">
        <v>55747649</v>
      </c>
      <c r="C617">
        <v>55748442</v>
      </c>
      <c r="D617">
        <v>54759954</v>
      </c>
      <c r="E617">
        <v>1</v>
      </c>
      <c r="F617">
        <v>1</v>
      </c>
      <c r="G617">
        <v>1081</v>
      </c>
      <c r="H617">
        <v>3</v>
      </c>
      <c r="I617" t="s">
        <v>601</v>
      </c>
      <c r="J617" t="s">
        <v>602</v>
      </c>
      <c r="K617" t="s">
        <v>603</v>
      </c>
      <c r="L617">
        <v>1354</v>
      </c>
      <c r="N617">
        <v>1010</v>
      </c>
      <c r="O617" t="s">
        <v>118</v>
      </c>
      <c r="P617" t="s">
        <v>118</v>
      </c>
      <c r="Q617">
        <v>1</v>
      </c>
      <c r="W617">
        <v>0</v>
      </c>
      <c r="X617">
        <v>483106430</v>
      </c>
      <c r="Y617">
        <f t="shared" si="243"/>
        <v>360</v>
      </c>
      <c r="AA617">
        <v>14.68</v>
      </c>
      <c r="AB617">
        <v>0</v>
      </c>
      <c r="AC617">
        <v>0</v>
      </c>
      <c r="AD617">
        <v>0</v>
      </c>
      <c r="AE617">
        <v>14.28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360</v>
      </c>
      <c r="AU617" t="s">
        <v>3</v>
      </c>
      <c r="AV617">
        <v>0</v>
      </c>
      <c r="AW617">
        <v>2</v>
      </c>
      <c r="AX617">
        <v>55748473</v>
      </c>
      <c r="AY617">
        <v>1</v>
      </c>
      <c r="AZ617">
        <v>0</v>
      </c>
      <c r="BA617">
        <v>652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ROUND(Y617*Source!I247,9)</f>
        <v>684</v>
      </c>
      <c r="CY617">
        <f t="shared" si="247"/>
        <v>14.68</v>
      </c>
      <c r="CZ617">
        <f t="shared" si="248"/>
        <v>14.28</v>
      </c>
      <c r="DA617">
        <f t="shared" si="249"/>
        <v>1</v>
      </c>
      <c r="DB617">
        <f t="shared" si="244"/>
        <v>5140.8</v>
      </c>
      <c r="DC617">
        <f t="shared" si="245"/>
        <v>0</v>
      </c>
      <c r="DD617" t="s">
        <v>3</v>
      </c>
      <c r="DE617" t="s">
        <v>3</v>
      </c>
      <c r="DF617">
        <f t="shared" si="246"/>
        <v>9767.52</v>
      </c>
      <c r="DG617">
        <f t="shared" si="241"/>
        <v>0</v>
      </c>
      <c r="DH617">
        <f t="shared" si="242"/>
        <v>0</v>
      </c>
      <c r="DI617">
        <f t="shared" si="237"/>
        <v>0</v>
      </c>
      <c r="DJ617">
        <f t="shared" si="250"/>
        <v>9767.52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ROW(Source!A248)</f>
        <v>248</v>
      </c>
      <c r="B618">
        <v>55747651</v>
      </c>
      <c r="C618">
        <v>55748442</v>
      </c>
      <c r="D618">
        <v>54702434</v>
      </c>
      <c r="E618">
        <v>1081</v>
      </c>
      <c r="F618">
        <v>1</v>
      </c>
      <c r="G618">
        <v>1081</v>
      </c>
      <c r="H618">
        <v>1</v>
      </c>
      <c r="I618" t="s">
        <v>473</v>
      </c>
      <c r="J618" t="s">
        <v>3</v>
      </c>
      <c r="K618" t="s">
        <v>474</v>
      </c>
      <c r="L618">
        <v>1191</v>
      </c>
      <c r="N618">
        <v>1013</v>
      </c>
      <c r="O618" t="s">
        <v>475</v>
      </c>
      <c r="P618" t="s">
        <v>475</v>
      </c>
      <c r="Q618">
        <v>1</v>
      </c>
      <c r="W618">
        <v>0</v>
      </c>
      <c r="X618">
        <v>476480486</v>
      </c>
      <c r="Y618">
        <f t="shared" si="243"/>
        <v>1730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5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1730</v>
      </c>
      <c r="AU618" t="s">
        <v>3</v>
      </c>
      <c r="AV618">
        <v>1</v>
      </c>
      <c r="AW618">
        <v>2</v>
      </c>
      <c r="AX618">
        <v>55748460</v>
      </c>
      <c r="AY618">
        <v>1</v>
      </c>
      <c r="AZ618">
        <v>0</v>
      </c>
      <c r="BA618">
        <v>654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U618">
        <f>ROUND(AT618*Source!I248*AH618*AL618,2)</f>
        <v>0</v>
      </c>
      <c r="CV618">
        <f>ROUND(Y618*Source!I248,9)</f>
        <v>3287</v>
      </c>
      <c r="CW618">
        <v>0</v>
      </c>
      <c r="CX618">
        <f>ROUND(Y618*Source!I248,9)</f>
        <v>3287</v>
      </c>
      <c r="CY618">
        <f>AD618</f>
        <v>0</v>
      </c>
      <c r="CZ618">
        <f>AH618</f>
        <v>0</v>
      </c>
      <c r="DA618">
        <f>AL618</f>
        <v>1</v>
      </c>
      <c r="DB618">
        <f t="shared" si="244"/>
        <v>0</v>
      </c>
      <c r="DC618">
        <f t="shared" si="245"/>
        <v>0</v>
      </c>
      <c r="DD618" t="s">
        <v>3</v>
      </c>
      <c r="DE618" t="s">
        <v>3</v>
      </c>
      <c r="DF618">
        <f t="shared" si="246"/>
        <v>0</v>
      </c>
      <c r="DG618">
        <f t="shared" si="241"/>
        <v>0</v>
      </c>
      <c r="DH618">
        <f t="shared" si="242"/>
        <v>0</v>
      </c>
      <c r="DI618">
        <f t="shared" si="237"/>
        <v>0</v>
      </c>
      <c r="DJ618">
        <f>DI618</f>
        <v>0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ROW(Source!A248)</f>
        <v>248</v>
      </c>
      <c r="B619">
        <v>55747651</v>
      </c>
      <c r="C619">
        <v>55748442</v>
      </c>
      <c r="D619">
        <v>54767934</v>
      </c>
      <c r="E619">
        <v>1</v>
      </c>
      <c r="F619">
        <v>1</v>
      </c>
      <c r="G619">
        <v>1081</v>
      </c>
      <c r="H619">
        <v>2</v>
      </c>
      <c r="I619" t="s">
        <v>586</v>
      </c>
      <c r="J619" t="s">
        <v>587</v>
      </c>
      <c r="K619" t="s">
        <v>588</v>
      </c>
      <c r="L619">
        <v>1368</v>
      </c>
      <c r="N619">
        <v>1011</v>
      </c>
      <c r="O619" t="s">
        <v>479</v>
      </c>
      <c r="P619" t="s">
        <v>479</v>
      </c>
      <c r="Q619">
        <v>1</v>
      </c>
      <c r="W619">
        <v>0</v>
      </c>
      <c r="X619">
        <v>-1222619517</v>
      </c>
      <c r="Y619">
        <f t="shared" si="243"/>
        <v>13.5</v>
      </c>
      <c r="AA619">
        <v>0</v>
      </c>
      <c r="AB619">
        <v>1209.95</v>
      </c>
      <c r="AC619">
        <v>758.78</v>
      </c>
      <c r="AD619">
        <v>0</v>
      </c>
      <c r="AE619">
        <v>0</v>
      </c>
      <c r="AF619">
        <v>48.07</v>
      </c>
      <c r="AG619">
        <v>12.62</v>
      </c>
      <c r="AH619">
        <v>0</v>
      </c>
      <c r="AI619">
        <v>1</v>
      </c>
      <c r="AJ619">
        <v>23.59</v>
      </c>
      <c r="AK619">
        <v>56.35</v>
      </c>
      <c r="AL619">
        <v>1</v>
      </c>
      <c r="AM619">
        <v>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13.5</v>
      </c>
      <c r="AU619" t="s">
        <v>3</v>
      </c>
      <c r="AV619">
        <v>0</v>
      </c>
      <c r="AW619">
        <v>2</v>
      </c>
      <c r="AX619">
        <v>55748461</v>
      </c>
      <c r="AY619">
        <v>1</v>
      </c>
      <c r="AZ619">
        <v>0</v>
      </c>
      <c r="BA619">
        <v>655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f>ROUND(Y619*Source!I248*DO619,9)</f>
        <v>323.70299999999997</v>
      </c>
      <c r="CX619">
        <f>ROUND(Y619*Source!I248,9)</f>
        <v>25.65</v>
      </c>
      <c r="CY619">
        <f>AB619</f>
        <v>1209.95</v>
      </c>
      <c r="CZ619">
        <f>AF619</f>
        <v>48.07</v>
      </c>
      <c r="DA619">
        <f>AJ619</f>
        <v>23.59</v>
      </c>
      <c r="DB619">
        <f t="shared" si="244"/>
        <v>648.95000000000005</v>
      </c>
      <c r="DC619">
        <f t="shared" si="245"/>
        <v>170.37</v>
      </c>
      <c r="DD619" t="s">
        <v>3</v>
      </c>
      <c r="DE619" t="s">
        <v>3</v>
      </c>
      <c r="DF619">
        <f t="shared" si="246"/>
        <v>0</v>
      </c>
      <c r="DG619">
        <f>ROUND(ROUND(AF619*AJ619,2)*CX619,2)</f>
        <v>29086.33</v>
      </c>
      <c r="DH619">
        <f>ROUND(ROUND(AG619*AK619,2)*CX619,2)</f>
        <v>18240.740000000002</v>
      </c>
      <c r="DI619">
        <f t="shared" si="237"/>
        <v>0</v>
      </c>
      <c r="DJ619">
        <f>DG619</f>
        <v>29086.33</v>
      </c>
      <c r="DK619">
        <v>0</v>
      </c>
      <c r="DL619" t="s">
        <v>486</v>
      </c>
      <c r="DM619">
        <v>0</v>
      </c>
      <c r="DN619" t="s">
        <v>475</v>
      </c>
      <c r="DO619">
        <v>12.62</v>
      </c>
    </row>
    <row r="620" spans="1:119" x14ac:dyDescent="0.2">
      <c r="A620">
        <f>ROW(Source!A248)</f>
        <v>248</v>
      </c>
      <c r="B620">
        <v>55747651</v>
      </c>
      <c r="C620">
        <v>55748442</v>
      </c>
      <c r="D620">
        <v>54767971</v>
      </c>
      <c r="E620">
        <v>1</v>
      </c>
      <c r="F620">
        <v>1</v>
      </c>
      <c r="G620">
        <v>1081</v>
      </c>
      <c r="H620">
        <v>2</v>
      </c>
      <c r="I620" t="s">
        <v>589</v>
      </c>
      <c r="J620" t="s">
        <v>590</v>
      </c>
      <c r="K620" t="s">
        <v>591</v>
      </c>
      <c r="L620">
        <v>1368</v>
      </c>
      <c r="N620">
        <v>1011</v>
      </c>
      <c r="O620" t="s">
        <v>479</v>
      </c>
      <c r="P620" t="s">
        <v>479</v>
      </c>
      <c r="Q620">
        <v>1</v>
      </c>
      <c r="W620">
        <v>0</v>
      </c>
      <c r="X620">
        <v>210297649</v>
      </c>
      <c r="Y620">
        <f t="shared" si="243"/>
        <v>110</v>
      </c>
      <c r="AA620">
        <v>0</v>
      </c>
      <c r="AB620">
        <v>65.790000000000006</v>
      </c>
      <c r="AC620">
        <v>0</v>
      </c>
      <c r="AD620">
        <v>0</v>
      </c>
      <c r="AE620">
        <v>0</v>
      </c>
      <c r="AF620">
        <v>5.79</v>
      </c>
      <c r="AG620">
        <v>0</v>
      </c>
      <c r="AH620">
        <v>0</v>
      </c>
      <c r="AI620">
        <v>1</v>
      </c>
      <c r="AJ620">
        <v>10.65</v>
      </c>
      <c r="AK620">
        <v>1</v>
      </c>
      <c r="AL620">
        <v>1</v>
      </c>
      <c r="AM620">
        <v>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110</v>
      </c>
      <c r="AU620" t="s">
        <v>3</v>
      </c>
      <c r="AV620">
        <v>0</v>
      </c>
      <c r="AW620">
        <v>2</v>
      </c>
      <c r="AX620">
        <v>55748462</v>
      </c>
      <c r="AY620">
        <v>1</v>
      </c>
      <c r="AZ620">
        <v>0</v>
      </c>
      <c r="BA620">
        <v>656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f>ROUND(Y620*Source!I248*DO620,9)</f>
        <v>0</v>
      </c>
      <c r="CX620">
        <f>ROUND(Y620*Source!I248,9)</f>
        <v>209</v>
      </c>
      <c r="CY620">
        <f>AB620</f>
        <v>65.790000000000006</v>
      </c>
      <c r="CZ620">
        <f>AF620</f>
        <v>5.79</v>
      </c>
      <c r="DA620">
        <f>AJ620</f>
        <v>10.65</v>
      </c>
      <c r="DB620">
        <f t="shared" si="244"/>
        <v>636.9</v>
      </c>
      <c r="DC620">
        <f t="shared" si="245"/>
        <v>0</v>
      </c>
      <c r="DD620" t="s">
        <v>3</v>
      </c>
      <c r="DE620" t="s">
        <v>3</v>
      </c>
      <c r="DF620">
        <f t="shared" si="246"/>
        <v>0</v>
      </c>
      <c r="DG620">
        <f>ROUND(ROUND(AF620*AJ620,2)*CX620,2)</f>
        <v>12886.94</v>
      </c>
      <c r="DH620">
        <f>ROUND(ROUND(AG620,2)*CX620,2)</f>
        <v>0</v>
      </c>
      <c r="DI620">
        <f t="shared" si="237"/>
        <v>0</v>
      </c>
      <c r="DJ620">
        <f>DG620</f>
        <v>12886.94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ROW(Source!A248)</f>
        <v>248</v>
      </c>
      <c r="B621">
        <v>55747651</v>
      </c>
      <c r="C621">
        <v>55748442</v>
      </c>
      <c r="D621">
        <v>54768040</v>
      </c>
      <c r="E621">
        <v>1</v>
      </c>
      <c r="F621">
        <v>1</v>
      </c>
      <c r="G621">
        <v>1081</v>
      </c>
      <c r="H621">
        <v>2</v>
      </c>
      <c r="I621" t="s">
        <v>476</v>
      </c>
      <c r="J621" t="s">
        <v>477</v>
      </c>
      <c r="K621" t="s">
        <v>478</v>
      </c>
      <c r="L621">
        <v>1368</v>
      </c>
      <c r="N621">
        <v>1011</v>
      </c>
      <c r="O621" t="s">
        <v>479</v>
      </c>
      <c r="P621" t="s">
        <v>479</v>
      </c>
      <c r="Q621">
        <v>1</v>
      </c>
      <c r="W621">
        <v>0</v>
      </c>
      <c r="X621">
        <v>1498588441</v>
      </c>
      <c r="Y621">
        <f t="shared" si="243"/>
        <v>114</v>
      </c>
      <c r="AA621">
        <v>0</v>
      </c>
      <c r="AB621">
        <v>102.11</v>
      </c>
      <c r="AC621">
        <v>0</v>
      </c>
      <c r="AD621">
        <v>0</v>
      </c>
      <c r="AE621">
        <v>0</v>
      </c>
      <c r="AF621">
        <v>7.11</v>
      </c>
      <c r="AG621">
        <v>0</v>
      </c>
      <c r="AH621">
        <v>0</v>
      </c>
      <c r="AI621">
        <v>1</v>
      </c>
      <c r="AJ621">
        <v>13.46</v>
      </c>
      <c r="AK621">
        <v>1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114</v>
      </c>
      <c r="AU621" t="s">
        <v>3</v>
      </c>
      <c r="AV621">
        <v>0</v>
      </c>
      <c r="AW621">
        <v>2</v>
      </c>
      <c r="AX621">
        <v>55748463</v>
      </c>
      <c r="AY621">
        <v>1</v>
      </c>
      <c r="AZ621">
        <v>0</v>
      </c>
      <c r="BA621">
        <v>657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f>ROUND(Y621*Source!I248*DO621,9)</f>
        <v>0</v>
      </c>
      <c r="CX621">
        <f>ROUND(Y621*Source!I248,9)</f>
        <v>216.6</v>
      </c>
      <c r="CY621">
        <f>AB621</f>
        <v>102.11</v>
      </c>
      <c r="CZ621">
        <f>AF621</f>
        <v>7.11</v>
      </c>
      <c r="DA621">
        <f>AJ621</f>
        <v>13.46</v>
      </c>
      <c r="DB621">
        <f t="shared" si="244"/>
        <v>810.54</v>
      </c>
      <c r="DC621">
        <f t="shared" si="245"/>
        <v>0</v>
      </c>
      <c r="DD621" t="s">
        <v>3</v>
      </c>
      <c r="DE621" t="s">
        <v>3</v>
      </c>
      <c r="DF621">
        <f t="shared" si="246"/>
        <v>0</v>
      </c>
      <c r="DG621">
        <f>ROUND(ROUND(AF621*AJ621,2)*CX621,2)</f>
        <v>20728.62</v>
      </c>
      <c r="DH621">
        <f>ROUND(ROUND(AG621,2)*CX621,2)</f>
        <v>0</v>
      </c>
      <c r="DI621">
        <f t="shared" si="237"/>
        <v>0</v>
      </c>
      <c r="DJ621">
        <f>DG621</f>
        <v>20728.62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ROW(Source!A248)</f>
        <v>248</v>
      </c>
      <c r="B622">
        <v>55747651</v>
      </c>
      <c r="C622">
        <v>55748442</v>
      </c>
      <c r="D622">
        <v>54768339</v>
      </c>
      <c r="E622">
        <v>1</v>
      </c>
      <c r="F622">
        <v>1</v>
      </c>
      <c r="G622">
        <v>1081</v>
      </c>
      <c r="H622">
        <v>2</v>
      </c>
      <c r="I622" t="s">
        <v>483</v>
      </c>
      <c r="J622" t="s">
        <v>484</v>
      </c>
      <c r="K622" t="s">
        <v>485</v>
      </c>
      <c r="L622">
        <v>1368</v>
      </c>
      <c r="N622">
        <v>1011</v>
      </c>
      <c r="O622" t="s">
        <v>479</v>
      </c>
      <c r="P622" t="s">
        <v>479</v>
      </c>
      <c r="Q622">
        <v>1</v>
      </c>
      <c r="W622">
        <v>0</v>
      </c>
      <c r="X622">
        <v>874612079</v>
      </c>
      <c r="Y622">
        <f t="shared" si="243"/>
        <v>5.36</v>
      </c>
      <c r="AA622">
        <v>0</v>
      </c>
      <c r="AB622">
        <v>1513.56</v>
      </c>
      <c r="AC622">
        <v>758.78</v>
      </c>
      <c r="AD622">
        <v>0</v>
      </c>
      <c r="AE622">
        <v>0</v>
      </c>
      <c r="AF622">
        <v>83.1</v>
      </c>
      <c r="AG622">
        <v>12.62</v>
      </c>
      <c r="AH622">
        <v>0</v>
      </c>
      <c r="AI622">
        <v>1</v>
      </c>
      <c r="AJ622">
        <v>17.07</v>
      </c>
      <c r="AK622">
        <v>56.35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5.36</v>
      </c>
      <c r="AU622" t="s">
        <v>3</v>
      </c>
      <c r="AV622">
        <v>0</v>
      </c>
      <c r="AW622">
        <v>2</v>
      </c>
      <c r="AX622">
        <v>55748464</v>
      </c>
      <c r="AY622">
        <v>1</v>
      </c>
      <c r="AZ622">
        <v>0</v>
      </c>
      <c r="BA622">
        <v>658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ROUND(Y622*Source!I248*DO622,9)</f>
        <v>128.52207999999999</v>
      </c>
      <c r="CX622">
        <f>ROUND(Y622*Source!I248,9)</f>
        <v>10.183999999999999</v>
      </c>
      <c r="CY622">
        <f>AB622</f>
        <v>1513.56</v>
      </c>
      <c r="CZ622">
        <f>AF622</f>
        <v>83.1</v>
      </c>
      <c r="DA622">
        <f>AJ622</f>
        <v>17.07</v>
      </c>
      <c r="DB622">
        <f t="shared" si="244"/>
        <v>445.42</v>
      </c>
      <c r="DC622">
        <f t="shared" si="245"/>
        <v>67.64</v>
      </c>
      <c r="DD622" t="s">
        <v>3</v>
      </c>
      <c r="DE622" t="s">
        <v>3</v>
      </c>
      <c r="DF622">
        <f t="shared" si="246"/>
        <v>0</v>
      </c>
      <c r="DG622">
        <f>ROUND(ROUND(AF622*AJ622,2)*CX622,2)</f>
        <v>14446.21</v>
      </c>
      <c r="DH622">
        <f>ROUND(ROUND(AG622*AK622,2)*CX622,2)</f>
        <v>7242.25</v>
      </c>
      <c r="DI622">
        <f t="shared" si="237"/>
        <v>0</v>
      </c>
      <c r="DJ622">
        <f>DG622</f>
        <v>14446.21</v>
      </c>
      <c r="DK622">
        <v>0</v>
      </c>
      <c r="DL622" t="s">
        <v>486</v>
      </c>
      <c r="DM622">
        <v>0</v>
      </c>
      <c r="DN622" t="s">
        <v>475</v>
      </c>
      <c r="DO622">
        <v>12.62</v>
      </c>
    </row>
    <row r="623" spans="1:119" x14ac:dyDescent="0.2">
      <c r="A623">
        <f>ROW(Source!A248)</f>
        <v>248</v>
      </c>
      <c r="B623">
        <v>55747651</v>
      </c>
      <c r="C623">
        <v>55748442</v>
      </c>
      <c r="D623">
        <v>54767657</v>
      </c>
      <c r="E623">
        <v>1</v>
      </c>
      <c r="F623">
        <v>1</v>
      </c>
      <c r="G623">
        <v>1081</v>
      </c>
      <c r="H623">
        <v>2</v>
      </c>
      <c r="I623" t="s">
        <v>592</v>
      </c>
      <c r="J623" t="s">
        <v>593</v>
      </c>
      <c r="K623" t="s">
        <v>594</v>
      </c>
      <c r="L623">
        <v>1368</v>
      </c>
      <c r="N623">
        <v>1011</v>
      </c>
      <c r="O623" t="s">
        <v>479</v>
      </c>
      <c r="P623" t="s">
        <v>479</v>
      </c>
      <c r="Q623">
        <v>1</v>
      </c>
      <c r="W623">
        <v>0</v>
      </c>
      <c r="X623">
        <v>-1755828087</v>
      </c>
      <c r="Y623">
        <f t="shared" si="243"/>
        <v>4</v>
      </c>
      <c r="AA623">
        <v>0</v>
      </c>
      <c r="AB623">
        <v>34.85</v>
      </c>
      <c r="AC623">
        <v>0</v>
      </c>
      <c r="AD623">
        <v>0</v>
      </c>
      <c r="AE623">
        <v>0</v>
      </c>
      <c r="AF623">
        <v>3.18</v>
      </c>
      <c r="AG623">
        <v>0</v>
      </c>
      <c r="AH623">
        <v>0</v>
      </c>
      <c r="AI623">
        <v>1</v>
      </c>
      <c r="AJ623">
        <v>10.27</v>
      </c>
      <c r="AK623">
        <v>1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4</v>
      </c>
      <c r="AU623" t="s">
        <v>3</v>
      </c>
      <c r="AV623">
        <v>0</v>
      </c>
      <c r="AW623">
        <v>2</v>
      </c>
      <c r="AX623">
        <v>55748465</v>
      </c>
      <c r="AY623">
        <v>1</v>
      </c>
      <c r="AZ623">
        <v>0</v>
      </c>
      <c r="BA623">
        <v>659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ROUND(Y623*Source!I248*DO623,9)</f>
        <v>0</v>
      </c>
      <c r="CX623">
        <f>ROUND(Y623*Source!I248,9)</f>
        <v>7.6</v>
      </c>
      <c r="CY623">
        <f>AB623</f>
        <v>34.85</v>
      </c>
      <c r="CZ623">
        <f>AF623</f>
        <v>3.18</v>
      </c>
      <c r="DA623">
        <f>AJ623</f>
        <v>10.27</v>
      </c>
      <c r="DB623">
        <f t="shared" si="244"/>
        <v>12.72</v>
      </c>
      <c r="DC623">
        <f t="shared" si="245"/>
        <v>0</v>
      </c>
      <c r="DD623" t="s">
        <v>3</v>
      </c>
      <c r="DE623" t="s">
        <v>3</v>
      </c>
      <c r="DF623">
        <f t="shared" si="246"/>
        <v>0</v>
      </c>
      <c r="DG623">
        <f>ROUND(ROUND(AF623*AJ623,2)*CX623,2)</f>
        <v>248.22</v>
      </c>
      <c r="DH623">
        <f t="shared" ref="DH623:DH652" si="251">ROUND(ROUND(AG623,2)*CX623,2)</f>
        <v>0</v>
      </c>
      <c r="DI623">
        <f t="shared" si="237"/>
        <v>0</v>
      </c>
      <c r="DJ623">
        <f>DG623</f>
        <v>248.22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">
      <c r="A624">
        <f>ROW(Source!A248)</f>
        <v>248</v>
      </c>
      <c r="B624">
        <v>55747651</v>
      </c>
      <c r="C624">
        <v>55748442</v>
      </c>
      <c r="D624">
        <v>54737367</v>
      </c>
      <c r="E624">
        <v>1</v>
      </c>
      <c r="F624">
        <v>1</v>
      </c>
      <c r="G624">
        <v>1081</v>
      </c>
      <c r="H624">
        <v>3</v>
      </c>
      <c r="I624" t="s">
        <v>538</v>
      </c>
      <c r="J624" t="s">
        <v>539</v>
      </c>
      <c r="K624" t="s">
        <v>540</v>
      </c>
      <c r="L624">
        <v>1339</v>
      </c>
      <c r="N624">
        <v>1007</v>
      </c>
      <c r="O624" t="s">
        <v>507</v>
      </c>
      <c r="P624" t="s">
        <v>507</v>
      </c>
      <c r="Q624">
        <v>1</v>
      </c>
      <c r="W624">
        <v>0</v>
      </c>
      <c r="X624">
        <v>-1622585150</v>
      </c>
      <c r="Y624">
        <f t="shared" si="243"/>
        <v>30</v>
      </c>
      <c r="AA624">
        <v>56.33</v>
      </c>
      <c r="AB624">
        <v>0</v>
      </c>
      <c r="AC624">
        <v>0</v>
      </c>
      <c r="AD624">
        <v>0</v>
      </c>
      <c r="AE624">
        <v>7.07</v>
      </c>
      <c r="AF624">
        <v>0</v>
      </c>
      <c r="AG624">
        <v>0</v>
      </c>
      <c r="AH624">
        <v>0</v>
      </c>
      <c r="AI624">
        <v>7.75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30</v>
      </c>
      <c r="AU624" t="s">
        <v>3</v>
      </c>
      <c r="AV624">
        <v>0</v>
      </c>
      <c r="AW624">
        <v>2</v>
      </c>
      <c r="AX624">
        <v>55748466</v>
      </c>
      <c r="AY624">
        <v>1</v>
      </c>
      <c r="AZ624">
        <v>0</v>
      </c>
      <c r="BA624">
        <v>660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ROUND(Y624*Source!I248,9)</f>
        <v>57</v>
      </c>
      <c r="CY624">
        <f t="shared" ref="CY624:CY634" si="252">AA624</f>
        <v>56.33</v>
      </c>
      <c r="CZ624">
        <f t="shared" ref="CZ624:CZ634" si="253">AE624</f>
        <v>7.07</v>
      </c>
      <c r="DA624">
        <f t="shared" ref="DA624:DA634" si="254">AI624</f>
        <v>7.75</v>
      </c>
      <c r="DB624">
        <f t="shared" si="244"/>
        <v>212.1</v>
      </c>
      <c r="DC624">
        <f t="shared" si="245"/>
        <v>0</v>
      </c>
      <c r="DD624" t="s">
        <v>3</v>
      </c>
      <c r="DE624" t="s">
        <v>3</v>
      </c>
      <c r="DF624">
        <f t="shared" ref="DF624:DF634" si="255">ROUND(ROUND(AE624*AI624,2)*CX624,2)</f>
        <v>3123.03</v>
      </c>
      <c r="DG624">
        <f t="shared" ref="DG624:DG652" si="256">ROUND(ROUND(AF624,2)*CX624,2)</f>
        <v>0</v>
      </c>
      <c r="DH624">
        <f t="shared" si="251"/>
        <v>0</v>
      </c>
      <c r="DI624">
        <f t="shared" si="237"/>
        <v>0</v>
      </c>
      <c r="DJ624">
        <f t="shared" ref="DJ624:DJ634" si="257">DF624</f>
        <v>3123.03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ROW(Source!A248)</f>
        <v>248</v>
      </c>
      <c r="B625">
        <v>55747651</v>
      </c>
      <c r="C625">
        <v>55748442</v>
      </c>
      <c r="D625">
        <v>54738430</v>
      </c>
      <c r="E625">
        <v>1</v>
      </c>
      <c r="F625">
        <v>1</v>
      </c>
      <c r="G625">
        <v>1081</v>
      </c>
      <c r="H625">
        <v>3</v>
      </c>
      <c r="I625" t="s">
        <v>562</v>
      </c>
      <c r="J625" t="s">
        <v>563</v>
      </c>
      <c r="K625" t="s">
        <v>564</v>
      </c>
      <c r="L625">
        <v>1348</v>
      </c>
      <c r="N625">
        <v>1009</v>
      </c>
      <c r="O625" t="s">
        <v>282</v>
      </c>
      <c r="P625" t="s">
        <v>282</v>
      </c>
      <c r="Q625">
        <v>1000</v>
      </c>
      <c r="W625">
        <v>0</v>
      </c>
      <c r="X625">
        <v>63955816</v>
      </c>
      <c r="Y625">
        <f t="shared" si="243"/>
        <v>2.3599999999999999E-2</v>
      </c>
      <c r="AA625">
        <v>99503.2</v>
      </c>
      <c r="AB625">
        <v>0</v>
      </c>
      <c r="AC625">
        <v>0</v>
      </c>
      <c r="AD625">
        <v>0</v>
      </c>
      <c r="AE625">
        <v>7185.82</v>
      </c>
      <c r="AF625">
        <v>0</v>
      </c>
      <c r="AG625">
        <v>0</v>
      </c>
      <c r="AH625">
        <v>0</v>
      </c>
      <c r="AI625">
        <v>13.47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2.3599999999999999E-2</v>
      </c>
      <c r="AU625" t="s">
        <v>3</v>
      </c>
      <c r="AV625">
        <v>0</v>
      </c>
      <c r="AW625">
        <v>2</v>
      </c>
      <c r="AX625">
        <v>55748467</v>
      </c>
      <c r="AY625">
        <v>1</v>
      </c>
      <c r="AZ625">
        <v>0</v>
      </c>
      <c r="BA625">
        <v>661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ROUND(Y625*Source!I248,9)</f>
        <v>4.4839999999999998E-2</v>
      </c>
      <c r="CY625">
        <f t="shared" si="252"/>
        <v>99503.2</v>
      </c>
      <c r="CZ625">
        <f t="shared" si="253"/>
        <v>7185.82</v>
      </c>
      <c r="DA625">
        <f t="shared" si="254"/>
        <v>13.47</v>
      </c>
      <c r="DB625">
        <f t="shared" si="244"/>
        <v>169.59</v>
      </c>
      <c r="DC625">
        <f t="shared" si="245"/>
        <v>0</v>
      </c>
      <c r="DD625" t="s">
        <v>3</v>
      </c>
      <c r="DE625" t="s">
        <v>3</v>
      </c>
      <c r="DF625">
        <f t="shared" si="255"/>
        <v>4340.2</v>
      </c>
      <c r="DG625">
        <f t="shared" si="256"/>
        <v>0</v>
      </c>
      <c r="DH625">
        <f t="shared" si="251"/>
        <v>0</v>
      </c>
      <c r="DI625">
        <f t="shared" si="237"/>
        <v>0</v>
      </c>
      <c r="DJ625">
        <f t="shared" si="257"/>
        <v>4340.2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ROW(Source!A248)</f>
        <v>248</v>
      </c>
      <c r="B626">
        <v>55747651</v>
      </c>
      <c r="C626">
        <v>55748442</v>
      </c>
      <c r="D626">
        <v>54738505</v>
      </c>
      <c r="E626">
        <v>1</v>
      </c>
      <c r="F626">
        <v>1</v>
      </c>
      <c r="G626">
        <v>1081</v>
      </c>
      <c r="H626">
        <v>3</v>
      </c>
      <c r="I626" t="s">
        <v>580</v>
      </c>
      <c r="J626" t="s">
        <v>581</v>
      </c>
      <c r="K626" t="s">
        <v>582</v>
      </c>
      <c r="L626">
        <v>1346</v>
      </c>
      <c r="N626">
        <v>1009</v>
      </c>
      <c r="O626" t="s">
        <v>503</v>
      </c>
      <c r="P626" t="s">
        <v>503</v>
      </c>
      <c r="Q626">
        <v>1</v>
      </c>
      <c r="W626">
        <v>0</v>
      </c>
      <c r="X626">
        <v>732400950</v>
      </c>
      <c r="Y626">
        <f t="shared" si="243"/>
        <v>11.6</v>
      </c>
      <c r="AA626">
        <v>94.12</v>
      </c>
      <c r="AB626">
        <v>0</v>
      </c>
      <c r="AC626">
        <v>0</v>
      </c>
      <c r="AD626">
        <v>0</v>
      </c>
      <c r="AE626">
        <v>21</v>
      </c>
      <c r="AF626">
        <v>0</v>
      </c>
      <c r="AG626">
        <v>0</v>
      </c>
      <c r="AH626">
        <v>0</v>
      </c>
      <c r="AI626">
        <v>4.3600000000000003</v>
      </c>
      <c r="AJ626">
        <v>1</v>
      </c>
      <c r="AK626">
        <v>1</v>
      </c>
      <c r="AL626">
        <v>1</v>
      </c>
      <c r="AM626">
        <v>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11.6</v>
      </c>
      <c r="AU626" t="s">
        <v>3</v>
      </c>
      <c r="AV626">
        <v>0</v>
      </c>
      <c r="AW626">
        <v>2</v>
      </c>
      <c r="AX626">
        <v>55748468</v>
      </c>
      <c r="AY626">
        <v>1</v>
      </c>
      <c r="AZ626">
        <v>0</v>
      </c>
      <c r="BA626">
        <v>662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ROUND(Y626*Source!I248,9)</f>
        <v>22.04</v>
      </c>
      <c r="CY626">
        <f t="shared" si="252"/>
        <v>94.12</v>
      </c>
      <c r="CZ626">
        <f t="shared" si="253"/>
        <v>21</v>
      </c>
      <c r="DA626">
        <f t="shared" si="254"/>
        <v>4.3600000000000003</v>
      </c>
      <c r="DB626">
        <f t="shared" si="244"/>
        <v>243.6</v>
      </c>
      <c r="DC626">
        <f t="shared" si="245"/>
        <v>0</v>
      </c>
      <c r="DD626" t="s">
        <v>3</v>
      </c>
      <c r="DE626" t="s">
        <v>3</v>
      </c>
      <c r="DF626">
        <f t="shared" si="255"/>
        <v>2017.98</v>
      </c>
      <c r="DG626">
        <f t="shared" si="256"/>
        <v>0</v>
      </c>
      <c r="DH626">
        <f t="shared" si="251"/>
        <v>0</v>
      </c>
      <c r="DI626">
        <f t="shared" si="237"/>
        <v>0</v>
      </c>
      <c r="DJ626">
        <f t="shared" si="257"/>
        <v>2017.98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ROW(Source!A248)</f>
        <v>248</v>
      </c>
      <c r="B627">
        <v>55747651</v>
      </c>
      <c r="C627">
        <v>55748442</v>
      </c>
      <c r="D627">
        <v>54738703</v>
      </c>
      <c r="E627">
        <v>1</v>
      </c>
      <c r="F627">
        <v>1</v>
      </c>
      <c r="G627">
        <v>1081</v>
      </c>
      <c r="H627">
        <v>3</v>
      </c>
      <c r="I627" t="s">
        <v>595</v>
      </c>
      <c r="J627" t="s">
        <v>596</v>
      </c>
      <c r="K627" t="s">
        <v>597</v>
      </c>
      <c r="L627">
        <v>1355</v>
      </c>
      <c r="N627">
        <v>1010</v>
      </c>
      <c r="O627" t="s">
        <v>254</v>
      </c>
      <c r="P627" t="s">
        <v>254</v>
      </c>
      <c r="Q627">
        <v>100</v>
      </c>
      <c r="W627">
        <v>0</v>
      </c>
      <c r="X627">
        <v>1567739421</v>
      </c>
      <c r="Y627">
        <f t="shared" si="243"/>
        <v>3.6</v>
      </c>
      <c r="AA627">
        <v>480.06</v>
      </c>
      <c r="AB627">
        <v>0</v>
      </c>
      <c r="AC627">
        <v>0</v>
      </c>
      <c r="AD627">
        <v>0</v>
      </c>
      <c r="AE627">
        <v>496.79</v>
      </c>
      <c r="AF627">
        <v>0</v>
      </c>
      <c r="AG627">
        <v>0</v>
      </c>
      <c r="AH627">
        <v>0</v>
      </c>
      <c r="AI627">
        <v>0.94</v>
      </c>
      <c r="AJ627">
        <v>1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3.6</v>
      </c>
      <c r="AU627" t="s">
        <v>3</v>
      </c>
      <c r="AV627">
        <v>0</v>
      </c>
      <c r="AW627">
        <v>2</v>
      </c>
      <c r="AX627">
        <v>55748469</v>
      </c>
      <c r="AY627">
        <v>1</v>
      </c>
      <c r="AZ627">
        <v>0</v>
      </c>
      <c r="BA627">
        <v>663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ROUND(Y627*Source!I248,9)</f>
        <v>6.84</v>
      </c>
      <c r="CY627">
        <f t="shared" si="252"/>
        <v>480.06</v>
      </c>
      <c r="CZ627">
        <f t="shared" si="253"/>
        <v>496.79</v>
      </c>
      <c r="DA627">
        <f t="shared" si="254"/>
        <v>0.94</v>
      </c>
      <c r="DB627">
        <f t="shared" si="244"/>
        <v>1788.44</v>
      </c>
      <c r="DC627">
        <f t="shared" si="245"/>
        <v>0</v>
      </c>
      <c r="DD627" t="s">
        <v>3</v>
      </c>
      <c r="DE627" t="s">
        <v>3</v>
      </c>
      <c r="DF627">
        <f t="shared" si="255"/>
        <v>3194.14</v>
      </c>
      <c r="DG627">
        <f t="shared" si="256"/>
        <v>0</v>
      </c>
      <c r="DH627">
        <f t="shared" si="251"/>
        <v>0</v>
      </c>
      <c r="DI627">
        <f t="shared" si="237"/>
        <v>0</v>
      </c>
      <c r="DJ627">
        <f t="shared" si="257"/>
        <v>3194.14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ROW(Source!A248)</f>
        <v>248</v>
      </c>
      <c r="B628">
        <v>55747651</v>
      </c>
      <c r="C628">
        <v>55748442</v>
      </c>
      <c r="D628">
        <v>54738704</v>
      </c>
      <c r="E628">
        <v>1</v>
      </c>
      <c r="F628">
        <v>1</v>
      </c>
      <c r="G628">
        <v>1081</v>
      </c>
      <c r="H628">
        <v>3</v>
      </c>
      <c r="I628" t="s">
        <v>598</v>
      </c>
      <c r="J628" t="s">
        <v>599</v>
      </c>
      <c r="K628" t="s">
        <v>600</v>
      </c>
      <c r="L628">
        <v>1355</v>
      </c>
      <c r="N628">
        <v>1010</v>
      </c>
      <c r="O628" t="s">
        <v>254</v>
      </c>
      <c r="P628" t="s">
        <v>254</v>
      </c>
      <c r="Q628">
        <v>100</v>
      </c>
      <c r="W628">
        <v>0</v>
      </c>
      <c r="X628">
        <v>-96727844</v>
      </c>
      <c r="Y628">
        <f t="shared" si="243"/>
        <v>3.6</v>
      </c>
      <c r="AA628">
        <v>578.83000000000004</v>
      </c>
      <c r="AB628">
        <v>0</v>
      </c>
      <c r="AC628">
        <v>0</v>
      </c>
      <c r="AD628">
        <v>0</v>
      </c>
      <c r="AE628">
        <v>243.75</v>
      </c>
      <c r="AF628">
        <v>0</v>
      </c>
      <c r="AG628">
        <v>0</v>
      </c>
      <c r="AH628">
        <v>0</v>
      </c>
      <c r="AI628">
        <v>2.31</v>
      </c>
      <c r="AJ628">
        <v>1</v>
      </c>
      <c r="AK628">
        <v>1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3.6</v>
      </c>
      <c r="AU628" t="s">
        <v>3</v>
      </c>
      <c r="AV628">
        <v>0</v>
      </c>
      <c r="AW628">
        <v>2</v>
      </c>
      <c r="AX628">
        <v>55748470</v>
      </c>
      <c r="AY628">
        <v>1</v>
      </c>
      <c r="AZ628">
        <v>0</v>
      </c>
      <c r="BA628">
        <v>664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ROUND(Y628*Source!I248,9)</f>
        <v>6.84</v>
      </c>
      <c r="CY628">
        <f t="shared" si="252"/>
        <v>578.83000000000004</v>
      </c>
      <c r="CZ628">
        <f t="shared" si="253"/>
        <v>243.75</v>
      </c>
      <c r="DA628">
        <f t="shared" si="254"/>
        <v>2.31</v>
      </c>
      <c r="DB628">
        <f t="shared" si="244"/>
        <v>877.5</v>
      </c>
      <c r="DC628">
        <f t="shared" si="245"/>
        <v>0</v>
      </c>
      <c r="DD628" t="s">
        <v>3</v>
      </c>
      <c r="DE628" t="s">
        <v>3</v>
      </c>
      <c r="DF628">
        <f t="shared" si="255"/>
        <v>3851.33</v>
      </c>
      <c r="DG628">
        <f t="shared" si="256"/>
        <v>0</v>
      </c>
      <c r="DH628">
        <f t="shared" si="251"/>
        <v>0</v>
      </c>
      <c r="DI628">
        <f t="shared" si="237"/>
        <v>0</v>
      </c>
      <c r="DJ628">
        <f t="shared" si="257"/>
        <v>3851.33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">
      <c r="A629">
        <f>ROW(Source!A248)</f>
        <v>248</v>
      </c>
      <c r="B629">
        <v>55747651</v>
      </c>
      <c r="C629">
        <v>55748442</v>
      </c>
      <c r="D629">
        <v>54737299</v>
      </c>
      <c r="E629">
        <v>1</v>
      </c>
      <c r="F629">
        <v>1</v>
      </c>
      <c r="G629">
        <v>1081</v>
      </c>
      <c r="H629">
        <v>3</v>
      </c>
      <c r="I629" t="s">
        <v>583</v>
      </c>
      <c r="J629" t="s">
        <v>584</v>
      </c>
      <c r="K629" t="s">
        <v>585</v>
      </c>
      <c r="L629">
        <v>1339</v>
      </c>
      <c r="N629">
        <v>1007</v>
      </c>
      <c r="O629" t="s">
        <v>507</v>
      </c>
      <c r="P629" t="s">
        <v>507</v>
      </c>
      <c r="Q629">
        <v>1</v>
      </c>
      <c r="W629">
        <v>0</v>
      </c>
      <c r="X629">
        <v>-676034668</v>
      </c>
      <c r="Y629">
        <f t="shared" si="243"/>
        <v>9</v>
      </c>
      <c r="AA629">
        <v>781.45</v>
      </c>
      <c r="AB629">
        <v>0</v>
      </c>
      <c r="AC629">
        <v>0</v>
      </c>
      <c r="AD629">
        <v>0</v>
      </c>
      <c r="AE629">
        <v>53.42</v>
      </c>
      <c r="AF629">
        <v>0</v>
      </c>
      <c r="AG629">
        <v>0</v>
      </c>
      <c r="AH629">
        <v>0</v>
      </c>
      <c r="AI629">
        <v>14.23</v>
      </c>
      <c r="AJ629">
        <v>1</v>
      </c>
      <c r="AK629">
        <v>1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9</v>
      </c>
      <c r="AU629" t="s">
        <v>3</v>
      </c>
      <c r="AV629">
        <v>0</v>
      </c>
      <c r="AW629">
        <v>2</v>
      </c>
      <c r="AX629">
        <v>55748471</v>
      </c>
      <c r="AY629">
        <v>1</v>
      </c>
      <c r="AZ629">
        <v>0</v>
      </c>
      <c r="BA629">
        <v>665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ROUND(Y629*Source!I248,9)</f>
        <v>17.100000000000001</v>
      </c>
      <c r="CY629">
        <f t="shared" si="252"/>
        <v>781.45</v>
      </c>
      <c r="CZ629">
        <f t="shared" si="253"/>
        <v>53.42</v>
      </c>
      <c r="DA629">
        <f t="shared" si="254"/>
        <v>14.23</v>
      </c>
      <c r="DB629">
        <f t="shared" si="244"/>
        <v>480.78</v>
      </c>
      <c r="DC629">
        <f t="shared" si="245"/>
        <v>0</v>
      </c>
      <c r="DD629" t="s">
        <v>3</v>
      </c>
      <c r="DE629" t="s">
        <v>3</v>
      </c>
      <c r="DF629">
        <f t="shared" si="255"/>
        <v>12998.91</v>
      </c>
      <c r="DG629">
        <f t="shared" si="256"/>
        <v>0</v>
      </c>
      <c r="DH629">
        <f t="shared" si="251"/>
        <v>0</v>
      </c>
      <c r="DI629">
        <f t="shared" si="237"/>
        <v>0</v>
      </c>
      <c r="DJ629">
        <f t="shared" si="257"/>
        <v>12998.91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ROW(Source!A248)</f>
        <v>248</v>
      </c>
      <c r="B630">
        <v>55747651</v>
      </c>
      <c r="C630">
        <v>55748442</v>
      </c>
      <c r="D630">
        <v>54737565</v>
      </c>
      <c r="E630">
        <v>1</v>
      </c>
      <c r="F630">
        <v>1</v>
      </c>
      <c r="G630">
        <v>1081</v>
      </c>
      <c r="H630">
        <v>3</v>
      </c>
      <c r="I630" t="s">
        <v>504</v>
      </c>
      <c r="J630" t="s">
        <v>505</v>
      </c>
      <c r="K630" t="s">
        <v>506</v>
      </c>
      <c r="L630">
        <v>1339</v>
      </c>
      <c r="N630">
        <v>1007</v>
      </c>
      <c r="O630" t="s">
        <v>507</v>
      </c>
      <c r="P630" t="s">
        <v>507</v>
      </c>
      <c r="Q630">
        <v>1</v>
      </c>
      <c r="W630">
        <v>0</v>
      </c>
      <c r="X630">
        <v>-1235260082</v>
      </c>
      <c r="Y630">
        <f t="shared" si="243"/>
        <v>11.6</v>
      </c>
      <c r="AA630">
        <v>104.16</v>
      </c>
      <c r="AB630">
        <v>0</v>
      </c>
      <c r="AC630">
        <v>0</v>
      </c>
      <c r="AD630">
        <v>0</v>
      </c>
      <c r="AE630">
        <v>5.82</v>
      </c>
      <c r="AF630">
        <v>0</v>
      </c>
      <c r="AG630">
        <v>0</v>
      </c>
      <c r="AH630">
        <v>0</v>
      </c>
      <c r="AI630">
        <v>17.41</v>
      </c>
      <c r="AJ630">
        <v>1</v>
      </c>
      <c r="AK630">
        <v>1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11.6</v>
      </c>
      <c r="AU630" t="s">
        <v>3</v>
      </c>
      <c r="AV630">
        <v>0</v>
      </c>
      <c r="AW630">
        <v>2</v>
      </c>
      <c r="AX630">
        <v>55748472</v>
      </c>
      <c r="AY630">
        <v>1</v>
      </c>
      <c r="AZ630">
        <v>0</v>
      </c>
      <c r="BA630">
        <v>666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ROUND(Y630*Source!I248,9)</f>
        <v>22.04</v>
      </c>
      <c r="CY630">
        <f t="shared" si="252"/>
        <v>104.16</v>
      </c>
      <c r="CZ630">
        <f t="shared" si="253"/>
        <v>5.82</v>
      </c>
      <c r="DA630">
        <f t="shared" si="254"/>
        <v>17.41</v>
      </c>
      <c r="DB630">
        <f t="shared" si="244"/>
        <v>67.510000000000005</v>
      </c>
      <c r="DC630">
        <f t="shared" si="245"/>
        <v>0</v>
      </c>
      <c r="DD630" t="s">
        <v>3</v>
      </c>
      <c r="DE630" t="s">
        <v>3</v>
      </c>
      <c r="DF630">
        <f t="shared" si="255"/>
        <v>2233.31</v>
      </c>
      <c r="DG630">
        <f t="shared" si="256"/>
        <v>0</v>
      </c>
      <c r="DH630">
        <f t="shared" si="251"/>
        <v>0</v>
      </c>
      <c r="DI630">
        <f t="shared" si="237"/>
        <v>0</v>
      </c>
      <c r="DJ630">
        <f t="shared" si="257"/>
        <v>2233.31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ROW(Source!A248)</f>
        <v>248</v>
      </c>
      <c r="B631">
        <v>55747651</v>
      </c>
      <c r="C631">
        <v>55748442</v>
      </c>
      <c r="D631">
        <v>54749865</v>
      </c>
      <c r="E631">
        <v>1</v>
      </c>
      <c r="F631">
        <v>1</v>
      </c>
      <c r="G631">
        <v>1081</v>
      </c>
      <c r="H631">
        <v>3</v>
      </c>
      <c r="I631" t="s">
        <v>227</v>
      </c>
      <c r="J631" t="s">
        <v>229</v>
      </c>
      <c r="K631" t="s">
        <v>228</v>
      </c>
      <c r="L631">
        <v>1301</v>
      </c>
      <c r="N631">
        <v>1003</v>
      </c>
      <c r="O631" t="s">
        <v>191</v>
      </c>
      <c r="P631" t="s">
        <v>191</v>
      </c>
      <c r="Q631">
        <v>1</v>
      </c>
      <c r="W631">
        <v>0</v>
      </c>
      <c r="X631">
        <v>-2048145394</v>
      </c>
      <c r="Y631">
        <f t="shared" si="243"/>
        <v>105.7894737</v>
      </c>
      <c r="AA631">
        <v>687.98</v>
      </c>
      <c r="AB631">
        <v>0</v>
      </c>
      <c r="AC631">
        <v>0</v>
      </c>
      <c r="AD631">
        <v>0</v>
      </c>
      <c r="AE631">
        <v>41.57</v>
      </c>
      <c r="AF631">
        <v>0</v>
      </c>
      <c r="AG631">
        <v>0</v>
      </c>
      <c r="AH631">
        <v>0</v>
      </c>
      <c r="AI631">
        <v>16.55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0</v>
      </c>
      <c r="AS631" t="s">
        <v>3</v>
      </c>
      <c r="AT631">
        <v>105.7894737</v>
      </c>
      <c r="AU631" t="s">
        <v>3</v>
      </c>
      <c r="AV631">
        <v>0</v>
      </c>
      <c r="AW631">
        <v>1</v>
      </c>
      <c r="AX631">
        <v>-1</v>
      </c>
      <c r="AY631">
        <v>0</v>
      </c>
      <c r="AZ631">
        <v>0</v>
      </c>
      <c r="BA631" t="s">
        <v>3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ROUND(Y631*Source!I248,9)</f>
        <v>201.00000003</v>
      </c>
      <c r="CY631">
        <f t="shared" si="252"/>
        <v>687.98</v>
      </c>
      <c r="CZ631">
        <f t="shared" si="253"/>
        <v>41.57</v>
      </c>
      <c r="DA631">
        <f t="shared" si="254"/>
        <v>16.55</v>
      </c>
      <c r="DB631">
        <f t="shared" si="244"/>
        <v>4397.67</v>
      </c>
      <c r="DC631">
        <f t="shared" si="245"/>
        <v>0</v>
      </c>
      <c r="DD631" t="s">
        <v>3</v>
      </c>
      <c r="DE631" t="s">
        <v>3</v>
      </c>
      <c r="DF631">
        <f t="shared" si="255"/>
        <v>138283.98000000001</v>
      </c>
      <c r="DG631">
        <f t="shared" si="256"/>
        <v>0</v>
      </c>
      <c r="DH631">
        <f t="shared" si="251"/>
        <v>0</v>
      </c>
      <c r="DI631">
        <f t="shared" si="237"/>
        <v>0</v>
      </c>
      <c r="DJ631">
        <f t="shared" si="257"/>
        <v>138283.98000000001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ROW(Source!A248)</f>
        <v>248</v>
      </c>
      <c r="B632">
        <v>55747651</v>
      </c>
      <c r="C632">
        <v>55748442</v>
      </c>
      <c r="D632">
        <v>54749866</v>
      </c>
      <c r="E632">
        <v>1</v>
      </c>
      <c r="F632">
        <v>1</v>
      </c>
      <c r="G632">
        <v>1081</v>
      </c>
      <c r="H632">
        <v>3</v>
      </c>
      <c r="I632" t="s">
        <v>224</v>
      </c>
      <c r="J632" t="s">
        <v>226</v>
      </c>
      <c r="K632" t="s">
        <v>225</v>
      </c>
      <c r="L632">
        <v>1301</v>
      </c>
      <c r="N632">
        <v>1003</v>
      </c>
      <c r="O632" t="s">
        <v>191</v>
      </c>
      <c r="P632" t="s">
        <v>191</v>
      </c>
      <c r="Q632">
        <v>1</v>
      </c>
      <c r="W632">
        <v>0</v>
      </c>
      <c r="X632">
        <v>-173671470</v>
      </c>
      <c r="Y632">
        <f t="shared" si="243"/>
        <v>476.05263159999998</v>
      </c>
      <c r="AA632">
        <v>1062.52</v>
      </c>
      <c r="AB632">
        <v>0</v>
      </c>
      <c r="AC632">
        <v>0</v>
      </c>
      <c r="AD632">
        <v>0</v>
      </c>
      <c r="AE632">
        <v>51.28</v>
      </c>
      <c r="AF632">
        <v>0</v>
      </c>
      <c r="AG632">
        <v>0</v>
      </c>
      <c r="AH632">
        <v>0</v>
      </c>
      <c r="AI632">
        <v>20.72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 t="s">
        <v>3</v>
      </c>
      <c r="AT632">
        <v>476.05263159999998</v>
      </c>
      <c r="AU632" t="s">
        <v>3</v>
      </c>
      <c r="AV632">
        <v>0</v>
      </c>
      <c r="AW632">
        <v>1</v>
      </c>
      <c r="AX632">
        <v>-1</v>
      </c>
      <c r="AY632">
        <v>0</v>
      </c>
      <c r="AZ632">
        <v>0</v>
      </c>
      <c r="BA632" t="s">
        <v>3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ROUND(Y632*Source!I248,9)</f>
        <v>904.50000004000003</v>
      </c>
      <c r="CY632">
        <f t="shared" si="252"/>
        <v>1062.52</v>
      </c>
      <c r="CZ632">
        <f t="shared" si="253"/>
        <v>51.28</v>
      </c>
      <c r="DA632">
        <f t="shared" si="254"/>
        <v>20.72</v>
      </c>
      <c r="DB632">
        <f t="shared" si="244"/>
        <v>24411.98</v>
      </c>
      <c r="DC632">
        <f t="shared" si="245"/>
        <v>0</v>
      </c>
      <c r="DD632" t="s">
        <v>3</v>
      </c>
      <c r="DE632" t="s">
        <v>3</v>
      </c>
      <c r="DF632">
        <f t="shared" si="255"/>
        <v>961049.34</v>
      </c>
      <c r="DG632">
        <f t="shared" si="256"/>
        <v>0</v>
      </c>
      <c r="DH632">
        <f t="shared" si="251"/>
        <v>0</v>
      </c>
      <c r="DI632">
        <f t="shared" si="237"/>
        <v>0</v>
      </c>
      <c r="DJ632">
        <f t="shared" si="257"/>
        <v>961049.34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ROW(Source!A248)</f>
        <v>248</v>
      </c>
      <c r="B633">
        <v>55747651</v>
      </c>
      <c r="C633">
        <v>55748442</v>
      </c>
      <c r="D633">
        <v>54749867</v>
      </c>
      <c r="E633">
        <v>1</v>
      </c>
      <c r="F633">
        <v>1</v>
      </c>
      <c r="G633">
        <v>1081</v>
      </c>
      <c r="H633">
        <v>3</v>
      </c>
      <c r="I633" t="s">
        <v>412</v>
      </c>
      <c r="J633" t="s">
        <v>414</v>
      </c>
      <c r="K633" t="s">
        <v>413</v>
      </c>
      <c r="L633">
        <v>1301</v>
      </c>
      <c r="N633">
        <v>1003</v>
      </c>
      <c r="O633" t="s">
        <v>191</v>
      </c>
      <c r="P633" t="s">
        <v>191</v>
      </c>
      <c r="Q633">
        <v>1</v>
      </c>
      <c r="W633">
        <v>0</v>
      </c>
      <c r="X633">
        <v>-2119850974</v>
      </c>
      <c r="Y633">
        <f t="shared" si="243"/>
        <v>423.15789469999999</v>
      </c>
      <c r="AA633">
        <v>732.19</v>
      </c>
      <c r="AB633">
        <v>0</v>
      </c>
      <c r="AC633">
        <v>0</v>
      </c>
      <c r="AD633">
        <v>0</v>
      </c>
      <c r="AE633">
        <v>61.58</v>
      </c>
      <c r="AF633">
        <v>0</v>
      </c>
      <c r="AG633">
        <v>0</v>
      </c>
      <c r="AH633">
        <v>0</v>
      </c>
      <c r="AI633">
        <v>11.89</v>
      </c>
      <c r="AJ633">
        <v>1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 t="s">
        <v>3</v>
      </c>
      <c r="AT633">
        <v>423.15789469999999</v>
      </c>
      <c r="AU633" t="s">
        <v>3</v>
      </c>
      <c r="AV633">
        <v>0</v>
      </c>
      <c r="AW633">
        <v>1</v>
      </c>
      <c r="AX633">
        <v>-1</v>
      </c>
      <c r="AY633">
        <v>0</v>
      </c>
      <c r="AZ633">
        <v>0</v>
      </c>
      <c r="BA633" t="s">
        <v>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ROUND(Y633*Source!I248,9)</f>
        <v>803.99999992999994</v>
      </c>
      <c r="CY633">
        <f t="shared" si="252"/>
        <v>732.19</v>
      </c>
      <c r="CZ633">
        <f t="shared" si="253"/>
        <v>61.58</v>
      </c>
      <c r="DA633">
        <f t="shared" si="254"/>
        <v>11.89</v>
      </c>
      <c r="DB633">
        <f t="shared" si="244"/>
        <v>26058.06</v>
      </c>
      <c r="DC633">
        <f t="shared" si="245"/>
        <v>0</v>
      </c>
      <c r="DD633" t="s">
        <v>3</v>
      </c>
      <c r="DE633" t="s">
        <v>3</v>
      </c>
      <c r="DF633">
        <f t="shared" si="255"/>
        <v>588680.76</v>
      </c>
      <c r="DG633">
        <f t="shared" si="256"/>
        <v>0</v>
      </c>
      <c r="DH633">
        <f t="shared" si="251"/>
        <v>0</v>
      </c>
      <c r="DI633">
        <f t="shared" si="237"/>
        <v>0</v>
      </c>
      <c r="DJ633">
        <f t="shared" si="257"/>
        <v>588680.76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ROW(Source!A248)</f>
        <v>248</v>
      </c>
      <c r="B634">
        <v>55747651</v>
      </c>
      <c r="C634">
        <v>55748442</v>
      </c>
      <c r="D634">
        <v>54759954</v>
      </c>
      <c r="E634">
        <v>1</v>
      </c>
      <c r="F634">
        <v>1</v>
      </c>
      <c r="G634">
        <v>1081</v>
      </c>
      <c r="H634">
        <v>3</v>
      </c>
      <c r="I634" t="s">
        <v>601</v>
      </c>
      <c r="J634" t="s">
        <v>602</v>
      </c>
      <c r="K634" t="s">
        <v>603</v>
      </c>
      <c r="L634">
        <v>1354</v>
      </c>
      <c r="N634">
        <v>1010</v>
      </c>
      <c r="O634" t="s">
        <v>118</v>
      </c>
      <c r="P634" t="s">
        <v>118</v>
      </c>
      <c r="Q634">
        <v>1</v>
      </c>
      <c r="W634">
        <v>0</v>
      </c>
      <c r="X634">
        <v>483106430</v>
      </c>
      <c r="Y634">
        <f t="shared" si="243"/>
        <v>360</v>
      </c>
      <c r="AA634">
        <v>17.47</v>
      </c>
      <c r="AB634">
        <v>0</v>
      </c>
      <c r="AC634">
        <v>0</v>
      </c>
      <c r="AD634">
        <v>0</v>
      </c>
      <c r="AE634">
        <v>14.28</v>
      </c>
      <c r="AF634">
        <v>0</v>
      </c>
      <c r="AG634">
        <v>0</v>
      </c>
      <c r="AH634">
        <v>0</v>
      </c>
      <c r="AI634">
        <v>1.19</v>
      </c>
      <c r="AJ634">
        <v>1</v>
      </c>
      <c r="AK634">
        <v>1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360</v>
      </c>
      <c r="AU634" t="s">
        <v>3</v>
      </c>
      <c r="AV634">
        <v>0</v>
      </c>
      <c r="AW634">
        <v>2</v>
      </c>
      <c r="AX634">
        <v>55748473</v>
      </c>
      <c r="AY634">
        <v>1</v>
      </c>
      <c r="AZ634">
        <v>0</v>
      </c>
      <c r="BA634">
        <v>667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ROUND(Y634*Source!I248,9)</f>
        <v>684</v>
      </c>
      <c r="CY634">
        <f t="shared" si="252"/>
        <v>17.47</v>
      </c>
      <c r="CZ634">
        <f t="shared" si="253"/>
        <v>14.28</v>
      </c>
      <c r="DA634">
        <f t="shared" si="254"/>
        <v>1.19</v>
      </c>
      <c r="DB634">
        <f t="shared" si="244"/>
        <v>5140.8</v>
      </c>
      <c r="DC634">
        <f t="shared" si="245"/>
        <v>0</v>
      </c>
      <c r="DD634" t="s">
        <v>3</v>
      </c>
      <c r="DE634" t="s">
        <v>3</v>
      </c>
      <c r="DF634">
        <f t="shared" si="255"/>
        <v>11621.16</v>
      </c>
      <c r="DG634">
        <f t="shared" si="256"/>
        <v>0</v>
      </c>
      <c r="DH634">
        <f t="shared" si="251"/>
        <v>0</v>
      </c>
      <c r="DI634">
        <f t="shared" si="237"/>
        <v>0</v>
      </c>
      <c r="DJ634">
        <f t="shared" si="257"/>
        <v>11621.16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">
      <c r="A635">
        <f>ROW(Source!A255)</f>
        <v>255</v>
      </c>
      <c r="B635">
        <v>55747649</v>
      </c>
      <c r="C635">
        <v>55748478</v>
      </c>
      <c r="D635">
        <v>54702434</v>
      </c>
      <c r="E635">
        <v>1081</v>
      </c>
      <c r="F635">
        <v>1</v>
      </c>
      <c r="G635">
        <v>1081</v>
      </c>
      <c r="H635">
        <v>1</v>
      </c>
      <c r="I635" t="s">
        <v>473</v>
      </c>
      <c r="J635" t="s">
        <v>3</v>
      </c>
      <c r="K635" t="s">
        <v>474</v>
      </c>
      <c r="L635">
        <v>1191</v>
      </c>
      <c r="N635">
        <v>1013</v>
      </c>
      <c r="O635" t="s">
        <v>475</v>
      </c>
      <c r="P635" t="s">
        <v>475</v>
      </c>
      <c r="Q635">
        <v>1</v>
      </c>
      <c r="W635">
        <v>0</v>
      </c>
      <c r="X635">
        <v>476480486</v>
      </c>
      <c r="Y635">
        <f t="shared" ref="Y635:Y640" si="258">(AT635*1.2)</f>
        <v>166.79999999999998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139</v>
      </c>
      <c r="AU635" t="s">
        <v>49</v>
      </c>
      <c r="AV635">
        <v>1</v>
      </c>
      <c r="AW635">
        <v>2</v>
      </c>
      <c r="AX635">
        <v>55748496</v>
      </c>
      <c r="AY635">
        <v>1</v>
      </c>
      <c r="AZ635">
        <v>0</v>
      </c>
      <c r="BA635">
        <v>669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U635">
        <f>ROUND(AT635*Source!I255*AH635*AL635,2)</f>
        <v>0</v>
      </c>
      <c r="CV635">
        <f>ROUND(Y635*Source!I255,9)</f>
        <v>3169.2</v>
      </c>
      <c r="CW635">
        <v>0</v>
      </c>
      <c r="CX635">
        <f>ROUND(Y635*Source!I255,9)</f>
        <v>3169.2</v>
      </c>
      <c r="CY635">
        <f>AD635</f>
        <v>0</v>
      </c>
      <c r="CZ635">
        <f>AH635</f>
        <v>0</v>
      </c>
      <c r="DA635">
        <f>AL635</f>
        <v>1</v>
      </c>
      <c r="DB635">
        <f t="shared" ref="DB635:DB640" si="259">ROUND((ROUND(AT635*CZ635,2)*1.2),6)</f>
        <v>0</v>
      </c>
      <c r="DC635">
        <f t="shared" ref="DC635:DC640" si="260">ROUND((ROUND(AT635*AG635,2)*1.2),6)</f>
        <v>0</v>
      </c>
      <c r="DD635" t="s">
        <v>3</v>
      </c>
      <c r="DE635" t="s">
        <v>3</v>
      </c>
      <c r="DF635">
        <f t="shared" ref="DF635:DF657" si="261">ROUND(ROUND(AE635,2)*CX635,2)</f>
        <v>0</v>
      </c>
      <c r="DG635">
        <f t="shared" si="256"/>
        <v>0</v>
      </c>
      <c r="DH635">
        <f t="shared" si="251"/>
        <v>0</v>
      </c>
      <c r="DI635">
        <f t="shared" si="237"/>
        <v>0</v>
      </c>
      <c r="DJ635">
        <f>DI635</f>
        <v>0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ROW(Source!A255)</f>
        <v>255</v>
      </c>
      <c r="B636">
        <v>55747649</v>
      </c>
      <c r="C636">
        <v>55748478</v>
      </c>
      <c r="D636">
        <v>54767934</v>
      </c>
      <c r="E636">
        <v>1</v>
      </c>
      <c r="F636">
        <v>1</v>
      </c>
      <c r="G636">
        <v>1081</v>
      </c>
      <c r="H636">
        <v>2</v>
      </c>
      <c r="I636" t="s">
        <v>586</v>
      </c>
      <c r="J636" t="s">
        <v>587</v>
      </c>
      <c r="K636" t="s">
        <v>588</v>
      </c>
      <c r="L636">
        <v>1368</v>
      </c>
      <c r="N636">
        <v>1011</v>
      </c>
      <c r="O636" t="s">
        <v>479</v>
      </c>
      <c r="P636" t="s">
        <v>479</v>
      </c>
      <c r="Q636">
        <v>1</v>
      </c>
      <c r="W636">
        <v>0</v>
      </c>
      <c r="X636">
        <v>-1222619517</v>
      </c>
      <c r="Y636">
        <f t="shared" si="258"/>
        <v>9</v>
      </c>
      <c r="AA636">
        <v>0</v>
      </c>
      <c r="AB636">
        <v>51.29</v>
      </c>
      <c r="AC636">
        <v>13.47</v>
      </c>
      <c r="AD636">
        <v>0</v>
      </c>
      <c r="AE636">
        <v>0</v>
      </c>
      <c r="AF636">
        <v>48.07</v>
      </c>
      <c r="AG636">
        <v>12.62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-2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7.5</v>
      </c>
      <c r="AU636" t="s">
        <v>49</v>
      </c>
      <c r="AV636">
        <v>0</v>
      </c>
      <c r="AW636">
        <v>2</v>
      </c>
      <c r="AX636">
        <v>55748497</v>
      </c>
      <c r="AY636">
        <v>1</v>
      </c>
      <c r="AZ636">
        <v>0</v>
      </c>
      <c r="BA636">
        <v>670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f>ROUND(Y636*Source!I255*DO636,9)</f>
        <v>2158.02</v>
      </c>
      <c r="CX636">
        <f>ROUND(Y636*Source!I255,9)</f>
        <v>171</v>
      </c>
      <c r="CY636">
        <f>AB636</f>
        <v>51.29</v>
      </c>
      <c r="CZ636">
        <f>AF636</f>
        <v>48.07</v>
      </c>
      <c r="DA636">
        <f>AJ636</f>
        <v>1</v>
      </c>
      <c r="DB636">
        <f t="shared" si="259"/>
        <v>432.63600000000002</v>
      </c>
      <c r="DC636">
        <f t="shared" si="260"/>
        <v>113.58</v>
      </c>
      <c r="DD636" t="s">
        <v>3</v>
      </c>
      <c r="DE636" t="s">
        <v>3</v>
      </c>
      <c r="DF636">
        <f t="shared" si="261"/>
        <v>0</v>
      </c>
      <c r="DG636">
        <f t="shared" si="256"/>
        <v>8219.9699999999993</v>
      </c>
      <c r="DH636">
        <f t="shared" si="251"/>
        <v>2158.02</v>
      </c>
      <c r="DI636">
        <f t="shared" si="237"/>
        <v>0</v>
      </c>
      <c r="DJ636">
        <f>DG636</f>
        <v>8219.9699999999993</v>
      </c>
      <c r="DK636">
        <v>0</v>
      </c>
      <c r="DL636" t="s">
        <v>486</v>
      </c>
      <c r="DM636">
        <v>0</v>
      </c>
      <c r="DN636" t="s">
        <v>475</v>
      </c>
      <c r="DO636">
        <v>12.62</v>
      </c>
    </row>
    <row r="637" spans="1:119" x14ac:dyDescent="0.2">
      <c r="A637">
        <f>ROW(Source!A255)</f>
        <v>255</v>
      </c>
      <c r="B637">
        <v>55747649</v>
      </c>
      <c r="C637">
        <v>55748478</v>
      </c>
      <c r="D637">
        <v>54767971</v>
      </c>
      <c r="E637">
        <v>1</v>
      </c>
      <c r="F637">
        <v>1</v>
      </c>
      <c r="G637">
        <v>1081</v>
      </c>
      <c r="H637">
        <v>2</v>
      </c>
      <c r="I637" t="s">
        <v>589</v>
      </c>
      <c r="J637" t="s">
        <v>590</v>
      </c>
      <c r="K637" t="s">
        <v>591</v>
      </c>
      <c r="L637">
        <v>1368</v>
      </c>
      <c r="N637">
        <v>1011</v>
      </c>
      <c r="O637" t="s">
        <v>479</v>
      </c>
      <c r="P637" t="s">
        <v>479</v>
      </c>
      <c r="Q637">
        <v>1</v>
      </c>
      <c r="W637">
        <v>0</v>
      </c>
      <c r="X637">
        <v>210297649</v>
      </c>
      <c r="Y637">
        <f t="shared" si="258"/>
        <v>8.4</v>
      </c>
      <c r="AA637">
        <v>0</v>
      </c>
      <c r="AB637">
        <v>6.18</v>
      </c>
      <c r="AC637">
        <v>0</v>
      </c>
      <c r="AD637">
        <v>0</v>
      </c>
      <c r="AE637">
        <v>0</v>
      </c>
      <c r="AF637">
        <v>5.79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-2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7</v>
      </c>
      <c r="AU637" t="s">
        <v>49</v>
      </c>
      <c r="AV637">
        <v>0</v>
      </c>
      <c r="AW637">
        <v>2</v>
      </c>
      <c r="AX637">
        <v>55748498</v>
      </c>
      <c r="AY637">
        <v>1</v>
      </c>
      <c r="AZ637">
        <v>0</v>
      </c>
      <c r="BA637">
        <v>671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f>ROUND(Y637*Source!I255*DO637,9)</f>
        <v>0</v>
      </c>
      <c r="CX637">
        <f>ROUND(Y637*Source!I255,9)</f>
        <v>159.6</v>
      </c>
      <c r="CY637">
        <f>AB637</f>
        <v>6.18</v>
      </c>
      <c r="CZ637">
        <f>AF637</f>
        <v>5.79</v>
      </c>
      <c r="DA637">
        <f>AJ637</f>
        <v>1</v>
      </c>
      <c r="DB637">
        <f t="shared" si="259"/>
        <v>48.636000000000003</v>
      </c>
      <c r="DC637">
        <f t="shared" si="260"/>
        <v>0</v>
      </c>
      <c r="DD637" t="s">
        <v>3</v>
      </c>
      <c r="DE637" t="s">
        <v>3</v>
      </c>
      <c r="DF637">
        <f t="shared" si="261"/>
        <v>0</v>
      </c>
      <c r="DG637">
        <f t="shared" si="256"/>
        <v>924.08</v>
      </c>
      <c r="DH637">
        <f t="shared" si="251"/>
        <v>0</v>
      </c>
      <c r="DI637">
        <f t="shared" si="237"/>
        <v>0</v>
      </c>
      <c r="DJ637">
        <f>DG637</f>
        <v>924.08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ROW(Source!A255)</f>
        <v>255</v>
      </c>
      <c r="B638">
        <v>55747649</v>
      </c>
      <c r="C638">
        <v>55748478</v>
      </c>
      <c r="D638">
        <v>54768040</v>
      </c>
      <c r="E638">
        <v>1</v>
      </c>
      <c r="F638">
        <v>1</v>
      </c>
      <c r="G638">
        <v>1081</v>
      </c>
      <c r="H638">
        <v>2</v>
      </c>
      <c r="I638" t="s">
        <v>476</v>
      </c>
      <c r="J638" t="s">
        <v>477</v>
      </c>
      <c r="K638" t="s">
        <v>478</v>
      </c>
      <c r="L638">
        <v>1368</v>
      </c>
      <c r="N638">
        <v>1011</v>
      </c>
      <c r="O638" t="s">
        <v>479</v>
      </c>
      <c r="P638" t="s">
        <v>479</v>
      </c>
      <c r="Q638">
        <v>1</v>
      </c>
      <c r="W638">
        <v>0</v>
      </c>
      <c r="X638">
        <v>1498588441</v>
      </c>
      <c r="Y638">
        <f t="shared" si="258"/>
        <v>11.183999999999999</v>
      </c>
      <c r="AA638">
        <v>0</v>
      </c>
      <c r="AB638">
        <v>7.59</v>
      </c>
      <c r="AC638">
        <v>0</v>
      </c>
      <c r="AD638">
        <v>0</v>
      </c>
      <c r="AE638">
        <v>0</v>
      </c>
      <c r="AF638">
        <v>7.11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-2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9.32</v>
      </c>
      <c r="AU638" t="s">
        <v>49</v>
      </c>
      <c r="AV638">
        <v>0</v>
      </c>
      <c r="AW638">
        <v>2</v>
      </c>
      <c r="AX638">
        <v>55748499</v>
      </c>
      <c r="AY638">
        <v>1</v>
      </c>
      <c r="AZ638">
        <v>0</v>
      </c>
      <c r="BA638">
        <v>672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f>ROUND(Y638*Source!I255*DO638,9)</f>
        <v>0</v>
      </c>
      <c r="CX638">
        <f>ROUND(Y638*Source!I255,9)</f>
        <v>212.49600000000001</v>
      </c>
      <c r="CY638">
        <f>AB638</f>
        <v>7.59</v>
      </c>
      <c r="CZ638">
        <f>AF638</f>
        <v>7.11</v>
      </c>
      <c r="DA638">
        <f>AJ638</f>
        <v>1</v>
      </c>
      <c r="DB638">
        <f t="shared" si="259"/>
        <v>79.524000000000001</v>
      </c>
      <c r="DC638">
        <f t="shared" si="260"/>
        <v>0</v>
      </c>
      <c r="DD638" t="s">
        <v>3</v>
      </c>
      <c r="DE638" t="s">
        <v>3</v>
      </c>
      <c r="DF638">
        <f t="shared" si="261"/>
        <v>0</v>
      </c>
      <c r="DG638">
        <f t="shared" si="256"/>
        <v>1510.85</v>
      </c>
      <c r="DH638">
        <f t="shared" si="251"/>
        <v>0</v>
      </c>
      <c r="DI638">
        <f t="shared" si="237"/>
        <v>0</v>
      </c>
      <c r="DJ638">
        <f>DG638</f>
        <v>1510.85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ROW(Source!A255)</f>
        <v>255</v>
      </c>
      <c r="B639">
        <v>55747649</v>
      </c>
      <c r="C639">
        <v>55748478</v>
      </c>
      <c r="D639">
        <v>54768339</v>
      </c>
      <c r="E639">
        <v>1</v>
      </c>
      <c r="F639">
        <v>1</v>
      </c>
      <c r="G639">
        <v>1081</v>
      </c>
      <c r="H639">
        <v>2</v>
      </c>
      <c r="I639" t="s">
        <v>483</v>
      </c>
      <c r="J639" t="s">
        <v>484</v>
      </c>
      <c r="K639" t="s">
        <v>485</v>
      </c>
      <c r="L639">
        <v>1368</v>
      </c>
      <c r="N639">
        <v>1011</v>
      </c>
      <c r="O639" t="s">
        <v>479</v>
      </c>
      <c r="P639" t="s">
        <v>479</v>
      </c>
      <c r="Q639">
        <v>1</v>
      </c>
      <c r="W639">
        <v>0</v>
      </c>
      <c r="X639">
        <v>874612079</v>
      </c>
      <c r="Y639">
        <f t="shared" si="258"/>
        <v>0.64800000000000002</v>
      </c>
      <c r="AA639">
        <v>0</v>
      </c>
      <c r="AB639">
        <v>88.67</v>
      </c>
      <c r="AC639">
        <v>13.47</v>
      </c>
      <c r="AD639">
        <v>0</v>
      </c>
      <c r="AE639">
        <v>0</v>
      </c>
      <c r="AF639">
        <v>83.1</v>
      </c>
      <c r="AG639">
        <v>12.62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-2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0.54</v>
      </c>
      <c r="AU639" t="s">
        <v>49</v>
      </c>
      <c r="AV639">
        <v>0</v>
      </c>
      <c r="AW639">
        <v>2</v>
      </c>
      <c r="AX639">
        <v>55748500</v>
      </c>
      <c r="AY639">
        <v>1</v>
      </c>
      <c r="AZ639">
        <v>0</v>
      </c>
      <c r="BA639">
        <v>673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f>ROUND(Y639*Source!I255*DO639,9)</f>
        <v>155.37744000000001</v>
      </c>
      <c r="CX639">
        <f>ROUND(Y639*Source!I255,9)</f>
        <v>12.311999999999999</v>
      </c>
      <c r="CY639">
        <f>AB639</f>
        <v>88.67</v>
      </c>
      <c r="CZ639">
        <f>AF639</f>
        <v>83.1</v>
      </c>
      <c r="DA639">
        <f>AJ639</f>
        <v>1</v>
      </c>
      <c r="DB639">
        <f t="shared" si="259"/>
        <v>53.844000000000001</v>
      </c>
      <c r="DC639">
        <f t="shared" si="260"/>
        <v>8.1720000000000006</v>
      </c>
      <c r="DD639" t="s">
        <v>3</v>
      </c>
      <c r="DE639" t="s">
        <v>3</v>
      </c>
      <c r="DF639">
        <f t="shared" si="261"/>
        <v>0</v>
      </c>
      <c r="DG639">
        <f t="shared" si="256"/>
        <v>1023.13</v>
      </c>
      <c r="DH639">
        <f t="shared" si="251"/>
        <v>155.38</v>
      </c>
      <c r="DI639">
        <f t="shared" si="237"/>
        <v>0</v>
      </c>
      <c r="DJ639">
        <f>DG639</f>
        <v>1023.13</v>
      </c>
      <c r="DK639">
        <v>0</v>
      </c>
      <c r="DL639" t="s">
        <v>486</v>
      </c>
      <c r="DM639">
        <v>0</v>
      </c>
      <c r="DN639" t="s">
        <v>475</v>
      </c>
      <c r="DO639">
        <v>12.62</v>
      </c>
    </row>
    <row r="640" spans="1:119" x14ac:dyDescent="0.2">
      <c r="A640">
        <f>ROW(Source!A255)</f>
        <v>255</v>
      </c>
      <c r="B640">
        <v>55747649</v>
      </c>
      <c r="C640">
        <v>55748478</v>
      </c>
      <c r="D640">
        <v>54767657</v>
      </c>
      <c r="E640">
        <v>1</v>
      </c>
      <c r="F640">
        <v>1</v>
      </c>
      <c r="G640">
        <v>1081</v>
      </c>
      <c r="H640">
        <v>2</v>
      </c>
      <c r="I640" t="s">
        <v>592</v>
      </c>
      <c r="J640" t="s">
        <v>593</v>
      </c>
      <c r="K640" t="s">
        <v>594</v>
      </c>
      <c r="L640">
        <v>1368</v>
      </c>
      <c r="N640">
        <v>1011</v>
      </c>
      <c r="O640" t="s">
        <v>479</v>
      </c>
      <c r="P640" t="s">
        <v>479</v>
      </c>
      <c r="Q640">
        <v>1</v>
      </c>
      <c r="W640">
        <v>0</v>
      </c>
      <c r="X640">
        <v>-1755828087</v>
      </c>
      <c r="Y640">
        <f t="shared" si="258"/>
        <v>0.48</v>
      </c>
      <c r="AA640">
        <v>0</v>
      </c>
      <c r="AB640">
        <v>3.39</v>
      </c>
      <c r="AC640">
        <v>0</v>
      </c>
      <c r="AD640">
        <v>0</v>
      </c>
      <c r="AE640">
        <v>0</v>
      </c>
      <c r="AF640">
        <v>3.18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-2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0.4</v>
      </c>
      <c r="AU640" t="s">
        <v>49</v>
      </c>
      <c r="AV640">
        <v>0</v>
      </c>
      <c r="AW640">
        <v>2</v>
      </c>
      <c r="AX640">
        <v>55748501</v>
      </c>
      <c r="AY640">
        <v>1</v>
      </c>
      <c r="AZ640">
        <v>0</v>
      </c>
      <c r="BA640">
        <v>674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f>ROUND(Y640*Source!I255*DO640,9)</f>
        <v>0</v>
      </c>
      <c r="CX640">
        <f>ROUND(Y640*Source!I255,9)</f>
        <v>9.1199999999999992</v>
      </c>
      <c r="CY640">
        <f>AB640</f>
        <v>3.39</v>
      </c>
      <c r="CZ640">
        <f>AF640</f>
        <v>3.18</v>
      </c>
      <c r="DA640">
        <f>AJ640</f>
        <v>1</v>
      </c>
      <c r="DB640">
        <f t="shared" si="259"/>
        <v>1.524</v>
      </c>
      <c r="DC640">
        <f t="shared" si="260"/>
        <v>0</v>
      </c>
      <c r="DD640" t="s">
        <v>3</v>
      </c>
      <c r="DE640" t="s">
        <v>3</v>
      </c>
      <c r="DF640">
        <f t="shared" si="261"/>
        <v>0</v>
      </c>
      <c r="DG640">
        <f t="shared" si="256"/>
        <v>29</v>
      </c>
      <c r="DH640">
        <f t="shared" si="251"/>
        <v>0</v>
      </c>
      <c r="DI640">
        <f t="shared" si="237"/>
        <v>0</v>
      </c>
      <c r="DJ640">
        <f>DG640</f>
        <v>29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ROW(Source!A255)</f>
        <v>255</v>
      </c>
      <c r="B641">
        <v>55747649</v>
      </c>
      <c r="C641">
        <v>55748478</v>
      </c>
      <c r="D641">
        <v>54737367</v>
      </c>
      <c r="E641">
        <v>1</v>
      </c>
      <c r="F641">
        <v>1</v>
      </c>
      <c r="G641">
        <v>1081</v>
      </c>
      <c r="H641">
        <v>3</v>
      </c>
      <c r="I641" t="s">
        <v>538</v>
      </c>
      <c r="J641" t="s">
        <v>539</v>
      </c>
      <c r="K641" t="s">
        <v>540</v>
      </c>
      <c r="L641">
        <v>1339</v>
      </c>
      <c r="N641">
        <v>1007</v>
      </c>
      <c r="O641" t="s">
        <v>507</v>
      </c>
      <c r="P641" t="s">
        <v>507</v>
      </c>
      <c r="Q641">
        <v>1</v>
      </c>
      <c r="W641">
        <v>0</v>
      </c>
      <c r="X641">
        <v>-1622585150</v>
      </c>
      <c r="Y641">
        <f t="shared" ref="Y641:Y647" si="262">(AT641*1)</f>
        <v>3</v>
      </c>
      <c r="AA641">
        <v>7.27</v>
      </c>
      <c r="AB641">
        <v>0</v>
      </c>
      <c r="AC641">
        <v>0</v>
      </c>
      <c r="AD641">
        <v>0</v>
      </c>
      <c r="AE641">
        <v>7.07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</v>
      </c>
      <c r="AU641" t="s">
        <v>48</v>
      </c>
      <c r="AV641">
        <v>0</v>
      </c>
      <c r="AW641">
        <v>2</v>
      </c>
      <c r="AX641">
        <v>55748502</v>
      </c>
      <c r="AY641">
        <v>1</v>
      </c>
      <c r="AZ641">
        <v>0</v>
      </c>
      <c r="BA641">
        <v>675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ROUND(Y641*Source!I255,9)</f>
        <v>57</v>
      </c>
      <c r="CY641">
        <f t="shared" ref="CY641:CY651" si="263">AA641</f>
        <v>7.27</v>
      </c>
      <c r="CZ641">
        <f t="shared" ref="CZ641:CZ651" si="264">AE641</f>
        <v>7.07</v>
      </c>
      <c r="DA641">
        <f t="shared" ref="DA641:DA651" si="265">AI641</f>
        <v>1</v>
      </c>
      <c r="DB641">
        <f t="shared" ref="DB641:DB647" si="266">ROUND((ROUND(AT641*CZ641,2)*1),6)</f>
        <v>21.21</v>
      </c>
      <c r="DC641">
        <f t="shared" ref="DC641:DC647" si="267">ROUND((ROUND(AT641*AG641,2)*1),6)</f>
        <v>0</v>
      </c>
      <c r="DD641" t="s">
        <v>3</v>
      </c>
      <c r="DE641" t="s">
        <v>3</v>
      </c>
      <c r="DF641">
        <f t="shared" si="261"/>
        <v>402.99</v>
      </c>
      <c r="DG641">
        <f t="shared" si="256"/>
        <v>0</v>
      </c>
      <c r="DH641">
        <f t="shared" si="251"/>
        <v>0</v>
      </c>
      <c r="DI641">
        <f t="shared" ref="DI641:DI704" si="268">ROUND(ROUND(AH641,2)*CX641,2)</f>
        <v>0</v>
      </c>
      <c r="DJ641">
        <f t="shared" ref="DJ641:DJ651" si="269">DF641</f>
        <v>402.99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ROW(Source!A255)</f>
        <v>255</v>
      </c>
      <c r="B642">
        <v>55747649</v>
      </c>
      <c r="C642">
        <v>55748478</v>
      </c>
      <c r="D642">
        <v>54738430</v>
      </c>
      <c r="E642">
        <v>1</v>
      </c>
      <c r="F642">
        <v>1</v>
      </c>
      <c r="G642">
        <v>1081</v>
      </c>
      <c r="H642">
        <v>3</v>
      </c>
      <c r="I642" t="s">
        <v>562</v>
      </c>
      <c r="J642" t="s">
        <v>563</v>
      </c>
      <c r="K642" t="s">
        <v>564</v>
      </c>
      <c r="L642">
        <v>1348</v>
      </c>
      <c r="N642">
        <v>1009</v>
      </c>
      <c r="O642" t="s">
        <v>282</v>
      </c>
      <c r="P642" t="s">
        <v>282</v>
      </c>
      <c r="Q642">
        <v>1000</v>
      </c>
      <c r="W642">
        <v>0</v>
      </c>
      <c r="X642">
        <v>63955816</v>
      </c>
      <c r="Y642">
        <f t="shared" si="262"/>
        <v>1.56E-3</v>
      </c>
      <c r="AA642">
        <v>7387.02</v>
      </c>
      <c r="AB642">
        <v>0</v>
      </c>
      <c r="AC642">
        <v>0</v>
      </c>
      <c r="AD642">
        <v>0</v>
      </c>
      <c r="AE642">
        <v>7185.82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1.56E-3</v>
      </c>
      <c r="AU642" t="s">
        <v>48</v>
      </c>
      <c r="AV642">
        <v>0</v>
      </c>
      <c r="AW642">
        <v>2</v>
      </c>
      <c r="AX642">
        <v>55748503</v>
      </c>
      <c r="AY642">
        <v>1</v>
      </c>
      <c r="AZ642">
        <v>0</v>
      </c>
      <c r="BA642">
        <v>676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ROUND(Y642*Source!I255,9)</f>
        <v>2.964E-2</v>
      </c>
      <c r="CY642">
        <f t="shared" si="263"/>
        <v>7387.02</v>
      </c>
      <c r="CZ642">
        <f t="shared" si="264"/>
        <v>7185.82</v>
      </c>
      <c r="DA642">
        <f t="shared" si="265"/>
        <v>1</v>
      </c>
      <c r="DB642">
        <f t="shared" si="266"/>
        <v>11.21</v>
      </c>
      <c r="DC642">
        <f t="shared" si="267"/>
        <v>0</v>
      </c>
      <c r="DD642" t="s">
        <v>3</v>
      </c>
      <c r="DE642" t="s">
        <v>3</v>
      </c>
      <c r="DF642">
        <f t="shared" si="261"/>
        <v>212.99</v>
      </c>
      <c r="DG642">
        <f t="shared" si="256"/>
        <v>0</v>
      </c>
      <c r="DH642">
        <f t="shared" si="251"/>
        <v>0</v>
      </c>
      <c r="DI642">
        <f t="shared" si="268"/>
        <v>0</v>
      </c>
      <c r="DJ642">
        <f t="shared" si="269"/>
        <v>212.99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">
      <c r="A643">
        <f>ROW(Source!A255)</f>
        <v>255</v>
      </c>
      <c r="B643">
        <v>55747649</v>
      </c>
      <c r="C643">
        <v>55748478</v>
      </c>
      <c r="D643">
        <v>54738505</v>
      </c>
      <c r="E643">
        <v>1</v>
      </c>
      <c r="F643">
        <v>1</v>
      </c>
      <c r="G643">
        <v>1081</v>
      </c>
      <c r="H643">
        <v>3</v>
      </c>
      <c r="I643" t="s">
        <v>580</v>
      </c>
      <c r="J643" t="s">
        <v>581</v>
      </c>
      <c r="K643" t="s">
        <v>582</v>
      </c>
      <c r="L643">
        <v>1346</v>
      </c>
      <c r="N643">
        <v>1009</v>
      </c>
      <c r="O643" t="s">
        <v>503</v>
      </c>
      <c r="P643" t="s">
        <v>503</v>
      </c>
      <c r="Q643">
        <v>1</v>
      </c>
      <c r="W643">
        <v>0</v>
      </c>
      <c r="X643">
        <v>732400950</v>
      </c>
      <c r="Y643">
        <f t="shared" si="262"/>
        <v>0.76</v>
      </c>
      <c r="AA643">
        <v>21.59</v>
      </c>
      <c r="AB643">
        <v>0</v>
      </c>
      <c r="AC643">
        <v>0</v>
      </c>
      <c r="AD643">
        <v>0</v>
      </c>
      <c r="AE643">
        <v>21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0.76</v>
      </c>
      <c r="AU643" t="s">
        <v>48</v>
      </c>
      <c r="AV643">
        <v>0</v>
      </c>
      <c r="AW643">
        <v>2</v>
      </c>
      <c r="AX643">
        <v>55748504</v>
      </c>
      <c r="AY643">
        <v>1</v>
      </c>
      <c r="AZ643">
        <v>0</v>
      </c>
      <c r="BA643">
        <v>677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v>0</v>
      </c>
      <c r="CX643">
        <f>ROUND(Y643*Source!I255,9)</f>
        <v>14.44</v>
      </c>
      <c r="CY643">
        <f t="shared" si="263"/>
        <v>21.59</v>
      </c>
      <c r="CZ643">
        <f t="shared" si="264"/>
        <v>21</v>
      </c>
      <c r="DA643">
        <f t="shared" si="265"/>
        <v>1</v>
      </c>
      <c r="DB643">
        <f t="shared" si="266"/>
        <v>15.96</v>
      </c>
      <c r="DC643">
        <f t="shared" si="267"/>
        <v>0</v>
      </c>
      <c r="DD643" t="s">
        <v>3</v>
      </c>
      <c r="DE643" t="s">
        <v>3</v>
      </c>
      <c r="DF643">
        <f t="shared" si="261"/>
        <v>303.24</v>
      </c>
      <c r="DG643">
        <f t="shared" si="256"/>
        <v>0</v>
      </c>
      <c r="DH643">
        <f t="shared" si="251"/>
        <v>0</v>
      </c>
      <c r="DI643">
        <f t="shared" si="268"/>
        <v>0</v>
      </c>
      <c r="DJ643">
        <f t="shared" si="269"/>
        <v>303.24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ROW(Source!A255)</f>
        <v>255</v>
      </c>
      <c r="B644">
        <v>55747649</v>
      </c>
      <c r="C644">
        <v>55748478</v>
      </c>
      <c r="D644">
        <v>54738703</v>
      </c>
      <c r="E644">
        <v>1</v>
      </c>
      <c r="F644">
        <v>1</v>
      </c>
      <c r="G644">
        <v>1081</v>
      </c>
      <c r="H644">
        <v>3</v>
      </c>
      <c r="I644" t="s">
        <v>595</v>
      </c>
      <c r="J644" t="s">
        <v>596</v>
      </c>
      <c r="K644" t="s">
        <v>597</v>
      </c>
      <c r="L644">
        <v>1355</v>
      </c>
      <c r="N644">
        <v>1010</v>
      </c>
      <c r="O644" t="s">
        <v>254</v>
      </c>
      <c r="P644" t="s">
        <v>254</v>
      </c>
      <c r="Q644">
        <v>100</v>
      </c>
      <c r="W644">
        <v>0</v>
      </c>
      <c r="X644">
        <v>1567739421</v>
      </c>
      <c r="Y644">
        <f t="shared" si="262"/>
        <v>0.36</v>
      </c>
      <c r="AA644">
        <v>510.7</v>
      </c>
      <c r="AB644">
        <v>0</v>
      </c>
      <c r="AC644">
        <v>0</v>
      </c>
      <c r="AD644">
        <v>0</v>
      </c>
      <c r="AE644">
        <v>496.79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0.36</v>
      </c>
      <c r="AU644" t="s">
        <v>48</v>
      </c>
      <c r="AV644">
        <v>0</v>
      </c>
      <c r="AW644">
        <v>2</v>
      </c>
      <c r="AX644">
        <v>55748505</v>
      </c>
      <c r="AY644">
        <v>1</v>
      </c>
      <c r="AZ644">
        <v>0</v>
      </c>
      <c r="BA644">
        <v>678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ROUND(Y644*Source!I255,9)</f>
        <v>6.84</v>
      </c>
      <c r="CY644">
        <f t="shared" si="263"/>
        <v>510.7</v>
      </c>
      <c r="CZ644">
        <f t="shared" si="264"/>
        <v>496.79</v>
      </c>
      <c r="DA644">
        <f t="shared" si="265"/>
        <v>1</v>
      </c>
      <c r="DB644">
        <f t="shared" si="266"/>
        <v>178.84</v>
      </c>
      <c r="DC644">
        <f t="shared" si="267"/>
        <v>0</v>
      </c>
      <c r="DD644" t="s">
        <v>3</v>
      </c>
      <c r="DE644" t="s">
        <v>3</v>
      </c>
      <c r="DF644">
        <f t="shared" si="261"/>
        <v>3398.04</v>
      </c>
      <c r="DG644">
        <f t="shared" si="256"/>
        <v>0</v>
      </c>
      <c r="DH644">
        <f t="shared" si="251"/>
        <v>0</v>
      </c>
      <c r="DI644">
        <f t="shared" si="268"/>
        <v>0</v>
      </c>
      <c r="DJ644">
        <f t="shared" si="269"/>
        <v>3398.04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">
      <c r="A645">
        <f>ROW(Source!A255)</f>
        <v>255</v>
      </c>
      <c r="B645">
        <v>55747649</v>
      </c>
      <c r="C645">
        <v>55748478</v>
      </c>
      <c r="D645">
        <v>54738704</v>
      </c>
      <c r="E645">
        <v>1</v>
      </c>
      <c r="F645">
        <v>1</v>
      </c>
      <c r="G645">
        <v>1081</v>
      </c>
      <c r="H645">
        <v>3</v>
      </c>
      <c r="I645" t="s">
        <v>598</v>
      </c>
      <c r="J645" t="s">
        <v>599</v>
      </c>
      <c r="K645" t="s">
        <v>600</v>
      </c>
      <c r="L645">
        <v>1355</v>
      </c>
      <c r="N645">
        <v>1010</v>
      </c>
      <c r="O645" t="s">
        <v>254</v>
      </c>
      <c r="P645" t="s">
        <v>254</v>
      </c>
      <c r="Q645">
        <v>100</v>
      </c>
      <c r="W645">
        <v>0</v>
      </c>
      <c r="X645">
        <v>-96727844</v>
      </c>
      <c r="Y645">
        <f t="shared" si="262"/>
        <v>0.36</v>
      </c>
      <c r="AA645">
        <v>250.58</v>
      </c>
      <c r="AB645">
        <v>0</v>
      </c>
      <c r="AC645">
        <v>0</v>
      </c>
      <c r="AD645">
        <v>0</v>
      </c>
      <c r="AE645">
        <v>243.75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0.36</v>
      </c>
      <c r="AU645" t="s">
        <v>48</v>
      </c>
      <c r="AV645">
        <v>0</v>
      </c>
      <c r="AW645">
        <v>2</v>
      </c>
      <c r="AX645">
        <v>55748506</v>
      </c>
      <c r="AY645">
        <v>1</v>
      </c>
      <c r="AZ645">
        <v>0</v>
      </c>
      <c r="BA645">
        <v>679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ROUND(Y645*Source!I255,9)</f>
        <v>6.84</v>
      </c>
      <c r="CY645">
        <f t="shared" si="263"/>
        <v>250.58</v>
      </c>
      <c r="CZ645">
        <f t="shared" si="264"/>
        <v>243.75</v>
      </c>
      <c r="DA645">
        <f t="shared" si="265"/>
        <v>1</v>
      </c>
      <c r="DB645">
        <f t="shared" si="266"/>
        <v>87.75</v>
      </c>
      <c r="DC645">
        <f t="shared" si="267"/>
        <v>0</v>
      </c>
      <c r="DD645" t="s">
        <v>3</v>
      </c>
      <c r="DE645" t="s">
        <v>3</v>
      </c>
      <c r="DF645">
        <f t="shared" si="261"/>
        <v>1667.25</v>
      </c>
      <c r="DG645">
        <f t="shared" si="256"/>
        <v>0</v>
      </c>
      <c r="DH645">
        <f t="shared" si="251"/>
        <v>0</v>
      </c>
      <c r="DI645">
        <f t="shared" si="268"/>
        <v>0</v>
      </c>
      <c r="DJ645">
        <f t="shared" si="269"/>
        <v>1667.25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">
      <c r="A646">
        <f>ROW(Source!A255)</f>
        <v>255</v>
      </c>
      <c r="B646">
        <v>55747649</v>
      </c>
      <c r="C646">
        <v>55748478</v>
      </c>
      <c r="D646">
        <v>54737299</v>
      </c>
      <c r="E646">
        <v>1</v>
      </c>
      <c r="F646">
        <v>1</v>
      </c>
      <c r="G646">
        <v>1081</v>
      </c>
      <c r="H646">
        <v>3</v>
      </c>
      <c r="I646" t="s">
        <v>583</v>
      </c>
      <c r="J646" t="s">
        <v>584</v>
      </c>
      <c r="K646" t="s">
        <v>585</v>
      </c>
      <c r="L646">
        <v>1339</v>
      </c>
      <c r="N646">
        <v>1007</v>
      </c>
      <c r="O646" t="s">
        <v>507</v>
      </c>
      <c r="P646" t="s">
        <v>507</v>
      </c>
      <c r="Q646">
        <v>1</v>
      </c>
      <c r="W646">
        <v>0</v>
      </c>
      <c r="X646">
        <v>-676034668</v>
      </c>
      <c r="Y646">
        <f t="shared" si="262"/>
        <v>0.59</v>
      </c>
      <c r="AA646">
        <v>54.92</v>
      </c>
      <c r="AB646">
        <v>0</v>
      </c>
      <c r="AC646">
        <v>0</v>
      </c>
      <c r="AD646">
        <v>0</v>
      </c>
      <c r="AE646">
        <v>53.42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0.59</v>
      </c>
      <c r="AU646" t="s">
        <v>48</v>
      </c>
      <c r="AV646">
        <v>0</v>
      </c>
      <c r="AW646">
        <v>2</v>
      </c>
      <c r="AX646">
        <v>55748507</v>
      </c>
      <c r="AY646">
        <v>1</v>
      </c>
      <c r="AZ646">
        <v>0</v>
      </c>
      <c r="BA646">
        <v>680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ROUND(Y646*Source!I255,9)</f>
        <v>11.21</v>
      </c>
      <c r="CY646">
        <f t="shared" si="263"/>
        <v>54.92</v>
      </c>
      <c r="CZ646">
        <f t="shared" si="264"/>
        <v>53.42</v>
      </c>
      <c r="DA646">
        <f t="shared" si="265"/>
        <v>1</v>
      </c>
      <c r="DB646">
        <f t="shared" si="266"/>
        <v>31.52</v>
      </c>
      <c r="DC646">
        <f t="shared" si="267"/>
        <v>0</v>
      </c>
      <c r="DD646" t="s">
        <v>3</v>
      </c>
      <c r="DE646" t="s">
        <v>3</v>
      </c>
      <c r="DF646">
        <f t="shared" si="261"/>
        <v>598.84</v>
      </c>
      <c r="DG646">
        <f t="shared" si="256"/>
        <v>0</v>
      </c>
      <c r="DH646">
        <f t="shared" si="251"/>
        <v>0</v>
      </c>
      <c r="DI646">
        <f t="shared" si="268"/>
        <v>0</v>
      </c>
      <c r="DJ646">
        <f t="shared" si="269"/>
        <v>598.84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">
      <c r="A647">
        <f>ROW(Source!A255)</f>
        <v>255</v>
      </c>
      <c r="B647">
        <v>55747649</v>
      </c>
      <c r="C647">
        <v>55748478</v>
      </c>
      <c r="D647">
        <v>54737565</v>
      </c>
      <c r="E647">
        <v>1</v>
      </c>
      <c r="F647">
        <v>1</v>
      </c>
      <c r="G647">
        <v>1081</v>
      </c>
      <c r="H647">
        <v>3</v>
      </c>
      <c r="I647" t="s">
        <v>504</v>
      </c>
      <c r="J647" t="s">
        <v>505</v>
      </c>
      <c r="K647" t="s">
        <v>506</v>
      </c>
      <c r="L647">
        <v>1339</v>
      </c>
      <c r="N647">
        <v>1007</v>
      </c>
      <c r="O647" t="s">
        <v>507</v>
      </c>
      <c r="P647" t="s">
        <v>507</v>
      </c>
      <c r="Q647">
        <v>1</v>
      </c>
      <c r="W647">
        <v>0</v>
      </c>
      <c r="X647">
        <v>-1235260082</v>
      </c>
      <c r="Y647">
        <f t="shared" si="262"/>
        <v>0.76</v>
      </c>
      <c r="AA647">
        <v>5.98</v>
      </c>
      <c r="AB647">
        <v>0</v>
      </c>
      <c r="AC647">
        <v>0</v>
      </c>
      <c r="AD647">
        <v>0</v>
      </c>
      <c r="AE647">
        <v>5.82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0.76</v>
      </c>
      <c r="AU647" t="s">
        <v>48</v>
      </c>
      <c r="AV647">
        <v>0</v>
      </c>
      <c r="AW647">
        <v>2</v>
      </c>
      <c r="AX647">
        <v>55748508</v>
      </c>
      <c r="AY647">
        <v>1</v>
      </c>
      <c r="AZ647">
        <v>0</v>
      </c>
      <c r="BA647">
        <v>681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ROUND(Y647*Source!I255,9)</f>
        <v>14.44</v>
      </c>
      <c r="CY647">
        <f t="shared" si="263"/>
        <v>5.98</v>
      </c>
      <c r="CZ647">
        <f t="shared" si="264"/>
        <v>5.82</v>
      </c>
      <c r="DA647">
        <f t="shared" si="265"/>
        <v>1</v>
      </c>
      <c r="DB647">
        <f t="shared" si="266"/>
        <v>4.42</v>
      </c>
      <c r="DC647">
        <f t="shared" si="267"/>
        <v>0</v>
      </c>
      <c r="DD647" t="s">
        <v>3</v>
      </c>
      <c r="DE647" t="s">
        <v>3</v>
      </c>
      <c r="DF647">
        <f t="shared" si="261"/>
        <v>84.04</v>
      </c>
      <c r="DG647">
        <f t="shared" si="256"/>
        <v>0</v>
      </c>
      <c r="DH647">
        <f t="shared" si="251"/>
        <v>0</v>
      </c>
      <c r="DI647">
        <f t="shared" si="268"/>
        <v>0</v>
      </c>
      <c r="DJ647">
        <f t="shared" si="269"/>
        <v>84.04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ROW(Source!A255)</f>
        <v>255</v>
      </c>
      <c r="B648">
        <v>55747649</v>
      </c>
      <c r="C648">
        <v>55748478</v>
      </c>
      <c r="D648">
        <v>54749864</v>
      </c>
      <c r="E648">
        <v>1</v>
      </c>
      <c r="F648">
        <v>1</v>
      </c>
      <c r="G648">
        <v>1081</v>
      </c>
      <c r="H648">
        <v>3</v>
      </c>
      <c r="I648" t="s">
        <v>419</v>
      </c>
      <c r="J648" t="s">
        <v>421</v>
      </c>
      <c r="K648" t="s">
        <v>420</v>
      </c>
      <c r="L648">
        <v>1301</v>
      </c>
      <c r="N648">
        <v>1003</v>
      </c>
      <c r="O648" t="s">
        <v>191</v>
      </c>
      <c r="P648" t="s">
        <v>191</v>
      </c>
      <c r="Q648">
        <v>1</v>
      </c>
      <c r="W648">
        <v>0</v>
      </c>
      <c r="X648">
        <v>935342670</v>
      </c>
      <c r="Y648">
        <f>AT648</f>
        <v>10.57894737</v>
      </c>
      <c r="AA648">
        <v>31.41</v>
      </c>
      <c r="AB648">
        <v>0</v>
      </c>
      <c r="AC648">
        <v>0</v>
      </c>
      <c r="AD648">
        <v>0</v>
      </c>
      <c r="AE648">
        <v>31.41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 t="s">
        <v>3</v>
      </c>
      <c r="AT648">
        <v>10.57894737</v>
      </c>
      <c r="AU648" t="s">
        <v>3</v>
      </c>
      <c r="AV648">
        <v>0</v>
      </c>
      <c r="AW648">
        <v>1</v>
      </c>
      <c r="AX648">
        <v>-1</v>
      </c>
      <c r="AY648">
        <v>0</v>
      </c>
      <c r="AZ648">
        <v>0</v>
      </c>
      <c r="BA648" t="s">
        <v>3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ROUND(Y648*Source!I255,9)</f>
        <v>201.00000003</v>
      </c>
      <c r="CY648">
        <f t="shared" si="263"/>
        <v>31.41</v>
      </c>
      <c r="CZ648">
        <f t="shared" si="264"/>
        <v>31.41</v>
      </c>
      <c r="DA648">
        <f t="shared" si="265"/>
        <v>1</v>
      </c>
      <c r="DB648">
        <f>ROUND(ROUND(AT648*CZ648,2),6)</f>
        <v>332.28</v>
      </c>
      <c r="DC648">
        <f>ROUND(ROUND(AT648*AG648,2),6)</f>
        <v>0</v>
      </c>
      <c r="DD648" t="s">
        <v>3</v>
      </c>
      <c r="DE648" t="s">
        <v>3</v>
      </c>
      <c r="DF648">
        <f t="shared" si="261"/>
        <v>6313.41</v>
      </c>
      <c r="DG648">
        <f t="shared" si="256"/>
        <v>0</v>
      </c>
      <c r="DH648">
        <f t="shared" si="251"/>
        <v>0</v>
      </c>
      <c r="DI648">
        <f t="shared" si="268"/>
        <v>0</v>
      </c>
      <c r="DJ648">
        <f t="shared" si="269"/>
        <v>6313.41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ROW(Source!A255)</f>
        <v>255</v>
      </c>
      <c r="B649">
        <v>55747649</v>
      </c>
      <c r="C649">
        <v>55748478</v>
      </c>
      <c r="D649">
        <v>54749866</v>
      </c>
      <c r="E649">
        <v>1</v>
      </c>
      <c r="F649">
        <v>1</v>
      </c>
      <c r="G649">
        <v>1081</v>
      </c>
      <c r="H649">
        <v>3</v>
      </c>
      <c r="I649" t="s">
        <v>224</v>
      </c>
      <c r="J649" t="s">
        <v>226</v>
      </c>
      <c r="K649" t="s">
        <v>225</v>
      </c>
      <c r="L649">
        <v>1301</v>
      </c>
      <c r="N649">
        <v>1003</v>
      </c>
      <c r="O649" t="s">
        <v>191</v>
      </c>
      <c r="P649" t="s">
        <v>191</v>
      </c>
      <c r="Q649">
        <v>1</v>
      </c>
      <c r="W649">
        <v>0</v>
      </c>
      <c r="X649">
        <v>-173671470</v>
      </c>
      <c r="Y649">
        <f>AT649</f>
        <v>47.60526316</v>
      </c>
      <c r="AA649">
        <v>51.28</v>
      </c>
      <c r="AB649">
        <v>0</v>
      </c>
      <c r="AC649">
        <v>0</v>
      </c>
      <c r="AD649">
        <v>0</v>
      </c>
      <c r="AE649">
        <v>51.28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0</v>
      </c>
      <c r="AS649" t="s">
        <v>3</v>
      </c>
      <c r="AT649">
        <v>47.60526316</v>
      </c>
      <c r="AU649" t="s">
        <v>3</v>
      </c>
      <c r="AV649">
        <v>0</v>
      </c>
      <c r="AW649">
        <v>1</v>
      </c>
      <c r="AX649">
        <v>-1</v>
      </c>
      <c r="AY649">
        <v>0</v>
      </c>
      <c r="AZ649">
        <v>0</v>
      </c>
      <c r="BA649" t="s">
        <v>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ROUND(Y649*Source!I255,9)</f>
        <v>904.50000004000003</v>
      </c>
      <c r="CY649">
        <f t="shared" si="263"/>
        <v>51.28</v>
      </c>
      <c r="CZ649">
        <f t="shared" si="264"/>
        <v>51.28</v>
      </c>
      <c r="DA649">
        <f t="shared" si="265"/>
        <v>1</v>
      </c>
      <c r="DB649">
        <f>ROUND(ROUND(AT649*CZ649,2),6)</f>
        <v>2441.1999999999998</v>
      </c>
      <c r="DC649">
        <f>ROUND(ROUND(AT649*AG649,2),6)</f>
        <v>0</v>
      </c>
      <c r="DD649" t="s">
        <v>3</v>
      </c>
      <c r="DE649" t="s">
        <v>3</v>
      </c>
      <c r="DF649">
        <f t="shared" si="261"/>
        <v>46382.76</v>
      </c>
      <c r="DG649">
        <f t="shared" si="256"/>
        <v>0</v>
      </c>
      <c r="DH649">
        <f t="shared" si="251"/>
        <v>0</v>
      </c>
      <c r="DI649">
        <f t="shared" si="268"/>
        <v>0</v>
      </c>
      <c r="DJ649">
        <f t="shared" si="269"/>
        <v>46382.76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ROW(Source!A255)</f>
        <v>255</v>
      </c>
      <c r="B650">
        <v>55747649</v>
      </c>
      <c r="C650">
        <v>55748478</v>
      </c>
      <c r="D650">
        <v>54749867</v>
      </c>
      <c r="E650">
        <v>1</v>
      </c>
      <c r="F650">
        <v>1</v>
      </c>
      <c r="G650">
        <v>1081</v>
      </c>
      <c r="H650">
        <v>3</v>
      </c>
      <c r="I650" t="s">
        <v>412</v>
      </c>
      <c r="J650" t="s">
        <v>414</v>
      </c>
      <c r="K650" t="s">
        <v>413</v>
      </c>
      <c r="L650">
        <v>1301</v>
      </c>
      <c r="N650">
        <v>1003</v>
      </c>
      <c r="O650" t="s">
        <v>191</v>
      </c>
      <c r="P650" t="s">
        <v>191</v>
      </c>
      <c r="Q650">
        <v>1</v>
      </c>
      <c r="W650">
        <v>0</v>
      </c>
      <c r="X650">
        <v>-2119850974</v>
      </c>
      <c r="Y650">
        <f>AT650</f>
        <v>42.315789469999999</v>
      </c>
      <c r="AA650">
        <v>61.58</v>
      </c>
      <c r="AB650">
        <v>0</v>
      </c>
      <c r="AC650">
        <v>0</v>
      </c>
      <c r="AD650">
        <v>0</v>
      </c>
      <c r="AE650">
        <v>61.58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 t="s">
        <v>3</v>
      </c>
      <c r="AT650">
        <v>42.315789469999999</v>
      </c>
      <c r="AU650" t="s">
        <v>3</v>
      </c>
      <c r="AV650">
        <v>0</v>
      </c>
      <c r="AW650">
        <v>1</v>
      </c>
      <c r="AX650">
        <v>-1</v>
      </c>
      <c r="AY650">
        <v>0</v>
      </c>
      <c r="AZ650">
        <v>0</v>
      </c>
      <c r="BA650" t="s">
        <v>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ROUND(Y650*Source!I255,9)</f>
        <v>803.99999992999994</v>
      </c>
      <c r="CY650">
        <f t="shared" si="263"/>
        <v>61.58</v>
      </c>
      <c r="CZ650">
        <f t="shared" si="264"/>
        <v>61.58</v>
      </c>
      <c r="DA650">
        <f t="shared" si="265"/>
        <v>1</v>
      </c>
      <c r="DB650">
        <f>ROUND(ROUND(AT650*CZ650,2),6)</f>
        <v>2605.81</v>
      </c>
      <c r="DC650">
        <f>ROUND(ROUND(AT650*AG650,2),6)</f>
        <v>0</v>
      </c>
      <c r="DD650" t="s">
        <v>3</v>
      </c>
      <c r="DE650" t="s">
        <v>3</v>
      </c>
      <c r="DF650">
        <f t="shared" si="261"/>
        <v>49510.32</v>
      </c>
      <c r="DG650">
        <f t="shared" si="256"/>
        <v>0</v>
      </c>
      <c r="DH650">
        <f t="shared" si="251"/>
        <v>0</v>
      </c>
      <c r="DI650">
        <f t="shared" si="268"/>
        <v>0</v>
      </c>
      <c r="DJ650">
        <f t="shared" si="269"/>
        <v>49510.32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ROW(Source!A255)</f>
        <v>255</v>
      </c>
      <c r="B651">
        <v>55747649</v>
      </c>
      <c r="C651">
        <v>55748478</v>
      </c>
      <c r="D651">
        <v>54759954</v>
      </c>
      <c r="E651">
        <v>1</v>
      </c>
      <c r="F651">
        <v>1</v>
      </c>
      <c r="G651">
        <v>1081</v>
      </c>
      <c r="H651">
        <v>3</v>
      </c>
      <c r="I651" t="s">
        <v>601</v>
      </c>
      <c r="J651" t="s">
        <v>602</v>
      </c>
      <c r="K651" t="s">
        <v>603</v>
      </c>
      <c r="L651">
        <v>1354</v>
      </c>
      <c r="N651">
        <v>1010</v>
      </c>
      <c r="O651" t="s">
        <v>118</v>
      </c>
      <c r="P651" t="s">
        <v>118</v>
      </c>
      <c r="Q651">
        <v>1</v>
      </c>
      <c r="W651">
        <v>0</v>
      </c>
      <c r="X651">
        <v>483106430</v>
      </c>
      <c r="Y651">
        <f>(AT651*1)</f>
        <v>36</v>
      </c>
      <c r="AA651">
        <v>14.68</v>
      </c>
      <c r="AB651">
        <v>0</v>
      </c>
      <c r="AC651">
        <v>0</v>
      </c>
      <c r="AD651">
        <v>0</v>
      </c>
      <c r="AE651">
        <v>14.28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36</v>
      </c>
      <c r="AU651" t="s">
        <v>48</v>
      </c>
      <c r="AV651">
        <v>0</v>
      </c>
      <c r="AW651">
        <v>2</v>
      </c>
      <c r="AX651">
        <v>55748509</v>
      </c>
      <c r="AY651">
        <v>1</v>
      </c>
      <c r="AZ651">
        <v>0</v>
      </c>
      <c r="BA651">
        <v>682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ROUND(Y651*Source!I255,9)</f>
        <v>684</v>
      </c>
      <c r="CY651">
        <f t="shared" si="263"/>
        <v>14.68</v>
      </c>
      <c r="CZ651">
        <f t="shared" si="264"/>
        <v>14.28</v>
      </c>
      <c r="DA651">
        <f t="shared" si="265"/>
        <v>1</v>
      </c>
      <c r="DB651">
        <f>ROUND((ROUND(AT651*CZ651,2)*1),6)</f>
        <v>514.08000000000004</v>
      </c>
      <c r="DC651">
        <f>ROUND((ROUND(AT651*AG651,2)*1),6)</f>
        <v>0</v>
      </c>
      <c r="DD651" t="s">
        <v>3</v>
      </c>
      <c r="DE651" t="s">
        <v>3</v>
      </c>
      <c r="DF651">
        <f t="shared" si="261"/>
        <v>9767.52</v>
      </c>
      <c r="DG651">
        <f t="shared" si="256"/>
        <v>0</v>
      </c>
      <c r="DH651">
        <f t="shared" si="251"/>
        <v>0</v>
      </c>
      <c r="DI651">
        <f t="shared" si="268"/>
        <v>0</v>
      </c>
      <c r="DJ651">
        <f t="shared" si="269"/>
        <v>9767.52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ROW(Source!A256)</f>
        <v>256</v>
      </c>
      <c r="B652">
        <v>55747651</v>
      </c>
      <c r="C652">
        <v>55748478</v>
      </c>
      <c r="D652">
        <v>54702434</v>
      </c>
      <c r="E652">
        <v>1081</v>
      </c>
      <c r="F652">
        <v>1</v>
      </c>
      <c r="G652">
        <v>1081</v>
      </c>
      <c r="H652">
        <v>1</v>
      </c>
      <c r="I652" t="s">
        <v>473</v>
      </c>
      <c r="J652" t="s">
        <v>3</v>
      </c>
      <c r="K652" t="s">
        <v>474</v>
      </c>
      <c r="L652">
        <v>1191</v>
      </c>
      <c r="N652">
        <v>1013</v>
      </c>
      <c r="O652" t="s">
        <v>475</v>
      </c>
      <c r="P652" t="s">
        <v>475</v>
      </c>
      <c r="Q652">
        <v>1</v>
      </c>
      <c r="W652">
        <v>0</v>
      </c>
      <c r="X652">
        <v>476480486</v>
      </c>
      <c r="Y652">
        <f t="shared" ref="Y652:Y657" si="270">(AT652*1.2)</f>
        <v>166.79999999999998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5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139</v>
      </c>
      <c r="AU652" t="s">
        <v>49</v>
      </c>
      <c r="AV652">
        <v>1</v>
      </c>
      <c r="AW652">
        <v>2</v>
      </c>
      <c r="AX652">
        <v>55748496</v>
      </c>
      <c r="AY652">
        <v>1</v>
      </c>
      <c r="AZ652">
        <v>0</v>
      </c>
      <c r="BA652">
        <v>684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U652">
        <f>ROUND(AT652*Source!I256*AH652*AL652,2)</f>
        <v>0</v>
      </c>
      <c r="CV652">
        <f>ROUND(Y652*Source!I256,9)</f>
        <v>3169.2</v>
      </c>
      <c r="CW652">
        <v>0</v>
      </c>
      <c r="CX652">
        <f>ROUND(Y652*Source!I256,9)</f>
        <v>3169.2</v>
      </c>
      <c r="CY652">
        <f>AD652</f>
        <v>0</v>
      </c>
      <c r="CZ652">
        <f>AH652</f>
        <v>0</v>
      </c>
      <c r="DA652">
        <f>AL652</f>
        <v>1</v>
      </c>
      <c r="DB652">
        <f t="shared" ref="DB652:DB657" si="271">ROUND((ROUND(AT652*CZ652,2)*1.2),6)</f>
        <v>0</v>
      </c>
      <c r="DC652">
        <f t="shared" ref="DC652:DC657" si="272">ROUND((ROUND(AT652*AG652,2)*1.2),6)</f>
        <v>0</v>
      </c>
      <c r="DD652" t="s">
        <v>3</v>
      </c>
      <c r="DE652" t="s">
        <v>3</v>
      </c>
      <c r="DF652">
        <f t="shared" si="261"/>
        <v>0</v>
      </c>
      <c r="DG652">
        <f t="shared" si="256"/>
        <v>0</v>
      </c>
      <c r="DH652">
        <f t="shared" si="251"/>
        <v>0</v>
      </c>
      <c r="DI652">
        <f t="shared" si="268"/>
        <v>0</v>
      </c>
      <c r="DJ652">
        <f>DI652</f>
        <v>0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ROW(Source!A256)</f>
        <v>256</v>
      </c>
      <c r="B653">
        <v>55747651</v>
      </c>
      <c r="C653">
        <v>55748478</v>
      </c>
      <c r="D653">
        <v>54767934</v>
      </c>
      <c r="E653">
        <v>1</v>
      </c>
      <c r="F653">
        <v>1</v>
      </c>
      <c r="G653">
        <v>1081</v>
      </c>
      <c r="H653">
        <v>2</v>
      </c>
      <c r="I653" t="s">
        <v>586</v>
      </c>
      <c r="J653" t="s">
        <v>587</v>
      </c>
      <c r="K653" t="s">
        <v>588</v>
      </c>
      <c r="L653">
        <v>1368</v>
      </c>
      <c r="N653">
        <v>1011</v>
      </c>
      <c r="O653" t="s">
        <v>479</v>
      </c>
      <c r="P653" t="s">
        <v>479</v>
      </c>
      <c r="Q653">
        <v>1</v>
      </c>
      <c r="W653">
        <v>0</v>
      </c>
      <c r="X653">
        <v>-1222619517</v>
      </c>
      <c r="Y653">
        <f t="shared" si="270"/>
        <v>9</v>
      </c>
      <c r="AA653">
        <v>0</v>
      </c>
      <c r="AB653">
        <v>1209.95</v>
      </c>
      <c r="AC653">
        <v>758.78</v>
      </c>
      <c r="AD653">
        <v>0</v>
      </c>
      <c r="AE653">
        <v>0</v>
      </c>
      <c r="AF653">
        <v>48.07</v>
      </c>
      <c r="AG653">
        <v>12.62</v>
      </c>
      <c r="AH653">
        <v>0</v>
      </c>
      <c r="AI653">
        <v>1</v>
      </c>
      <c r="AJ653">
        <v>23.59</v>
      </c>
      <c r="AK653">
        <v>56.35</v>
      </c>
      <c r="AL653">
        <v>1</v>
      </c>
      <c r="AM653">
        <v>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7.5</v>
      </c>
      <c r="AU653" t="s">
        <v>49</v>
      </c>
      <c r="AV653">
        <v>0</v>
      </c>
      <c r="AW653">
        <v>2</v>
      </c>
      <c r="AX653">
        <v>55748497</v>
      </c>
      <c r="AY653">
        <v>1</v>
      </c>
      <c r="AZ653">
        <v>0</v>
      </c>
      <c r="BA653">
        <v>685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f>ROUND(Y653*Source!I256*DO653,9)</f>
        <v>2158.02</v>
      </c>
      <c r="CX653">
        <f>ROUND(Y653*Source!I256,9)</f>
        <v>171</v>
      </c>
      <c r="CY653">
        <f>AB653</f>
        <v>1209.95</v>
      </c>
      <c r="CZ653">
        <f>AF653</f>
        <v>48.07</v>
      </c>
      <c r="DA653">
        <f>AJ653</f>
        <v>23.59</v>
      </c>
      <c r="DB653">
        <f t="shared" si="271"/>
        <v>432.63600000000002</v>
      </c>
      <c r="DC653">
        <f t="shared" si="272"/>
        <v>113.58</v>
      </c>
      <c r="DD653" t="s">
        <v>3</v>
      </c>
      <c r="DE653" t="s">
        <v>3</v>
      </c>
      <c r="DF653">
        <f t="shared" si="261"/>
        <v>0</v>
      </c>
      <c r="DG653">
        <f>ROUND(ROUND(AF653*AJ653,2)*CX653,2)</f>
        <v>193908.87</v>
      </c>
      <c r="DH653">
        <f>ROUND(ROUND(AG653*AK653,2)*CX653,2)</f>
        <v>121604.94</v>
      </c>
      <c r="DI653">
        <f t="shared" si="268"/>
        <v>0</v>
      </c>
      <c r="DJ653">
        <f>DG653</f>
        <v>193908.87</v>
      </c>
      <c r="DK653">
        <v>0</v>
      </c>
      <c r="DL653" t="s">
        <v>486</v>
      </c>
      <c r="DM653">
        <v>0</v>
      </c>
      <c r="DN653" t="s">
        <v>475</v>
      </c>
      <c r="DO653">
        <v>12.62</v>
      </c>
    </row>
    <row r="654" spans="1:119" x14ac:dyDescent="0.2">
      <c r="A654">
        <f>ROW(Source!A256)</f>
        <v>256</v>
      </c>
      <c r="B654">
        <v>55747651</v>
      </c>
      <c r="C654">
        <v>55748478</v>
      </c>
      <c r="D654">
        <v>54767971</v>
      </c>
      <c r="E654">
        <v>1</v>
      </c>
      <c r="F654">
        <v>1</v>
      </c>
      <c r="G654">
        <v>1081</v>
      </c>
      <c r="H654">
        <v>2</v>
      </c>
      <c r="I654" t="s">
        <v>589</v>
      </c>
      <c r="J654" t="s">
        <v>590</v>
      </c>
      <c r="K654" t="s">
        <v>591</v>
      </c>
      <c r="L654">
        <v>1368</v>
      </c>
      <c r="N654">
        <v>1011</v>
      </c>
      <c r="O654" t="s">
        <v>479</v>
      </c>
      <c r="P654" t="s">
        <v>479</v>
      </c>
      <c r="Q654">
        <v>1</v>
      </c>
      <c r="W654">
        <v>0</v>
      </c>
      <c r="X654">
        <v>210297649</v>
      </c>
      <c r="Y654">
        <f t="shared" si="270"/>
        <v>8.4</v>
      </c>
      <c r="AA654">
        <v>0</v>
      </c>
      <c r="AB654">
        <v>65.790000000000006</v>
      </c>
      <c r="AC654">
        <v>0</v>
      </c>
      <c r="AD654">
        <v>0</v>
      </c>
      <c r="AE654">
        <v>0</v>
      </c>
      <c r="AF654">
        <v>5.79</v>
      </c>
      <c r="AG654">
        <v>0</v>
      </c>
      <c r="AH654">
        <v>0</v>
      </c>
      <c r="AI654">
        <v>1</v>
      </c>
      <c r="AJ654">
        <v>10.65</v>
      </c>
      <c r="AK654">
        <v>1</v>
      </c>
      <c r="AL654">
        <v>1</v>
      </c>
      <c r="AM654">
        <v>2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7</v>
      </c>
      <c r="AU654" t="s">
        <v>49</v>
      </c>
      <c r="AV654">
        <v>0</v>
      </c>
      <c r="AW654">
        <v>2</v>
      </c>
      <c r="AX654">
        <v>55748498</v>
      </c>
      <c r="AY654">
        <v>1</v>
      </c>
      <c r="AZ654">
        <v>0</v>
      </c>
      <c r="BA654">
        <v>686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f>ROUND(Y654*Source!I256*DO654,9)</f>
        <v>0</v>
      </c>
      <c r="CX654">
        <f>ROUND(Y654*Source!I256,9)</f>
        <v>159.6</v>
      </c>
      <c r="CY654">
        <f>AB654</f>
        <v>65.790000000000006</v>
      </c>
      <c r="CZ654">
        <f>AF654</f>
        <v>5.79</v>
      </c>
      <c r="DA654">
        <f>AJ654</f>
        <v>10.65</v>
      </c>
      <c r="DB654">
        <f t="shared" si="271"/>
        <v>48.636000000000003</v>
      </c>
      <c r="DC654">
        <f t="shared" si="272"/>
        <v>0</v>
      </c>
      <c r="DD654" t="s">
        <v>3</v>
      </c>
      <c r="DE654" t="s">
        <v>3</v>
      </c>
      <c r="DF654">
        <f t="shared" si="261"/>
        <v>0</v>
      </c>
      <c r="DG654">
        <f>ROUND(ROUND(AF654*AJ654,2)*CX654,2)</f>
        <v>9840.94</v>
      </c>
      <c r="DH654">
        <f>ROUND(ROUND(AG654,2)*CX654,2)</f>
        <v>0</v>
      </c>
      <c r="DI654">
        <f t="shared" si="268"/>
        <v>0</v>
      </c>
      <c r="DJ654">
        <f>DG654</f>
        <v>9840.94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ROW(Source!A256)</f>
        <v>256</v>
      </c>
      <c r="B655">
        <v>55747651</v>
      </c>
      <c r="C655">
        <v>55748478</v>
      </c>
      <c r="D655">
        <v>54768040</v>
      </c>
      <c r="E655">
        <v>1</v>
      </c>
      <c r="F655">
        <v>1</v>
      </c>
      <c r="G655">
        <v>1081</v>
      </c>
      <c r="H655">
        <v>2</v>
      </c>
      <c r="I655" t="s">
        <v>476</v>
      </c>
      <c r="J655" t="s">
        <v>477</v>
      </c>
      <c r="K655" t="s">
        <v>478</v>
      </c>
      <c r="L655">
        <v>1368</v>
      </c>
      <c r="N655">
        <v>1011</v>
      </c>
      <c r="O655" t="s">
        <v>479</v>
      </c>
      <c r="P655" t="s">
        <v>479</v>
      </c>
      <c r="Q655">
        <v>1</v>
      </c>
      <c r="W655">
        <v>0</v>
      </c>
      <c r="X655">
        <v>1498588441</v>
      </c>
      <c r="Y655">
        <f t="shared" si="270"/>
        <v>11.183999999999999</v>
      </c>
      <c r="AA655">
        <v>0</v>
      </c>
      <c r="AB655">
        <v>102.11</v>
      </c>
      <c r="AC655">
        <v>0</v>
      </c>
      <c r="AD655">
        <v>0</v>
      </c>
      <c r="AE655">
        <v>0</v>
      </c>
      <c r="AF655">
        <v>7.11</v>
      </c>
      <c r="AG655">
        <v>0</v>
      </c>
      <c r="AH655">
        <v>0</v>
      </c>
      <c r="AI655">
        <v>1</v>
      </c>
      <c r="AJ655">
        <v>13.46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9.32</v>
      </c>
      <c r="AU655" t="s">
        <v>49</v>
      </c>
      <c r="AV655">
        <v>0</v>
      </c>
      <c r="AW655">
        <v>2</v>
      </c>
      <c r="AX655">
        <v>55748499</v>
      </c>
      <c r="AY655">
        <v>1</v>
      </c>
      <c r="AZ655">
        <v>0</v>
      </c>
      <c r="BA655">
        <v>687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f>ROUND(Y655*Source!I256*DO655,9)</f>
        <v>0</v>
      </c>
      <c r="CX655">
        <f>ROUND(Y655*Source!I256,9)</f>
        <v>212.49600000000001</v>
      </c>
      <c r="CY655">
        <f>AB655</f>
        <v>102.11</v>
      </c>
      <c r="CZ655">
        <f>AF655</f>
        <v>7.11</v>
      </c>
      <c r="DA655">
        <f>AJ655</f>
        <v>13.46</v>
      </c>
      <c r="DB655">
        <f t="shared" si="271"/>
        <v>79.524000000000001</v>
      </c>
      <c r="DC655">
        <f t="shared" si="272"/>
        <v>0</v>
      </c>
      <c r="DD655" t="s">
        <v>3</v>
      </c>
      <c r="DE655" t="s">
        <v>3</v>
      </c>
      <c r="DF655">
        <f t="shared" si="261"/>
        <v>0</v>
      </c>
      <c r="DG655">
        <f>ROUND(ROUND(AF655*AJ655,2)*CX655,2)</f>
        <v>20335.87</v>
      </c>
      <c r="DH655">
        <f>ROUND(ROUND(AG655,2)*CX655,2)</f>
        <v>0</v>
      </c>
      <c r="DI655">
        <f t="shared" si="268"/>
        <v>0</v>
      </c>
      <c r="DJ655">
        <f>DG655</f>
        <v>20335.87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ROW(Source!A256)</f>
        <v>256</v>
      </c>
      <c r="B656">
        <v>55747651</v>
      </c>
      <c r="C656">
        <v>55748478</v>
      </c>
      <c r="D656">
        <v>54768339</v>
      </c>
      <c r="E656">
        <v>1</v>
      </c>
      <c r="F656">
        <v>1</v>
      </c>
      <c r="G656">
        <v>1081</v>
      </c>
      <c r="H656">
        <v>2</v>
      </c>
      <c r="I656" t="s">
        <v>483</v>
      </c>
      <c r="J656" t="s">
        <v>484</v>
      </c>
      <c r="K656" t="s">
        <v>485</v>
      </c>
      <c r="L656">
        <v>1368</v>
      </c>
      <c r="N656">
        <v>1011</v>
      </c>
      <c r="O656" t="s">
        <v>479</v>
      </c>
      <c r="P656" t="s">
        <v>479</v>
      </c>
      <c r="Q656">
        <v>1</v>
      </c>
      <c r="W656">
        <v>0</v>
      </c>
      <c r="X656">
        <v>874612079</v>
      </c>
      <c r="Y656">
        <f t="shared" si="270"/>
        <v>0.64800000000000002</v>
      </c>
      <c r="AA656">
        <v>0</v>
      </c>
      <c r="AB656">
        <v>1513.56</v>
      </c>
      <c r="AC656">
        <v>758.78</v>
      </c>
      <c r="AD656">
        <v>0</v>
      </c>
      <c r="AE656">
        <v>0</v>
      </c>
      <c r="AF656">
        <v>83.1</v>
      </c>
      <c r="AG656">
        <v>12.62</v>
      </c>
      <c r="AH656">
        <v>0</v>
      </c>
      <c r="AI656">
        <v>1</v>
      </c>
      <c r="AJ656">
        <v>17.07</v>
      </c>
      <c r="AK656">
        <v>56.35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0.54</v>
      </c>
      <c r="AU656" t="s">
        <v>49</v>
      </c>
      <c r="AV656">
        <v>0</v>
      </c>
      <c r="AW656">
        <v>2</v>
      </c>
      <c r="AX656">
        <v>55748500</v>
      </c>
      <c r="AY656">
        <v>1</v>
      </c>
      <c r="AZ656">
        <v>0</v>
      </c>
      <c r="BA656">
        <v>688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f>ROUND(Y656*Source!I256*DO656,9)</f>
        <v>155.37744000000001</v>
      </c>
      <c r="CX656">
        <f>ROUND(Y656*Source!I256,9)</f>
        <v>12.311999999999999</v>
      </c>
      <c r="CY656">
        <f>AB656</f>
        <v>1513.56</v>
      </c>
      <c r="CZ656">
        <f>AF656</f>
        <v>83.1</v>
      </c>
      <c r="DA656">
        <f>AJ656</f>
        <v>17.07</v>
      </c>
      <c r="DB656">
        <f t="shared" si="271"/>
        <v>53.844000000000001</v>
      </c>
      <c r="DC656">
        <f t="shared" si="272"/>
        <v>8.1720000000000006</v>
      </c>
      <c r="DD656" t="s">
        <v>3</v>
      </c>
      <c r="DE656" t="s">
        <v>3</v>
      </c>
      <c r="DF656">
        <f t="shared" si="261"/>
        <v>0</v>
      </c>
      <c r="DG656">
        <f>ROUND(ROUND(AF656*AJ656,2)*CX656,2)</f>
        <v>17464.82</v>
      </c>
      <c r="DH656">
        <f>ROUND(ROUND(AG656*AK656,2)*CX656,2)</f>
        <v>8755.56</v>
      </c>
      <c r="DI656">
        <f t="shared" si="268"/>
        <v>0</v>
      </c>
      <c r="DJ656">
        <f>DG656</f>
        <v>17464.82</v>
      </c>
      <c r="DK656">
        <v>0</v>
      </c>
      <c r="DL656" t="s">
        <v>486</v>
      </c>
      <c r="DM656">
        <v>0</v>
      </c>
      <c r="DN656" t="s">
        <v>475</v>
      </c>
      <c r="DO656">
        <v>12.62</v>
      </c>
    </row>
    <row r="657" spans="1:119" x14ac:dyDescent="0.2">
      <c r="A657">
        <f>ROW(Source!A256)</f>
        <v>256</v>
      </c>
      <c r="B657">
        <v>55747651</v>
      </c>
      <c r="C657">
        <v>55748478</v>
      </c>
      <c r="D657">
        <v>54767657</v>
      </c>
      <c r="E657">
        <v>1</v>
      </c>
      <c r="F657">
        <v>1</v>
      </c>
      <c r="G657">
        <v>1081</v>
      </c>
      <c r="H657">
        <v>2</v>
      </c>
      <c r="I657" t="s">
        <v>592</v>
      </c>
      <c r="J657" t="s">
        <v>593</v>
      </c>
      <c r="K657" t="s">
        <v>594</v>
      </c>
      <c r="L657">
        <v>1368</v>
      </c>
      <c r="N657">
        <v>1011</v>
      </c>
      <c r="O657" t="s">
        <v>479</v>
      </c>
      <c r="P657" t="s">
        <v>479</v>
      </c>
      <c r="Q657">
        <v>1</v>
      </c>
      <c r="W657">
        <v>0</v>
      </c>
      <c r="X657">
        <v>-1755828087</v>
      </c>
      <c r="Y657">
        <f t="shared" si="270"/>
        <v>0.48</v>
      </c>
      <c r="AA657">
        <v>0</v>
      </c>
      <c r="AB657">
        <v>34.85</v>
      </c>
      <c r="AC657">
        <v>0</v>
      </c>
      <c r="AD657">
        <v>0</v>
      </c>
      <c r="AE657">
        <v>0</v>
      </c>
      <c r="AF657">
        <v>3.18</v>
      </c>
      <c r="AG657">
        <v>0</v>
      </c>
      <c r="AH657">
        <v>0</v>
      </c>
      <c r="AI657">
        <v>1</v>
      </c>
      <c r="AJ657">
        <v>10.27</v>
      </c>
      <c r="AK657">
        <v>1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0.4</v>
      </c>
      <c r="AU657" t="s">
        <v>49</v>
      </c>
      <c r="AV657">
        <v>0</v>
      </c>
      <c r="AW657">
        <v>2</v>
      </c>
      <c r="AX657">
        <v>55748501</v>
      </c>
      <c r="AY657">
        <v>1</v>
      </c>
      <c r="AZ657">
        <v>0</v>
      </c>
      <c r="BA657">
        <v>689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ROUND(Y657*Source!I256*DO657,9)</f>
        <v>0</v>
      </c>
      <c r="CX657">
        <f>ROUND(Y657*Source!I256,9)</f>
        <v>9.1199999999999992</v>
      </c>
      <c r="CY657">
        <f>AB657</f>
        <v>34.85</v>
      </c>
      <c r="CZ657">
        <f>AF657</f>
        <v>3.18</v>
      </c>
      <c r="DA657">
        <f>AJ657</f>
        <v>10.27</v>
      </c>
      <c r="DB657">
        <f t="shared" si="271"/>
        <v>1.524</v>
      </c>
      <c r="DC657">
        <f t="shared" si="272"/>
        <v>0</v>
      </c>
      <c r="DD657" t="s">
        <v>3</v>
      </c>
      <c r="DE657" t="s">
        <v>3</v>
      </c>
      <c r="DF657">
        <f t="shared" si="261"/>
        <v>0</v>
      </c>
      <c r="DG657">
        <f>ROUND(ROUND(AF657*AJ657,2)*CX657,2)</f>
        <v>297.86</v>
      </c>
      <c r="DH657">
        <f t="shared" ref="DH657:DH681" si="273">ROUND(ROUND(AG657,2)*CX657,2)</f>
        <v>0</v>
      </c>
      <c r="DI657">
        <f t="shared" si="268"/>
        <v>0</v>
      </c>
      <c r="DJ657">
        <f>DG657</f>
        <v>297.86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">
      <c r="A658">
        <f>ROW(Source!A256)</f>
        <v>256</v>
      </c>
      <c r="B658">
        <v>55747651</v>
      </c>
      <c r="C658">
        <v>55748478</v>
      </c>
      <c r="D658">
        <v>54737367</v>
      </c>
      <c r="E658">
        <v>1</v>
      </c>
      <c r="F658">
        <v>1</v>
      </c>
      <c r="G658">
        <v>1081</v>
      </c>
      <c r="H658">
        <v>3</v>
      </c>
      <c r="I658" t="s">
        <v>538</v>
      </c>
      <c r="J658" t="s">
        <v>539</v>
      </c>
      <c r="K658" t="s">
        <v>540</v>
      </c>
      <c r="L658">
        <v>1339</v>
      </c>
      <c r="N658">
        <v>1007</v>
      </c>
      <c r="O658" t="s">
        <v>507</v>
      </c>
      <c r="P658" t="s">
        <v>507</v>
      </c>
      <c r="Q658">
        <v>1</v>
      </c>
      <c r="W658">
        <v>0</v>
      </c>
      <c r="X658">
        <v>-1622585150</v>
      </c>
      <c r="Y658">
        <f t="shared" ref="Y658:Y664" si="274">(AT658*1)</f>
        <v>3</v>
      </c>
      <c r="AA658">
        <v>56.33</v>
      </c>
      <c r="AB658">
        <v>0</v>
      </c>
      <c r="AC658">
        <v>0</v>
      </c>
      <c r="AD658">
        <v>0</v>
      </c>
      <c r="AE658">
        <v>7.07</v>
      </c>
      <c r="AF658">
        <v>0</v>
      </c>
      <c r="AG658">
        <v>0</v>
      </c>
      <c r="AH658">
        <v>0</v>
      </c>
      <c r="AI658">
        <v>7.75</v>
      </c>
      <c r="AJ658">
        <v>1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3</v>
      </c>
      <c r="AU658" t="s">
        <v>48</v>
      </c>
      <c r="AV658">
        <v>0</v>
      </c>
      <c r="AW658">
        <v>2</v>
      </c>
      <c r="AX658">
        <v>55748502</v>
      </c>
      <c r="AY658">
        <v>1</v>
      </c>
      <c r="AZ658">
        <v>0</v>
      </c>
      <c r="BA658">
        <v>690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ROUND(Y658*Source!I256,9)</f>
        <v>57</v>
      </c>
      <c r="CY658">
        <f t="shared" ref="CY658:CY668" si="275">AA658</f>
        <v>56.33</v>
      </c>
      <c r="CZ658">
        <f t="shared" ref="CZ658:CZ668" si="276">AE658</f>
        <v>7.07</v>
      </c>
      <c r="DA658">
        <f t="shared" ref="DA658:DA668" si="277">AI658</f>
        <v>7.75</v>
      </c>
      <c r="DB658">
        <f t="shared" ref="DB658:DB664" si="278">ROUND((ROUND(AT658*CZ658,2)*1),6)</f>
        <v>21.21</v>
      </c>
      <c r="DC658">
        <f t="shared" ref="DC658:DC664" si="279">ROUND((ROUND(AT658*AG658,2)*1),6)</f>
        <v>0</v>
      </c>
      <c r="DD658" t="s">
        <v>3</v>
      </c>
      <c r="DE658" t="s">
        <v>3</v>
      </c>
      <c r="DF658">
        <f t="shared" ref="DF658:DF668" si="280">ROUND(ROUND(AE658*AI658,2)*CX658,2)</f>
        <v>3123.03</v>
      </c>
      <c r="DG658">
        <f t="shared" ref="DG658:DG681" si="281">ROUND(ROUND(AF658,2)*CX658,2)</f>
        <v>0</v>
      </c>
      <c r="DH658">
        <f t="shared" si="273"/>
        <v>0</v>
      </c>
      <c r="DI658">
        <f t="shared" si="268"/>
        <v>0</v>
      </c>
      <c r="DJ658">
        <f t="shared" ref="DJ658:DJ668" si="282">DF658</f>
        <v>3123.03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">
      <c r="A659">
        <f>ROW(Source!A256)</f>
        <v>256</v>
      </c>
      <c r="B659">
        <v>55747651</v>
      </c>
      <c r="C659">
        <v>55748478</v>
      </c>
      <c r="D659">
        <v>54738430</v>
      </c>
      <c r="E659">
        <v>1</v>
      </c>
      <c r="F659">
        <v>1</v>
      </c>
      <c r="G659">
        <v>1081</v>
      </c>
      <c r="H659">
        <v>3</v>
      </c>
      <c r="I659" t="s">
        <v>562</v>
      </c>
      <c r="J659" t="s">
        <v>563</v>
      </c>
      <c r="K659" t="s">
        <v>564</v>
      </c>
      <c r="L659">
        <v>1348</v>
      </c>
      <c r="N659">
        <v>1009</v>
      </c>
      <c r="O659" t="s">
        <v>282</v>
      </c>
      <c r="P659" t="s">
        <v>282</v>
      </c>
      <c r="Q659">
        <v>1000</v>
      </c>
      <c r="W659">
        <v>0</v>
      </c>
      <c r="X659">
        <v>63955816</v>
      </c>
      <c r="Y659">
        <f t="shared" si="274"/>
        <v>1.56E-3</v>
      </c>
      <c r="AA659">
        <v>99503.2</v>
      </c>
      <c r="AB659">
        <v>0</v>
      </c>
      <c r="AC659">
        <v>0</v>
      </c>
      <c r="AD659">
        <v>0</v>
      </c>
      <c r="AE659">
        <v>7185.82</v>
      </c>
      <c r="AF659">
        <v>0</v>
      </c>
      <c r="AG659">
        <v>0</v>
      </c>
      <c r="AH659">
        <v>0</v>
      </c>
      <c r="AI659">
        <v>13.47</v>
      </c>
      <c r="AJ659">
        <v>1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1.56E-3</v>
      </c>
      <c r="AU659" t="s">
        <v>48</v>
      </c>
      <c r="AV659">
        <v>0</v>
      </c>
      <c r="AW659">
        <v>2</v>
      </c>
      <c r="AX659">
        <v>55748503</v>
      </c>
      <c r="AY659">
        <v>1</v>
      </c>
      <c r="AZ659">
        <v>0</v>
      </c>
      <c r="BA659">
        <v>691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ROUND(Y659*Source!I256,9)</f>
        <v>2.964E-2</v>
      </c>
      <c r="CY659">
        <f t="shared" si="275"/>
        <v>99503.2</v>
      </c>
      <c r="CZ659">
        <f t="shared" si="276"/>
        <v>7185.82</v>
      </c>
      <c r="DA659">
        <f t="shared" si="277"/>
        <v>13.47</v>
      </c>
      <c r="DB659">
        <f t="shared" si="278"/>
        <v>11.21</v>
      </c>
      <c r="DC659">
        <f t="shared" si="279"/>
        <v>0</v>
      </c>
      <c r="DD659" t="s">
        <v>3</v>
      </c>
      <c r="DE659" t="s">
        <v>3</v>
      </c>
      <c r="DF659">
        <f t="shared" si="280"/>
        <v>2868.94</v>
      </c>
      <c r="DG659">
        <f t="shared" si="281"/>
        <v>0</v>
      </c>
      <c r="DH659">
        <f t="shared" si="273"/>
        <v>0</v>
      </c>
      <c r="DI659">
        <f t="shared" si="268"/>
        <v>0</v>
      </c>
      <c r="DJ659">
        <f t="shared" si="282"/>
        <v>2868.94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ROW(Source!A256)</f>
        <v>256</v>
      </c>
      <c r="B660">
        <v>55747651</v>
      </c>
      <c r="C660">
        <v>55748478</v>
      </c>
      <c r="D660">
        <v>54738505</v>
      </c>
      <c r="E660">
        <v>1</v>
      </c>
      <c r="F660">
        <v>1</v>
      </c>
      <c r="G660">
        <v>1081</v>
      </c>
      <c r="H660">
        <v>3</v>
      </c>
      <c r="I660" t="s">
        <v>580</v>
      </c>
      <c r="J660" t="s">
        <v>581</v>
      </c>
      <c r="K660" t="s">
        <v>582</v>
      </c>
      <c r="L660">
        <v>1346</v>
      </c>
      <c r="N660">
        <v>1009</v>
      </c>
      <c r="O660" t="s">
        <v>503</v>
      </c>
      <c r="P660" t="s">
        <v>503</v>
      </c>
      <c r="Q660">
        <v>1</v>
      </c>
      <c r="W660">
        <v>0</v>
      </c>
      <c r="X660">
        <v>732400950</v>
      </c>
      <c r="Y660">
        <f t="shared" si="274"/>
        <v>0.76</v>
      </c>
      <c r="AA660">
        <v>94.12</v>
      </c>
      <c r="AB660">
        <v>0</v>
      </c>
      <c r="AC660">
        <v>0</v>
      </c>
      <c r="AD660">
        <v>0</v>
      </c>
      <c r="AE660">
        <v>21</v>
      </c>
      <c r="AF660">
        <v>0</v>
      </c>
      <c r="AG660">
        <v>0</v>
      </c>
      <c r="AH660">
        <v>0</v>
      </c>
      <c r="AI660">
        <v>4.3600000000000003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0.76</v>
      </c>
      <c r="AU660" t="s">
        <v>48</v>
      </c>
      <c r="AV660">
        <v>0</v>
      </c>
      <c r="AW660">
        <v>2</v>
      </c>
      <c r="AX660">
        <v>55748504</v>
      </c>
      <c r="AY660">
        <v>1</v>
      </c>
      <c r="AZ660">
        <v>0</v>
      </c>
      <c r="BA660">
        <v>692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ROUND(Y660*Source!I256,9)</f>
        <v>14.44</v>
      </c>
      <c r="CY660">
        <f t="shared" si="275"/>
        <v>94.12</v>
      </c>
      <c r="CZ660">
        <f t="shared" si="276"/>
        <v>21</v>
      </c>
      <c r="DA660">
        <f t="shared" si="277"/>
        <v>4.3600000000000003</v>
      </c>
      <c r="DB660">
        <f t="shared" si="278"/>
        <v>15.96</v>
      </c>
      <c r="DC660">
        <f t="shared" si="279"/>
        <v>0</v>
      </c>
      <c r="DD660" t="s">
        <v>3</v>
      </c>
      <c r="DE660" t="s">
        <v>3</v>
      </c>
      <c r="DF660">
        <f t="shared" si="280"/>
        <v>1322.13</v>
      </c>
      <c r="DG660">
        <f t="shared" si="281"/>
        <v>0</v>
      </c>
      <c r="DH660">
        <f t="shared" si="273"/>
        <v>0</v>
      </c>
      <c r="DI660">
        <f t="shared" si="268"/>
        <v>0</v>
      </c>
      <c r="DJ660">
        <f t="shared" si="282"/>
        <v>1322.13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ROW(Source!A256)</f>
        <v>256</v>
      </c>
      <c r="B661">
        <v>55747651</v>
      </c>
      <c r="C661">
        <v>55748478</v>
      </c>
      <c r="D661">
        <v>54738703</v>
      </c>
      <c r="E661">
        <v>1</v>
      </c>
      <c r="F661">
        <v>1</v>
      </c>
      <c r="G661">
        <v>1081</v>
      </c>
      <c r="H661">
        <v>3</v>
      </c>
      <c r="I661" t="s">
        <v>595</v>
      </c>
      <c r="J661" t="s">
        <v>596</v>
      </c>
      <c r="K661" t="s">
        <v>597</v>
      </c>
      <c r="L661">
        <v>1355</v>
      </c>
      <c r="N661">
        <v>1010</v>
      </c>
      <c r="O661" t="s">
        <v>254</v>
      </c>
      <c r="P661" t="s">
        <v>254</v>
      </c>
      <c r="Q661">
        <v>100</v>
      </c>
      <c r="W661">
        <v>0</v>
      </c>
      <c r="X661">
        <v>1567739421</v>
      </c>
      <c r="Y661">
        <f t="shared" si="274"/>
        <v>0.36</v>
      </c>
      <c r="AA661">
        <v>480.06</v>
      </c>
      <c r="AB661">
        <v>0</v>
      </c>
      <c r="AC661">
        <v>0</v>
      </c>
      <c r="AD661">
        <v>0</v>
      </c>
      <c r="AE661">
        <v>496.79</v>
      </c>
      <c r="AF661">
        <v>0</v>
      </c>
      <c r="AG661">
        <v>0</v>
      </c>
      <c r="AH661">
        <v>0</v>
      </c>
      <c r="AI661">
        <v>0.94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0.36</v>
      </c>
      <c r="AU661" t="s">
        <v>48</v>
      </c>
      <c r="AV661">
        <v>0</v>
      </c>
      <c r="AW661">
        <v>2</v>
      </c>
      <c r="AX661">
        <v>55748505</v>
      </c>
      <c r="AY661">
        <v>1</v>
      </c>
      <c r="AZ661">
        <v>0</v>
      </c>
      <c r="BA661">
        <v>693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ROUND(Y661*Source!I256,9)</f>
        <v>6.84</v>
      </c>
      <c r="CY661">
        <f t="shared" si="275"/>
        <v>480.06</v>
      </c>
      <c r="CZ661">
        <f t="shared" si="276"/>
        <v>496.79</v>
      </c>
      <c r="DA661">
        <f t="shared" si="277"/>
        <v>0.94</v>
      </c>
      <c r="DB661">
        <f t="shared" si="278"/>
        <v>178.84</v>
      </c>
      <c r="DC661">
        <f t="shared" si="279"/>
        <v>0</v>
      </c>
      <c r="DD661" t="s">
        <v>3</v>
      </c>
      <c r="DE661" t="s">
        <v>3</v>
      </c>
      <c r="DF661">
        <f t="shared" si="280"/>
        <v>3194.14</v>
      </c>
      <c r="DG661">
        <f t="shared" si="281"/>
        <v>0</v>
      </c>
      <c r="DH661">
        <f t="shared" si="273"/>
        <v>0</v>
      </c>
      <c r="DI661">
        <f t="shared" si="268"/>
        <v>0</v>
      </c>
      <c r="DJ661">
        <f t="shared" si="282"/>
        <v>3194.14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ROW(Source!A256)</f>
        <v>256</v>
      </c>
      <c r="B662">
        <v>55747651</v>
      </c>
      <c r="C662">
        <v>55748478</v>
      </c>
      <c r="D662">
        <v>54738704</v>
      </c>
      <c r="E662">
        <v>1</v>
      </c>
      <c r="F662">
        <v>1</v>
      </c>
      <c r="G662">
        <v>1081</v>
      </c>
      <c r="H662">
        <v>3</v>
      </c>
      <c r="I662" t="s">
        <v>598</v>
      </c>
      <c r="J662" t="s">
        <v>599</v>
      </c>
      <c r="K662" t="s">
        <v>600</v>
      </c>
      <c r="L662">
        <v>1355</v>
      </c>
      <c r="N662">
        <v>1010</v>
      </c>
      <c r="O662" t="s">
        <v>254</v>
      </c>
      <c r="P662" t="s">
        <v>254</v>
      </c>
      <c r="Q662">
        <v>100</v>
      </c>
      <c r="W662">
        <v>0</v>
      </c>
      <c r="X662">
        <v>-96727844</v>
      </c>
      <c r="Y662">
        <f t="shared" si="274"/>
        <v>0.36</v>
      </c>
      <c r="AA662">
        <v>578.83000000000004</v>
      </c>
      <c r="AB662">
        <v>0</v>
      </c>
      <c r="AC662">
        <v>0</v>
      </c>
      <c r="AD662">
        <v>0</v>
      </c>
      <c r="AE662">
        <v>243.75</v>
      </c>
      <c r="AF662">
        <v>0</v>
      </c>
      <c r="AG662">
        <v>0</v>
      </c>
      <c r="AH662">
        <v>0</v>
      </c>
      <c r="AI662">
        <v>2.31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0.36</v>
      </c>
      <c r="AU662" t="s">
        <v>48</v>
      </c>
      <c r="AV662">
        <v>0</v>
      </c>
      <c r="AW662">
        <v>2</v>
      </c>
      <c r="AX662">
        <v>55748506</v>
      </c>
      <c r="AY662">
        <v>1</v>
      </c>
      <c r="AZ662">
        <v>0</v>
      </c>
      <c r="BA662">
        <v>694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ROUND(Y662*Source!I256,9)</f>
        <v>6.84</v>
      </c>
      <c r="CY662">
        <f t="shared" si="275"/>
        <v>578.83000000000004</v>
      </c>
      <c r="CZ662">
        <f t="shared" si="276"/>
        <v>243.75</v>
      </c>
      <c r="DA662">
        <f t="shared" si="277"/>
        <v>2.31</v>
      </c>
      <c r="DB662">
        <f t="shared" si="278"/>
        <v>87.75</v>
      </c>
      <c r="DC662">
        <f t="shared" si="279"/>
        <v>0</v>
      </c>
      <c r="DD662" t="s">
        <v>3</v>
      </c>
      <c r="DE662" t="s">
        <v>3</v>
      </c>
      <c r="DF662">
        <f t="shared" si="280"/>
        <v>3851.33</v>
      </c>
      <c r="DG662">
        <f t="shared" si="281"/>
        <v>0</v>
      </c>
      <c r="DH662">
        <f t="shared" si="273"/>
        <v>0</v>
      </c>
      <c r="DI662">
        <f t="shared" si="268"/>
        <v>0</v>
      </c>
      <c r="DJ662">
        <f t="shared" si="282"/>
        <v>3851.33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ROW(Source!A256)</f>
        <v>256</v>
      </c>
      <c r="B663">
        <v>55747651</v>
      </c>
      <c r="C663">
        <v>55748478</v>
      </c>
      <c r="D663">
        <v>54737299</v>
      </c>
      <c r="E663">
        <v>1</v>
      </c>
      <c r="F663">
        <v>1</v>
      </c>
      <c r="G663">
        <v>1081</v>
      </c>
      <c r="H663">
        <v>3</v>
      </c>
      <c r="I663" t="s">
        <v>583</v>
      </c>
      <c r="J663" t="s">
        <v>584</v>
      </c>
      <c r="K663" t="s">
        <v>585</v>
      </c>
      <c r="L663">
        <v>1339</v>
      </c>
      <c r="N663">
        <v>1007</v>
      </c>
      <c r="O663" t="s">
        <v>507</v>
      </c>
      <c r="P663" t="s">
        <v>507</v>
      </c>
      <c r="Q663">
        <v>1</v>
      </c>
      <c r="W663">
        <v>0</v>
      </c>
      <c r="X663">
        <v>-676034668</v>
      </c>
      <c r="Y663">
        <f t="shared" si="274"/>
        <v>0.59</v>
      </c>
      <c r="AA663">
        <v>781.45</v>
      </c>
      <c r="AB663">
        <v>0</v>
      </c>
      <c r="AC663">
        <v>0</v>
      </c>
      <c r="AD663">
        <v>0</v>
      </c>
      <c r="AE663">
        <v>53.42</v>
      </c>
      <c r="AF663">
        <v>0</v>
      </c>
      <c r="AG663">
        <v>0</v>
      </c>
      <c r="AH663">
        <v>0</v>
      </c>
      <c r="AI663">
        <v>14.23</v>
      </c>
      <c r="AJ663">
        <v>1</v>
      </c>
      <c r="AK663">
        <v>1</v>
      </c>
      <c r="AL663">
        <v>1</v>
      </c>
      <c r="AM663">
        <v>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0.59</v>
      </c>
      <c r="AU663" t="s">
        <v>48</v>
      </c>
      <c r="AV663">
        <v>0</v>
      </c>
      <c r="AW663">
        <v>2</v>
      </c>
      <c r="AX663">
        <v>55748507</v>
      </c>
      <c r="AY663">
        <v>1</v>
      </c>
      <c r="AZ663">
        <v>0</v>
      </c>
      <c r="BA663">
        <v>695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ROUND(Y663*Source!I256,9)</f>
        <v>11.21</v>
      </c>
      <c r="CY663">
        <f t="shared" si="275"/>
        <v>781.45</v>
      </c>
      <c r="CZ663">
        <f t="shared" si="276"/>
        <v>53.42</v>
      </c>
      <c r="DA663">
        <f t="shared" si="277"/>
        <v>14.23</v>
      </c>
      <c r="DB663">
        <f t="shared" si="278"/>
        <v>31.52</v>
      </c>
      <c r="DC663">
        <f t="shared" si="279"/>
        <v>0</v>
      </c>
      <c r="DD663" t="s">
        <v>3</v>
      </c>
      <c r="DE663" t="s">
        <v>3</v>
      </c>
      <c r="DF663">
        <f t="shared" si="280"/>
        <v>8521.51</v>
      </c>
      <c r="DG663">
        <f t="shared" si="281"/>
        <v>0</v>
      </c>
      <c r="DH663">
        <f t="shared" si="273"/>
        <v>0</v>
      </c>
      <c r="DI663">
        <f t="shared" si="268"/>
        <v>0</v>
      </c>
      <c r="DJ663">
        <f t="shared" si="282"/>
        <v>8521.51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ROW(Source!A256)</f>
        <v>256</v>
      </c>
      <c r="B664">
        <v>55747651</v>
      </c>
      <c r="C664">
        <v>55748478</v>
      </c>
      <c r="D664">
        <v>54737565</v>
      </c>
      <c r="E664">
        <v>1</v>
      </c>
      <c r="F664">
        <v>1</v>
      </c>
      <c r="G664">
        <v>1081</v>
      </c>
      <c r="H664">
        <v>3</v>
      </c>
      <c r="I664" t="s">
        <v>504</v>
      </c>
      <c r="J664" t="s">
        <v>505</v>
      </c>
      <c r="K664" t="s">
        <v>506</v>
      </c>
      <c r="L664">
        <v>1339</v>
      </c>
      <c r="N664">
        <v>1007</v>
      </c>
      <c r="O664" t="s">
        <v>507</v>
      </c>
      <c r="P664" t="s">
        <v>507</v>
      </c>
      <c r="Q664">
        <v>1</v>
      </c>
      <c r="W664">
        <v>0</v>
      </c>
      <c r="X664">
        <v>-1235260082</v>
      </c>
      <c r="Y664">
        <f t="shared" si="274"/>
        <v>0.76</v>
      </c>
      <c r="AA664">
        <v>104.16</v>
      </c>
      <c r="AB664">
        <v>0</v>
      </c>
      <c r="AC664">
        <v>0</v>
      </c>
      <c r="AD664">
        <v>0</v>
      </c>
      <c r="AE664">
        <v>5.82</v>
      </c>
      <c r="AF664">
        <v>0</v>
      </c>
      <c r="AG664">
        <v>0</v>
      </c>
      <c r="AH664">
        <v>0</v>
      </c>
      <c r="AI664">
        <v>17.41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0.76</v>
      </c>
      <c r="AU664" t="s">
        <v>48</v>
      </c>
      <c r="AV664">
        <v>0</v>
      </c>
      <c r="AW664">
        <v>2</v>
      </c>
      <c r="AX664">
        <v>55748508</v>
      </c>
      <c r="AY664">
        <v>1</v>
      </c>
      <c r="AZ664">
        <v>0</v>
      </c>
      <c r="BA664">
        <v>696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ROUND(Y664*Source!I256,9)</f>
        <v>14.44</v>
      </c>
      <c r="CY664">
        <f t="shared" si="275"/>
        <v>104.16</v>
      </c>
      <c r="CZ664">
        <f t="shared" si="276"/>
        <v>5.82</v>
      </c>
      <c r="DA664">
        <f t="shared" si="277"/>
        <v>17.41</v>
      </c>
      <c r="DB664">
        <f t="shared" si="278"/>
        <v>4.42</v>
      </c>
      <c r="DC664">
        <f t="shared" si="279"/>
        <v>0</v>
      </c>
      <c r="DD664" t="s">
        <v>3</v>
      </c>
      <c r="DE664" t="s">
        <v>3</v>
      </c>
      <c r="DF664">
        <f t="shared" si="280"/>
        <v>1463.21</v>
      </c>
      <c r="DG664">
        <f t="shared" si="281"/>
        <v>0</v>
      </c>
      <c r="DH664">
        <f t="shared" si="273"/>
        <v>0</v>
      </c>
      <c r="DI664">
        <f t="shared" si="268"/>
        <v>0</v>
      </c>
      <c r="DJ664">
        <f t="shared" si="282"/>
        <v>1463.21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ROW(Source!A256)</f>
        <v>256</v>
      </c>
      <c r="B665">
        <v>55747651</v>
      </c>
      <c r="C665">
        <v>55748478</v>
      </c>
      <c r="D665">
        <v>54749864</v>
      </c>
      <c r="E665">
        <v>1</v>
      </c>
      <c r="F665">
        <v>1</v>
      </c>
      <c r="G665">
        <v>1081</v>
      </c>
      <c r="H665">
        <v>3</v>
      </c>
      <c r="I665" t="s">
        <v>419</v>
      </c>
      <c r="J665" t="s">
        <v>421</v>
      </c>
      <c r="K665" t="s">
        <v>420</v>
      </c>
      <c r="L665">
        <v>1301</v>
      </c>
      <c r="N665">
        <v>1003</v>
      </c>
      <c r="O665" t="s">
        <v>191</v>
      </c>
      <c r="P665" t="s">
        <v>191</v>
      </c>
      <c r="Q665">
        <v>1</v>
      </c>
      <c r="W665">
        <v>0</v>
      </c>
      <c r="X665">
        <v>935342670</v>
      </c>
      <c r="Y665">
        <f>AT665</f>
        <v>10.57894737</v>
      </c>
      <c r="AA665">
        <v>581.4</v>
      </c>
      <c r="AB665">
        <v>0</v>
      </c>
      <c r="AC665">
        <v>0</v>
      </c>
      <c r="AD665">
        <v>0</v>
      </c>
      <c r="AE665">
        <v>31.41</v>
      </c>
      <c r="AF665">
        <v>0</v>
      </c>
      <c r="AG665">
        <v>0</v>
      </c>
      <c r="AH665">
        <v>0</v>
      </c>
      <c r="AI665">
        <v>18.510000000000002</v>
      </c>
      <c r="AJ665">
        <v>1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 t="s">
        <v>3</v>
      </c>
      <c r="AT665">
        <v>10.57894737</v>
      </c>
      <c r="AU665" t="s">
        <v>3</v>
      </c>
      <c r="AV665">
        <v>0</v>
      </c>
      <c r="AW665">
        <v>1</v>
      </c>
      <c r="AX665">
        <v>-1</v>
      </c>
      <c r="AY665">
        <v>0</v>
      </c>
      <c r="AZ665">
        <v>0</v>
      </c>
      <c r="BA665" t="s">
        <v>3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ROUND(Y665*Source!I256,9)</f>
        <v>201.00000003</v>
      </c>
      <c r="CY665">
        <f t="shared" si="275"/>
        <v>581.4</v>
      </c>
      <c r="CZ665">
        <f t="shared" si="276"/>
        <v>31.41</v>
      </c>
      <c r="DA665">
        <f t="shared" si="277"/>
        <v>18.510000000000002</v>
      </c>
      <c r="DB665">
        <f>ROUND(ROUND(AT665*CZ665,2),6)</f>
        <v>332.28</v>
      </c>
      <c r="DC665">
        <f>ROUND(ROUND(AT665*AG665,2),6)</f>
        <v>0</v>
      </c>
      <c r="DD665" t="s">
        <v>3</v>
      </c>
      <c r="DE665" t="s">
        <v>3</v>
      </c>
      <c r="DF665">
        <f t="shared" si="280"/>
        <v>116861.4</v>
      </c>
      <c r="DG665">
        <f t="shared" si="281"/>
        <v>0</v>
      </c>
      <c r="DH665">
        <f t="shared" si="273"/>
        <v>0</v>
      </c>
      <c r="DI665">
        <f t="shared" si="268"/>
        <v>0</v>
      </c>
      <c r="DJ665">
        <f t="shared" si="282"/>
        <v>116861.4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ROW(Source!A256)</f>
        <v>256</v>
      </c>
      <c r="B666">
        <v>55747651</v>
      </c>
      <c r="C666">
        <v>55748478</v>
      </c>
      <c r="D666">
        <v>54749866</v>
      </c>
      <c r="E666">
        <v>1</v>
      </c>
      <c r="F666">
        <v>1</v>
      </c>
      <c r="G666">
        <v>1081</v>
      </c>
      <c r="H666">
        <v>3</v>
      </c>
      <c r="I666" t="s">
        <v>224</v>
      </c>
      <c r="J666" t="s">
        <v>226</v>
      </c>
      <c r="K666" t="s">
        <v>225</v>
      </c>
      <c r="L666">
        <v>1301</v>
      </c>
      <c r="N666">
        <v>1003</v>
      </c>
      <c r="O666" t="s">
        <v>191</v>
      </c>
      <c r="P666" t="s">
        <v>191</v>
      </c>
      <c r="Q666">
        <v>1</v>
      </c>
      <c r="W666">
        <v>0</v>
      </c>
      <c r="X666">
        <v>-173671470</v>
      </c>
      <c r="Y666">
        <f>AT666</f>
        <v>47.60526316</v>
      </c>
      <c r="AA666">
        <v>1062.52</v>
      </c>
      <c r="AB666">
        <v>0</v>
      </c>
      <c r="AC666">
        <v>0</v>
      </c>
      <c r="AD666">
        <v>0</v>
      </c>
      <c r="AE666">
        <v>51.28</v>
      </c>
      <c r="AF666">
        <v>0</v>
      </c>
      <c r="AG666">
        <v>0</v>
      </c>
      <c r="AH666">
        <v>0</v>
      </c>
      <c r="AI666">
        <v>20.72</v>
      </c>
      <c r="AJ666">
        <v>1</v>
      </c>
      <c r="AK666">
        <v>1</v>
      </c>
      <c r="AL666">
        <v>1</v>
      </c>
      <c r="AM666">
        <v>0</v>
      </c>
      <c r="AN666">
        <v>0</v>
      </c>
      <c r="AO666">
        <v>0</v>
      </c>
      <c r="AP666">
        <v>1</v>
      </c>
      <c r="AQ666">
        <v>0</v>
      </c>
      <c r="AR666">
        <v>0</v>
      </c>
      <c r="AS666" t="s">
        <v>3</v>
      </c>
      <c r="AT666">
        <v>47.60526316</v>
      </c>
      <c r="AU666" t="s">
        <v>3</v>
      </c>
      <c r="AV666">
        <v>0</v>
      </c>
      <c r="AW666">
        <v>1</v>
      </c>
      <c r="AX666">
        <v>-1</v>
      </c>
      <c r="AY666">
        <v>0</v>
      </c>
      <c r="AZ666">
        <v>0</v>
      </c>
      <c r="BA666" t="s">
        <v>3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ROUND(Y666*Source!I256,9)</f>
        <v>904.50000004000003</v>
      </c>
      <c r="CY666">
        <f t="shared" si="275"/>
        <v>1062.52</v>
      </c>
      <c r="CZ666">
        <f t="shared" si="276"/>
        <v>51.28</v>
      </c>
      <c r="DA666">
        <f t="shared" si="277"/>
        <v>20.72</v>
      </c>
      <c r="DB666">
        <f>ROUND(ROUND(AT666*CZ666,2),6)</f>
        <v>2441.1999999999998</v>
      </c>
      <c r="DC666">
        <f>ROUND(ROUND(AT666*AG666,2),6)</f>
        <v>0</v>
      </c>
      <c r="DD666" t="s">
        <v>3</v>
      </c>
      <c r="DE666" t="s">
        <v>3</v>
      </c>
      <c r="DF666">
        <f t="shared" si="280"/>
        <v>961049.34</v>
      </c>
      <c r="DG666">
        <f t="shared" si="281"/>
        <v>0</v>
      </c>
      <c r="DH666">
        <f t="shared" si="273"/>
        <v>0</v>
      </c>
      <c r="DI666">
        <f t="shared" si="268"/>
        <v>0</v>
      </c>
      <c r="DJ666">
        <f t="shared" si="282"/>
        <v>961049.34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ROW(Source!A256)</f>
        <v>256</v>
      </c>
      <c r="B667">
        <v>55747651</v>
      </c>
      <c r="C667">
        <v>55748478</v>
      </c>
      <c r="D667">
        <v>54749867</v>
      </c>
      <c r="E667">
        <v>1</v>
      </c>
      <c r="F667">
        <v>1</v>
      </c>
      <c r="G667">
        <v>1081</v>
      </c>
      <c r="H667">
        <v>3</v>
      </c>
      <c r="I667" t="s">
        <v>412</v>
      </c>
      <c r="J667" t="s">
        <v>414</v>
      </c>
      <c r="K667" t="s">
        <v>413</v>
      </c>
      <c r="L667">
        <v>1301</v>
      </c>
      <c r="N667">
        <v>1003</v>
      </c>
      <c r="O667" t="s">
        <v>191</v>
      </c>
      <c r="P667" t="s">
        <v>191</v>
      </c>
      <c r="Q667">
        <v>1</v>
      </c>
      <c r="W667">
        <v>0</v>
      </c>
      <c r="X667">
        <v>-2119850974</v>
      </c>
      <c r="Y667">
        <f>AT667</f>
        <v>42.315789469999999</v>
      </c>
      <c r="AA667">
        <v>732.19</v>
      </c>
      <c r="AB667">
        <v>0</v>
      </c>
      <c r="AC667">
        <v>0</v>
      </c>
      <c r="AD667">
        <v>0</v>
      </c>
      <c r="AE667">
        <v>61.58</v>
      </c>
      <c r="AF667">
        <v>0</v>
      </c>
      <c r="AG667">
        <v>0</v>
      </c>
      <c r="AH667">
        <v>0</v>
      </c>
      <c r="AI667">
        <v>11.89</v>
      </c>
      <c r="AJ667">
        <v>1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 t="s">
        <v>3</v>
      </c>
      <c r="AT667">
        <v>42.315789469999999</v>
      </c>
      <c r="AU667" t="s">
        <v>3</v>
      </c>
      <c r="AV667">
        <v>0</v>
      </c>
      <c r="AW667">
        <v>1</v>
      </c>
      <c r="AX667">
        <v>-1</v>
      </c>
      <c r="AY667">
        <v>0</v>
      </c>
      <c r="AZ667">
        <v>0</v>
      </c>
      <c r="BA667" t="s">
        <v>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ROUND(Y667*Source!I256,9)</f>
        <v>803.99999992999994</v>
      </c>
      <c r="CY667">
        <f t="shared" si="275"/>
        <v>732.19</v>
      </c>
      <c r="CZ667">
        <f t="shared" si="276"/>
        <v>61.58</v>
      </c>
      <c r="DA667">
        <f t="shared" si="277"/>
        <v>11.89</v>
      </c>
      <c r="DB667">
        <f>ROUND(ROUND(AT667*CZ667,2),6)</f>
        <v>2605.81</v>
      </c>
      <c r="DC667">
        <f>ROUND(ROUND(AT667*AG667,2),6)</f>
        <v>0</v>
      </c>
      <c r="DD667" t="s">
        <v>3</v>
      </c>
      <c r="DE667" t="s">
        <v>3</v>
      </c>
      <c r="DF667">
        <f t="shared" si="280"/>
        <v>588680.76</v>
      </c>
      <c r="DG667">
        <f t="shared" si="281"/>
        <v>0</v>
      </c>
      <c r="DH667">
        <f t="shared" si="273"/>
        <v>0</v>
      </c>
      <c r="DI667">
        <f t="shared" si="268"/>
        <v>0</v>
      </c>
      <c r="DJ667">
        <f t="shared" si="282"/>
        <v>588680.76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">
      <c r="A668">
        <f>ROW(Source!A256)</f>
        <v>256</v>
      </c>
      <c r="B668">
        <v>55747651</v>
      </c>
      <c r="C668">
        <v>55748478</v>
      </c>
      <c r="D668">
        <v>54759954</v>
      </c>
      <c r="E668">
        <v>1</v>
      </c>
      <c r="F668">
        <v>1</v>
      </c>
      <c r="G668">
        <v>1081</v>
      </c>
      <c r="H668">
        <v>3</v>
      </c>
      <c r="I668" t="s">
        <v>601</v>
      </c>
      <c r="J668" t="s">
        <v>602</v>
      </c>
      <c r="K668" t="s">
        <v>603</v>
      </c>
      <c r="L668">
        <v>1354</v>
      </c>
      <c r="N668">
        <v>1010</v>
      </c>
      <c r="O668" t="s">
        <v>118</v>
      </c>
      <c r="P668" t="s">
        <v>118</v>
      </c>
      <c r="Q668">
        <v>1</v>
      </c>
      <c r="W668">
        <v>0</v>
      </c>
      <c r="X668">
        <v>483106430</v>
      </c>
      <c r="Y668">
        <f>(AT668*1)</f>
        <v>36</v>
      </c>
      <c r="AA668">
        <v>17.47</v>
      </c>
      <c r="AB668">
        <v>0</v>
      </c>
      <c r="AC668">
        <v>0</v>
      </c>
      <c r="AD668">
        <v>0</v>
      </c>
      <c r="AE668">
        <v>14.28</v>
      </c>
      <c r="AF668">
        <v>0</v>
      </c>
      <c r="AG668">
        <v>0</v>
      </c>
      <c r="AH668">
        <v>0</v>
      </c>
      <c r="AI668">
        <v>1.19</v>
      </c>
      <c r="AJ668">
        <v>1</v>
      </c>
      <c r="AK668">
        <v>1</v>
      </c>
      <c r="AL668">
        <v>1</v>
      </c>
      <c r="AM668">
        <v>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36</v>
      </c>
      <c r="AU668" t="s">
        <v>48</v>
      </c>
      <c r="AV668">
        <v>0</v>
      </c>
      <c r="AW668">
        <v>2</v>
      </c>
      <c r="AX668">
        <v>55748509</v>
      </c>
      <c r="AY668">
        <v>1</v>
      </c>
      <c r="AZ668">
        <v>0</v>
      </c>
      <c r="BA668">
        <v>697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ROUND(Y668*Source!I256,9)</f>
        <v>684</v>
      </c>
      <c r="CY668">
        <f t="shared" si="275"/>
        <v>17.47</v>
      </c>
      <c r="CZ668">
        <f t="shared" si="276"/>
        <v>14.28</v>
      </c>
      <c r="DA668">
        <f t="shared" si="277"/>
        <v>1.19</v>
      </c>
      <c r="DB668">
        <f>ROUND((ROUND(AT668*CZ668,2)*1),6)</f>
        <v>514.08000000000004</v>
      </c>
      <c r="DC668">
        <f>ROUND((ROUND(AT668*AG668,2)*1),6)</f>
        <v>0</v>
      </c>
      <c r="DD668" t="s">
        <v>3</v>
      </c>
      <c r="DE668" t="s">
        <v>3</v>
      </c>
      <c r="DF668">
        <f t="shared" si="280"/>
        <v>11621.16</v>
      </c>
      <c r="DG668">
        <f t="shared" si="281"/>
        <v>0</v>
      </c>
      <c r="DH668">
        <f t="shared" si="273"/>
        <v>0</v>
      </c>
      <c r="DI668">
        <f t="shared" si="268"/>
        <v>0</v>
      </c>
      <c r="DJ668">
        <f t="shared" si="282"/>
        <v>11621.16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ROW(Source!A263)</f>
        <v>263</v>
      </c>
      <c r="B669">
        <v>55747649</v>
      </c>
      <c r="C669">
        <v>55748514</v>
      </c>
      <c r="D669">
        <v>54702434</v>
      </c>
      <c r="E669">
        <v>1081</v>
      </c>
      <c r="F669">
        <v>1</v>
      </c>
      <c r="G669">
        <v>1081</v>
      </c>
      <c r="H669">
        <v>1</v>
      </c>
      <c r="I669" t="s">
        <v>473</v>
      </c>
      <c r="J669" t="s">
        <v>3</v>
      </c>
      <c r="K669" t="s">
        <v>474</v>
      </c>
      <c r="L669">
        <v>1191</v>
      </c>
      <c r="N669">
        <v>1013</v>
      </c>
      <c r="O669" t="s">
        <v>475</v>
      </c>
      <c r="P669" t="s">
        <v>475</v>
      </c>
      <c r="Q669">
        <v>1</v>
      </c>
      <c r="W669">
        <v>0</v>
      </c>
      <c r="X669">
        <v>476480486</v>
      </c>
      <c r="Y669">
        <f>(AT669*1.2)</f>
        <v>134.4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112</v>
      </c>
      <c r="AU669" t="s">
        <v>49</v>
      </c>
      <c r="AV669">
        <v>1</v>
      </c>
      <c r="AW669">
        <v>2</v>
      </c>
      <c r="AX669">
        <v>55748519</v>
      </c>
      <c r="AY669">
        <v>1</v>
      </c>
      <c r="AZ669">
        <v>0</v>
      </c>
      <c r="BA669">
        <v>699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U669">
        <f>ROUND(AT669*Source!I263*AH669*AL669,2)</f>
        <v>0</v>
      </c>
      <c r="CV669">
        <f>ROUND(Y669*Source!I263,9)</f>
        <v>221.76</v>
      </c>
      <c r="CW669">
        <v>0</v>
      </c>
      <c r="CX669">
        <f>ROUND(Y669*Source!I263,9)</f>
        <v>221.76</v>
      </c>
      <c r="CY669">
        <f>AD669</f>
        <v>0</v>
      </c>
      <c r="CZ669">
        <f>AH669</f>
        <v>0</v>
      </c>
      <c r="DA669">
        <f>AL669</f>
        <v>1</v>
      </c>
      <c r="DB669">
        <f>ROUND((ROUND(AT669*CZ669,2)*1.2),6)</f>
        <v>0</v>
      </c>
      <c r="DC669">
        <f>ROUND((ROUND(AT669*AG669,2)*1.2),6)</f>
        <v>0</v>
      </c>
      <c r="DD669" t="s">
        <v>3</v>
      </c>
      <c r="DE669" t="s">
        <v>3</v>
      </c>
      <c r="DF669">
        <f>ROUND(ROUND(AE669,2)*CX669,2)</f>
        <v>0</v>
      </c>
      <c r="DG669">
        <f t="shared" si="281"/>
        <v>0</v>
      </c>
      <c r="DH669">
        <f t="shared" si="273"/>
        <v>0</v>
      </c>
      <c r="DI669">
        <f t="shared" si="268"/>
        <v>0</v>
      </c>
      <c r="DJ669">
        <f>DI669</f>
        <v>0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ROW(Source!A263)</f>
        <v>263</v>
      </c>
      <c r="B670">
        <v>55747649</v>
      </c>
      <c r="C670">
        <v>55748514</v>
      </c>
      <c r="D670">
        <v>54738042</v>
      </c>
      <c r="E670">
        <v>1</v>
      </c>
      <c r="F670">
        <v>1</v>
      </c>
      <c r="G670">
        <v>1081</v>
      </c>
      <c r="H670">
        <v>3</v>
      </c>
      <c r="I670" t="s">
        <v>649</v>
      </c>
      <c r="J670" t="s">
        <v>650</v>
      </c>
      <c r="K670" t="s">
        <v>651</v>
      </c>
      <c r="L670">
        <v>1348</v>
      </c>
      <c r="N670">
        <v>1009</v>
      </c>
      <c r="O670" t="s">
        <v>282</v>
      </c>
      <c r="P670" t="s">
        <v>282</v>
      </c>
      <c r="Q670">
        <v>1000</v>
      </c>
      <c r="W670">
        <v>0</v>
      </c>
      <c r="X670">
        <v>-822207775</v>
      </c>
      <c r="Y670">
        <f>(AT670*1)</f>
        <v>9.4E-2</v>
      </c>
      <c r="AA670">
        <v>7512.16</v>
      </c>
      <c r="AB670">
        <v>0</v>
      </c>
      <c r="AC670">
        <v>0</v>
      </c>
      <c r="AD670">
        <v>0</v>
      </c>
      <c r="AE670">
        <v>7512.16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9.4E-2</v>
      </c>
      <c r="AU670" t="s">
        <v>48</v>
      </c>
      <c r="AV670">
        <v>0</v>
      </c>
      <c r="AW670">
        <v>2</v>
      </c>
      <c r="AX670">
        <v>55748520</v>
      </c>
      <c r="AY670">
        <v>1</v>
      </c>
      <c r="AZ670">
        <v>0</v>
      </c>
      <c r="BA670">
        <v>700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ROUND(Y670*Source!I263,9)</f>
        <v>0.15509999999999999</v>
      </c>
      <c r="CY670">
        <f>AA670</f>
        <v>7512.16</v>
      </c>
      <c r="CZ670">
        <f>AE670</f>
        <v>7512.16</v>
      </c>
      <c r="DA670">
        <f>AI670</f>
        <v>1</v>
      </c>
      <c r="DB670">
        <f>ROUND((ROUND(AT670*CZ670,2)*1),6)</f>
        <v>706.14</v>
      </c>
      <c r="DC670">
        <f>ROUND((ROUND(AT670*AG670,2)*1),6)</f>
        <v>0</v>
      </c>
      <c r="DD670" t="s">
        <v>3</v>
      </c>
      <c r="DE670" t="s">
        <v>3</v>
      </c>
      <c r="DF670">
        <f>ROUND(ROUND(AE670,2)*CX670,2)</f>
        <v>1165.1400000000001</v>
      </c>
      <c r="DG670">
        <f t="shared" si="281"/>
        <v>0</v>
      </c>
      <c r="DH670">
        <f t="shared" si="273"/>
        <v>0</v>
      </c>
      <c r="DI670">
        <f t="shared" si="268"/>
        <v>0</v>
      </c>
      <c r="DJ670">
        <f>DF670</f>
        <v>1165.1400000000001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ROW(Source!A263)</f>
        <v>263</v>
      </c>
      <c r="B671">
        <v>55747649</v>
      </c>
      <c r="C671">
        <v>55748514</v>
      </c>
      <c r="D671">
        <v>54738519</v>
      </c>
      <c r="E671">
        <v>1</v>
      </c>
      <c r="F671">
        <v>1</v>
      </c>
      <c r="G671">
        <v>1081</v>
      </c>
      <c r="H671">
        <v>3</v>
      </c>
      <c r="I671" t="s">
        <v>652</v>
      </c>
      <c r="J671" t="s">
        <v>653</v>
      </c>
      <c r="K671" t="s">
        <v>654</v>
      </c>
      <c r="L671">
        <v>1348</v>
      </c>
      <c r="N671">
        <v>1009</v>
      </c>
      <c r="O671" t="s">
        <v>282</v>
      </c>
      <c r="P671" t="s">
        <v>282</v>
      </c>
      <c r="Q671">
        <v>1000</v>
      </c>
      <c r="W671">
        <v>0</v>
      </c>
      <c r="X671">
        <v>1973587816</v>
      </c>
      <c r="Y671">
        <f>(AT671*1)</f>
        <v>2.4E-2</v>
      </c>
      <c r="AA671">
        <v>20481.349999999999</v>
      </c>
      <c r="AB671">
        <v>0</v>
      </c>
      <c r="AC671">
        <v>0</v>
      </c>
      <c r="AD671">
        <v>0</v>
      </c>
      <c r="AE671">
        <v>20481.349999999999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-2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2.4E-2</v>
      </c>
      <c r="AU671" t="s">
        <v>48</v>
      </c>
      <c r="AV671">
        <v>0</v>
      </c>
      <c r="AW671">
        <v>2</v>
      </c>
      <c r="AX671">
        <v>55748521</v>
      </c>
      <c r="AY671">
        <v>1</v>
      </c>
      <c r="AZ671">
        <v>0</v>
      </c>
      <c r="BA671">
        <v>701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ROUND(Y671*Source!I263,9)</f>
        <v>3.9600000000000003E-2</v>
      </c>
      <c r="CY671">
        <f>AA671</f>
        <v>20481.349999999999</v>
      </c>
      <c r="CZ671">
        <f>AE671</f>
        <v>20481.349999999999</v>
      </c>
      <c r="DA671">
        <f>AI671</f>
        <v>1</v>
      </c>
      <c r="DB671">
        <f>ROUND((ROUND(AT671*CZ671,2)*1),6)</f>
        <v>491.55</v>
      </c>
      <c r="DC671">
        <f>ROUND((ROUND(AT671*AG671,2)*1),6)</f>
        <v>0</v>
      </c>
      <c r="DD671" t="s">
        <v>3</v>
      </c>
      <c r="DE671" t="s">
        <v>3</v>
      </c>
      <c r="DF671">
        <f>ROUND(ROUND(AE671,2)*CX671,2)</f>
        <v>811.06</v>
      </c>
      <c r="DG671">
        <f t="shared" si="281"/>
        <v>0</v>
      </c>
      <c r="DH671">
        <f t="shared" si="273"/>
        <v>0</v>
      </c>
      <c r="DI671">
        <f t="shared" si="268"/>
        <v>0</v>
      </c>
      <c r="DJ671">
        <f>DF671</f>
        <v>811.06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">
      <c r="A672">
        <f>ROW(Source!A263)</f>
        <v>263</v>
      </c>
      <c r="B672">
        <v>55747649</v>
      </c>
      <c r="C672">
        <v>55748514</v>
      </c>
      <c r="D672">
        <v>54737318</v>
      </c>
      <c r="E672">
        <v>1</v>
      </c>
      <c r="F672">
        <v>1</v>
      </c>
      <c r="G672">
        <v>1081</v>
      </c>
      <c r="H672">
        <v>3</v>
      </c>
      <c r="I672" t="s">
        <v>526</v>
      </c>
      <c r="J672" t="s">
        <v>527</v>
      </c>
      <c r="K672" t="s">
        <v>528</v>
      </c>
      <c r="L672">
        <v>1348</v>
      </c>
      <c r="N672">
        <v>1009</v>
      </c>
      <c r="O672" t="s">
        <v>282</v>
      </c>
      <c r="P672" t="s">
        <v>282</v>
      </c>
      <c r="Q672">
        <v>1000</v>
      </c>
      <c r="W672">
        <v>0</v>
      </c>
      <c r="X672">
        <v>-268464753</v>
      </c>
      <c r="Y672">
        <f>(AT672*1)</f>
        <v>7.1999999999999995E-2</v>
      </c>
      <c r="AA672">
        <v>17868.28</v>
      </c>
      <c r="AB672">
        <v>0</v>
      </c>
      <c r="AC672">
        <v>0</v>
      </c>
      <c r="AD672">
        <v>0</v>
      </c>
      <c r="AE672">
        <v>17868.28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7.1999999999999995E-2</v>
      </c>
      <c r="AU672" t="s">
        <v>48</v>
      </c>
      <c r="AV672">
        <v>0</v>
      </c>
      <c r="AW672">
        <v>2</v>
      </c>
      <c r="AX672">
        <v>55748522</v>
      </c>
      <c r="AY672">
        <v>1</v>
      </c>
      <c r="AZ672">
        <v>0</v>
      </c>
      <c r="BA672">
        <v>702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ROUND(Y672*Source!I263,9)</f>
        <v>0.1188</v>
      </c>
      <c r="CY672">
        <f>AA672</f>
        <v>17868.28</v>
      </c>
      <c r="CZ672">
        <f>AE672</f>
        <v>17868.28</v>
      </c>
      <c r="DA672">
        <f>AI672</f>
        <v>1</v>
      </c>
      <c r="DB672">
        <f>ROUND((ROUND(AT672*CZ672,2)*1),6)</f>
        <v>1286.52</v>
      </c>
      <c r="DC672">
        <f>ROUND((ROUND(AT672*AG672,2)*1),6)</f>
        <v>0</v>
      </c>
      <c r="DD672" t="s">
        <v>3</v>
      </c>
      <c r="DE672" t="s">
        <v>3</v>
      </c>
      <c r="DF672">
        <f>ROUND(ROUND(AE672,2)*CX672,2)</f>
        <v>2122.75</v>
      </c>
      <c r="DG672">
        <f t="shared" si="281"/>
        <v>0</v>
      </c>
      <c r="DH672">
        <f t="shared" si="273"/>
        <v>0</v>
      </c>
      <c r="DI672">
        <f t="shared" si="268"/>
        <v>0</v>
      </c>
      <c r="DJ672">
        <f>DF672</f>
        <v>2122.75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">
      <c r="A673">
        <f>ROW(Source!A264)</f>
        <v>264</v>
      </c>
      <c r="B673">
        <v>55747651</v>
      </c>
      <c r="C673">
        <v>55748514</v>
      </c>
      <c r="D673">
        <v>54702434</v>
      </c>
      <c r="E673">
        <v>1081</v>
      </c>
      <c r="F673">
        <v>1</v>
      </c>
      <c r="G673">
        <v>1081</v>
      </c>
      <c r="H673">
        <v>1</v>
      </c>
      <c r="I673" t="s">
        <v>473</v>
      </c>
      <c r="J673" t="s">
        <v>3</v>
      </c>
      <c r="K673" t="s">
        <v>474</v>
      </c>
      <c r="L673">
        <v>1191</v>
      </c>
      <c r="N673">
        <v>1013</v>
      </c>
      <c r="O673" t="s">
        <v>475</v>
      </c>
      <c r="P673" t="s">
        <v>475</v>
      </c>
      <c r="Q673">
        <v>1</v>
      </c>
      <c r="W673">
        <v>0</v>
      </c>
      <c r="X673">
        <v>476480486</v>
      </c>
      <c r="Y673">
        <f>(AT673*1.2)</f>
        <v>134.4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5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112</v>
      </c>
      <c r="AU673" t="s">
        <v>49</v>
      </c>
      <c r="AV673">
        <v>1</v>
      </c>
      <c r="AW673">
        <v>2</v>
      </c>
      <c r="AX673">
        <v>55748519</v>
      </c>
      <c r="AY673">
        <v>1</v>
      </c>
      <c r="AZ673">
        <v>0</v>
      </c>
      <c r="BA673">
        <v>703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U673">
        <f>ROUND(AT673*Source!I264*AH673*AL673,2)</f>
        <v>0</v>
      </c>
      <c r="CV673">
        <f>ROUND(Y673*Source!I264,9)</f>
        <v>221.76</v>
      </c>
      <c r="CW673">
        <v>0</v>
      </c>
      <c r="CX673">
        <f>ROUND(Y673*Source!I264,9)</f>
        <v>221.76</v>
      </c>
      <c r="CY673">
        <f>AD673</f>
        <v>0</v>
      </c>
      <c r="CZ673">
        <f>AH673</f>
        <v>0</v>
      </c>
      <c r="DA673">
        <f>AL673</f>
        <v>1</v>
      </c>
      <c r="DB673">
        <f>ROUND((ROUND(AT673*CZ673,2)*1.2),6)</f>
        <v>0</v>
      </c>
      <c r="DC673">
        <f>ROUND((ROUND(AT673*AG673,2)*1.2),6)</f>
        <v>0</v>
      </c>
      <c r="DD673" t="s">
        <v>3</v>
      </c>
      <c r="DE673" t="s">
        <v>3</v>
      </c>
      <c r="DF673">
        <f>ROUND(ROUND(AE673,2)*CX673,2)</f>
        <v>0</v>
      </c>
      <c r="DG673">
        <f t="shared" si="281"/>
        <v>0</v>
      </c>
      <c r="DH673">
        <f t="shared" si="273"/>
        <v>0</v>
      </c>
      <c r="DI673">
        <f t="shared" si="268"/>
        <v>0</v>
      </c>
      <c r="DJ673">
        <f>DI673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ROW(Source!A264)</f>
        <v>264</v>
      </c>
      <c r="B674">
        <v>55747651</v>
      </c>
      <c r="C674">
        <v>55748514</v>
      </c>
      <c r="D674">
        <v>54738042</v>
      </c>
      <c r="E674">
        <v>1</v>
      </c>
      <c r="F674">
        <v>1</v>
      </c>
      <c r="G674">
        <v>1081</v>
      </c>
      <c r="H674">
        <v>3</v>
      </c>
      <c r="I674" t="s">
        <v>649</v>
      </c>
      <c r="J674" t="s">
        <v>650</v>
      </c>
      <c r="K674" t="s">
        <v>651</v>
      </c>
      <c r="L674">
        <v>1348</v>
      </c>
      <c r="N674">
        <v>1009</v>
      </c>
      <c r="O674" t="s">
        <v>282</v>
      </c>
      <c r="P674" t="s">
        <v>282</v>
      </c>
      <c r="Q674">
        <v>1000</v>
      </c>
      <c r="W674">
        <v>0</v>
      </c>
      <c r="X674">
        <v>-822207775</v>
      </c>
      <c r="Y674">
        <f>(AT674*1)</f>
        <v>9.4E-2</v>
      </c>
      <c r="AA674">
        <v>48378.31</v>
      </c>
      <c r="AB674">
        <v>0</v>
      </c>
      <c r="AC674">
        <v>0</v>
      </c>
      <c r="AD674">
        <v>0</v>
      </c>
      <c r="AE674">
        <v>7512.16</v>
      </c>
      <c r="AF674">
        <v>0</v>
      </c>
      <c r="AG674">
        <v>0</v>
      </c>
      <c r="AH674">
        <v>0</v>
      </c>
      <c r="AI674">
        <v>6.44</v>
      </c>
      <c r="AJ674">
        <v>1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9.4E-2</v>
      </c>
      <c r="AU674" t="s">
        <v>48</v>
      </c>
      <c r="AV674">
        <v>0</v>
      </c>
      <c r="AW674">
        <v>2</v>
      </c>
      <c r="AX674">
        <v>55748520</v>
      </c>
      <c r="AY674">
        <v>1</v>
      </c>
      <c r="AZ674">
        <v>0</v>
      </c>
      <c r="BA674">
        <v>704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ROUND(Y674*Source!I264,9)</f>
        <v>0.15509999999999999</v>
      </c>
      <c r="CY674">
        <f>AA674</f>
        <v>48378.31</v>
      </c>
      <c r="CZ674">
        <f>AE674</f>
        <v>7512.16</v>
      </c>
      <c r="DA674">
        <f>AI674</f>
        <v>6.44</v>
      </c>
      <c r="DB674">
        <f>ROUND((ROUND(AT674*CZ674,2)*1),6)</f>
        <v>706.14</v>
      </c>
      <c r="DC674">
        <f>ROUND((ROUND(AT674*AG674,2)*1),6)</f>
        <v>0</v>
      </c>
      <c r="DD674" t="s">
        <v>3</v>
      </c>
      <c r="DE674" t="s">
        <v>3</v>
      </c>
      <c r="DF674">
        <f>ROUND(ROUND(AE674*AI674,2)*CX674,2)</f>
        <v>7503.48</v>
      </c>
      <c r="DG674">
        <f t="shared" si="281"/>
        <v>0</v>
      </c>
      <c r="DH674">
        <f t="shared" si="273"/>
        <v>0</v>
      </c>
      <c r="DI674">
        <f t="shared" si="268"/>
        <v>0</v>
      </c>
      <c r="DJ674">
        <f>DF674</f>
        <v>7503.48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ROW(Source!A264)</f>
        <v>264</v>
      </c>
      <c r="B675">
        <v>55747651</v>
      </c>
      <c r="C675">
        <v>55748514</v>
      </c>
      <c r="D675">
        <v>54738519</v>
      </c>
      <c r="E675">
        <v>1</v>
      </c>
      <c r="F675">
        <v>1</v>
      </c>
      <c r="G675">
        <v>1081</v>
      </c>
      <c r="H675">
        <v>3</v>
      </c>
      <c r="I675" t="s">
        <v>652</v>
      </c>
      <c r="J675" t="s">
        <v>653</v>
      </c>
      <c r="K675" t="s">
        <v>654</v>
      </c>
      <c r="L675">
        <v>1348</v>
      </c>
      <c r="N675">
        <v>1009</v>
      </c>
      <c r="O675" t="s">
        <v>282</v>
      </c>
      <c r="P675" t="s">
        <v>282</v>
      </c>
      <c r="Q675">
        <v>1000</v>
      </c>
      <c r="W675">
        <v>0</v>
      </c>
      <c r="X675">
        <v>1973587816</v>
      </c>
      <c r="Y675">
        <f>(AT675*1)</f>
        <v>2.4E-2</v>
      </c>
      <c r="AA675">
        <v>112237.8</v>
      </c>
      <c r="AB675">
        <v>0</v>
      </c>
      <c r="AC675">
        <v>0</v>
      </c>
      <c r="AD675">
        <v>0</v>
      </c>
      <c r="AE675">
        <v>20481.349999999999</v>
      </c>
      <c r="AF675">
        <v>0</v>
      </c>
      <c r="AG675">
        <v>0</v>
      </c>
      <c r="AH675">
        <v>0</v>
      </c>
      <c r="AI675">
        <v>5.48</v>
      </c>
      <c r="AJ675">
        <v>1</v>
      </c>
      <c r="AK675">
        <v>1</v>
      </c>
      <c r="AL675">
        <v>1</v>
      </c>
      <c r="AM675">
        <v>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2.4E-2</v>
      </c>
      <c r="AU675" t="s">
        <v>48</v>
      </c>
      <c r="AV675">
        <v>0</v>
      </c>
      <c r="AW675">
        <v>2</v>
      </c>
      <c r="AX675">
        <v>55748521</v>
      </c>
      <c r="AY675">
        <v>1</v>
      </c>
      <c r="AZ675">
        <v>0</v>
      </c>
      <c r="BA675">
        <v>705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ROUND(Y675*Source!I264,9)</f>
        <v>3.9600000000000003E-2</v>
      </c>
      <c r="CY675">
        <f>AA675</f>
        <v>112237.8</v>
      </c>
      <c r="CZ675">
        <f>AE675</f>
        <v>20481.349999999999</v>
      </c>
      <c r="DA675">
        <f>AI675</f>
        <v>5.48</v>
      </c>
      <c r="DB675">
        <f>ROUND((ROUND(AT675*CZ675,2)*1),6)</f>
        <v>491.55</v>
      </c>
      <c r="DC675">
        <f>ROUND((ROUND(AT675*AG675,2)*1),6)</f>
        <v>0</v>
      </c>
      <c r="DD675" t="s">
        <v>3</v>
      </c>
      <c r="DE675" t="s">
        <v>3</v>
      </c>
      <c r="DF675">
        <f>ROUND(ROUND(AE675*AI675,2)*CX675,2)</f>
        <v>4444.62</v>
      </c>
      <c r="DG675">
        <f t="shared" si="281"/>
        <v>0</v>
      </c>
      <c r="DH675">
        <f t="shared" si="273"/>
        <v>0</v>
      </c>
      <c r="DI675">
        <f t="shared" si="268"/>
        <v>0</v>
      </c>
      <c r="DJ675">
        <f>DF675</f>
        <v>4444.62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">
      <c r="A676">
        <f>ROW(Source!A264)</f>
        <v>264</v>
      </c>
      <c r="B676">
        <v>55747651</v>
      </c>
      <c r="C676">
        <v>55748514</v>
      </c>
      <c r="D676">
        <v>54737318</v>
      </c>
      <c r="E676">
        <v>1</v>
      </c>
      <c r="F676">
        <v>1</v>
      </c>
      <c r="G676">
        <v>1081</v>
      </c>
      <c r="H676">
        <v>3</v>
      </c>
      <c r="I676" t="s">
        <v>526</v>
      </c>
      <c r="J676" t="s">
        <v>527</v>
      </c>
      <c r="K676" t="s">
        <v>528</v>
      </c>
      <c r="L676">
        <v>1348</v>
      </c>
      <c r="N676">
        <v>1009</v>
      </c>
      <c r="O676" t="s">
        <v>282</v>
      </c>
      <c r="P676" t="s">
        <v>282</v>
      </c>
      <c r="Q676">
        <v>1000</v>
      </c>
      <c r="W676">
        <v>0</v>
      </c>
      <c r="X676">
        <v>-268464753</v>
      </c>
      <c r="Y676">
        <f>(AT676*1)</f>
        <v>7.1999999999999995E-2</v>
      </c>
      <c r="AA676">
        <v>121682.99</v>
      </c>
      <c r="AB676">
        <v>0</v>
      </c>
      <c r="AC676">
        <v>0</v>
      </c>
      <c r="AD676">
        <v>0</v>
      </c>
      <c r="AE676">
        <v>17868.28</v>
      </c>
      <c r="AF676">
        <v>0</v>
      </c>
      <c r="AG676">
        <v>0</v>
      </c>
      <c r="AH676">
        <v>0</v>
      </c>
      <c r="AI676">
        <v>6.81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7.1999999999999995E-2</v>
      </c>
      <c r="AU676" t="s">
        <v>48</v>
      </c>
      <c r="AV676">
        <v>0</v>
      </c>
      <c r="AW676">
        <v>2</v>
      </c>
      <c r="AX676">
        <v>55748522</v>
      </c>
      <c r="AY676">
        <v>1</v>
      </c>
      <c r="AZ676">
        <v>0</v>
      </c>
      <c r="BA676">
        <v>706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ROUND(Y676*Source!I264,9)</f>
        <v>0.1188</v>
      </c>
      <c r="CY676">
        <f>AA676</f>
        <v>121682.99</v>
      </c>
      <c r="CZ676">
        <f>AE676</f>
        <v>17868.28</v>
      </c>
      <c r="DA676">
        <f>AI676</f>
        <v>6.81</v>
      </c>
      <c r="DB676">
        <f>ROUND((ROUND(AT676*CZ676,2)*1),6)</f>
        <v>1286.52</v>
      </c>
      <c r="DC676">
        <f>ROUND((ROUND(AT676*AG676,2)*1),6)</f>
        <v>0</v>
      </c>
      <c r="DD676" t="s">
        <v>3</v>
      </c>
      <c r="DE676" t="s">
        <v>3</v>
      </c>
      <c r="DF676">
        <f>ROUND(ROUND(AE676*AI676,2)*CX676,2)</f>
        <v>14455.94</v>
      </c>
      <c r="DG676">
        <f t="shared" si="281"/>
        <v>0</v>
      </c>
      <c r="DH676">
        <f t="shared" si="273"/>
        <v>0</v>
      </c>
      <c r="DI676">
        <f t="shared" si="268"/>
        <v>0</v>
      </c>
      <c r="DJ676">
        <f>DF676</f>
        <v>14455.94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">
      <c r="A677">
        <f>ROW(Source!A265)</f>
        <v>265</v>
      </c>
      <c r="B677">
        <v>55747649</v>
      </c>
      <c r="C677">
        <v>55748523</v>
      </c>
      <c r="D677">
        <v>54702434</v>
      </c>
      <c r="E677">
        <v>1081</v>
      </c>
      <c r="F677">
        <v>1</v>
      </c>
      <c r="G677">
        <v>1081</v>
      </c>
      <c r="H677">
        <v>1</v>
      </c>
      <c r="I677" t="s">
        <v>473</v>
      </c>
      <c r="J677" t="s">
        <v>3</v>
      </c>
      <c r="K677" t="s">
        <v>474</v>
      </c>
      <c r="L677">
        <v>1191</v>
      </c>
      <c r="N677">
        <v>1013</v>
      </c>
      <c r="O677" t="s">
        <v>475</v>
      </c>
      <c r="P677" t="s">
        <v>475</v>
      </c>
      <c r="Q677">
        <v>1</v>
      </c>
      <c r="W677">
        <v>0</v>
      </c>
      <c r="X677">
        <v>476480486</v>
      </c>
      <c r="Y677">
        <f>(AT677*1.2)</f>
        <v>4.919999999999999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4.0999999999999996</v>
      </c>
      <c r="AU677" t="s">
        <v>49</v>
      </c>
      <c r="AV677">
        <v>1</v>
      </c>
      <c r="AW677">
        <v>2</v>
      </c>
      <c r="AX677">
        <v>55748528</v>
      </c>
      <c r="AY677">
        <v>1</v>
      </c>
      <c r="AZ677">
        <v>0</v>
      </c>
      <c r="BA677">
        <v>707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U677">
        <f>ROUND(AT677*Source!I265*AH677*AL677,2)</f>
        <v>0</v>
      </c>
      <c r="CV677">
        <f>ROUND(Y677*Source!I265,9)</f>
        <v>39.36</v>
      </c>
      <c r="CW677">
        <v>0</v>
      </c>
      <c r="CX677">
        <f>ROUND(Y677*Source!I265,9)</f>
        <v>39.36</v>
      </c>
      <c r="CY677">
        <f>AD677</f>
        <v>0</v>
      </c>
      <c r="CZ677">
        <f>AH677</f>
        <v>0</v>
      </c>
      <c r="DA677">
        <f>AL677</f>
        <v>1</v>
      </c>
      <c r="DB677">
        <f>ROUND((ROUND(AT677*CZ677,2)*1.2),6)</f>
        <v>0</v>
      </c>
      <c r="DC677">
        <f>ROUND((ROUND(AT677*AG677,2)*1.2),6)</f>
        <v>0</v>
      </c>
      <c r="DD677" t="s">
        <v>3</v>
      </c>
      <c r="DE677" t="s">
        <v>3</v>
      </c>
      <c r="DF677">
        <f t="shared" ref="DF677:DF682" si="283">ROUND(ROUND(AE677,2)*CX677,2)</f>
        <v>0</v>
      </c>
      <c r="DG677">
        <f t="shared" si="281"/>
        <v>0</v>
      </c>
      <c r="DH677">
        <f t="shared" si="273"/>
        <v>0</v>
      </c>
      <c r="DI677">
        <f t="shared" si="268"/>
        <v>0</v>
      </c>
      <c r="DJ677">
        <f>DI677</f>
        <v>0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ROW(Source!A265)</f>
        <v>265</v>
      </c>
      <c r="B678">
        <v>55747649</v>
      </c>
      <c r="C678">
        <v>55748523</v>
      </c>
      <c r="D678">
        <v>54768339</v>
      </c>
      <c r="E678">
        <v>1</v>
      </c>
      <c r="F678">
        <v>1</v>
      </c>
      <c r="G678">
        <v>1081</v>
      </c>
      <c r="H678">
        <v>2</v>
      </c>
      <c r="I678" t="s">
        <v>483</v>
      </c>
      <c r="J678" t="s">
        <v>484</v>
      </c>
      <c r="K678" t="s">
        <v>485</v>
      </c>
      <c r="L678">
        <v>1368</v>
      </c>
      <c r="N678">
        <v>1011</v>
      </c>
      <c r="O678" t="s">
        <v>479</v>
      </c>
      <c r="P678" t="s">
        <v>479</v>
      </c>
      <c r="Q678">
        <v>1</v>
      </c>
      <c r="W678">
        <v>0</v>
      </c>
      <c r="X678">
        <v>874612079</v>
      </c>
      <c r="Y678">
        <f>(AT678*1.2)</f>
        <v>3.5999999999999997E-2</v>
      </c>
      <c r="AA678">
        <v>0</v>
      </c>
      <c r="AB678">
        <v>88.67</v>
      </c>
      <c r="AC678">
        <v>13.47</v>
      </c>
      <c r="AD678">
        <v>0</v>
      </c>
      <c r="AE678">
        <v>0</v>
      </c>
      <c r="AF678">
        <v>83.1</v>
      </c>
      <c r="AG678">
        <v>12.62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0.03</v>
      </c>
      <c r="AU678" t="s">
        <v>49</v>
      </c>
      <c r="AV678">
        <v>0</v>
      </c>
      <c r="AW678">
        <v>2</v>
      </c>
      <c r="AX678">
        <v>55748529</v>
      </c>
      <c r="AY678">
        <v>1</v>
      </c>
      <c r="AZ678">
        <v>0</v>
      </c>
      <c r="BA678">
        <v>708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f>ROUND(Y678*Source!I265*DO678,9)</f>
        <v>3.63456</v>
      </c>
      <c r="CX678">
        <f>ROUND(Y678*Source!I265,9)</f>
        <v>0.28799999999999998</v>
      </c>
      <c r="CY678">
        <f>AB678</f>
        <v>88.67</v>
      </c>
      <c r="CZ678">
        <f>AF678</f>
        <v>83.1</v>
      </c>
      <c r="DA678">
        <f>AJ678</f>
        <v>1</v>
      </c>
      <c r="DB678">
        <f>ROUND((ROUND(AT678*CZ678,2)*1.2),6)</f>
        <v>2.988</v>
      </c>
      <c r="DC678">
        <f>ROUND((ROUND(AT678*AG678,2)*1.2),6)</f>
        <v>0.45600000000000002</v>
      </c>
      <c r="DD678" t="s">
        <v>3</v>
      </c>
      <c r="DE678" t="s">
        <v>3</v>
      </c>
      <c r="DF678">
        <f t="shared" si="283"/>
        <v>0</v>
      </c>
      <c r="DG678">
        <f t="shared" si="281"/>
        <v>23.93</v>
      </c>
      <c r="DH678">
        <f t="shared" si="273"/>
        <v>3.63</v>
      </c>
      <c r="DI678">
        <f t="shared" si="268"/>
        <v>0</v>
      </c>
      <c r="DJ678">
        <f>DG678</f>
        <v>23.93</v>
      </c>
      <c r="DK678">
        <v>0</v>
      </c>
      <c r="DL678" t="s">
        <v>486</v>
      </c>
      <c r="DM678">
        <v>0</v>
      </c>
      <c r="DN678" t="s">
        <v>475</v>
      </c>
      <c r="DO678">
        <v>12.62</v>
      </c>
    </row>
    <row r="679" spans="1:119" x14ac:dyDescent="0.2">
      <c r="A679">
        <f>ROW(Source!A265)</f>
        <v>265</v>
      </c>
      <c r="B679">
        <v>55747649</v>
      </c>
      <c r="C679">
        <v>55748523</v>
      </c>
      <c r="D679">
        <v>54737969</v>
      </c>
      <c r="E679">
        <v>1</v>
      </c>
      <c r="F679">
        <v>1</v>
      </c>
      <c r="G679">
        <v>1081</v>
      </c>
      <c r="H679">
        <v>3</v>
      </c>
      <c r="I679" t="s">
        <v>511</v>
      </c>
      <c r="J679" t="s">
        <v>512</v>
      </c>
      <c r="K679" t="s">
        <v>513</v>
      </c>
      <c r="L679">
        <v>1348</v>
      </c>
      <c r="N679">
        <v>1009</v>
      </c>
      <c r="O679" t="s">
        <v>282</v>
      </c>
      <c r="P679" t="s">
        <v>282</v>
      </c>
      <c r="Q679">
        <v>1000</v>
      </c>
      <c r="W679">
        <v>0</v>
      </c>
      <c r="X679">
        <v>-287838193</v>
      </c>
      <c r="Y679">
        <f>(AT679*1)</f>
        <v>1.7000000000000001E-4</v>
      </c>
      <c r="AA679">
        <v>23761.63</v>
      </c>
      <c r="AB679">
        <v>0</v>
      </c>
      <c r="AC679">
        <v>0</v>
      </c>
      <c r="AD679">
        <v>0</v>
      </c>
      <c r="AE679">
        <v>23114.43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1.7000000000000001E-4</v>
      </c>
      <c r="AU679" t="s">
        <v>48</v>
      </c>
      <c r="AV679">
        <v>0</v>
      </c>
      <c r="AW679">
        <v>2</v>
      </c>
      <c r="AX679">
        <v>55748530</v>
      </c>
      <c r="AY679">
        <v>1</v>
      </c>
      <c r="AZ679">
        <v>0</v>
      </c>
      <c r="BA679">
        <v>709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ROUND(Y679*Source!I265,9)</f>
        <v>1.3600000000000001E-3</v>
      </c>
      <c r="CY679">
        <f>AA679</f>
        <v>23761.63</v>
      </c>
      <c r="CZ679">
        <f>AE679</f>
        <v>23114.43</v>
      </c>
      <c r="DA679">
        <f>AI679</f>
        <v>1</v>
      </c>
      <c r="DB679">
        <f>ROUND((ROUND(AT679*CZ679,2)*1),6)</f>
        <v>3.93</v>
      </c>
      <c r="DC679">
        <f>ROUND((ROUND(AT679*AG679,2)*1),6)</f>
        <v>0</v>
      </c>
      <c r="DD679" t="s">
        <v>3</v>
      </c>
      <c r="DE679" t="s">
        <v>3</v>
      </c>
      <c r="DF679">
        <f t="shared" si="283"/>
        <v>31.44</v>
      </c>
      <c r="DG679">
        <f t="shared" si="281"/>
        <v>0</v>
      </c>
      <c r="DH679">
        <f t="shared" si="273"/>
        <v>0</v>
      </c>
      <c r="DI679">
        <f t="shared" si="268"/>
        <v>0</v>
      </c>
      <c r="DJ679">
        <f>DF679</f>
        <v>31.44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ROW(Source!A265)</f>
        <v>265</v>
      </c>
      <c r="B680">
        <v>55747649</v>
      </c>
      <c r="C680">
        <v>55748523</v>
      </c>
      <c r="D680">
        <v>54755407</v>
      </c>
      <c r="E680">
        <v>1</v>
      </c>
      <c r="F680">
        <v>1</v>
      </c>
      <c r="G680">
        <v>1081</v>
      </c>
      <c r="H680">
        <v>3</v>
      </c>
      <c r="I680" t="s">
        <v>125</v>
      </c>
      <c r="J680" t="s">
        <v>127</v>
      </c>
      <c r="K680" t="s">
        <v>126</v>
      </c>
      <c r="L680">
        <v>1354</v>
      </c>
      <c r="N680">
        <v>1010</v>
      </c>
      <c r="O680" t="s">
        <v>118</v>
      </c>
      <c r="P680" t="s">
        <v>118</v>
      </c>
      <c r="Q680">
        <v>1</v>
      </c>
      <c r="W680">
        <v>0</v>
      </c>
      <c r="X680">
        <v>873960273</v>
      </c>
      <c r="Y680">
        <f>AT680</f>
        <v>1</v>
      </c>
      <c r="AA680">
        <v>2177.9299999999998</v>
      </c>
      <c r="AB680">
        <v>0</v>
      </c>
      <c r="AC680">
        <v>0</v>
      </c>
      <c r="AD680">
        <v>0</v>
      </c>
      <c r="AE680">
        <v>2177.9299999999998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 t="s">
        <v>3</v>
      </c>
      <c r="AT680">
        <v>1</v>
      </c>
      <c r="AU680" t="s">
        <v>3</v>
      </c>
      <c r="AV680">
        <v>0</v>
      </c>
      <c r="AW680">
        <v>1</v>
      </c>
      <c r="AX680">
        <v>-1</v>
      </c>
      <c r="AY680">
        <v>0</v>
      </c>
      <c r="AZ680">
        <v>0</v>
      </c>
      <c r="BA680" t="s">
        <v>3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ROUND(Y680*Source!I265,9)</f>
        <v>8</v>
      </c>
      <c r="CY680">
        <f>AA680</f>
        <v>2177.9299999999998</v>
      </c>
      <c r="CZ680">
        <f>AE680</f>
        <v>2177.9299999999998</v>
      </c>
      <c r="DA680">
        <f>AI680</f>
        <v>1</v>
      </c>
      <c r="DB680">
        <f>ROUND(ROUND(AT680*CZ680,2),6)</f>
        <v>2177.9299999999998</v>
      </c>
      <c r="DC680">
        <f>ROUND(ROUND(AT680*AG680,2),6)</f>
        <v>0</v>
      </c>
      <c r="DD680" t="s">
        <v>3</v>
      </c>
      <c r="DE680" t="s">
        <v>3</v>
      </c>
      <c r="DF680">
        <f t="shared" si="283"/>
        <v>17423.439999999999</v>
      </c>
      <c r="DG680">
        <f t="shared" si="281"/>
        <v>0</v>
      </c>
      <c r="DH680">
        <f t="shared" si="273"/>
        <v>0</v>
      </c>
      <c r="DI680">
        <f t="shared" si="268"/>
        <v>0</v>
      </c>
      <c r="DJ680">
        <f>DF680</f>
        <v>17423.439999999999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ROW(Source!A266)</f>
        <v>266</v>
      </c>
      <c r="B681">
        <v>55747651</v>
      </c>
      <c r="C681">
        <v>55748523</v>
      </c>
      <c r="D681">
        <v>54702434</v>
      </c>
      <c r="E681">
        <v>1081</v>
      </c>
      <c r="F681">
        <v>1</v>
      </c>
      <c r="G681">
        <v>1081</v>
      </c>
      <c r="H681">
        <v>1</v>
      </c>
      <c r="I681" t="s">
        <v>473</v>
      </c>
      <c r="J681" t="s">
        <v>3</v>
      </c>
      <c r="K681" t="s">
        <v>474</v>
      </c>
      <c r="L681">
        <v>1191</v>
      </c>
      <c r="N681">
        <v>1013</v>
      </c>
      <c r="O681" t="s">
        <v>475</v>
      </c>
      <c r="P681" t="s">
        <v>475</v>
      </c>
      <c r="Q681">
        <v>1</v>
      </c>
      <c r="W681">
        <v>0</v>
      </c>
      <c r="X681">
        <v>476480486</v>
      </c>
      <c r="Y681">
        <f>(AT681*1.2)</f>
        <v>4.919999999999999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5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4.0999999999999996</v>
      </c>
      <c r="AU681" t="s">
        <v>49</v>
      </c>
      <c r="AV681">
        <v>1</v>
      </c>
      <c r="AW681">
        <v>2</v>
      </c>
      <c r="AX681">
        <v>55748528</v>
      </c>
      <c r="AY681">
        <v>1</v>
      </c>
      <c r="AZ681">
        <v>0</v>
      </c>
      <c r="BA681">
        <v>712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U681">
        <f>ROUND(AT681*Source!I266*AH681*AL681,2)</f>
        <v>0</v>
      </c>
      <c r="CV681">
        <f>ROUND(Y681*Source!I266,9)</f>
        <v>39.36</v>
      </c>
      <c r="CW681">
        <v>0</v>
      </c>
      <c r="CX681">
        <f>ROUND(Y681*Source!I266,9)</f>
        <v>39.36</v>
      </c>
      <c r="CY681">
        <f>AD681</f>
        <v>0</v>
      </c>
      <c r="CZ681">
        <f>AH681</f>
        <v>0</v>
      </c>
      <c r="DA681">
        <f>AL681</f>
        <v>1</v>
      </c>
      <c r="DB681">
        <f>ROUND((ROUND(AT681*CZ681,2)*1.2),6)</f>
        <v>0</v>
      </c>
      <c r="DC681">
        <f>ROUND((ROUND(AT681*AG681,2)*1.2),6)</f>
        <v>0</v>
      </c>
      <c r="DD681" t="s">
        <v>3</v>
      </c>
      <c r="DE681" t="s">
        <v>3</v>
      </c>
      <c r="DF681">
        <f t="shared" si="283"/>
        <v>0</v>
      </c>
      <c r="DG681">
        <f t="shared" si="281"/>
        <v>0</v>
      </c>
      <c r="DH681">
        <f t="shared" si="273"/>
        <v>0</v>
      </c>
      <c r="DI681">
        <f t="shared" si="268"/>
        <v>0</v>
      </c>
      <c r="DJ681">
        <f>DI681</f>
        <v>0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ROW(Source!A266)</f>
        <v>266</v>
      </c>
      <c r="B682">
        <v>55747651</v>
      </c>
      <c r="C682">
        <v>55748523</v>
      </c>
      <c r="D682">
        <v>54768339</v>
      </c>
      <c r="E682">
        <v>1</v>
      </c>
      <c r="F682">
        <v>1</v>
      </c>
      <c r="G682">
        <v>1081</v>
      </c>
      <c r="H682">
        <v>2</v>
      </c>
      <c r="I682" t="s">
        <v>483</v>
      </c>
      <c r="J682" t="s">
        <v>484</v>
      </c>
      <c r="K682" t="s">
        <v>485</v>
      </c>
      <c r="L682">
        <v>1368</v>
      </c>
      <c r="N682">
        <v>1011</v>
      </c>
      <c r="O682" t="s">
        <v>479</v>
      </c>
      <c r="P682" t="s">
        <v>479</v>
      </c>
      <c r="Q682">
        <v>1</v>
      </c>
      <c r="W682">
        <v>0</v>
      </c>
      <c r="X682">
        <v>874612079</v>
      </c>
      <c r="Y682">
        <f>(AT682*1.2)</f>
        <v>3.5999999999999997E-2</v>
      </c>
      <c r="AA682">
        <v>0</v>
      </c>
      <c r="AB682">
        <v>1513.56</v>
      </c>
      <c r="AC682">
        <v>758.78</v>
      </c>
      <c r="AD682">
        <v>0</v>
      </c>
      <c r="AE682">
        <v>0</v>
      </c>
      <c r="AF682">
        <v>83.1</v>
      </c>
      <c r="AG682">
        <v>12.62</v>
      </c>
      <c r="AH682">
        <v>0</v>
      </c>
      <c r="AI682">
        <v>1</v>
      </c>
      <c r="AJ682">
        <v>17.07</v>
      </c>
      <c r="AK682">
        <v>56.35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0.03</v>
      </c>
      <c r="AU682" t="s">
        <v>49</v>
      </c>
      <c r="AV682">
        <v>0</v>
      </c>
      <c r="AW682">
        <v>2</v>
      </c>
      <c r="AX682">
        <v>55748529</v>
      </c>
      <c r="AY682">
        <v>1</v>
      </c>
      <c r="AZ682">
        <v>0</v>
      </c>
      <c r="BA682">
        <v>713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f>ROUND(Y682*Source!I266*DO682,9)</f>
        <v>3.63456</v>
      </c>
      <c r="CX682">
        <f>ROUND(Y682*Source!I266,9)</f>
        <v>0.28799999999999998</v>
      </c>
      <c r="CY682">
        <f>AB682</f>
        <v>1513.56</v>
      </c>
      <c r="CZ682">
        <f>AF682</f>
        <v>83.1</v>
      </c>
      <c r="DA682">
        <f>AJ682</f>
        <v>17.07</v>
      </c>
      <c r="DB682">
        <f>ROUND((ROUND(AT682*CZ682,2)*1.2),6)</f>
        <v>2.988</v>
      </c>
      <c r="DC682">
        <f>ROUND((ROUND(AT682*AG682,2)*1.2),6)</f>
        <v>0.45600000000000002</v>
      </c>
      <c r="DD682" t="s">
        <v>3</v>
      </c>
      <c r="DE682" t="s">
        <v>3</v>
      </c>
      <c r="DF682">
        <f t="shared" si="283"/>
        <v>0</v>
      </c>
      <c r="DG682">
        <f>ROUND(ROUND(AF682*AJ682,2)*CX682,2)</f>
        <v>408.53</v>
      </c>
      <c r="DH682">
        <f>ROUND(ROUND(AG682*AK682,2)*CX682,2)</f>
        <v>204.81</v>
      </c>
      <c r="DI682">
        <f t="shared" si="268"/>
        <v>0</v>
      </c>
      <c r="DJ682">
        <f>DG682</f>
        <v>408.53</v>
      </c>
      <c r="DK682">
        <v>0</v>
      </c>
      <c r="DL682" t="s">
        <v>486</v>
      </c>
      <c r="DM682">
        <v>0</v>
      </c>
      <c r="DN682" t="s">
        <v>475</v>
      </c>
      <c r="DO682">
        <v>12.62</v>
      </c>
    </row>
    <row r="683" spans="1:119" x14ac:dyDescent="0.2">
      <c r="A683">
        <f>ROW(Source!A266)</f>
        <v>266</v>
      </c>
      <c r="B683">
        <v>55747651</v>
      </c>
      <c r="C683">
        <v>55748523</v>
      </c>
      <c r="D683">
        <v>54737969</v>
      </c>
      <c r="E683">
        <v>1</v>
      </c>
      <c r="F683">
        <v>1</v>
      </c>
      <c r="G683">
        <v>1081</v>
      </c>
      <c r="H683">
        <v>3</v>
      </c>
      <c r="I683" t="s">
        <v>511</v>
      </c>
      <c r="J683" t="s">
        <v>512</v>
      </c>
      <c r="K683" t="s">
        <v>513</v>
      </c>
      <c r="L683">
        <v>1348</v>
      </c>
      <c r="N683">
        <v>1009</v>
      </c>
      <c r="O683" t="s">
        <v>282</v>
      </c>
      <c r="P683" t="s">
        <v>282</v>
      </c>
      <c r="Q683">
        <v>1000</v>
      </c>
      <c r="W683">
        <v>0</v>
      </c>
      <c r="X683">
        <v>-287838193</v>
      </c>
      <c r="Y683">
        <f>(AT683*1)</f>
        <v>1.7000000000000001E-4</v>
      </c>
      <c r="AA683">
        <v>106689.74</v>
      </c>
      <c r="AB683">
        <v>0</v>
      </c>
      <c r="AC683">
        <v>0</v>
      </c>
      <c r="AD683">
        <v>0</v>
      </c>
      <c r="AE683">
        <v>23114.43</v>
      </c>
      <c r="AF683">
        <v>0</v>
      </c>
      <c r="AG683">
        <v>0</v>
      </c>
      <c r="AH683">
        <v>0</v>
      </c>
      <c r="AI683">
        <v>4.49</v>
      </c>
      <c r="AJ683">
        <v>1</v>
      </c>
      <c r="AK683">
        <v>1</v>
      </c>
      <c r="AL683">
        <v>1</v>
      </c>
      <c r="AM683">
        <v>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1.7000000000000001E-4</v>
      </c>
      <c r="AU683" t="s">
        <v>48</v>
      </c>
      <c r="AV683">
        <v>0</v>
      </c>
      <c r="AW683">
        <v>2</v>
      </c>
      <c r="AX683">
        <v>55748530</v>
      </c>
      <c r="AY683">
        <v>1</v>
      </c>
      <c r="AZ683">
        <v>0</v>
      </c>
      <c r="BA683">
        <v>714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ROUND(Y683*Source!I266,9)</f>
        <v>1.3600000000000001E-3</v>
      </c>
      <c r="CY683">
        <f>AA683</f>
        <v>106689.74</v>
      </c>
      <c r="CZ683">
        <f>AE683</f>
        <v>23114.43</v>
      </c>
      <c r="DA683">
        <f>AI683</f>
        <v>4.49</v>
      </c>
      <c r="DB683">
        <f>ROUND((ROUND(AT683*CZ683,2)*1),6)</f>
        <v>3.93</v>
      </c>
      <c r="DC683">
        <f>ROUND((ROUND(AT683*AG683,2)*1),6)</f>
        <v>0</v>
      </c>
      <c r="DD683" t="s">
        <v>3</v>
      </c>
      <c r="DE683" t="s">
        <v>3</v>
      </c>
      <c r="DF683">
        <f>ROUND(ROUND(AE683*AI683,2)*CX683,2)</f>
        <v>141.15</v>
      </c>
      <c r="DG683">
        <f t="shared" ref="DG683:DG691" si="284">ROUND(ROUND(AF683,2)*CX683,2)</f>
        <v>0</v>
      </c>
      <c r="DH683">
        <f t="shared" ref="DH683:DH692" si="285">ROUND(ROUND(AG683,2)*CX683,2)</f>
        <v>0</v>
      </c>
      <c r="DI683">
        <f t="shared" si="268"/>
        <v>0</v>
      </c>
      <c r="DJ683">
        <f>DF683</f>
        <v>141.15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ROW(Source!A266)</f>
        <v>266</v>
      </c>
      <c r="B684">
        <v>55747651</v>
      </c>
      <c r="C684">
        <v>55748523</v>
      </c>
      <c r="D684">
        <v>54755407</v>
      </c>
      <c r="E684">
        <v>1</v>
      </c>
      <c r="F684">
        <v>1</v>
      </c>
      <c r="G684">
        <v>1081</v>
      </c>
      <c r="H684">
        <v>3</v>
      </c>
      <c r="I684" t="s">
        <v>125</v>
      </c>
      <c r="J684" t="s">
        <v>127</v>
      </c>
      <c r="K684" t="s">
        <v>126</v>
      </c>
      <c r="L684">
        <v>1354</v>
      </c>
      <c r="N684">
        <v>1010</v>
      </c>
      <c r="O684" t="s">
        <v>118</v>
      </c>
      <c r="P684" t="s">
        <v>118</v>
      </c>
      <c r="Q684">
        <v>1</v>
      </c>
      <c r="W684">
        <v>0</v>
      </c>
      <c r="X684">
        <v>873960273</v>
      </c>
      <c r="Y684">
        <f>AT684</f>
        <v>1</v>
      </c>
      <c r="AA684">
        <v>6773.36</v>
      </c>
      <c r="AB684">
        <v>0</v>
      </c>
      <c r="AC684">
        <v>0</v>
      </c>
      <c r="AD684">
        <v>0</v>
      </c>
      <c r="AE684">
        <v>2177.9299999999998</v>
      </c>
      <c r="AF684">
        <v>0</v>
      </c>
      <c r="AG684">
        <v>0</v>
      </c>
      <c r="AH684">
        <v>0</v>
      </c>
      <c r="AI684">
        <v>3.11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 t="s">
        <v>3</v>
      </c>
      <c r="AT684">
        <v>1</v>
      </c>
      <c r="AU684" t="s">
        <v>3</v>
      </c>
      <c r="AV684">
        <v>0</v>
      </c>
      <c r="AW684">
        <v>1</v>
      </c>
      <c r="AX684">
        <v>-1</v>
      </c>
      <c r="AY684">
        <v>0</v>
      </c>
      <c r="AZ684">
        <v>0</v>
      </c>
      <c r="BA684" t="s">
        <v>3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ROUND(Y684*Source!I266,9)</f>
        <v>8</v>
      </c>
      <c r="CY684">
        <f>AA684</f>
        <v>6773.36</v>
      </c>
      <c r="CZ684">
        <f>AE684</f>
        <v>2177.9299999999998</v>
      </c>
      <c r="DA684">
        <f>AI684</f>
        <v>3.11</v>
      </c>
      <c r="DB684">
        <f>ROUND(ROUND(AT684*CZ684,2),6)</f>
        <v>2177.9299999999998</v>
      </c>
      <c r="DC684">
        <f>ROUND(ROUND(AT684*AG684,2),6)</f>
        <v>0</v>
      </c>
      <c r="DD684" t="s">
        <v>3</v>
      </c>
      <c r="DE684" t="s">
        <v>3</v>
      </c>
      <c r="DF684">
        <f>ROUND(ROUND(AE684*AI684,2)*CX684,2)</f>
        <v>54186.879999999997</v>
      </c>
      <c r="DG684">
        <f t="shared" si="284"/>
        <v>0</v>
      </c>
      <c r="DH684">
        <f t="shared" si="285"/>
        <v>0</v>
      </c>
      <c r="DI684">
        <f t="shared" si="268"/>
        <v>0</v>
      </c>
      <c r="DJ684">
        <f>DF684</f>
        <v>54186.879999999997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ROW(Source!A271)</f>
        <v>271</v>
      </c>
      <c r="B685">
        <v>55747649</v>
      </c>
      <c r="C685">
        <v>55748534</v>
      </c>
      <c r="D685">
        <v>54702434</v>
      </c>
      <c r="E685">
        <v>1081</v>
      </c>
      <c r="F685">
        <v>1</v>
      </c>
      <c r="G685">
        <v>1081</v>
      </c>
      <c r="H685">
        <v>1</v>
      </c>
      <c r="I685" t="s">
        <v>473</v>
      </c>
      <c r="J685" t="s">
        <v>3</v>
      </c>
      <c r="K685" t="s">
        <v>474</v>
      </c>
      <c r="L685">
        <v>1191</v>
      </c>
      <c r="N685">
        <v>1013</v>
      </c>
      <c r="O685" t="s">
        <v>475</v>
      </c>
      <c r="P685" t="s">
        <v>475</v>
      </c>
      <c r="Q685">
        <v>1</v>
      </c>
      <c r="W685">
        <v>0</v>
      </c>
      <c r="X685">
        <v>476480486</v>
      </c>
      <c r="Y685">
        <f>(AT685*1.2)</f>
        <v>6.48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5.4</v>
      </c>
      <c r="AU685" t="s">
        <v>49</v>
      </c>
      <c r="AV685">
        <v>1</v>
      </c>
      <c r="AW685">
        <v>2</v>
      </c>
      <c r="AX685">
        <v>55748542</v>
      </c>
      <c r="AY685">
        <v>1</v>
      </c>
      <c r="AZ685">
        <v>0</v>
      </c>
      <c r="BA685">
        <v>717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U685">
        <f>ROUND(AT685*Source!I271*AH685*AL685,2)</f>
        <v>0</v>
      </c>
      <c r="CV685">
        <f>ROUND(Y685*Source!I271,9)</f>
        <v>51.84</v>
      </c>
      <c r="CW685">
        <v>0</v>
      </c>
      <c r="CX685">
        <f>ROUND(Y685*Source!I271,9)</f>
        <v>51.84</v>
      </c>
      <c r="CY685">
        <f>AD685</f>
        <v>0</v>
      </c>
      <c r="CZ685">
        <f>AH685</f>
        <v>0</v>
      </c>
      <c r="DA685">
        <f>AL685</f>
        <v>1</v>
      </c>
      <c r="DB685">
        <f>ROUND((ROUND(AT685*CZ685,2)*1.2),6)</f>
        <v>0</v>
      </c>
      <c r="DC685">
        <f>ROUND((ROUND(AT685*AG685,2)*1.2),6)</f>
        <v>0</v>
      </c>
      <c r="DD685" t="s">
        <v>3</v>
      </c>
      <c r="DE685" t="s">
        <v>3</v>
      </c>
      <c r="DF685">
        <f t="shared" ref="DF685:DF693" si="286">ROUND(ROUND(AE685,2)*CX685,2)</f>
        <v>0</v>
      </c>
      <c r="DG685">
        <f t="shared" si="284"/>
        <v>0</v>
      </c>
      <c r="DH685">
        <f t="shared" si="285"/>
        <v>0</v>
      </c>
      <c r="DI685">
        <f t="shared" si="268"/>
        <v>0</v>
      </c>
      <c r="DJ685">
        <f>DI685</f>
        <v>0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">
      <c r="A686">
        <f>ROW(Source!A271)</f>
        <v>271</v>
      </c>
      <c r="B686">
        <v>55747649</v>
      </c>
      <c r="C686">
        <v>55748534</v>
      </c>
      <c r="D686">
        <v>54768040</v>
      </c>
      <c r="E686">
        <v>1</v>
      </c>
      <c r="F686">
        <v>1</v>
      </c>
      <c r="G686">
        <v>1081</v>
      </c>
      <c r="H686">
        <v>2</v>
      </c>
      <c r="I686" t="s">
        <v>476</v>
      </c>
      <c r="J686" t="s">
        <v>477</v>
      </c>
      <c r="K686" t="s">
        <v>478</v>
      </c>
      <c r="L686">
        <v>1368</v>
      </c>
      <c r="N686">
        <v>1011</v>
      </c>
      <c r="O686" t="s">
        <v>479</v>
      </c>
      <c r="P686" t="s">
        <v>479</v>
      </c>
      <c r="Q686">
        <v>1</v>
      </c>
      <c r="W686">
        <v>0</v>
      </c>
      <c r="X686">
        <v>1498588441</v>
      </c>
      <c r="Y686">
        <f>(AT686*1.2)</f>
        <v>1.08</v>
      </c>
      <c r="AA686">
        <v>0</v>
      </c>
      <c r="AB686">
        <v>7.59</v>
      </c>
      <c r="AC686">
        <v>0</v>
      </c>
      <c r="AD686">
        <v>0</v>
      </c>
      <c r="AE686">
        <v>0</v>
      </c>
      <c r="AF686">
        <v>7.11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0.9</v>
      </c>
      <c r="AU686" t="s">
        <v>49</v>
      </c>
      <c r="AV686">
        <v>0</v>
      </c>
      <c r="AW686">
        <v>2</v>
      </c>
      <c r="AX686">
        <v>55748543</v>
      </c>
      <c r="AY686">
        <v>1</v>
      </c>
      <c r="AZ686">
        <v>0</v>
      </c>
      <c r="BA686">
        <v>718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ROUND(Y686*Source!I271*DO686,9)</f>
        <v>0</v>
      </c>
      <c r="CX686">
        <f>ROUND(Y686*Source!I271,9)</f>
        <v>8.64</v>
      </c>
      <c r="CY686">
        <f>AB686</f>
        <v>7.59</v>
      </c>
      <c r="CZ686">
        <f>AF686</f>
        <v>7.11</v>
      </c>
      <c r="DA686">
        <f>AJ686</f>
        <v>1</v>
      </c>
      <c r="DB686">
        <f>ROUND((ROUND(AT686*CZ686,2)*1.2),6)</f>
        <v>7.68</v>
      </c>
      <c r="DC686">
        <f>ROUND((ROUND(AT686*AG686,2)*1.2),6)</f>
        <v>0</v>
      </c>
      <c r="DD686" t="s">
        <v>3</v>
      </c>
      <c r="DE686" t="s">
        <v>3</v>
      </c>
      <c r="DF686">
        <f t="shared" si="286"/>
        <v>0</v>
      </c>
      <c r="DG686">
        <f t="shared" si="284"/>
        <v>61.43</v>
      </c>
      <c r="DH686">
        <f t="shared" si="285"/>
        <v>0</v>
      </c>
      <c r="DI686">
        <f t="shared" si="268"/>
        <v>0</v>
      </c>
      <c r="DJ686">
        <f>DG686</f>
        <v>61.43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">
      <c r="A687">
        <f>ROW(Source!A271)</f>
        <v>271</v>
      </c>
      <c r="B687">
        <v>55747649</v>
      </c>
      <c r="C687">
        <v>55748534</v>
      </c>
      <c r="D687">
        <v>54768339</v>
      </c>
      <c r="E687">
        <v>1</v>
      </c>
      <c r="F687">
        <v>1</v>
      </c>
      <c r="G687">
        <v>1081</v>
      </c>
      <c r="H687">
        <v>2</v>
      </c>
      <c r="I687" t="s">
        <v>483</v>
      </c>
      <c r="J687" t="s">
        <v>484</v>
      </c>
      <c r="K687" t="s">
        <v>485</v>
      </c>
      <c r="L687">
        <v>1368</v>
      </c>
      <c r="N687">
        <v>1011</v>
      </c>
      <c r="O687" t="s">
        <v>479</v>
      </c>
      <c r="P687" t="s">
        <v>479</v>
      </c>
      <c r="Q687">
        <v>1</v>
      </c>
      <c r="W687">
        <v>0</v>
      </c>
      <c r="X687">
        <v>874612079</v>
      </c>
      <c r="Y687">
        <f>(AT687*1.2)</f>
        <v>2.4E-2</v>
      </c>
      <c r="AA687">
        <v>0</v>
      </c>
      <c r="AB687">
        <v>88.67</v>
      </c>
      <c r="AC687">
        <v>13.47</v>
      </c>
      <c r="AD687">
        <v>0</v>
      </c>
      <c r="AE687">
        <v>0</v>
      </c>
      <c r="AF687">
        <v>83.1</v>
      </c>
      <c r="AG687">
        <v>12.62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-2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0.02</v>
      </c>
      <c r="AU687" t="s">
        <v>49</v>
      </c>
      <c r="AV687">
        <v>0</v>
      </c>
      <c r="AW687">
        <v>2</v>
      </c>
      <c r="AX687">
        <v>55748544</v>
      </c>
      <c r="AY687">
        <v>1</v>
      </c>
      <c r="AZ687">
        <v>0</v>
      </c>
      <c r="BA687">
        <v>719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f>ROUND(Y687*Source!I271*DO687,9)</f>
        <v>2.4230399999999999</v>
      </c>
      <c r="CX687">
        <f>ROUND(Y687*Source!I271,9)</f>
        <v>0.192</v>
      </c>
      <c r="CY687">
        <f>AB687</f>
        <v>88.67</v>
      </c>
      <c r="CZ687">
        <f>AF687</f>
        <v>83.1</v>
      </c>
      <c r="DA687">
        <f>AJ687</f>
        <v>1</v>
      </c>
      <c r="DB687">
        <f>ROUND((ROUND(AT687*CZ687,2)*1.2),6)</f>
        <v>1.992</v>
      </c>
      <c r="DC687">
        <f>ROUND((ROUND(AT687*AG687,2)*1.2),6)</f>
        <v>0.3</v>
      </c>
      <c r="DD687" t="s">
        <v>3</v>
      </c>
      <c r="DE687" t="s">
        <v>3</v>
      </c>
      <c r="DF687">
        <f t="shared" si="286"/>
        <v>0</v>
      </c>
      <c r="DG687">
        <f t="shared" si="284"/>
        <v>15.96</v>
      </c>
      <c r="DH687">
        <f t="shared" si="285"/>
        <v>2.42</v>
      </c>
      <c r="DI687">
        <f t="shared" si="268"/>
        <v>0</v>
      </c>
      <c r="DJ687">
        <f>DG687</f>
        <v>15.96</v>
      </c>
      <c r="DK687">
        <v>0</v>
      </c>
      <c r="DL687" t="s">
        <v>486</v>
      </c>
      <c r="DM687">
        <v>0</v>
      </c>
      <c r="DN687" t="s">
        <v>475</v>
      </c>
      <c r="DO687">
        <v>12.62</v>
      </c>
    </row>
    <row r="688" spans="1:119" x14ac:dyDescent="0.2">
      <c r="A688">
        <f>ROW(Source!A271)</f>
        <v>271</v>
      </c>
      <c r="B688">
        <v>55747649</v>
      </c>
      <c r="C688">
        <v>55748534</v>
      </c>
      <c r="D688">
        <v>54738518</v>
      </c>
      <c r="E688">
        <v>1</v>
      </c>
      <c r="F688">
        <v>1</v>
      </c>
      <c r="G688">
        <v>1081</v>
      </c>
      <c r="H688">
        <v>3</v>
      </c>
      <c r="I688" t="s">
        <v>493</v>
      </c>
      <c r="J688" t="s">
        <v>494</v>
      </c>
      <c r="K688" t="s">
        <v>495</v>
      </c>
      <c r="L688">
        <v>1348</v>
      </c>
      <c r="N688">
        <v>1009</v>
      </c>
      <c r="O688" t="s">
        <v>282</v>
      </c>
      <c r="P688" t="s">
        <v>282</v>
      </c>
      <c r="Q688">
        <v>1000</v>
      </c>
      <c r="W688">
        <v>0</v>
      </c>
      <c r="X688">
        <v>205566664</v>
      </c>
      <c r="Y688">
        <f>(AT688*1)</f>
        <v>4.4000000000000002E-4</v>
      </c>
      <c r="AA688">
        <v>9367.64</v>
      </c>
      <c r="AB688">
        <v>0</v>
      </c>
      <c r="AC688">
        <v>0</v>
      </c>
      <c r="AD688">
        <v>0</v>
      </c>
      <c r="AE688">
        <v>9112.49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-2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4.4000000000000002E-4</v>
      </c>
      <c r="AU688" t="s">
        <v>48</v>
      </c>
      <c r="AV688">
        <v>0</v>
      </c>
      <c r="AW688">
        <v>2</v>
      </c>
      <c r="AX688">
        <v>55748545</v>
      </c>
      <c r="AY688">
        <v>1</v>
      </c>
      <c r="AZ688">
        <v>0</v>
      </c>
      <c r="BA688">
        <v>720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ROUND(Y688*Source!I271,9)</f>
        <v>3.5200000000000001E-3</v>
      </c>
      <c r="CY688">
        <f>AA688</f>
        <v>9367.64</v>
      </c>
      <c r="CZ688">
        <f>AE688</f>
        <v>9112.49</v>
      </c>
      <c r="DA688">
        <f>AI688</f>
        <v>1</v>
      </c>
      <c r="DB688">
        <f>ROUND((ROUND(AT688*CZ688,2)*1),6)</f>
        <v>4.01</v>
      </c>
      <c r="DC688">
        <f>ROUND((ROUND(AT688*AG688,2)*1),6)</f>
        <v>0</v>
      </c>
      <c r="DD688" t="s">
        <v>3</v>
      </c>
      <c r="DE688" t="s">
        <v>3</v>
      </c>
      <c r="DF688">
        <f t="shared" si="286"/>
        <v>32.08</v>
      </c>
      <c r="DG688">
        <f t="shared" si="284"/>
        <v>0</v>
      </c>
      <c r="DH688">
        <f t="shared" si="285"/>
        <v>0</v>
      </c>
      <c r="DI688">
        <f t="shared" si="268"/>
        <v>0</v>
      </c>
      <c r="DJ688">
        <f>DF688</f>
        <v>32.08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ROW(Source!A271)</f>
        <v>271</v>
      </c>
      <c r="B689">
        <v>55747649</v>
      </c>
      <c r="C689">
        <v>55748534</v>
      </c>
      <c r="D689">
        <v>54739191</v>
      </c>
      <c r="E689">
        <v>1</v>
      </c>
      <c r="F689">
        <v>1</v>
      </c>
      <c r="G689">
        <v>1081</v>
      </c>
      <c r="H689">
        <v>3</v>
      </c>
      <c r="I689" t="s">
        <v>500</v>
      </c>
      <c r="J689" t="s">
        <v>501</v>
      </c>
      <c r="K689" t="s">
        <v>502</v>
      </c>
      <c r="L689">
        <v>1346</v>
      </c>
      <c r="N689">
        <v>1009</v>
      </c>
      <c r="O689" t="s">
        <v>503</v>
      </c>
      <c r="P689" t="s">
        <v>503</v>
      </c>
      <c r="Q689">
        <v>1</v>
      </c>
      <c r="W689">
        <v>0</v>
      </c>
      <c r="X689">
        <v>-2132327540</v>
      </c>
      <c r="Y689">
        <f>(AT689*1)</f>
        <v>1.0999999999999999E-2</v>
      </c>
      <c r="AA689">
        <v>6.43</v>
      </c>
      <c r="AB689">
        <v>0</v>
      </c>
      <c r="AC689">
        <v>0</v>
      </c>
      <c r="AD689">
        <v>0</v>
      </c>
      <c r="AE689">
        <v>6.25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-2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1.0999999999999999E-2</v>
      </c>
      <c r="AU689" t="s">
        <v>48</v>
      </c>
      <c r="AV689">
        <v>0</v>
      </c>
      <c r="AW689">
        <v>2</v>
      </c>
      <c r="AX689">
        <v>55748546</v>
      </c>
      <c r="AY689">
        <v>1</v>
      </c>
      <c r="AZ689">
        <v>0</v>
      </c>
      <c r="BA689">
        <v>721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ROUND(Y689*Source!I271,9)</f>
        <v>8.7999999999999995E-2</v>
      </c>
      <c r="CY689">
        <f>AA689</f>
        <v>6.43</v>
      </c>
      <c r="CZ689">
        <f>AE689</f>
        <v>6.25</v>
      </c>
      <c r="DA689">
        <f>AI689</f>
        <v>1</v>
      </c>
      <c r="DB689">
        <f>ROUND((ROUND(AT689*CZ689,2)*1),6)</f>
        <v>7.0000000000000007E-2</v>
      </c>
      <c r="DC689">
        <f>ROUND((ROUND(AT689*AG689,2)*1),6)</f>
        <v>0</v>
      </c>
      <c r="DD689" t="s">
        <v>3</v>
      </c>
      <c r="DE689" t="s">
        <v>3</v>
      </c>
      <c r="DF689">
        <f t="shared" si="286"/>
        <v>0.55000000000000004</v>
      </c>
      <c r="DG689">
        <f t="shared" si="284"/>
        <v>0</v>
      </c>
      <c r="DH689">
        <f t="shared" si="285"/>
        <v>0</v>
      </c>
      <c r="DI689">
        <f t="shared" si="268"/>
        <v>0</v>
      </c>
      <c r="DJ689">
        <f>DF689</f>
        <v>0.55000000000000004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ROW(Source!A271)</f>
        <v>271</v>
      </c>
      <c r="B690">
        <v>55747649</v>
      </c>
      <c r="C690">
        <v>55748534</v>
      </c>
      <c r="D690">
        <v>54737565</v>
      </c>
      <c r="E690">
        <v>1</v>
      </c>
      <c r="F690">
        <v>1</v>
      </c>
      <c r="G690">
        <v>1081</v>
      </c>
      <c r="H690">
        <v>3</v>
      </c>
      <c r="I690" t="s">
        <v>504</v>
      </c>
      <c r="J690" t="s">
        <v>505</v>
      </c>
      <c r="K690" t="s">
        <v>506</v>
      </c>
      <c r="L690">
        <v>1339</v>
      </c>
      <c r="N690">
        <v>1007</v>
      </c>
      <c r="O690" t="s">
        <v>507</v>
      </c>
      <c r="P690" t="s">
        <v>507</v>
      </c>
      <c r="Q690">
        <v>1</v>
      </c>
      <c r="W690">
        <v>0</v>
      </c>
      <c r="X690">
        <v>-1235260082</v>
      </c>
      <c r="Y690">
        <f>(AT690*1)</f>
        <v>4.3999999999999997E-2</v>
      </c>
      <c r="AA690">
        <v>5.98</v>
      </c>
      <c r="AB690">
        <v>0</v>
      </c>
      <c r="AC690">
        <v>0</v>
      </c>
      <c r="AD690">
        <v>0</v>
      </c>
      <c r="AE690">
        <v>5.82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-2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4.3999999999999997E-2</v>
      </c>
      <c r="AU690" t="s">
        <v>48</v>
      </c>
      <c r="AV690">
        <v>0</v>
      </c>
      <c r="AW690">
        <v>2</v>
      </c>
      <c r="AX690">
        <v>55748547</v>
      </c>
      <c r="AY690">
        <v>1</v>
      </c>
      <c r="AZ690">
        <v>0</v>
      </c>
      <c r="BA690">
        <v>722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ROUND(Y690*Source!I271,9)</f>
        <v>0.35199999999999998</v>
      </c>
      <c r="CY690">
        <f>AA690</f>
        <v>5.98</v>
      </c>
      <c r="CZ690">
        <f>AE690</f>
        <v>5.82</v>
      </c>
      <c r="DA690">
        <f>AI690</f>
        <v>1</v>
      </c>
      <c r="DB690">
        <f>ROUND((ROUND(AT690*CZ690,2)*1),6)</f>
        <v>0.26</v>
      </c>
      <c r="DC690">
        <f>ROUND((ROUND(AT690*AG690,2)*1),6)</f>
        <v>0</v>
      </c>
      <c r="DD690" t="s">
        <v>3</v>
      </c>
      <c r="DE690" t="s">
        <v>3</v>
      </c>
      <c r="DF690">
        <f t="shared" si="286"/>
        <v>2.0499999999999998</v>
      </c>
      <c r="DG690">
        <f t="shared" si="284"/>
        <v>0</v>
      </c>
      <c r="DH690">
        <f t="shared" si="285"/>
        <v>0</v>
      </c>
      <c r="DI690">
        <f t="shared" si="268"/>
        <v>0</v>
      </c>
      <c r="DJ690">
        <f>DF690</f>
        <v>2.0499999999999998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ROW(Source!A272)</f>
        <v>272</v>
      </c>
      <c r="B691">
        <v>55747651</v>
      </c>
      <c r="C691">
        <v>55748534</v>
      </c>
      <c r="D691">
        <v>54702434</v>
      </c>
      <c r="E691">
        <v>1081</v>
      </c>
      <c r="F691">
        <v>1</v>
      </c>
      <c r="G691">
        <v>1081</v>
      </c>
      <c r="H691">
        <v>1</v>
      </c>
      <c r="I691" t="s">
        <v>473</v>
      </c>
      <c r="J691" t="s">
        <v>3</v>
      </c>
      <c r="K691" t="s">
        <v>474</v>
      </c>
      <c r="L691">
        <v>1191</v>
      </c>
      <c r="N691">
        <v>1013</v>
      </c>
      <c r="O691" t="s">
        <v>475</v>
      </c>
      <c r="P691" t="s">
        <v>475</v>
      </c>
      <c r="Q691">
        <v>1</v>
      </c>
      <c r="W691">
        <v>0</v>
      </c>
      <c r="X691">
        <v>476480486</v>
      </c>
      <c r="Y691">
        <f>(AT691*1.2)</f>
        <v>6.48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5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5.4</v>
      </c>
      <c r="AU691" t="s">
        <v>49</v>
      </c>
      <c r="AV691">
        <v>1</v>
      </c>
      <c r="AW691">
        <v>2</v>
      </c>
      <c r="AX691">
        <v>55748542</v>
      </c>
      <c r="AY691">
        <v>1</v>
      </c>
      <c r="AZ691">
        <v>0</v>
      </c>
      <c r="BA691">
        <v>724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U691">
        <f>ROUND(AT691*Source!I272*AH691*AL691,2)</f>
        <v>0</v>
      </c>
      <c r="CV691">
        <f>ROUND(Y691*Source!I272,9)</f>
        <v>51.84</v>
      </c>
      <c r="CW691">
        <v>0</v>
      </c>
      <c r="CX691">
        <f>ROUND(Y691*Source!I272,9)</f>
        <v>51.84</v>
      </c>
      <c r="CY691">
        <f>AD691</f>
        <v>0</v>
      </c>
      <c r="CZ691">
        <f>AH691</f>
        <v>0</v>
      </c>
      <c r="DA691">
        <f>AL691</f>
        <v>1</v>
      </c>
      <c r="DB691">
        <f>ROUND((ROUND(AT691*CZ691,2)*1.2),6)</f>
        <v>0</v>
      </c>
      <c r="DC691">
        <f>ROUND((ROUND(AT691*AG691,2)*1.2),6)</f>
        <v>0</v>
      </c>
      <c r="DD691" t="s">
        <v>3</v>
      </c>
      <c r="DE691" t="s">
        <v>3</v>
      </c>
      <c r="DF691">
        <f t="shared" si="286"/>
        <v>0</v>
      </c>
      <c r="DG691">
        <f t="shared" si="284"/>
        <v>0</v>
      </c>
      <c r="DH691">
        <f t="shared" si="285"/>
        <v>0</v>
      </c>
      <c r="DI691">
        <f t="shared" si="268"/>
        <v>0</v>
      </c>
      <c r="DJ691">
        <f>DI691</f>
        <v>0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ROW(Source!A272)</f>
        <v>272</v>
      </c>
      <c r="B692">
        <v>55747651</v>
      </c>
      <c r="C692">
        <v>55748534</v>
      </c>
      <c r="D692">
        <v>54768040</v>
      </c>
      <c r="E692">
        <v>1</v>
      </c>
      <c r="F692">
        <v>1</v>
      </c>
      <c r="G692">
        <v>1081</v>
      </c>
      <c r="H692">
        <v>2</v>
      </c>
      <c r="I692" t="s">
        <v>476</v>
      </c>
      <c r="J692" t="s">
        <v>477</v>
      </c>
      <c r="K692" t="s">
        <v>478</v>
      </c>
      <c r="L692">
        <v>1368</v>
      </c>
      <c r="N692">
        <v>1011</v>
      </c>
      <c r="O692" t="s">
        <v>479</v>
      </c>
      <c r="P692" t="s">
        <v>479</v>
      </c>
      <c r="Q692">
        <v>1</v>
      </c>
      <c r="W692">
        <v>0</v>
      </c>
      <c r="X692">
        <v>1498588441</v>
      </c>
      <c r="Y692">
        <f>(AT692*1.2)</f>
        <v>1.08</v>
      </c>
      <c r="AA692">
        <v>0</v>
      </c>
      <c r="AB692">
        <v>102.11</v>
      </c>
      <c r="AC692">
        <v>0</v>
      </c>
      <c r="AD692">
        <v>0</v>
      </c>
      <c r="AE692">
        <v>0</v>
      </c>
      <c r="AF692">
        <v>7.11</v>
      </c>
      <c r="AG692">
        <v>0</v>
      </c>
      <c r="AH692">
        <v>0</v>
      </c>
      <c r="AI692">
        <v>1</v>
      </c>
      <c r="AJ692">
        <v>13.46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0.9</v>
      </c>
      <c r="AU692" t="s">
        <v>49</v>
      </c>
      <c r="AV692">
        <v>0</v>
      </c>
      <c r="AW692">
        <v>2</v>
      </c>
      <c r="AX692">
        <v>55748543</v>
      </c>
      <c r="AY692">
        <v>1</v>
      </c>
      <c r="AZ692">
        <v>0</v>
      </c>
      <c r="BA692">
        <v>725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f>ROUND(Y692*Source!I272*DO692,9)</f>
        <v>0</v>
      </c>
      <c r="CX692">
        <f>ROUND(Y692*Source!I272,9)</f>
        <v>8.64</v>
      </c>
      <c r="CY692">
        <f>AB692</f>
        <v>102.11</v>
      </c>
      <c r="CZ692">
        <f>AF692</f>
        <v>7.11</v>
      </c>
      <c r="DA692">
        <f>AJ692</f>
        <v>13.46</v>
      </c>
      <c r="DB692">
        <f>ROUND((ROUND(AT692*CZ692,2)*1.2),6)</f>
        <v>7.68</v>
      </c>
      <c r="DC692">
        <f>ROUND((ROUND(AT692*AG692,2)*1.2),6)</f>
        <v>0</v>
      </c>
      <c r="DD692" t="s">
        <v>3</v>
      </c>
      <c r="DE692" t="s">
        <v>3</v>
      </c>
      <c r="DF692">
        <f t="shared" si="286"/>
        <v>0</v>
      </c>
      <c r="DG692">
        <f>ROUND(ROUND(AF692*AJ692,2)*CX692,2)</f>
        <v>826.85</v>
      </c>
      <c r="DH692">
        <f t="shared" si="285"/>
        <v>0</v>
      </c>
      <c r="DI692">
        <f t="shared" si="268"/>
        <v>0</v>
      </c>
      <c r="DJ692">
        <f>DG692</f>
        <v>826.85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ROW(Source!A272)</f>
        <v>272</v>
      </c>
      <c r="B693">
        <v>55747651</v>
      </c>
      <c r="C693">
        <v>55748534</v>
      </c>
      <c r="D693">
        <v>54768339</v>
      </c>
      <c r="E693">
        <v>1</v>
      </c>
      <c r="F693">
        <v>1</v>
      </c>
      <c r="G693">
        <v>1081</v>
      </c>
      <c r="H693">
        <v>2</v>
      </c>
      <c r="I693" t="s">
        <v>483</v>
      </c>
      <c r="J693" t="s">
        <v>484</v>
      </c>
      <c r="K693" t="s">
        <v>485</v>
      </c>
      <c r="L693">
        <v>1368</v>
      </c>
      <c r="N693">
        <v>1011</v>
      </c>
      <c r="O693" t="s">
        <v>479</v>
      </c>
      <c r="P693" t="s">
        <v>479</v>
      </c>
      <c r="Q693">
        <v>1</v>
      </c>
      <c r="W693">
        <v>0</v>
      </c>
      <c r="X693">
        <v>874612079</v>
      </c>
      <c r="Y693">
        <f>(AT693*1.2)</f>
        <v>2.4E-2</v>
      </c>
      <c r="AA693">
        <v>0</v>
      </c>
      <c r="AB693">
        <v>1513.56</v>
      </c>
      <c r="AC693">
        <v>758.78</v>
      </c>
      <c r="AD693">
        <v>0</v>
      </c>
      <c r="AE693">
        <v>0</v>
      </c>
      <c r="AF693">
        <v>83.1</v>
      </c>
      <c r="AG693">
        <v>12.62</v>
      </c>
      <c r="AH693">
        <v>0</v>
      </c>
      <c r="AI693">
        <v>1</v>
      </c>
      <c r="AJ693">
        <v>17.07</v>
      </c>
      <c r="AK693">
        <v>56.35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0.02</v>
      </c>
      <c r="AU693" t="s">
        <v>49</v>
      </c>
      <c r="AV693">
        <v>0</v>
      </c>
      <c r="AW693">
        <v>2</v>
      </c>
      <c r="AX693">
        <v>55748544</v>
      </c>
      <c r="AY693">
        <v>1</v>
      </c>
      <c r="AZ693">
        <v>0</v>
      </c>
      <c r="BA693">
        <v>726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f>ROUND(Y693*Source!I272*DO693,9)</f>
        <v>2.4230399999999999</v>
      </c>
      <c r="CX693">
        <f>ROUND(Y693*Source!I272,9)</f>
        <v>0.192</v>
      </c>
      <c r="CY693">
        <f>AB693</f>
        <v>1513.56</v>
      </c>
      <c r="CZ693">
        <f>AF693</f>
        <v>83.1</v>
      </c>
      <c r="DA693">
        <f>AJ693</f>
        <v>17.07</v>
      </c>
      <c r="DB693">
        <f>ROUND((ROUND(AT693*CZ693,2)*1.2),6)</f>
        <v>1.992</v>
      </c>
      <c r="DC693">
        <f>ROUND((ROUND(AT693*AG693,2)*1.2),6)</f>
        <v>0.3</v>
      </c>
      <c r="DD693" t="s">
        <v>3</v>
      </c>
      <c r="DE693" t="s">
        <v>3</v>
      </c>
      <c r="DF693">
        <f t="shared" si="286"/>
        <v>0</v>
      </c>
      <c r="DG693">
        <f>ROUND(ROUND(AF693*AJ693,2)*CX693,2)</f>
        <v>272.36</v>
      </c>
      <c r="DH693">
        <f>ROUND(ROUND(AG693*AK693,2)*CX693,2)</f>
        <v>136.54</v>
      </c>
      <c r="DI693">
        <f t="shared" si="268"/>
        <v>0</v>
      </c>
      <c r="DJ693">
        <f>DG693</f>
        <v>272.36</v>
      </c>
      <c r="DK693">
        <v>0</v>
      </c>
      <c r="DL693" t="s">
        <v>486</v>
      </c>
      <c r="DM693">
        <v>0</v>
      </c>
      <c r="DN693" t="s">
        <v>475</v>
      </c>
      <c r="DO693">
        <v>12.62</v>
      </c>
    </row>
    <row r="694" spans="1:119" x14ac:dyDescent="0.2">
      <c r="A694">
        <f>ROW(Source!A272)</f>
        <v>272</v>
      </c>
      <c r="B694">
        <v>55747651</v>
      </c>
      <c r="C694">
        <v>55748534</v>
      </c>
      <c r="D694">
        <v>54738518</v>
      </c>
      <c r="E694">
        <v>1</v>
      </c>
      <c r="F694">
        <v>1</v>
      </c>
      <c r="G694">
        <v>1081</v>
      </c>
      <c r="H694">
        <v>3</v>
      </c>
      <c r="I694" t="s">
        <v>493</v>
      </c>
      <c r="J694" t="s">
        <v>494</v>
      </c>
      <c r="K694" t="s">
        <v>495</v>
      </c>
      <c r="L694">
        <v>1348</v>
      </c>
      <c r="N694">
        <v>1009</v>
      </c>
      <c r="O694" t="s">
        <v>282</v>
      </c>
      <c r="P694" t="s">
        <v>282</v>
      </c>
      <c r="Q694">
        <v>1000</v>
      </c>
      <c r="W694">
        <v>0</v>
      </c>
      <c r="X694">
        <v>205566664</v>
      </c>
      <c r="Y694">
        <f>(AT694*1)</f>
        <v>4.4000000000000002E-4</v>
      </c>
      <c r="AA694">
        <v>95081.54</v>
      </c>
      <c r="AB694">
        <v>0</v>
      </c>
      <c r="AC694">
        <v>0</v>
      </c>
      <c r="AD694">
        <v>0</v>
      </c>
      <c r="AE694">
        <v>9112.49</v>
      </c>
      <c r="AF694">
        <v>0</v>
      </c>
      <c r="AG694">
        <v>0</v>
      </c>
      <c r="AH694">
        <v>0</v>
      </c>
      <c r="AI694">
        <v>10.15</v>
      </c>
      <c r="AJ694">
        <v>1</v>
      </c>
      <c r="AK694">
        <v>1</v>
      </c>
      <c r="AL694">
        <v>1</v>
      </c>
      <c r="AM694">
        <v>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4.4000000000000002E-4</v>
      </c>
      <c r="AU694" t="s">
        <v>48</v>
      </c>
      <c r="AV694">
        <v>0</v>
      </c>
      <c r="AW694">
        <v>2</v>
      </c>
      <c r="AX694">
        <v>55748545</v>
      </c>
      <c r="AY694">
        <v>1</v>
      </c>
      <c r="AZ694">
        <v>0</v>
      </c>
      <c r="BA694">
        <v>727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ROUND(Y694*Source!I272,9)</f>
        <v>3.5200000000000001E-3</v>
      </c>
      <c r="CY694">
        <f>AA694</f>
        <v>95081.54</v>
      </c>
      <c r="CZ694">
        <f>AE694</f>
        <v>9112.49</v>
      </c>
      <c r="DA694">
        <f>AI694</f>
        <v>10.15</v>
      </c>
      <c r="DB694">
        <f>ROUND((ROUND(AT694*CZ694,2)*1),6)</f>
        <v>4.01</v>
      </c>
      <c r="DC694">
        <f>ROUND((ROUND(AT694*AG694,2)*1),6)</f>
        <v>0</v>
      </c>
      <c r="DD694" t="s">
        <v>3</v>
      </c>
      <c r="DE694" t="s">
        <v>3</v>
      </c>
      <c r="DF694">
        <f>ROUND(ROUND(AE694*AI694,2)*CX694,2)</f>
        <v>325.57</v>
      </c>
      <c r="DG694">
        <f t="shared" ref="DG694:DG712" si="287">ROUND(ROUND(AF694,2)*CX694,2)</f>
        <v>0</v>
      </c>
      <c r="DH694">
        <f t="shared" ref="DH694:DH713" si="288">ROUND(ROUND(AG694,2)*CX694,2)</f>
        <v>0</v>
      </c>
      <c r="DI694">
        <f t="shared" si="268"/>
        <v>0</v>
      </c>
      <c r="DJ694">
        <f>DF694</f>
        <v>325.57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ROW(Source!A272)</f>
        <v>272</v>
      </c>
      <c r="B695">
        <v>55747651</v>
      </c>
      <c r="C695">
        <v>55748534</v>
      </c>
      <c r="D695">
        <v>54739191</v>
      </c>
      <c r="E695">
        <v>1</v>
      </c>
      <c r="F695">
        <v>1</v>
      </c>
      <c r="G695">
        <v>1081</v>
      </c>
      <c r="H695">
        <v>3</v>
      </c>
      <c r="I695" t="s">
        <v>500</v>
      </c>
      <c r="J695" t="s">
        <v>501</v>
      </c>
      <c r="K695" t="s">
        <v>502</v>
      </c>
      <c r="L695">
        <v>1346</v>
      </c>
      <c r="N695">
        <v>1009</v>
      </c>
      <c r="O695" t="s">
        <v>503</v>
      </c>
      <c r="P695" t="s">
        <v>503</v>
      </c>
      <c r="Q695">
        <v>1</v>
      </c>
      <c r="W695">
        <v>0</v>
      </c>
      <c r="X695">
        <v>-2132327540</v>
      </c>
      <c r="Y695">
        <f>(AT695*1)</f>
        <v>1.0999999999999999E-2</v>
      </c>
      <c r="AA695">
        <v>64.760000000000005</v>
      </c>
      <c r="AB695">
        <v>0</v>
      </c>
      <c r="AC695">
        <v>0</v>
      </c>
      <c r="AD695">
        <v>0</v>
      </c>
      <c r="AE695">
        <v>6.25</v>
      </c>
      <c r="AF695">
        <v>0</v>
      </c>
      <c r="AG695">
        <v>0</v>
      </c>
      <c r="AH695">
        <v>0</v>
      </c>
      <c r="AI695">
        <v>10.08</v>
      </c>
      <c r="AJ695">
        <v>1</v>
      </c>
      <c r="AK695">
        <v>1</v>
      </c>
      <c r="AL695">
        <v>1</v>
      </c>
      <c r="AM695">
        <v>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1.0999999999999999E-2</v>
      </c>
      <c r="AU695" t="s">
        <v>48</v>
      </c>
      <c r="AV695">
        <v>0</v>
      </c>
      <c r="AW695">
        <v>2</v>
      </c>
      <c r="AX695">
        <v>55748546</v>
      </c>
      <c r="AY695">
        <v>1</v>
      </c>
      <c r="AZ695">
        <v>0</v>
      </c>
      <c r="BA695">
        <v>728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ROUND(Y695*Source!I272,9)</f>
        <v>8.7999999999999995E-2</v>
      </c>
      <c r="CY695">
        <f>AA695</f>
        <v>64.760000000000005</v>
      </c>
      <c r="CZ695">
        <f>AE695</f>
        <v>6.25</v>
      </c>
      <c r="DA695">
        <f>AI695</f>
        <v>10.08</v>
      </c>
      <c r="DB695">
        <f>ROUND((ROUND(AT695*CZ695,2)*1),6)</f>
        <v>7.0000000000000007E-2</v>
      </c>
      <c r="DC695">
        <f>ROUND((ROUND(AT695*AG695,2)*1),6)</f>
        <v>0</v>
      </c>
      <c r="DD695" t="s">
        <v>3</v>
      </c>
      <c r="DE695" t="s">
        <v>3</v>
      </c>
      <c r="DF695">
        <f>ROUND(ROUND(AE695*AI695,2)*CX695,2)</f>
        <v>5.54</v>
      </c>
      <c r="DG695">
        <f t="shared" si="287"/>
        <v>0</v>
      </c>
      <c r="DH695">
        <f t="shared" si="288"/>
        <v>0</v>
      </c>
      <c r="DI695">
        <f t="shared" si="268"/>
        <v>0</v>
      </c>
      <c r="DJ695">
        <f>DF695</f>
        <v>5.54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ROW(Source!A272)</f>
        <v>272</v>
      </c>
      <c r="B696">
        <v>55747651</v>
      </c>
      <c r="C696">
        <v>55748534</v>
      </c>
      <c r="D696">
        <v>54737565</v>
      </c>
      <c r="E696">
        <v>1</v>
      </c>
      <c r="F696">
        <v>1</v>
      </c>
      <c r="G696">
        <v>1081</v>
      </c>
      <c r="H696">
        <v>3</v>
      </c>
      <c r="I696" t="s">
        <v>504</v>
      </c>
      <c r="J696" t="s">
        <v>505</v>
      </c>
      <c r="K696" t="s">
        <v>506</v>
      </c>
      <c r="L696">
        <v>1339</v>
      </c>
      <c r="N696">
        <v>1007</v>
      </c>
      <c r="O696" t="s">
        <v>507</v>
      </c>
      <c r="P696" t="s">
        <v>507</v>
      </c>
      <c r="Q696">
        <v>1</v>
      </c>
      <c r="W696">
        <v>0</v>
      </c>
      <c r="X696">
        <v>-1235260082</v>
      </c>
      <c r="Y696">
        <f>(AT696*1)</f>
        <v>4.3999999999999997E-2</v>
      </c>
      <c r="AA696">
        <v>104.16</v>
      </c>
      <c r="AB696">
        <v>0</v>
      </c>
      <c r="AC696">
        <v>0</v>
      </c>
      <c r="AD696">
        <v>0</v>
      </c>
      <c r="AE696">
        <v>5.82</v>
      </c>
      <c r="AF696">
        <v>0</v>
      </c>
      <c r="AG696">
        <v>0</v>
      </c>
      <c r="AH696">
        <v>0</v>
      </c>
      <c r="AI696">
        <v>17.41</v>
      </c>
      <c r="AJ696">
        <v>1</v>
      </c>
      <c r="AK696">
        <v>1</v>
      </c>
      <c r="AL696">
        <v>1</v>
      </c>
      <c r="AM696">
        <v>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4.3999999999999997E-2</v>
      </c>
      <c r="AU696" t="s">
        <v>48</v>
      </c>
      <c r="AV696">
        <v>0</v>
      </c>
      <c r="AW696">
        <v>2</v>
      </c>
      <c r="AX696">
        <v>55748547</v>
      </c>
      <c r="AY696">
        <v>1</v>
      </c>
      <c r="AZ696">
        <v>0</v>
      </c>
      <c r="BA696">
        <v>729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v>0</v>
      </c>
      <c r="CX696">
        <f>ROUND(Y696*Source!I272,9)</f>
        <v>0.35199999999999998</v>
      </c>
      <c r="CY696">
        <f>AA696</f>
        <v>104.16</v>
      </c>
      <c r="CZ696">
        <f>AE696</f>
        <v>5.82</v>
      </c>
      <c r="DA696">
        <f>AI696</f>
        <v>17.41</v>
      </c>
      <c r="DB696">
        <f>ROUND((ROUND(AT696*CZ696,2)*1),6)</f>
        <v>0.26</v>
      </c>
      <c r="DC696">
        <f>ROUND((ROUND(AT696*AG696,2)*1),6)</f>
        <v>0</v>
      </c>
      <c r="DD696" t="s">
        <v>3</v>
      </c>
      <c r="DE696" t="s">
        <v>3</v>
      </c>
      <c r="DF696">
        <f>ROUND(ROUND(AE696*AI696,2)*CX696,2)</f>
        <v>35.67</v>
      </c>
      <c r="DG696">
        <f t="shared" si="287"/>
        <v>0</v>
      </c>
      <c r="DH696">
        <f t="shared" si="288"/>
        <v>0</v>
      </c>
      <c r="DI696">
        <f t="shared" si="268"/>
        <v>0</v>
      </c>
      <c r="DJ696">
        <f>DF696</f>
        <v>35.67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">
      <c r="A697">
        <f>ROW(Source!A273)</f>
        <v>273</v>
      </c>
      <c r="B697">
        <v>55747649</v>
      </c>
      <c r="C697">
        <v>55748550</v>
      </c>
      <c r="D697">
        <v>54702434</v>
      </c>
      <c r="E697">
        <v>1081</v>
      </c>
      <c r="F697">
        <v>1</v>
      </c>
      <c r="G697">
        <v>1081</v>
      </c>
      <c r="H697">
        <v>1</v>
      </c>
      <c r="I697" t="s">
        <v>473</v>
      </c>
      <c r="J697" t="s">
        <v>3</v>
      </c>
      <c r="K697" t="s">
        <v>474</v>
      </c>
      <c r="L697">
        <v>1191</v>
      </c>
      <c r="N697">
        <v>1013</v>
      </c>
      <c r="O697" t="s">
        <v>475</v>
      </c>
      <c r="P697" t="s">
        <v>475</v>
      </c>
      <c r="Q697">
        <v>1</v>
      </c>
      <c r="W697">
        <v>0</v>
      </c>
      <c r="X697">
        <v>476480486</v>
      </c>
      <c r="Y697">
        <f>(AT697*1.2)</f>
        <v>0.36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0.3</v>
      </c>
      <c r="AU697" t="s">
        <v>49</v>
      </c>
      <c r="AV697">
        <v>1</v>
      </c>
      <c r="AW697">
        <v>2</v>
      </c>
      <c r="AX697">
        <v>55748556</v>
      </c>
      <c r="AY697">
        <v>1</v>
      </c>
      <c r="AZ697">
        <v>0</v>
      </c>
      <c r="BA697">
        <v>731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U697">
        <f>ROUND(AT697*Source!I273*AH697*AL697,2)</f>
        <v>0</v>
      </c>
      <c r="CV697">
        <f>ROUND(Y697*Source!I273,9)</f>
        <v>0.36</v>
      </c>
      <c r="CW697">
        <v>0</v>
      </c>
      <c r="CX697">
        <f>ROUND(Y697*Source!I273,9)</f>
        <v>0.36</v>
      </c>
      <c r="CY697">
        <f>AD697</f>
        <v>0</v>
      </c>
      <c r="CZ697">
        <f>AH697</f>
        <v>0</v>
      </c>
      <c r="DA697">
        <f>AL697</f>
        <v>1</v>
      </c>
      <c r="DB697">
        <f>ROUND((ROUND(AT697*CZ697,2)*1.2),6)</f>
        <v>0</v>
      </c>
      <c r="DC697">
        <f>ROUND((ROUND(AT697*AG697,2)*1.2),6)</f>
        <v>0</v>
      </c>
      <c r="DD697" t="s">
        <v>3</v>
      </c>
      <c r="DE697" t="s">
        <v>3</v>
      </c>
      <c r="DF697">
        <f>ROUND(ROUND(AE697,2)*CX697,2)</f>
        <v>0</v>
      </c>
      <c r="DG697">
        <f t="shared" si="287"/>
        <v>0</v>
      </c>
      <c r="DH697">
        <f t="shared" si="288"/>
        <v>0</v>
      </c>
      <c r="DI697">
        <f t="shared" si="268"/>
        <v>0</v>
      </c>
      <c r="DJ697">
        <f>DI697</f>
        <v>0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ROW(Source!A273)</f>
        <v>273</v>
      </c>
      <c r="B698">
        <v>55747649</v>
      </c>
      <c r="C698">
        <v>55748550</v>
      </c>
      <c r="D698">
        <v>54758097</v>
      </c>
      <c r="E698">
        <v>1</v>
      </c>
      <c r="F698">
        <v>1</v>
      </c>
      <c r="G698">
        <v>1081</v>
      </c>
      <c r="H698">
        <v>3</v>
      </c>
      <c r="I698" t="s">
        <v>643</v>
      </c>
      <c r="J698" t="s">
        <v>644</v>
      </c>
      <c r="K698" t="s">
        <v>645</v>
      </c>
      <c r="L698">
        <v>1346</v>
      </c>
      <c r="N698">
        <v>1009</v>
      </c>
      <c r="O698" t="s">
        <v>503</v>
      </c>
      <c r="P698" t="s">
        <v>503</v>
      </c>
      <c r="Q698">
        <v>1</v>
      </c>
      <c r="W698">
        <v>0</v>
      </c>
      <c r="X698">
        <v>1225074207</v>
      </c>
      <c r="Y698">
        <f>(AT698*1)</f>
        <v>4.2000000000000003E-2</v>
      </c>
      <c r="AA698">
        <v>19.28</v>
      </c>
      <c r="AB698">
        <v>0</v>
      </c>
      <c r="AC698">
        <v>0</v>
      </c>
      <c r="AD698">
        <v>0</v>
      </c>
      <c r="AE698">
        <v>19.28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4.2000000000000003E-2</v>
      </c>
      <c r="AU698" t="s">
        <v>48</v>
      </c>
      <c r="AV698">
        <v>0</v>
      </c>
      <c r="AW698">
        <v>2</v>
      </c>
      <c r="AX698">
        <v>55748557</v>
      </c>
      <c r="AY698">
        <v>1</v>
      </c>
      <c r="AZ698">
        <v>0</v>
      </c>
      <c r="BA698">
        <v>732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ROUND(Y698*Source!I273,9)</f>
        <v>4.2000000000000003E-2</v>
      </c>
      <c r="CY698">
        <f>AA698</f>
        <v>19.28</v>
      </c>
      <c r="CZ698">
        <f>AE698</f>
        <v>19.28</v>
      </c>
      <c r="DA698">
        <f>AI698</f>
        <v>1</v>
      </c>
      <c r="DB698">
        <f>ROUND((ROUND(AT698*CZ698,2)*1),6)</f>
        <v>0.81</v>
      </c>
      <c r="DC698">
        <f>ROUND((ROUND(AT698*AG698,2)*1),6)</f>
        <v>0</v>
      </c>
      <c r="DD698" t="s">
        <v>3</v>
      </c>
      <c r="DE698" t="s">
        <v>3</v>
      </c>
      <c r="DF698">
        <f>ROUND(ROUND(AE698,2)*CX698,2)</f>
        <v>0.81</v>
      </c>
      <c r="DG698">
        <f t="shared" si="287"/>
        <v>0</v>
      </c>
      <c r="DH698">
        <f t="shared" si="288"/>
        <v>0</v>
      </c>
      <c r="DI698">
        <f t="shared" si="268"/>
        <v>0</v>
      </c>
      <c r="DJ698">
        <f>DF698</f>
        <v>0.81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ROW(Source!A273)</f>
        <v>273</v>
      </c>
      <c r="B699">
        <v>55747649</v>
      </c>
      <c r="C699">
        <v>55748550</v>
      </c>
      <c r="D699">
        <v>54702420</v>
      </c>
      <c r="E699">
        <v>1081</v>
      </c>
      <c r="F699">
        <v>1</v>
      </c>
      <c r="G699">
        <v>1081</v>
      </c>
      <c r="H699">
        <v>3</v>
      </c>
      <c r="I699" t="s">
        <v>655</v>
      </c>
      <c r="J699" t="s">
        <v>3</v>
      </c>
      <c r="K699" t="s">
        <v>656</v>
      </c>
      <c r="L699">
        <v>1348</v>
      </c>
      <c r="N699">
        <v>1009</v>
      </c>
      <c r="O699" t="s">
        <v>282</v>
      </c>
      <c r="P699" t="s">
        <v>282</v>
      </c>
      <c r="Q699">
        <v>1000</v>
      </c>
      <c r="W699">
        <v>0</v>
      </c>
      <c r="X699">
        <v>-783086922</v>
      </c>
      <c r="Y699">
        <f>(AT699*1)</f>
        <v>1.5E-3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1.5E-3</v>
      </c>
      <c r="AU699" t="s">
        <v>48</v>
      </c>
      <c r="AV699">
        <v>0</v>
      </c>
      <c r="AW699">
        <v>2</v>
      </c>
      <c r="AX699">
        <v>55748559</v>
      </c>
      <c r="AY699">
        <v>1</v>
      </c>
      <c r="AZ699">
        <v>0</v>
      </c>
      <c r="BA699">
        <v>734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ROUND(Y699*Source!I273,9)</f>
        <v>1.5E-3</v>
      </c>
      <c r="CY699">
        <f>AA699</f>
        <v>0</v>
      </c>
      <c r="CZ699">
        <f>AE699</f>
        <v>0</v>
      </c>
      <c r="DA699">
        <f>AI699</f>
        <v>1</v>
      </c>
      <c r="DB699">
        <f>ROUND((ROUND(AT699*CZ699,2)*1),6)</f>
        <v>0</v>
      </c>
      <c r="DC699">
        <f>ROUND((ROUND(AT699*AG699,2)*1),6)</f>
        <v>0</v>
      </c>
      <c r="DD699" t="s">
        <v>3</v>
      </c>
      <c r="DE699" t="s">
        <v>3</v>
      </c>
      <c r="DF699">
        <f>ROUND(ROUND(AE699,2)*CX699,2)</f>
        <v>0</v>
      </c>
      <c r="DG699">
        <f t="shared" si="287"/>
        <v>0</v>
      </c>
      <c r="DH699">
        <f t="shared" si="288"/>
        <v>0</v>
      </c>
      <c r="DI699">
        <f t="shared" si="268"/>
        <v>0</v>
      </c>
      <c r="DJ699">
        <f>DF699</f>
        <v>0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">
      <c r="A700">
        <f>ROW(Source!A273)</f>
        <v>273</v>
      </c>
      <c r="B700">
        <v>55747649</v>
      </c>
      <c r="C700">
        <v>55748550</v>
      </c>
      <c r="D700">
        <v>0</v>
      </c>
      <c r="E700">
        <v>0</v>
      </c>
      <c r="F700">
        <v>1</v>
      </c>
      <c r="G700">
        <v>1081</v>
      </c>
      <c r="H700">
        <v>3</v>
      </c>
      <c r="I700" t="s">
        <v>438</v>
      </c>
      <c r="J700" t="s">
        <v>3</v>
      </c>
      <c r="K700" t="s">
        <v>439</v>
      </c>
      <c r="L700">
        <v>1354</v>
      </c>
      <c r="N700">
        <v>1010</v>
      </c>
      <c r="O700" t="s">
        <v>118</v>
      </c>
      <c r="P700" t="s">
        <v>118</v>
      </c>
      <c r="Q700">
        <v>1</v>
      </c>
      <c r="W700">
        <v>0</v>
      </c>
      <c r="X700">
        <v>140475686</v>
      </c>
      <c r="Y700">
        <f>(AT700*1)</f>
        <v>1</v>
      </c>
      <c r="AA700">
        <v>1798.97</v>
      </c>
      <c r="AB700">
        <v>0</v>
      </c>
      <c r="AC700">
        <v>0</v>
      </c>
      <c r="AD700">
        <v>0</v>
      </c>
      <c r="AE700">
        <v>1798.9699999999998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 t="s">
        <v>3</v>
      </c>
      <c r="AT700">
        <v>1</v>
      </c>
      <c r="AU700" t="s">
        <v>48</v>
      </c>
      <c r="AV700">
        <v>0</v>
      </c>
      <c r="AW700">
        <v>1</v>
      </c>
      <c r="AX700">
        <v>-1</v>
      </c>
      <c r="AY700">
        <v>0</v>
      </c>
      <c r="AZ700">
        <v>0</v>
      </c>
      <c r="BA700" t="s">
        <v>3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ROUND(Y700*Source!I273,9)</f>
        <v>1</v>
      </c>
      <c r="CY700">
        <f>AA700</f>
        <v>1798.97</v>
      </c>
      <c r="CZ700">
        <f>AE700</f>
        <v>1798.9699999999998</v>
      </c>
      <c r="DA700">
        <f>AI700</f>
        <v>1</v>
      </c>
      <c r="DB700">
        <f>ROUND((ROUND(AT700*CZ700,2)*1),6)</f>
        <v>1798.97</v>
      </c>
      <c r="DC700">
        <f>ROUND((ROUND(AT700*AG700,2)*1),6)</f>
        <v>0</v>
      </c>
      <c r="DD700" t="s">
        <v>3</v>
      </c>
      <c r="DE700" t="s">
        <v>3</v>
      </c>
      <c r="DF700">
        <f>ROUND(ROUND(AE700,2)*CX700,2)</f>
        <v>1798.97</v>
      </c>
      <c r="DG700">
        <f t="shared" si="287"/>
        <v>0</v>
      </c>
      <c r="DH700">
        <f t="shared" si="288"/>
        <v>0</v>
      </c>
      <c r="DI700">
        <f t="shared" si="268"/>
        <v>0</v>
      </c>
      <c r="DJ700">
        <f>DF700</f>
        <v>1798.97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">
      <c r="A701">
        <f>ROW(Source!A274)</f>
        <v>274</v>
      </c>
      <c r="B701">
        <v>55747651</v>
      </c>
      <c r="C701">
        <v>55748550</v>
      </c>
      <c r="D701">
        <v>54702434</v>
      </c>
      <c r="E701">
        <v>1081</v>
      </c>
      <c r="F701">
        <v>1</v>
      </c>
      <c r="G701">
        <v>1081</v>
      </c>
      <c r="H701">
        <v>1</v>
      </c>
      <c r="I701" t="s">
        <v>473</v>
      </c>
      <c r="J701" t="s">
        <v>3</v>
      </c>
      <c r="K701" t="s">
        <v>474</v>
      </c>
      <c r="L701">
        <v>1191</v>
      </c>
      <c r="N701">
        <v>1013</v>
      </c>
      <c r="O701" t="s">
        <v>475</v>
      </c>
      <c r="P701" t="s">
        <v>475</v>
      </c>
      <c r="Q701">
        <v>1</v>
      </c>
      <c r="W701">
        <v>0</v>
      </c>
      <c r="X701">
        <v>476480486</v>
      </c>
      <c r="Y701">
        <f>(AT701*1.2)</f>
        <v>0.36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5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0.3</v>
      </c>
      <c r="AU701" t="s">
        <v>49</v>
      </c>
      <c r="AV701">
        <v>1</v>
      </c>
      <c r="AW701">
        <v>2</v>
      </c>
      <c r="AX701">
        <v>55748556</v>
      </c>
      <c r="AY701">
        <v>1</v>
      </c>
      <c r="AZ701">
        <v>0</v>
      </c>
      <c r="BA701">
        <v>735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U701">
        <f>ROUND(AT701*Source!I274*AH701*AL701,2)</f>
        <v>0</v>
      </c>
      <c r="CV701">
        <f>ROUND(Y701*Source!I274,9)</f>
        <v>0.36</v>
      </c>
      <c r="CW701">
        <v>0</v>
      </c>
      <c r="CX701">
        <f>ROUND(Y701*Source!I274,9)</f>
        <v>0.36</v>
      </c>
      <c r="CY701">
        <f>AD701</f>
        <v>0</v>
      </c>
      <c r="CZ701">
        <f>AH701</f>
        <v>0</v>
      </c>
      <c r="DA701">
        <f>AL701</f>
        <v>1</v>
      </c>
      <c r="DB701">
        <f>ROUND((ROUND(AT701*CZ701,2)*1.2),6)</f>
        <v>0</v>
      </c>
      <c r="DC701">
        <f>ROUND((ROUND(AT701*AG701,2)*1.2),6)</f>
        <v>0</v>
      </c>
      <c r="DD701" t="s">
        <v>3</v>
      </c>
      <c r="DE701" t="s">
        <v>3</v>
      </c>
      <c r="DF701">
        <f>ROUND(ROUND(AE701,2)*CX701,2)</f>
        <v>0</v>
      </c>
      <c r="DG701">
        <f t="shared" si="287"/>
        <v>0</v>
      </c>
      <c r="DH701">
        <f t="shared" si="288"/>
        <v>0</v>
      </c>
      <c r="DI701">
        <f t="shared" si="268"/>
        <v>0</v>
      </c>
      <c r="DJ701">
        <f>DI701</f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ROW(Source!A274)</f>
        <v>274</v>
      </c>
      <c r="B702">
        <v>55747651</v>
      </c>
      <c r="C702">
        <v>55748550</v>
      </c>
      <c r="D702">
        <v>54758097</v>
      </c>
      <c r="E702">
        <v>1</v>
      </c>
      <c r="F702">
        <v>1</v>
      </c>
      <c r="G702">
        <v>1081</v>
      </c>
      <c r="H702">
        <v>3</v>
      </c>
      <c r="I702" t="s">
        <v>643</v>
      </c>
      <c r="J702" t="s">
        <v>644</v>
      </c>
      <c r="K702" t="s">
        <v>645</v>
      </c>
      <c r="L702">
        <v>1346</v>
      </c>
      <c r="N702">
        <v>1009</v>
      </c>
      <c r="O702" t="s">
        <v>503</v>
      </c>
      <c r="P702" t="s">
        <v>503</v>
      </c>
      <c r="Q702">
        <v>1</v>
      </c>
      <c r="W702">
        <v>0</v>
      </c>
      <c r="X702">
        <v>1225074207</v>
      </c>
      <c r="Y702">
        <f>(AT702*1)</f>
        <v>4.2000000000000003E-2</v>
      </c>
      <c r="AA702">
        <v>333.16</v>
      </c>
      <c r="AB702">
        <v>0</v>
      </c>
      <c r="AC702">
        <v>0</v>
      </c>
      <c r="AD702">
        <v>0</v>
      </c>
      <c r="AE702">
        <v>19.28</v>
      </c>
      <c r="AF702">
        <v>0</v>
      </c>
      <c r="AG702">
        <v>0</v>
      </c>
      <c r="AH702">
        <v>0</v>
      </c>
      <c r="AI702">
        <v>17.28</v>
      </c>
      <c r="AJ702">
        <v>1</v>
      </c>
      <c r="AK702">
        <v>1</v>
      </c>
      <c r="AL702">
        <v>1</v>
      </c>
      <c r="AM702">
        <v>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4.2000000000000003E-2</v>
      </c>
      <c r="AU702" t="s">
        <v>48</v>
      </c>
      <c r="AV702">
        <v>0</v>
      </c>
      <c r="AW702">
        <v>2</v>
      </c>
      <c r="AX702">
        <v>55748557</v>
      </c>
      <c r="AY702">
        <v>1</v>
      </c>
      <c r="AZ702">
        <v>0</v>
      </c>
      <c r="BA702">
        <v>736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ROUND(Y702*Source!I274,9)</f>
        <v>4.2000000000000003E-2</v>
      </c>
      <c r="CY702">
        <f>AA702</f>
        <v>333.16</v>
      </c>
      <c r="CZ702">
        <f>AE702</f>
        <v>19.28</v>
      </c>
      <c r="DA702">
        <f>AI702</f>
        <v>17.28</v>
      </c>
      <c r="DB702">
        <f>ROUND((ROUND(AT702*CZ702,2)*1),6)</f>
        <v>0.81</v>
      </c>
      <c r="DC702">
        <f>ROUND((ROUND(AT702*AG702,2)*1),6)</f>
        <v>0</v>
      </c>
      <c r="DD702" t="s">
        <v>3</v>
      </c>
      <c r="DE702" t="s">
        <v>3</v>
      </c>
      <c r="DF702">
        <f>ROUND(ROUND(AE702*AI702,2)*CX702,2)</f>
        <v>13.99</v>
      </c>
      <c r="DG702">
        <f t="shared" si="287"/>
        <v>0</v>
      </c>
      <c r="DH702">
        <f t="shared" si="288"/>
        <v>0</v>
      </c>
      <c r="DI702">
        <f t="shared" si="268"/>
        <v>0</v>
      </c>
      <c r="DJ702">
        <f>DF702</f>
        <v>13.99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ROW(Source!A274)</f>
        <v>274</v>
      </c>
      <c r="B703">
        <v>55747651</v>
      </c>
      <c r="C703">
        <v>55748550</v>
      </c>
      <c r="D703">
        <v>54702420</v>
      </c>
      <c r="E703">
        <v>1081</v>
      </c>
      <c r="F703">
        <v>1</v>
      </c>
      <c r="G703">
        <v>1081</v>
      </c>
      <c r="H703">
        <v>3</v>
      </c>
      <c r="I703" t="s">
        <v>655</v>
      </c>
      <c r="J703" t="s">
        <v>3</v>
      </c>
      <c r="K703" t="s">
        <v>656</v>
      </c>
      <c r="L703">
        <v>1348</v>
      </c>
      <c r="N703">
        <v>1009</v>
      </c>
      <c r="O703" t="s">
        <v>282</v>
      </c>
      <c r="P703" t="s">
        <v>282</v>
      </c>
      <c r="Q703">
        <v>1000</v>
      </c>
      <c r="W703">
        <v>0</v>
      </c>
      <c r="X703">
        <v>-783086922</v>
      </c>
      <c r="Y703">
        <f>(AT703*1)</f>
        <v>1.5E-3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9.84</v>
      </c>
      <c r="AJ703">
        <v>1</v>
      </c>
      <c r="AK703">
        <v>1</v>
      </c>
      <c r="AL703">
        <v>1</v>
      </c>
      <c r="AM703">
        <v>5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1.5E-3</v>
      </c>
      <c r="AU703" t="s">
        <v>48</v>
      </c>
      <c r="AV703">
        <v>0</v>
      </c>
      <c r="AW703">
        <v>2</v>
      </c>
      <c r="AX703">
        <v>55748559</v>
      </c>
      <c r="AY703">
        <v>1</v>
      </c>
      <c r="AZ703">
        <v>0</v>
      </c>
      <c r="BA703">
        <v>738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ROUND(Y703*Source!I274,9)</f>
        <v>1.5E-3</v>
      </c>
      <c r="CY703">
        <f>AA703</f>
        <v>0</v>
      </c>
      <c r="CZ703">
        <f>AE703</f>
        <v>0</v>
      </c>
      <c r="DA703">
        <f>AI703</f>
        <v>9.84</v>
      </c>
      <c r="DB703">
        <f>ROUND((ROUND(AT703*CZ703,2)*1),6)</f>
        <v>0</v>
      </c>
      <c r="DC703">
        <f>ROUND((ROUND(AT703*AG703,2)*1),6)</f>
        <v>0</v>
      </c>
      <c r="DD703" t="s">
        <v>3</v>
      </c>
      <c r="DE703" t="s">
        <v>3</v>
      </c>
      <c r="DF703">
        <f>ROUND(ROUND(AE703*AI703,2)*CX703,2)</f>
        <v>0</v>
      </c>
      <c r="DG703">
        <f t="shared" si="287"/>
        <v>0</v>
      </c>
      <c r="DH703">
        <f t="shared" si="288"/>
        <v>0</v>
      </c>
      <c r="DI703">
        <f t="shared" si="268"/>
        <v>0</v>
      </c>
      <c r="DJ703">
        <f>DF703</f>
        <v>0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ROW(Source!A274)</f>
        <v>274</v>
      </c>
      <c r="B704">
        <v>55747651</v>
      </c>
      <c r="C704">
        <v>55748550</v>
      </c>
      <c r="D704">
        <v>0</v>
      </c>
      <c r="E704">
        <v>0</v>
      </c>
      <c r="F704">
        <v>1</v>
      </c>
      <c r="G704">
        <v>1081</v>
      </c>
      <c r="H704">
        <v>3</v>
      </c>
      <c r="I704" t="s">
        <v>438</v>
      </c>
      <c r="J704" t="s">
        <v>3</v>
      </c>
      <c r="K704" t="s">
        <v>439</v>
      </c>
      <c r="L704">
        <v>1354</v>
      </c>
      <c r="N704">
        <v>1010</v>
      </c>
      <c r="O704" t="s">
        <v>118</v>
      </c>
      <c r="P704" t="s">
        <v>118</v>
      </c>
      <c r="Q704">
        <v>1</v>
      </c>
      <c r="W704">
        <v>0</v>
      </c>
      <c r="X704">
        <v>140475686</v>
      </c>
      <c r="Y704">
        <f>(AT704*1)</f>
        <v>1</v>
      </c>
      <c r="AA704">
        <v>13618.2</v>
      </c>
      <c r="AB704">
        <v>0</v>
      </c>
      <c r="AC704">
        <v>0</v>
      </c>
      <c r="AD704">
        <v>0</v>
      </c>
      <c r="AE704">
        <v>1798.9699999999998</v>
      </c>
      <c r="AF704">
        <v>0</v>
      </c>
      <c r="AG704">
        <v>0</v>
      </c>
      <c r="AH704">
        <v>0</v>
      </c>
      <c r="AI704">
        <v>7.57</v>
      </c>
      <c r="AJ704">
        <v>1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 t="s">
        <v>3</v>
      </c>
      <c r="AT704">
        <v>1</v>
      </c>
      <c r="AU704" t="s">
        <v>48</v>
      </c>
      <c r="AV704">
        <v>0</v>
      </c>
      <c r="AW704">
        <v>1</v>
      </c>
      <c r="AX704">
        <v>-1</v>
      </c>
      <c r="AY704">
        <v>0</v>
      </c>
      <c r="AZ704">
        <v>0</v>
      </c>
      <c r="BA704" t="s">
        <v>3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ROUND(Y704*Source!I274,9)</f>
        <v>1</v>
      </c>
      <c r="CY704">
        <f>AA704</f>
        <v>13618.2</v>
      </c>
      <c r="CZ704">
        <f>AE704</f>
        <v>1798.9699999999998</v>
      </c>
      <c r="DA704">
        <f>AI704</f>
        <v>7.57</v>
      </c>
      <c r="DB704">
        <f>ROUND((ROUND(AT704*CZ704,2)*1),6)</f>
        <v>1798.97</v>
      </c>
      <c r="DC704">
        <f>ROUND((ROUND(AT704*AG704,2)*1),6)</f>
        <v>0</v>
      </c>
      <c r="DD704" t="s">
        <v>3</v>
      </c>
      <c r="DE704" t="s">
        <v>3</v>
      </c>
      <c r="DF704">
        <f>ROUND(ROUND(AE704*AI704,2)*CX704,2)</f>
        <v>13618.2</v>
      </c>
      <c r="DG704">
        <f t="shared" si="287"/>
        <v>0</v>
      </c>
      <c r="DH704">
        <f t="shared" si="288"/>
        <v>0</v>
      </c>
      <c r="DI704">
        <f t="shared" si="268"/>
        <v>0</v>
      </c>
      <c r="DJ704">
        <f>DF704</f>
        <v>13618.2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ROW(Source!A281)</f>
        <v>281</v>
      </c>
      <c r="B705">
        <v>55747649</v>
      </c>
      <c r="C705">
        <v>55748563</v>
      </c>
      <c r="D705">
        <v>54702434</v>
      </c>
      <c r="E705">
        <v>1081</v>
      </c>
      <c r="F705">
        <v>1</v>
      </c>
      <c r="G705">
        <v>1081</v>
      </c>
      <c r="H705">
        <v>1</v>
      </c>
      <c r="I705" t="s">
        <v>473</v>
      </c>
      <c r="J705" t="s">
        <v>3</v>
      </c>
      <c r="K705" t="s">
        <v>474</v>
      </c>
      <c r="L705">
        <v>1191</v>
      </c>
      <c r="N705">
        <v>1013</v>
      </c>
      <c r="O705" t="s">
        <v>475</v>
      </c>
      <c r="P705" t="s">
        <v>475</v>
      </c>
      <c r="Q705">
        <v>1</v>
      </c>
      <c r="W705">
        <v>0</v>
      </c>
      <c r="X705">
        <v>476480486</v>
      </c>
      <c r="Y705">
        <f>((AT705*1.2)*1.15)</f>
        <v>7.3277999999999981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5.31</v>
      </c>
      <c r="AU705" t="s">
        <v>40</v>
      </c>
      <c r="AV705">
        <v>1</v>
      </c>
      <c r="AW705">
        <v>2</v>
      </c>
      <c r="AX705">
        <v>57263939</v>
      </c>
      <c r="AY705">
        <v>1</v>
      </c>
      <c r="AZ705">
        <v>0</v>
      </c>
      <c r="BA705">
        <v>739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U705">
        <f>ROUND(AT705*Source!I281*AH705*AL705,2)</f>
        <v>0</v>
      </c>
      <c r="CV705">
        <f>ROUND(Y705*Source!I281,9)</f>
        <v>46.839297600000002</v>
      </c>
      <c r="CW705">
        <v>0</v>
      </c>
      <c r="CX705">
        <f>ROUND(Y705*Source!I281,9)</f>
        <v>46.839297600000002</v>
      </c>
      <c r="CY705">
        <f>AD705</f>
        <v>0</v>
      </c>
      <c r="CZ705">
        <f>AH705</f>
        <v>0</v>
      </c>
      <c r="DA705">
        <f>AL705</f>
        <v>1</v>
      </c>
      <c r="DB705">
        <f>ROUND(((ROUND(AT705*CZ705,2)*1.2)*1.15),6)</f>
        <v>0</v>
      </c>
      <c r="DC705">
        <f>ROUND(((ROUND(AT705*AG705,2)*1.2)*1.15),6)</f>
        <v>0</v>
      </c>
      <c r="DD705" t="s">
        <v>3</v>
      </c>
      <c r="DE705" t="s">
        <v>3</v>
      </c>
      <c r="DF705">
        <f t="shared" ref="DF705:DF716" si="289">ROUND(ROUND(AE705,2)*CX705,2)</f>
        <v>0</v>
      </c>
      <c r="DG705">
        <f t="shared" si="287"/>
        <v>0</v>
      </c>
      <c r="DH705">
        <f t="shared" si="288"/>
        <v>0</v>
      </c>
      <c r="DI705">
        <f t="shared" ref="DI705:DI728" si="290">ROUND(ROUND(AH705,2)*CX705,2)</f>
        <v>0</v>
      </c>
      <c r="DJ705">
        <f>DI705</f>
        <v>0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ROW(Source!A281)</f>
        <v>281</v>
      </c>
      <c r="B706">
        <v>55747649</v>
      </c>
      <c r="C706">
        <v>55748563</v>
      </c>
      <c r="D706">
        <v>54767939</v>
      </c>
      <c r="E706">
        <v>1</v>
      </c>
      <c r="F706">
        <v>1</v>
      </c>
      <c r="G706">
        <v>1081</v>
      </c>
      <c r="H706">
        <v>2</v>
      </c>
      <c r="I706" t="s">
        <v>604</v>
      </c>
      <c r="J706" t="s">
        <v>605</v>
      </c>
      <c r="K706" t="s">
        <v>606</v>
      </c>
      <c r="L706">
        <v>1368</v>
      </c>
      <c r="N706">
        <v>1011</v>
      </c>
      <c r="O706" t="s">
        <v>479</v>
      </c>
      <c r="P706" t="s">
        <v>479</v>
      </c>
      <c r="Q706">
        <v>1</v>
      </c>
      <c r="W706">
        <v>0</v>
      </c>
      <c r="X706">
        <v>1878265227</v>
      </c>
      <c r="Y706">
        <f>((AT706*1.2)*1.25)</f>
        <v>1.6800000000000002</v>
      </c>
      <c r="AA706">
        <v>0</v>
      </c>
      <c r="AB706">
        <v>10.89</v>
      </c>
      <c r="AC706">
        <v>0</v>
      </c>
      <c r="AD706">
        <v>0</v>
      </c>
      <c r="AE706">
        <v>0</v>
      </c>
      <c r="AF706">
        <v>10.4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1.1200000000000001</v>
      </c>
      <c r="AU706" t="s">
        <v>39</v>
      </c>
      <c r="AV706">
        <v>0</v>
      </c>
      <c r="AW706">
        <v>2</v>
      </c>
      <c r="AX706">
        <v>57263940</v>
      </c>
      <c r="AY706">
        <v>1</v>
      </c>
      <c r="AZ706">
        <v>0</v>
      </c>
      <c r="BA706">
        <v>740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f>ROUND(Y706*Source!I281*DO706,9)</f>
        <v>0</v>
      </c>
      <c r="CX706">
        <f>ROUND(Y706*Source!I281,9)</f>
        <v>10.73856</v>
      </c>
      <c r="CY706">
        <f>AB706</f>
        <v>10.89</v>
      </c>
      <c r="CZ706">
        <f>AF706</f>
        <v>10.4</v>
      </c>
      <c r="DA706">
        <f>AJ706</f>
        <v>1</v>
      </c>
      <c r="DB706">
        <f>ROUND(((ROUND(AT706*CZ706,2)*1.2)*1.25),6)</f>
        <v>17.475000000000001</v>
      </c>
      <c r="DC706">
        <f>ROUND(((ROUND(AT706*AG706,2)*1.2)*1.25),6)</f>
        <v>0</v>
      </c>
      <c r="DD706" t="s">
        <v>3</v>
      </c>
      <c r="DE706" t="s">
        <v>3</v>
      </c>
      <c r="DF706">
        <f t="shared" si="289"/>
        <v>0</v>
      </c>
      <c r="DG706">
        <f t="shared" si="287"/>
        <v>111.68</v>
      </c>
      <c r="DH706">
        <f t="shared" si="288"/>
        <v>0</v>
      </c>
      <c r="DI706">
        <f t="shared" si="290"/>
        <v>0</v>
      </c>
      <c r="DJ706">
        <f>DG706</f>
        <v>111.68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">
      <c r="A707">
        <f>ROW(Source!A281)</f>
        <v>281</v>
      </c>
      <c r="B707">
        <v>55747649</v>
      </c>
      <c r="C707">
        <v>55748563</v>
      </c>
      <c r="D707">
        <v>54768339</v>
      </c>
      <c r="E707">
        <v>1</v>
      </c>
      <c r="F707">
        <v>1</v>
      </c>
      <c r="G707">
        <v>1081</v>
      </c>
      <c r="H707">
        <v>2</v>
      </c>
      <c r="I707" t="s">
        <v>483</v>
      </c>
      <c r="J707" t="s">
        <v>484</v>
      </c>
      <c r="K707" t="s">
        <v>485</v>
      </c>
      <c r="L707">
        <v>1368</v>
      </c>
      <c r="N707">
        <v>1011</v>
      </c>
      <c r="O707" t="s">
        <v>479</v>
      </c>
      <c r="P707" t="s">
        <v>479</v>
      </c>
      <c r="Q707">
        <v>1</v>
      </c>
      <c r="W707">
        <v>0</v>
      </c>
      <c r="X707">
        <v>874612079</v>
      </c>
      <c r="Y707">
        <f>((AT707*1.2)*1.25)</f>
        <v>1.4999999999999999E-2</v>
      </c>
      <c r="AA707">
        <v>0</v>
      </c>
      <c r="AB707">
        <v>87.01</v>
      </c>
      <c r="AC707">
        <v>13.21</v>
      </c>
      <c r="AD707">
        <v>0</v>
      </c>
      <c r="AE707">
        <v>0</v>
      </c>
      <c r="AF707">
        <v>83.1</v>
      </c>
      <c r="AG707">
        <v>12.62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0.01</v>
      </c>
      <c r="AU707" t="s">
        <v>39</v>
      </c>
      <c r="AV707">
        <v>0</v>
      </c>
      <c r="AW707">
        <v>2</v>
      </c>
      <c r="AX707">
        <v>57263941</v>
      </c>
      <c r="AY707">
        <v>1</v>
      </c>
      <c r="AZ707">
        <v>0</v>
      </c>
      <c r="BA707">
        <v>741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f>ROUND(Y707*Source!I281*DO707,9)</f>
        <v>1.2100055999999999</v>
      </c>
      <c r="CX707">
        <f>ROUND(Y707*Source!I281,9)</f>
        <v>9.5880000000000007E-2</v>
      </c>
      <c r="CY707">
        <f>AB707</f>
        <v>87.01</v>
      </c>
      <c r="CZ707">
        <f>AF707</f>
        <v>83.1</v>
      </c>
      <c r="DA707">
        <f>AJ707</f>
        <v>1</v>
      </c>
      <c r="DB707">
        <f>ROUND(((ROUND(AT707*CZ707,2)*1.2)*1.25),6)</f>
        <v>1.2450000000000001</v>
      </c>
      <c r="DC707">
        <f>ROUND(((ROUND(AT707*AG707,2)*1.2)*1.25),6)</f>
        <v>0.19500000000000001</v>
      </c>
      <c r="DD707" t="s">
        <v>3</v>
      </c>
      <c r="DE707" t="s">
        <v>3</v>
      </c>
      <c r="DF707">
        <f t="shared" si="289"/>
        <v>0</v>
      </c>
      <c r="DG707">
        <f t="shared" si="287"/>
        <v>7.97</v>
      </c>
      <c r="DH707">
        <f t="shared" si="288"/>
        <v>1.21</v>
      </c>
      <c r="DI707">
        <f t="shared" si="290"/>
        <v>0</v>
      </c>
      <c r="DJ707">
        <f>DG707</f>
        <v>7.97</v>
      </c>
      <c r="DK707">
        <v>0</v>
      </c>
      <c r="DL707" t="s">
        <v>486</v>
      </c>
      <c r="DM707">
        <v>0</v>
      </c>
      <c r="DN707" t="s">
        <v>475</v>
      </c>
      <c r="DO707">
        <v>12.62</v>
      </c>
    </row>
    <row r="708" spans="1:119" x14ac:dyDescent="0.2">
      <c r="A708">
        <f>ROW(Source!A281)</f>
        <v>281</v>
      </c>
      <c r="B708">
        <v>55747649</v>
      </c>
      <c r="C708">
        <v>55748563</v>
      </c>
      <c r="D708">
        <v>54767643</v>
      </c>
      <c r="E708">
        <v>1</v>
      </c>
      <c r="F708">
        <v>1</v>
      </c>
      <c r="G708">
        <v>1081</v>
      </c>
      <c r="H708">
        <v>2</v>
      </c>
      <c r="I708" t="s">
        <v>607</v>
      </c>
      <c r="J708" t="s">
        <v>608</v>
      </c>
      <c r="K708" t="s">
        <v>609</v>
      </c>
      <c r="L708">
        <v>1368</v>
      </c>
      <c r="N708">
        <v>1011</v>
      </c>
      <c r="O708" t="s">
        <v>479</v>
      </c>
      <c r="P708" t="s">
        <v>479</v>
      </c>
      <c r="Q708">
        <v>1</v>
      </c>
      <c r="W708">
        <v>0</v>
      </c>
      <c r="X708">
        <v>-1520980008</v>
      </c>
      <c r="Y708">
        <f>((AT708*1.2)*1.25)</f>
        <v>1.4999999999999999E-2</v>
      </c>
      <c r="AA708">
        <v>0</v>
      </c>
      <c r="AB708">
        <v>120.23</v>
      </c>
      <c r="AC708">
        <v>13.21</v>
      </c>
      <c r="AD708">
        <v>0</v>
      </c>
      <c r="AE708">
        <v>0</v>
      </c>
      <c r="AF708">
        <v>114.83</v>
      </c>
      <c r="AG708">
        <v>12.62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0.01</v>
      </c>
      <c r="AU708" t="s">
        <v>39</v>
      </c>
      <c r="AV708">
        <v>0</v>
      </c>
      <c r="AW708">
        <v>2</v>
      </c>
      <c r="AX708">
        <v>57263942</v>
      </c>
      <c r="AY708">
        <v>1</v>
      </c>
      <c r="AZ708">
        <v>0</v>
      </c>
      <c r="BA708">
        <v>742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f>ROUND(Y708*Source!I281*DO708,9)</f>
        <v>1.2100055999999999</v>
      </c>
      <c r="CX708">
        <f>ROUND(Y708*Source!I281,9)</f>
        <v>9.5880000000000007E-2</v>
      </c>
      <c r="CY708">
        <f>AB708</f>
        <v>120.23</v>
      </c>
      <c r="CZ708">
        <f>AF708</f>
        <v>114.83</v>
      </c>
      <c r="DA708">
        <f>AJ708</f>
        <v>1</v>
      </c>
      <c r="DB708">
        <f>ROUND(((ROUND(AT708*CZ708,2)*1.2)*1.25),6)</f>
        <v>1.7250000000000001</v>
      </c>
      <c r="DC708">
        <f>ROUND(((ROUND(AT708*AG708,2)*1.2)*1.25),6)</f>
        <v>0.19500000000000001</v>
      </c>
      <c r="DD708" t="s">
        <v>3</v>
      </c>
      <c r="DE708" t="s">
        <v>3</v>
      </c>
      <c r="DF708">
        <f t="shared" si="289"/>
        <v>0</v>
      </c>
      <c r="DG708">
        <f t="shared" si="287"/>
        <v>11.01</v>
      </c>
      <c r="DH708">
        <f t="shared" si="288"/>
        <v>1.21</v>
      </c>
      <c r="DI708">
        <f t="shared" si="290"/>
        <v>0</v>
      </c>
      <c r="DJ708">
        <f>DG708</f>
        <v>11.01</v>
      </c>
      <c r="DK708">
        <v>0</v>
      </c>
      <c r="DL708" t="s">
        <v>486</v>
      </c>
      <c r="DM708">
        <v>0</v>
      </c>
      <c r="DN708" t="s">
        <v>475</v>
      </c>
      <c r="DO708">
        <v>12.62</v>
      </c>
    </row>
    <row r="709" spans="1:119" x14ac:dyDescent="0.2">
      <c r="A709">
        <f>ROW(Source!A281)</f>
        <v>281</v>
      </c>
      <c r="B709">
        <v>55747649</v>
      </c>
      <c r="C709">
        <v>55748563</v>
      </c>
      <c r="D709">
        <v>54767655</v>
      </c>
      <c r="E709">
        <v>1</v>
      </c>
      <c r="F709">
        <v>1</v>
      </c>
      <c r="G709">
        <v>1081</v>
      </c>
      <c r="H709">
        <v>2</v>
      </c>
      <c r="I709" t="s">
        <v>610</v>
      </c>
      <c r="J709" t="s">
        <v>611</v>
      </c>
      <c r="K709" t="s">
        <v>612</v>
      </c>
      <c r="L709">
        <v>1368</v>
      </c>
      <c r="N709">
        <v>1011</v>
      </c>
      <c r="O709" t="s">
        <v>479</v>
      </c>
      <c r="P709" t="s">
        <v>479</v>
      </c>
      <c r="Q709">
        <v>1</v>
      </c>
      <c r="W709">
        <v>0</v>
      </c>
      <c r="X709">
        <v>444068027</v>
      </c>
      <c r="Y709">
        <f>((AT709*1.2)*1.25)</f>
        <v>1.4999999999999999E-2</v>
      </c>
      <c r="AA709">
        <v>0</v>
      </c>
      <c r="AB709">
        <v>0.81</v>
      </c>
      <c r="AC709">
        <v>0</v>
      </c>
      <c r="AD709">
        <v>0</v>
      </c>
      <c r="AE709">
        <v>0</v>
      </c>
      <c r="AF709">
        <v>0.77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-2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0.01</v>
      </c>
      <c r="AU709" t="s">
        <v>39</v>
      </c>
      <c r="AV709">
        <v>0</v>
      </c>
      <c r="AW709">
        <v>2</v>
      </c>
      <c r="AX709">
        <v>57263943</v>
      </c>
      <c r="AY709">
        <v>1</v>
      </c>
      <c r="AZ709">
        <v>0</v>
      </c>
      <c r="BA709">
        <v>743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f>ROUND(Y709*Source!I281*DO709,9)</f>
        <v>0</v>
      </c>
      <c r="CX709">
        <f>ROUND(Y709*Source!I281,9)</f>
        <v>9.5880000000000007E-2</v>
      </c>
      <c r="CY709">
        <f>AB709</f>
        <v>0.81</v>
      </c>
      <c r="CZ709">
        <f>AF709</f>
        <v>0.77</v>
      </c>
      <c r="DA709">
        <f>AJ709</f>
        <v>1</v>
      </c>
      <c r="DB709">
        <f>ROUND(((ROUND(AT709*CZ709,2)*1.2)*1.25),6)</f>
        <v>1.4999999999999999E-2</v>
      </c>
      <c r="DC709">
        <f>ROUND(((ROUND(AT709*AG709,2)*1.2)*1.25),6)</f>
        <v>0</v>
      </c>
      <c r="DD709" t="s">
        <v>3</v>
      </c>
      <c r="DE709" t="s">
        <v>3</v>
      </c>
      <c r="DF709">
        <f t="shared" si="289"/>
        <v>0</v>
      </c>
      <c r="DG709">
        <f t="shared" si="287"/>
        <v>7.0000000000000007E-2</v>
      </c>
      <c r="DH709">
        <f t="shared" si="288"/>
        <v>0</v>
      </c>
      <c r="DI709">
        <f t="shared" si="290"/>
        <v>0</v>
      </c>
      <c r="DJ709">
        <f>DG709</f>
        <v>7.0000000000000007E-2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ROW(Source!A281)</f>
        <v>281</v>
      </c>
      <c r="B710">
        <v>55747649</v>
      </c>
      <c r="C710">
        <v>55748563</v>
      </c>
      <c r="D710">
        <v>54737410</v>
      </c>
      <c r="E710">
        <v>1</v>
      </c>
      <c r="F710">
        <v>1</v>
      </c>
      <c r="G710">
        <v>1081</v>
      </c>
      <c r="H710">
        <v>3</v>
      </c>
      <c r="I710" t="s">
        <v>280</v>
      </c>
      <c r="J710" t="s">
        <v>283</v>
      </c>
      <c r="K710" t="s">
        <v>281</v>
      </c>
      <c r="L710">
        <v>1348</v>
      </c>
      <c r="N710">
        <v>1009</v>
      </c>
      <c r="O710" t="s">
        <v>282</v>
      </c>
      <c r="P710" t="s">
        <v>282</v>
      </c>
      <c r="Q710">
        <v>1000</v>
      </c>
      <c r="W710">
        <v>0</v>
      </c>
      <c r="X710">
        <v>650902129</v>
      </c>
      <c r="Y710">
        <f>((AT710*1)*1)</f>
        <v>8.9999999999999993E-3</v>
      </c>
      <c r="AA710">
        <v>18653.07</v>
      </c>
      <c r="AB710">
        <v>0</v>
      </c>
      <c r="AC710">
        <v>0</v>
      </c>
      <c r="AD710">
        <v>0</v>
      </c>
      <c r="AE710">
        <v>18653.07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 t="s">
        <v>3</v>
      </c>
      <c r="AT710">
        <v>8.9999999999999993E-3</v>
      </c>
      <c r="AU710" t="s">
        <v>38</v>
      </c>
      <c r="AV710">
        <v>0</v>
      </c>
      <c r="AW710">
        <v>1</v>
      </c>
      <c r="AX710">
        <v>-1</v>
      </c>
      <c r="AY710">
        <v>0</v>
      </c>
      <c r="AZ710">
        <v>0</v>
      </c>
      <c r="BA710" t="s">
        <v>3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ROUND(Y710*Source!I281,9)</f>
        <v>5.7528000000000003E-2</v>
      </c>
      <c r="CY710">
        <f>AA710</f>
        <v>18653.07</v>
      </c>
      <c r="CZ710">
        <f>AE710</f>
        <v>18653.07</v>
      </c>
      <c r="DA710">
        <f>AI710</f>
        <v>1</v>
      </c>
      <c r="DB710">
        <f>ROUND(((ROUND(AT710*CZ710,2)*1)*1),6)</f>
        <v>167.88</v>
      </c>
      <c r="DC710">
        <f>ROUND(((ROUND(AT710*AG710,2)*1)*1),6)</f>
        <v>0</v>
      </c>
      <c r="DD710" t="s">
        <v>3</v>
      </c>
      <c r="DE710" t="s">
        <v>3</v>
      </c>
      <c r="DF710">
        <f t="shared" si="289"/>
        <v>1073.07</v>
      </c>
      <c r="DG710">
        <f t="shared" si="287"/>
        <v>0</v>
      </c>
      <c r="DH710">
        <f t="shared" si="288"/>
        <v>0</v>
      </c>
      <c r="DI710">
        <f t="shared" si="290"/>
        <v>0</v>
      </c>
      <c r="DJ710">
        <f>DF710</f>
        <v>1073.07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ROW(Source!A281)</f>
        <v>281</v>
      </c>
      <c r="B711">
        <v>55747649</v>
      </c>
      <c r="C711">
        <v>55748563</v>
      </c>
      <c r="D711">
        <v>54737642</v>
      </c>
      <c r="E711">
        <v>1</v>
      </c>
      <c r="F711">
        <v>1</v>
      </c>
      <c r="G711">
        <v>1081</v>
      </c>
      <c r="H711">
        <v>3</v>
      </c>
      <c r="I711" t="s">
        <v>613</v>
      </c>
      <c r="J711" t="s">
        <v>614</v>
      </c>
      <c r="K711" t="s">
        <v>615</v>
      </c>
      <c r="L711">
        <v>1348</v>
      </c>
      <c r="N711">
        <v>1009</v>
      </c>
      <c r="O711" t="s">
        <v>282</v>
      </c>
      <c r="P711" t="s">
        <v>282</v>
      </c>
      <c r="Q711">
        <v>1000</v>
      </c>
      <c r="W711">
        <v>0</v>
      </c>
      <c r="X711">
        <v>1089536089</v>
      </c>
      <c r="Y711">
        <f>((AT711*1)*1)</f>
        <v>1.5E-3</v>
      </c>
      <c r="AA711">
        <v>6290.61</v>
      </c>
      <c r="AB711">
        <v>0</v>
      </c>
      <c r="AC711">
        <v>0</v>
      </c>
      <c r="AD711">
        <v>0</v>
      </c>
      <c r="AE711">
        <v>6290.61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-2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1.5E-3</v>
      </c>
      <c r="AU711" t="s">
        <v>38</v>
      </c>
      <c r="AV711">
        <v>0</v>
      </c>
      <c r="AW711">
        <v>2</v>
      </c>
      <c r="AX711">
        <v>57263944</v>
      </c>
      <c r="AY711">
        <v>1</v>
      </c>
      <c r="AZ711">
        <v>0</v>
      </c>
      <c r="BA711">
        <v>744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v>0</v>
      </c>
      <c r="CX711">
        <f>ROUND(Y711*Source!I281,9)</f>
        <v>9.5879999999999993E-3</v>
      </c>
      <c r="CY711">
        <f>AA711</f>
        <v>6290.61</v>
      </c>
      <c r="CZ711">
        <f>AE711</f>
        <v>6290.61</v>
      </c>
      <c r="DA711">
        <f>AI711</f>
        <v>1</v>
      </c>
      <c r="DB711">
        <f>ROUND(((ROUND(AT711*CZ711,2)*1)*1),6)</f>
        <v>9.44</v>
      </c>
      <c r="DC711">
        <f>ROUND(((ROUND(AT711*AG711,2)*1)*1),6)</f>
        <v>0</v>
      </c>
      <c r="DD711" t="s">
        <v>3</v>
      </c>
      <c r="DE711" t="s">
        <v>3</v>
      </c>
      <c r="DF711">
        <f t="shared" si="289"/>
        <v>60.31</v>
      </c>
      <c r="DG711">
        <f t="shared" si="287"/>
        <v>0</v>
      </c>
      <c r="DH711">
        <f t="shared" si="288"/>
        <v>0</v>
      </c>
      <c r="DI711">
        <f t="shared" si="290"/>
        <v>0</v>
      </c>
      <c r="DJ711">
        <f>DF711</f>
        <v>60.31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">
      <c r="A712">
        <f>ROW(Source!A282)</f>
        <v>282</v>
      </c>
      <c r="B712">
        <v>55747651</v>
      </c>
      <c r="C712">
        <v>55748563</v>
      </c>
      <c r="D712">
        <v>54702434</v>
      </c>
      <c r="E712">
        <v>1081</v>
      </c>
      <c r="F712">
        <v>1</v>
      </c>
      <c r="G712">
        <v>1081</v>
      </c>
      <c r="H712">
        <v>1</v>
      </c>
      <c r="I712" t="s">
        <v>473</v>
      </c>
      <c r="J712" t="s">
        <v>3</v>
      </c>
      <c r="K712" t="s">
        <v>474</v>
      </c>
      <c r="L712">
        <v>1191</v>
      </c>
      <c r="N712">
        <v>1013</v>
      </c>
      <c r="O712" t="s">
        <v>475</v>
      </c>
      <c r="P712" t="s">
        <v>475</v>
      </c>
      <c r="Q712">
        <v>1</v>
      </c>
      <c r="W712">
        <v>0</v>
      </c>
      <c r="X712">
        <v>476480486</v>
      </c>
      <c r="Y712">
        <f>((AT712*1.2)*1.15)</f>
        <v>7.3277999999999981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1</v>
      </c>
      <c r="AL712">
        <v>1</v>
      </c>
      <c r="AM712">
        <v>5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5.31</v>
      </c>
      <c r="AU712" t="s">
        <v>40</v>
      </c>
      <c r="AV712">
        <v>1</v>
      </c>
      <c r="AW712">
        <v>2</v>
      </c>
      <c r="AX712">
        <v>57263939</v>
      </c>
      <c r="AY712">
        <v>1</v>
      </c>
      <c r="AZ712">
        <v>0</v>
      </c>
      <c r="BA712">
        <v>746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U712">
        <f>ROUND(AT712*Source!I282*AH712*AL712,2)</f>
        <v>0</v>
      </c>
      <c r="CV712">
        <f>ROUND(Y712*Source!I282,9)</f>
        <v>46.839297600000002</v>
      </c>
      <c r="CW712">
        <v>0</v>
      </c>
      <c r="CX712">
        <f>ROUND(Y712*Source!I282,9)</f>
        <v>46.839297600000002</v>
      </c>
      <c r="CY712">
        <f>AD712</f>
        <v>0</v>
      </c>
      <c r="CZ712">
        <f>AH712</f>
        <v>0</v>
      </c>
      <c r="DA712">
        <f>AL712</f>
        <v>1</v>
      </c>
      <c r="DB712">
        <f>ROUND(((ROUND(AT712*CZ712,2)*1.2)*1.15),6)</f>
        <v>0</v>
      </c>
      <c r="DC712">
        <f>ROUND(((ROUND(AT712*AG712,2)*1.2)*1.15),6)</f>
        <v>0</v>
      </c>
      <c r="DD712" t="s">
        <v>3</v>
      </c>
      <c r="DE712" t="s">
        <v>3</v>
      </c>
      <c r="DF712">
        <f t="shared" si="289"/>
        <v>0</v>
      </c>
      <c r="DG712">
        <f t="shared" si="287"/>
        <v>0</v>
      </c>
      <c r="DH712">
        <f t="shared" si="288"/>
        <v>0</v>
      </c>
      <c r="DI712">
        <f t="shared" si="290"/>
        <v>0</v>
      </c>
      <c r="DJ712">
        <f>DI712</f>
        <v>0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">
      <c r="A713">
        <f>ROW(Source!A282)</f>
        <v>282</v>
      </c>
      <c r="B713">
        <v>55747651</v>
      </c>
      <c r="C713">
        <v>55748563</v>
      </c>
      <c r="D713">
        <v>54767939</v>
      </c>
      <c r="E713">
        <v>1</v>
      </c>
      <c r="F713">
        <v>1</v>
      </c>
      <c r="G713">
        <v>1081</v>
      </c>
      <c r="H713">
        <v>2</v>
      </c>
      <c r="I713" t="s">
        <v>604</v>
      </c>
      <c r="J713" t="s">
        <v>605</v>
      </c>
      <c r="K713" t="s">
        <v>606</v>
      </c>
      <c r="L713">
        <v>1368</v>
      </c>
      <c r="N713">
        <v>1011</v>
      </c>
      <c r="O713" t="s">
        <v>479</v>
      </c>
      <c r="P713" t="s">
        <v>479</v>
      </c>
      <c r="Q713">
        <v>1</v>
      </c>
      <c r="W713">
        <v>0</v>
      </c>
      <c r="X713">
        <v>1878265227</v>
      </c>
      <c r="Y713">
        <f>((AT713*1.2)*1.25)</f>
        <v>1.6800000000000002</v>
      </c>
      <c r="AA713">
        <v>0</v>
      </c>
      <c r="AB713">
        <v>120.54</v>
      </c>
      <c r="AC713">
        <v>0</v>
      </c>
      <c r="AD713">
        <v>0</v>
      </c>
      <c r="AE713">
        <v>0</v>
      </c>
      <c r="AF713">
        <v>10.4</v>
      </c>
      <c r="AG713">
        <v>0</v>
      </c>
      <c r="AH713">
        <v>0</v>
      </c>
      <c r="AI713">
        <v>1</v>
      </c>
      <c r="AJ713">
        <v>11.07</v>
      </c>
      <c r="AK713">
        <v>1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1.1200000000000001</v>
      </c>
      <c r="AU713" t="s">
        <v>39</v>
      </c>
      <c r="AV713">
        <v>0</v>
      </c>
      <c r="AW713">
        <v>2</v>
      </c>
      <c r="AX713">
        <v>57263940</v>
      </c>
      <c r="AY713">
        <v>1</v>
      </c>
      <c r="AZ713">
        <v>0</v>
      </c>
      <c r="BA713">
        <v>747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f>ROUND(Y713*Source!I282*DO713,9)</f>
        <v>0</v>
      </c>
      <c r="CX713">
        <f>ROUND(Y713*Source!I282,9)</f>
        <v>10.73856</v>
      </c>
      <c r="CY713">
        <f>AB713</f>
        <v>120.54</v>
      </c>
      <c r="CZ713">
        <f>AF713</f>
        <v>10.4</v>
      </c>
      <c r="DA713">
        <f>AJ713</f>
        <v>11.07</v>
      </c>
      <c r="DB713">
        <f>ROUND(((ROUND(AT713*CZ713,2)*1.2)*1.25),6)</f>
        <v>17.475000000000001</v>
      </c>
      <c r="DC713">
        <f>ROUND(((ROUND(AT713*AG713,2)*1.2)*1.25),6)</f>
        <v>0</v>
      </c>
      <c r="DD713" t="s">
        <v>3</v>
      </c>
      <c r="DE713" t="s">
        <v>3</v>
      </c>
      <c r="DF713">
        <f t="shared" si="289"/>
        <v>0</v>
      </c>
      <c r="DG713">
        <f>ROUND(ROUND(AF713*AJ713,2)*CX713,2)</f>
        <v>1236.33</v>
      </c>
      <c r="DH713">
        <f t="shared" si="288"/>
        <v>0</v>
      </c>
      <c r="DI713">
        <f t="shared" si="290"/>
        <v>0</v>
      </c>
      <c r="DJ713">
        <f>DG713</f>
        <v>1236.33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">
      <c r="A714">
        <f>ROW(Source!A282)</f>
        <v>282</v>
      </c>
      <c r="B714">
        <v>55747651</v>
      </c>
      <c r="C714">
        <v>55748563</v>
      </c>
      <c r="D714">
        <v>54768339</v>
      </c>
      <c r="E714">
        <v>1</v>
      </c>
      <c r="F714">
        <v>1</v>
      </c>
      <c r="G714">
        <v>1081</v>
      </c>
      <c r="H714">
        <v>2</v>
      </c>
      <c r="I714" t="s">
        <v>483</v>
      </c>
      <c r="J714" t="s">
        <v>484</v>
      </c>
      <c r="K714" t="s">
        <v>485</v>
      </c>
      <c r="L714">
        <v>1368</v>
      </c>
      <c r="N714">
        <v>1011</v>
      </c>
      <c r="O714" t="s">
        <v>479</v>
      </c>
      <c r="P714" t="s">
        <v>479</v>
      </c>
      <c r="Q714">
        <v>1</v>
      </c>
      <c r="W714">
        <v>0</v>
      </c>
      <c r="X714">
        <v>874612079</v>
      </c>
      <c r="Y714">
        <f>((AT714*1.2)*1.25)</f>
        <v>1.4999999999999999E-2</v>
      </c>
      <c r="AA714">
        <v>0</v>
      </c>
      <c r="AB714">
        <v>1485.19</v>
      </c>
      <c r="AC714">
        <v>744.56</v>
      </c>
      <c r="AD714">
        <v>0</v>
      </c>
      <c r="AE714">
        <v>0</v>
      </c>
      <c r="AF714">
        <v>83.1</v>
      </c>
      <c r="AG714">
        <v>12.62</v>
      </c>
      <c r="AH714">
        <v>0</v>
      </c>
      <c r="AI714">
        <v>1</v>
      </c>
      <c r="AJ714">
        <v>17.07</v>
      </c>
      <c r="AK714">
        <v>56.35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0.01</v>
      </c>
      <c r="AU714" t="s">
        <v>39</v>
      </c>
      <c r="AV714">
        <v>0</v>
      </c>
      <c r="AW714">
        <v>2</v>
      </c>
      <c r="AX714">
        <v>57263941</v>
      </c>
      <c r="AY714">
        <v>1</v>
      </c>
      <c r="AZ714">
        <v>0</v>
      </c>
      <c r="BA714">
        <v>748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f>ROUND(Y714*Source!I282*DO714,9)</f>
        <v>1.2100055999999999</v>
      </c>
      <c r="CX714">
        <f>ROUND(Y714*Source!I282,9)</f>
        <v>9.5880000000000007E-2</v>
      </c>
      <c r="CY714">
        <f>AB714</f>
        <v>1485.19</v>
      </c>
      <c r="CZ714">
        <f>AF714</f>
        <v>83.1</v>
      </c>
      <c r="DA714">
        <f>AJ714</f>
        <v>17.07</v>
      </c>
      <c r="DB714">
        <f>ROUND(((ROUND(AT714*CZ714,2)*1.2)*1.25),6)</f>
        <v>1.2450000000000001</v>
      </c>
      <c r="DC714">
        <f>ROUND(((ROUND(AT714*AG714,2)*1.2)*1.25),6)</f>
        <v>0.19500000000000001</v>
      </c>
      <c r="DD714" t="s">
        <v>3</v>
      </c>
      <c r="DE714" t="s">
        <v>3</v>
      </c>
      <c r="DF714">
        <f t="shared" si="289"/>
        <v>0</v>
      </c>
      <c r="DG714">
        <f>ROUND(ROUND(AF714*AJ714,2)*CX714,2)</f>
        <v>136.01</v>
      </c>
      <c r="DH714">
        <f>ROUND(ROUND(AG714*AK714,2)*CX714,2)</f>
        <v>68.180000000000007</v>
      </c>
      <c r="DI714">
        <f t="shared" si="290"/>
        <v>0</v>
      </c>
      <c r="DJ714">
        <f>DG714</f>
        <v>136.01</v>
      </c>
      <c r="DK714">
        <v>0</v>
      </c>
      <c r="DL714" t="s">
        <v>486</v>
      </c>
      <c r="DM714">
        <v>0</v>
      </c>
      <c r="DN714" t="s">
        <v>475</v>
      </c>
      <c r="DO714">
        <v>12.62</v>
      </c>
    </row>
    <row r="715" spans="1:119" x14ac:dyDescent="0.2">
      <c r="A715">
        <f>ROW(Source!A282)</f>
        <v>282</v>
      </c>
      <c r="B715">
        <v>55747651</v>
      </c>
      <c r="C715">
        <v>55748563</v>
      </c>
      <c r="D715">
        <v>54767643</v>
      </c>
      <c r="E715">
        <v>1</v>
      </c>
      <c r="F715">
        <v>1</v>
      </c>
      <c r="G715">
        <v>1081</v>
      </c>
      <c r="H715">
        <v>2</v>
      </c>
      <c r="I715" t="s">
        <v>607</v>
      </c>
      <c r="J715" t="s">
        <v>608</v>
      </c>
      <c r="K715" t="s">
        <v>609</v>
      </c>
      <c r="L715">
        <v>1368</v>
      </c>
      <c r="N715">
        <v>1011</v>
      </c>
      <c r="O715" t="s">
        <v>479</v>
      </c>
      <c r="P715" t="s">
        <v>479</v>
      </c>
      <c r="Q715">
        <v>1</v>
      </c>
      <c r="W715">
        <v>0</v>
      </c>
      <c r="X715">
        <v>-1520980008</v>
      </c>
      <c r="Y715">
        <f>((AT715*1.2)*1.25)</f>
        <v>1.4999999999999999E-2</v>
      </c>
      <c r="AA715">
        <v>0</v>
      </c>
      <c r="AB715">
        <v>1942.87</v>
      </c>
      <c r="AC715">
        <v>744.56</v>
      </c>
      <c r="AD715">
        <v>0</v>
      </c>
      <c r="AE715">
        <v>0</v>
      </c>
      <c r="AF715">
        <v>114.83</v>
      </c>
      <c r="AG715">
        <v>12.62</v>
      </c>
      <c r="AH715">
        <v>0</v>
      </c>
      <c r="AI715">
        <v>1</v>
      </c>
      <c r="AJ715">
        <v>16.16</v>
      </c>
      <c r="AK715">
        <v>56.35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0.01</v>
      </c>
      <c r="AU715" t="s">
        <v>39</v>
      </c>
      <c r="AV715">
        <v>0</v>
      </c>
      <c r="AW715">
        <v>2</v>
      </c>
      <c r="AX715">
        <v>57263942</v>
      </c>
      <c r="AY715">
        <v>1</v>
      </c>
      <c r="AZ715">
        <v>0</v>
      </c>
      <c r="BA715">
        <v>749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f>ROUND(Y715*Source!I282*DO715,9)</f>
        <v>1.2100055999999999</v>
      </c>
      <c r="CX715">
        <f>ROUND(Y715*Source!I282,9)</f>
        <v>9.5880000000000007E-2</v>
      </c>
      <c r="CY715">
        <f>AB715</f>
        <v>1942.87</v>
      </c>
      <c r="CZ715">
        <f>AF715</f>
        <v>114.83</v>
      </c>
      <c r="DA715">
        <f>AJ715</f>
        <v>16.16</v>
      </c>
      <c r="DB715">
        <f>ROUND(((ROUND(AT715*CZ715,2)*1.2)*1.25),6)</f>
        <v>1.7250000000000001</v>
      </c>
      <c r="DC715">
        <f>ROUND(((ROUND(AT715*AG715,2)*1.2)*1.25),6)</f>
        <v>0.19500000000000001</v>
      </c>
      <c r="DD715" t="s">
        <v>3</v>
      </c>
      <c r="DE715" t="s">
        <v>3</v>
      </c>
      <c r="DF715">
        <f t="shared" si="289"/>
        <v>0</v>
      </c>
      <c r="DG715">
        <f>ROUND(ROUND(AF715*AJ715,2)*CX715,2)</f>
        <v>177.92</v>
      </c>
      <c r="DH715">
        <f>ROUND(ROUND(AG715*AK715,2)*CX715,2)</f>
        <v>68.180000000000007</v>
      </c>
      <c r="DI715">
        <f t="shared" si="290"/>
        <v>0</v>
      </c>
      <c r="DJ715">
        <f>DG715</f>
        <v>177.92</v>
      </c>
      <c r="DK715">
        <v>0</v>
      </c>
      <c r="DL715" t="s">
        <v>486</v>
      </c>
      <c r="DM715">
        <v>0</v>
      </c>
      <c r="DN715" t="s">
        <v>475</v>
      </c>
      <c r="DO715">
        <v>12.62</v>
      </c>
    </row>
    <row r="716" spans="1:119" x14ac:dyDescent="0.2">
      <c r="A716">
        <f>ROW(Source!A282)</f>
        <v>282</v>
      </c>
      <c r="B716">
        <v>55747651</v>
      </c>
      <c r="C716">
        <v>55748563</v>
      </c>
      <c r="D716">
        <v>54767655</v>
      </c>
      <c r="E716">
        <v>1</v>
      </c>
      <c r="F716">
        <v>1</v>
      </c>
      <c r="G716">
        <v>1081</v>
      </c>
      <c r="H716">
        <v>2</v>
      </c>
      <c r="I716" t="s">
        <v>610</v>
      </c>
      <c r="J716" t="s">
        <v>611</v>
      </c>
      <c r="K716" t="s">
        <v>612</v>
      </c>
      <c r="L716">
        <v>1368</v>
      </c>
      <c r="N716">
        <v>1011</v>
      </c>
      <c r="O716" t="s">
        <v>479</v>
      </c>
      <c r="P716" t="s">
        <v>479</v>
      </c>
      <c r="Q716">
        <v>1</v>
      </c>
      <c r="W716">
        <v>0</v>
      </c>
      <c r="X716">
        <v>444068027</v>
      </c>
      <c r="Y716">
        <f>((AT716*1.2)*1.25)</f>
        <v>1.4999999999999999E-2</v>
      </c>
      <c r="AA716">
        <v>0</v>
      </c>
      <c r="AB716">
        <v>7.96</v>
      </c>
      <c r="AC716">
        <v>0</v>
      </c>
      <c r="AD716">
        <v>0</v>
      </c>
      <c r="AE716">
        <v>0</v>
      </c>
      <c r="AF716">
        <v>0.77</v>
      </c>
      <c r="AG716">
        <v>0</v>
      </c>
      <c r="AH716">
        <v>0</v>
      </c>
      <c r="AI716">
        <v>1</v>
      </c>
      <c r="AJ716">
        <v>9.8699999999999992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0.01</v>
      </c>
      <c r="AU716" t="s">
        <v>39</v>
      </c>
      <c r="AV716">
        <v>0</v>
      </c>
      <c r="AW716">
        <v>2</v>
      </c>
      <c r="AX716">
        <v>57263943</v>
      </c>
      <c r="AY716">
        <v>1</v>
      </c>
      <c r="AZ716">
        <v>0</v>
      </c>
      <c r="BA716">
        <v>750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f>ROUND(Y716*Source!I282*DO716,9)</f>
        <v>0</v>
      </c>
      <c r="CX716">
        <f>ROUND(Y716*Source!I282,9)</f>
        <v>9.5880000000000007E-2</v>
      </c>
      <c r="CY716">
        <f>AB716</f>
        <v>7.96</v>
      </c>
      <c r="CZ716">
        <f>AF716</f>
        <v>0.77</v>
      </c>
      <c r="DA716">
        <f>AJ716</f>
        <v>9.8699999999999992</v>
      </c>
      <c r="DB716">
        <f>ROUND(((ROUND(AT716*CZ716,2)*1.2)*1.25),6)</f>
        <v>1.4999999999999999E-2</v>
      </c>
      <c r="DC716">
        <f>ROUND(((ROUND(AT716*AG716,2)*1.2)*1.25),6)</f>
        <v>0</v>
      </c>
      <c r="DD716" t="s">
        <v>3</v>
      </c>
      <c r="DE716" t="s">
        <v>3</v>
      </c>
      <c r="DF716">
        <f t="shared" si="289"/>
        <v>0</v>
      </c>
      <c r="DG716">
        <f>ROUND(ROUND(AF716*AJ716,2)*CX716,2)</f>
        <v>0.73</v>
      </c>
      <c r="DH716">
        <f t="shared" ref="DH716:DH724" si="291">ROUND(ROUND(AG716,2)*CX716,2)</f>
        <v>0</v>
      </c>
      <c r="DI716">
        <f t="shared" si="290"/>
        <v>0</v>
      </c>
      <c r="DJ716">
        <f>DG716</f>
        <v>0.73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">
      <c r="A717">
        <f>ROW(Source!A282)</f>
        <v>282</v>
      </c>
      <c r="B717">
        <v>55747651</v>
      </c>
      <c r="C717">
        <v>55748563</v>
      </c>
      <c r="D717">
        <v>54737410</v>
      </c>
      <c r="E717">
        <v>1</v>
      </c>
      <c r="F717">
        <v>1</v>
      </c>
      <c r="G717">
        <v>1081</v>
      </c>
      <c r="H717">
        <v>3</v>
      </c>
      <c r="I717" t="s">
        <v>280</v>
      </c>
      <c r="J717" t="s">
        <v>283</v>
      </c>
      <c r="K717" t="s">
        <v>281</v>
      </c>
      <c r="L717">
        <v>1348</v>
      </c>
      <c r="N717">
        <v>1009</v>
      </c>
      <c r="O717" t="s">
        <v>282</v>
      </c>
      <c r="P717" t="s">
        <v>282</v>
      </c>
      <c r="Q717">
        <v>1000</v>
      </c>
      <c r="W717">
        <v>0</v>
      </c>
      <c r="X717">
        <v>650902129</v>
      </c>
      <c r="Y717">
        <f>((AT717*1)*1)</f>
        <v>8.9999999999999993E-3</v>
      </c>
      <c r="AA717">
        <v>66964.52</v>
      </c>
      <c r="AB717">
        <v>0</v>
      </c>
      <c r="AC717">
        <v>0</v>
      </c>
      <c r="AD717">
        <v>0</v>
      </c>
      <c r="AE717">
        <v>18653.07</v>
      </c>
      <c r="AF717">
        <v>0</v>
      </c>
      <c r="AG717">
        <v>0</v>
      </c>
      <c r="AH717">
        <v>0</v>
      </c>
      <c r="AI717">
        <v>3.59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 t="s">
        <v>3</v>
      </c>
      <c r="AT717">
        <v>8.9999999999999993E-3</v>
      </c>
      <c r="AU717" t="s">
        <v>38</v>
      </c>
      <c r="AV717">
        <v>0</v>
      </c>
      <c r="AW717">
        <v>1</v>
      </c>
      <c r="AX717">
        <v>-1</v>
      </c>
      <c r="AY717">
        <v>0</v>
      </c>
      <c r="AZ717">
        <v>0</v>
      </c>
      <c r="BA717" t="s">
        <v>3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ROUND(Y717*Source!I282,9)</f>
        <v>5.7528000000000003E-2</v>
      </c>
      <c r="CY717">
        <f>AA717</f>
        <v>66964.52</v>
      </c>
      <c r="CZ717">
        <f>AE717</f>
        <v>18653.07</v>
      </c>
      <c r="DA717">
        <f>AI717</f>
        <v>3.59</v>
      </c>
      <c r="DB717">
        <f>ROUND(((ROUND(AT717*CZ717,2)*1)*1),6)</f>
        <v>167.88</v>
      </c>
      <c r="DC717">
        <f>ROUND(((ROUND(AT717*AG717,2)*1)*1),6)</f>
        <v>0</v>
      </c>
      <c r="DD717" t="s">
        <v>3</v>
      </c>
      <c r="DE717" t="s">
        <v>3</v>
      </c>
      <c r="DF717">
        <f>ROUND(ROUND(AE717*AI717,2)*CX717,2)</f>
        <v>3852.33</v>
      </c>
      <c r="DG717">
        <f t="shared" ref="DG717:DG724" si="292">ROUND(ROUND(AF717,2)*CX717,2)</f>
        <v>0</v>
      </c>
      <c r="DH717">
        <f t="shared" si="291"/>
        <v>0</v>
      </c>
      <c r="DI717">
        <f t="shared" si="290"/>
        <v>0</v>
      </c>
      <c r="DJ717">
        <f>DF717</f>
        <v>3852.33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ROW(Source!A282)</f>
        <v>282</v>
      </c>
      <c r="B718">
        <v>55747651</v>
      </c>
      <c r="C718">
        <v>55748563</v>
      </c>
      <c r="D718">
        <v>54737642</v>
      </c>
      <c r="E718">
        <v>1</v>
      </c>
      <c r="F718">
        <v>1</v>
      </c>
      <c r="G718">
        <v>1081</v>
      </c>
      <c r="H718">
        <v>3</v>
      </c>
      <c r="I718" t="s">
        <v>613</v>
      </c>
      <c r="J718" t="s">
        <v>614</v>
      </c>
      <c r="K718" t="s">
        <v>615</v>
      </c>
      <c r="L718">
        <v>1348</v>
      </c>
      <c r="N718">
        <v>1009</v>
      </c>
      <c r="O718" t="s">
        <v>282</v>
      </c>
      <c r="P718" t="s">
        <v>282</v>
      </c>
      <c r="Q718">
        <v>1000</v>
      </c>
      <c r="W718">
        <v>0</v>
      </c>
      <c r="X718">
        <v>1089536089</v>
      </c>
      <c r="Y718">
        <f>((AT718*1)*1)</f>
        <v>1.5E-3</v>
      </c>
      <c r="AA718">
        <v>219101.95</v>
      </c>
      <c r="AB718">
        <v>0</v>
      </c>
      <c r="AC718">
        <v>0</v>
      </c>
      <c r="AD718">
        <v>0</v>
      </c>
      <c r="AE718">
        <v>6290.61</v>
      </c>
      <c r="AF718">
        <v>0</v>
      </c>
      <c r="AG718">
        <v>0</v>
      </c>
      <c r="AH718">
        <v>0</v>
      </c>
      <c r="AI718">
        <v>34.83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1.5E-3</v>
      </c>
      <c r="AU718" t="s">
        <v>38</v>
      </c>
      <c r="AV718">
        <v>0</v>
      </c>
      <c r="AW718">
        <v>2</v>
      </c>
      <c r="AX718">
        <v>57263944</v>
      </c>
      <c r="AY718">
        <v>1</v>
      </c>
      <c r="AZ718">
        <v>0</v>
      </c>
      <c r="BA718">
        <v>751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ROUND(Y718*Source!I282,9)</f>
        <v>9.5879999999999993E-3</v>
      </c>
      <c r="CY718">
        <f>AA718</f>
        <v>219101.95</v>
      </c>
      <c r="CZ718">
        <f>AE718</f>
        <v>6290.61</v>
      </c>
      <c r="DA718">
        <f>AI718</f>
        <v>34.83</v>
      </c>
      <c r="DB718">
        <f>ROUND(((ROUND(AT718*CZ718,2)*1)*1),6)</f>
        <v>9.44</v>
      </c>
      <c r="DC718">
        <f>ROUND(((ROUND(AT718*AG718,2)*1)*1),6)</f>
        <v>0</v>
      </c>
      <c r="DD718" t="s">
        <v>3</v>
      </c>
      <c r="DE718" t="s">
        <v>3</v>
      </c>
      <c r="DF718">
        <f>ROUND(ROUND(AE718*AI718,2)*CX718,2)</f>
        <v>2100.75</v>
      </c>
      <c r="DG718">
        <f t="shared" si="292"/>
        <v>0</v>
      </c>
      <c r="DH718">
        <f t="shared" si="291"/>
        <v>0</v>
      </c>
      <c r="DI718">
        <f t="shared" si="290"/>
        <v>0</v>
      </c>
      <c r="DJ718">
        <f>DF718</f>
        <v>2100.75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ROW(Source!A285)</f>
        <v>285</v>
      </c>
      <c r="B719">
        <v>55747649</v>
      </c>
      <c r="C719">
        <v>55748579</v>
      </c>
      <c r="D719">
        <v>54702434</v>
      </c>
      <c r="E719">
        <v>1081</v>
      </c>
      <c r="F719">
        <v>1</v>
      </c>
      <c r="G719">
        <v>1081</v>
      </c>
      <c r="H719">
        <v>1</v>
      </c>
      <c r="I719" t="s">
        <v>473</v>
      </c>
      <c r="J719" t="s">
        <v>3</v>
      </c>
      <c r="K719" t="s">
        <v>474</v>
      </c>
      <c r="L719">
        <v>1191</v>
      </c>
      <c r="N719">
        <v>1013</v>
      </c>
      <c r="O719" t="s">
        <v>475</v>
      </c>
      <c r="P719" t="s">
        <v>475</v>
      </c>
      <c r="Q719">
        <v>1</v>
      </c>
      <c r="W719">
        <v>0</v>
      </c>
      <c r="X719">
        <v>476480486</v>
      </c>
      <c r="Y719">
        <f>((AT719*1.2)*1.15)</f>
        <v>2.9393999999999991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-2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2.13</v>
      </c>
      <c r="AU719" t="s">
        <v>40</v>
      </c>
      <c r="AV719">
        <v>1</v>
      </c>
      <c r="AW719">
        <v>2</v>
      </c>
      <c r="AX719">
        <v>57263947</v>
      </c>
      <c r="AY719">
        <v>1</v>
      </c>
      <c r="AZ719">
        <v>0</v>
      </c>
      <c r="BA719">
        <v>753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U719">
        <f>ROUND(AT719*Source!I285*AH719*AL719,2)</f>
        <v>0</v>
      </c>
      <c r="CV719">
        <f>ROUND(Y719*Source!I285,9)</f>
        <v>18.7886448</v>
      </c>
      <c r="CW719">
        <v>0</v>
      </c>
      <c r="CX719">
        <f>ROUND(Y719*Source!I285,9)</f>
        <v>18.7886448</v>
      </c>
      <c r="CY719">
        <f>AD719</f>
        <v>0</v>
      </c>
      <c r="CZ719">
        <f>AH719</f>
        <v>0</v>
      </c>
      <c r="DA719">
        <f>AL719</f>
        <v>1</v>
      </c>
      <c r="DB719">
        <f>ROUND(((ROUND(AT719*CZ719,2)*1.2)*1.15),6)</f>
        <v>0</v>
      </c>
      <c r="DC719">
        <f>ROUND(((ROUND(AT719*AG719,2)*1.2)*1.15),6)</f>
        <v>0</v>
      </c>
      <c r="DD719" t="s">
        <v>3</v>
      </c>
      <c r="DE719" t="s">
        <v>3</v>
      </c>
      <c r="DF719">
        <f t="shared" ref="DF719:DF726" si="293">ROUND(ROUND(AE719,2)*CX719,2)</f>
        <v>0</v>
      </c>
      <c r="DG719">
        <f t="shared" si="292"/>
        <v>0</v>
      </c>
      <c r="DH719">
        <f t="shared" si="291"/>
        <v>0</v>
      </c>
      <c r="DI719">
        <f t="shared" si="290"/>
        <v>0</v>
      </c>
      <c r="DJ719">
        <f>DI719</f>
        <v>0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ROW(Source!A285)</f>
        <v>285</v>
      </c>
      <c r="B720">
        <v>55747649</v>
      </c>
      <c r="C720">
        <v>55748579</v>
      </c>
      <c r="D720">
        <v>54768339</v>
      </c>
      <c r="E720">
        <v>1</v>
      </c>
      <c r="F720">
        <v>1</v>
      </c>
      <c r="G720">
        <v>1081</v>
      </c>
      <c r="H720">
        <v>2</v>
      </c>
      <c r="I720" t="s">
        <v>483</v>
      </c>
      <c r="J720" t="s">
        <v>484</v>
      </c>
      <c r="K720" t="s">
        <v>485</v>
      </c>
      <c r="L720">
        <v>1368</v>
      </c>
      <c r="N720">
        <v>1011</v>
      </c>
      <c r="O720" t="s">
        <v>479</v>
      </c>
      <c r="P720" t="s">
        <v>479</v>
      </c>
      <c r="Q720">
        <v>1</v>
      </c>
      <c r="W720">
        <v>0</v>
      </c>
      <c r="X720">
        <v>874612079</v>
      </c>
      <c r="Y720">
        <f>((AT720*1.2)*1.25)</f>
        <v>1.4999999999999999E-2</v>
      </c>
      <c r="AA720">
        <v>0</v>
      </c>
      <c r="AB720">
        <v>87.01</v>
      </c>
      <c r="AC720">
        <v>13.21</v>
      </c>
      <c r="AD720">
        <v>0</v>
      </c>
      <c r="AE720">
        <v>0</v>
      </c>
      <c r="AF720">
        <v>83.1</v>
      </c>
      <c r="AG720">
        <v>12.62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-2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0.01</v>
      </c>
      <c r="AU720" t="s">
        <v>39</v>
      </c>
      <c r="AV720">
        <v>0</v>
      </c>
      <c r="AW720">
        <v>2</v>
      </c>
      <c r="AX720">
        <v>57263948</v>
      </c>
      <c r="AY720">
        <v>1</v>
      </c>
      <c r="AZ720">
        <v>0</v>
      </c>
      <c r="BA720">
        <v>754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f>ROUND(Y720*Source!I285*DO720,9)</f>
        <v>1.2100055999999999</v>
      </c>
      <c r="CX720">
        <f>ROUND(Y720*Source!I285,9)</f>
        <v>9.5880000000000007E-2</v>
      </c>
      <c r="CY720">
        <f>AB720</f>
        <v>87.01</v>
      </c>
      <c r="CZ720">
        <f>AF720</f>
        <v>83.1</v>
      </c>
      <c r="DA720">
        <f>AJ720</f>
        <v>1</v>
      </c>
      <c r="DB720">
        <f>ROUND(((ROUND(AT720*CZ720,2)*1.2)*1.25),6)</f>
        <v>1.2450000000000001</v>
      </c>
      <c r="DC720">
        <f>ROUND(((ROUND(AT720*AG720,2)*1.2)*1.25),6)</f>
        <v>0.19500000000000001</v>
      </c>
      <c r="DD720" t="s">
        <v>3</v>
      </c>
      <c r="DE720" t="s">
        <v>3</v>
      </c>
      <c r="DF720">
        <f t="shared" si="293"/>
        <v>0</v>
      </c>
      <c r="DG720">
        <f t="shared" si="292"/>
        <v>7.97</v>
      </c>
      <c r="DH720">
        <f t="shared" si="291"/>
        <v>1.21</v>
      </c>
      <c r="DI720">
        <f t="shared" si="290"/>
        <v>0</v>
      </c>
      <c r="DJ720">
        <f>DG720</f>
        <v>7.97</v>
      </c>
      <c r="DK720">
        <v>0</v>
      </c>
      <c r="DL720" t="s">
        <v>486</v>
      </c>
      <c r="DM720">
        <v>0</v>
      </c>
      <c r="DN720" t="s">
        <v>475</v>
      </c>
      <c r="DO720">
        <v>12.62</v>
      </c>
    </row>
    <row r="721" spans="1:119" x14ac:dyDescent="0.2">
      <c r="A721">
        <f>ROW(Source!A285)</f>
        <v>285</v>
      </c>
      <c r="B721">
        <v>55747649</v>
      </c>
      <c r="C721">
        <v>55748579</v>
      </c>
      <c r="D721">
        <v>54767643</v>
      </c>
      <c r="E721">
        <v>1</v>
      </c>
      <c r="F721">
        <v>1</v>
      </c>
      <c r="G721">
        <v>1081</v>
      </c>
      <c r="H721">
        <v>2</v>
      </c>
      <c r="I721" t="s">
        <v>607</v>
      </c>
      <c r="J721" t="s">
        <v>608</v>
      </c>
      <c r="K721" t="s">
        <v>609</v>
      </c>
      <c r="L721">
        <v>1368</v>
      </c>
      <c r="N721">
        <v>1011</v>
      </c>
      <c r="O721" t="s">
        <v>479</v>
      </c>
      <c r="P721" t="s">
        <v>479</v>
      </c>
      <c r="Q721">
        <v>1</v>
      </c>
      <c r="W721">
        <v>0</v>
      </c>
      <c r="X721">
        <v>-1520980008</v>
      </c>
      <c r="Y721">
        <f>((AT721*1.2)*1.25)</f>
        <v>1.4999999999999999E-2</v>
      </c>
      <c r="AA721">
        <v>0</v>
      </c>
      <c r="AB721">
        <v>120.23</v>
      </c>
      <c r="AC721">
        <v>13.21</v>
      </c>
      <c r="AD721">
        <v>0</v>
      </c>
      <c r="AE721">
        <v>0</v>
      </c>
      <c r="AF721">
        <v>114.83</v>
      </c>
      <c r="AG721">
        <v>12.62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-2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0.01</v>
      </c>
      <c r="AU721" t="s">
        <v>39</v>
      </c>
      <c r="AV721">
        <v>0</v>
      </c>
      <c r="AW721">
        <v>2</v>
      </c>
      <c r="AX721">
        <v>57263949</v>
      </c>
      <c r="AY721">
        <v>1</v>
      </c>
      <c r="AZ721">
        <v>0</v>
      </c>
      <c r="BA721">
        <v>755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f>ROUND(Y721*Source!I285*DO721,9)</f>
        <v>1.2100055999999999</v>
      </c>
      <c r="CX721">
        <f>ROUND(Y721*Source!I285,9)</f>
        <v>9.5880000000000007E-2</v>
      </c>
      <c r="CY721">
        <f>AB721</f>
        <v>120.23</v>
      </c>
      <c r="CZ721">
        <f>AF721</f>
        <v>114.83</v>
      </c>
      <c r="DA721">
        <f>AJ721</f>
        <v>1</v>
      </c>
      <c r="DB721">
        <f>ROUND(((ROUND(AT721*CZ721,2)*1.2)*1.25),6)</f>
        <v>1.7250000000000001</v>
      </c>
      <c r="DC721">
        <f>ROUND(((ROUND(AT721*AG721,2)*1.2)*1.25),6)</f>
        <v>0.19500000000000001</v>
      </c>
      <c r="DD721" t="s">
        <v>3</v>
      </c>
      <c r="DE721" t="s">
        <v>3</v>
      </c>
      <c r="DF721">
        <f t="shared" si="293"/>
        <v>0</v>
      </c>
      <c r="DG721">
        <f t="shared" si="292"/>
        <v>11.01</v>
      </c>
      <c r="DH721">
        <f t="shared" si="291"/>
        <v>1.21</v>
      </c>
      <c r="DI721">
        <f t="shared" si="290"/>
        <v>0</v>
      </c>
      <c r="DJ721">
        <f>DG721</f>
        <v>11.01</v>
      </c>
      <c r="DK721">
        <v>0</v>
      </c>
      <c r="DL721" t="s">
        <v>486</v>
      </c>
      <c r="DM721">
        <v>0</v>
      </c>
      <c r="DN721" t="s">
        <v>475</v>
      </c>
      <c r="DO721">
        <v>12.62</v>
      </c>
    </row>
    <row r="722" spans="1:119" x14ac:dyDescent="0.2">
      <c r="A722">
        <f>ROW(Source!A285)</f>
        <v>285</v>
      </c>
      <c r="B722">
        <v>55747649</v>
      </c>
      <c r="C722">
        <v>55748579</v>
      </c>
      <c r="D722">
        <v>54738440</v>
      </c>
      <c r="E722">
        <v>1</v>
      </c>
      <c r="F722">
        <v>1</v>
      </c>
      <c r="G722">
        <v>1081</v>
      </c>
      <c r="H722">
        <v>3</v>
      </c>
      <c r="I722" t="s">
        <v>556</v>
      </c>
      <c r="J722" t="s">
        <v>557</v>
      </c>
      <c r="K722" t="s">
        <v>558</v>
      </c>
      <c r="L722">
        <v>1346</v>
      </c>
      <c r="N722">
        <v>1009</v>
      </c>
      <c r="O722" t="s">
        <v>503</v>
      </c>
      <c r="P722" t="s">
        <v>503</v>
      </c>
      <c r="Q722">
        <v>1</v>
      </c>
      <c r="W722">
        <v>0</v>
      </c>
      <c r="X722">
        <v>-1097873860</v>
      </c>
      <c r="Y722">
        <f>((AT722*1)*1)</f>
        <v>9</v>
      </c>
      <c r="AA722">
        <v>29.89</v>
      </c>
      <c r="AB722">
        <v>0</v>
      </c>
      <c r="AC722">
        <v>0</v>
      </c>
      <c r="AD722">
        <v>0</v>
      </c>
      <c r="AE722">
        <v>29.89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-2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9</v>
      </c>
      <c r="AU722" t="s">
        <v>38</v>
      </c>
      <c r="AV722">
        <v>0</v>
      </c>
      <c r="AW722">
        <v>2</v>
      </c>
      <c r="AX722">
        <v>57263950</v>
      </c>
      <c r="AY722">
        <v>1</v>
      </c>
      <c r="AZ722">
        <v>0</v>
      </c>
      <c r="BA722">
        <v>756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ROUND(Y722*Source!I285,9)</f>
        <v>57.527999999999999</v>
      </c>
      <c r="CY722">
        <f>AA722</f>
        <v>29.89</v>
      </c>
      <c r="CZ722">
        <f>AE722</f>
        <v>29.89</v>
      </c>
      <c r="DA722">
        <f>AI722</f>
        <v>1</v>
      </c>
      <c r="DB722">
        <f>ROUND(((ROUND(AT722*CZ722,2)*1)*1),6)</f>
        <v>269.01</v>
      </c>
      <c r="DC722">
        <f>ROUND(((ROUND(AT722*AG722,2)*1)*1),6)</f>
        <v>0</v>
      </c>
      <c r="DD722" t="s">
        <v>3</v>
      </c>
      <c r="DE722" t="s">
        <v>3</v>
      </c>
      <c r="DF722">
        <f t="shared" si="293"/>
        <v>1719.51</v>
      </c>
      <c r="DG722">
        <f t="shared" si="292"/>
        <v>0</v>
      </c>
      <c r="DH722">
        <f t="shared" si="291"/>
        <v>0</v>
      </c>
      <c r="DI722">
        <f t="shared" si="290"/>
        <v>0</v>
      </c>
      <c r="DJ722">
        <f>DF722</f>
        <v>1719.51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ROW(Source!A285)</f>
        <v>285</v>
      </c>
      <c r="B723">
        <v>55747649</v>
      </c>
      <c r="C723">
        <v>55748579</v>
      </c>
      <c r="D723">
        <v>54737965</v>
      </c>
      <c r="E723">
        <v>1</v>
      </c>
      <c r="F723">
        <v>1</v>
      </c>
      <c r="G723">
        <v>1081</v>
      </c>
      <c r="H723">
        <v>3</v>
      </c>
      <c r="I723" t="s">
        <v>577</v>
      </c>
      <c r="J723" t="s">
        <v>578</v>
      </c>
      <c r="K723" t="s">
        <v>579</v>
      </c>
      <c r="L723">
        <v>1348</v>
      </c>
      <c r="N723">
        <v>1009</v>
      </c>
      <c r="O723" t="s">
        <v>282</v>
      </c>
      <c r="P723" t="s">
        <v>282</v>
      </c>
      <c r="Q723">
        <v>1000</v>
      </c>
      <c r="W723">
        <v>0</v>
      </c>
      <c r="X723">
        <v>-1860917919</v>
      </c>
      <c r="Y723">
        <f>((AT723*1)*1)</f>
        <v>1.48E-3</v>
      </c>
      <c r="AA723">
        <v>12521.99</v>
      </c>
      <c r="AB723">
        <v>0</v>
      </c>
      <c r="AC723">
        <v>0</v>
      </c>
      <c r="AD723">
        <v>0</v>
      </c>
      <c r="AE723">
        <v>12521.99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1.48E-3</v>
      </c>
      <c r="AU723" t="s">
        <v>38</v>
      </c>
      <c r="AV723">
        <v>0</v>
      </c>
      <c r="AW723">
        <v>2</v>
      </c>
      <c r="AX723">
        <v>57263951</v>
      </c>
      <c r="AY723">
        <v>1</v>
      </c>
      <c r="AZ723">
        <v>0</v>
      </c>
      <c r="BA723">
        <v>757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ROUND(Y723*Source!I285,9)</f>
        <v>9.4601600000000004E-3</v>
      </c>
      <c r="CY723">
        <f>AA723</f>
        <v>12521.99</v>
      </c>
      <c r="CZ723">
        <f>AE723</f>
        <v>12521.99</v>
      </c>
      <c r="DA723">
        <f>AI723</f>
        <v>1</v>
      </c>
      <c r="DB723">
        <f>ROUND(((ROUND(AT723*CZ723,2)*1)*1),6)</f>
        <v>18.53</v>
      </c>
      <c r="DC723">
        <f>ROUND(((ROUND(AT723*AG723,2)*1)*1),6)</f>
        <v>0</v>
      </c>
      <c r="DD723" t="s">
        <v>3</v>
      </c>
      <c r="DE723" t="s">
        <v>3</v>
      </c>
      <c r="DF723">
        <f t="shared" si="293"/>
        <v>118.46</v>
      </c>
      <c r="DG723">
        <f t="shared" si="292"/>
        <v>0</v>
      </c>
      <c r="DH723">
        <f t="shared" si="291"/>
        <v>0</v>
      </c>
      <c r="DI723">
        <f t="shared" si="290"/>
        <v>0</v>
      </c>
      <c r="DJ723">
        <f>DF723</f>
        <v>118.46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">
      <c r="A724">
        <f>ROW(Source!A286)</f>
        <v>286</v>
      </c>
      <c r="B724">
        <v>55747651</v>
      </c>
      <c r="C724">
        <v>55748579</v>
      </c>
      <c r="D724">
        <v>54702434</v>
      </c>
      <c r="E724">
        <v>1081</v>
      </c>
      <c r="F724">
        <v>1</v>
      </c>
      <c r="G724">
        <v>1081</v>
      </c>
      <c r="H724">
        <v>1</v>
      </c>
      <c r="I724" t="s">
        <v>473</v>
      </c>
      <c r="J724" t="s">
        <v>3</v>
      </c>
      <c r="K724" t="s">
        <v>474</v>
      </c>
      <c r="L724">
        <v>1191</v>
      </c>
      <c r="N724">
        <v>1013</v>
      </c>
      <c r="O724" t="s">
        <v>475</v>
      </c>
      <c r="P724" t="s">
        <v>475</v>
      </c>
      <c r="Q724">
        <v>1</v>
      </c>
      <c r="W724">
        <v>0</v>
      </c>
      <c r="X724">
        <v>476480486</v>
      </c>
      <c r="Y724">
        <f>((AT724*1.2)*1.15)</f>
        <v>2.9393999999999991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5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2.13</v>
      </c>
      <c r="AU724" t="s">
        <v>40</v>
      </c>
      <c r="AV724">
        <v>1</v>
      </c>
      <c r="AW724">
        <v>2</v>
      </c>
      <c r="AX724">
        <v>57263947</v>
      </c>
      <c r="AY724">
        <v>1</v>
      </c>
      <c r="AZ724">
        <v>0</v>
      </c>
      <c r="BA724">
        <v>758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U724">
        <f>ROUND(AT724*Source!I286*AH724*AL724,2)</f>
        <v>0</v>
      </c>
      <c r="CV724">
        <f>ROUND(Y724*Source!I286,9)</f>
        <v>18.7886448</v>
      </c>
      <c r="CW724">
        <v>0</v>
      </c>
      <c r="CX724">
        <f>ROUND(Y724*Source!I286,9)</f>
        <v>18.7886448</v>
      </c>
      <c r="CY724">
        <f>AD724</f>
        <v>0</v>
      </c>
      <c r="CZ724">
        <f>AH724</f>
        <v>0</v>
      </c>
      <c r="DA724">
        <f>AL724</f>
        <v>1</v>
      </c>
      <c r="DB724">
        <f>ROUND(((ROUND(AT724*CZ724,2)*1.2)*1.15),6)</f>
        <v>0</v>
      </c>
      <c r="DC724">
        <f>ROUND(((ROUND(AT724*AG724,2)*1.2)*1.15),6)</f>
        <v>0</v>
      </c>
      <c r="DD724" t="s">
        <v>3</v>
      </c>
      <c r="DE724" t="s">
        <v>3</v>
      </c>
      <c r="DF724">
        <f t="shared" si="293"/>
        <v>0</v>
      </c>
      <c r="DG724">
        <f t="shared" si="292"/>
        <v>0</v>
      </c>
      <c r="DH724">
        <f t="shared" si="291"/>
        <v>0</v>
      </c>
      <c r="DI724">
        <f t="shared" si="290"/>
        <v>0</v>
      </c>
      <c r="DJ724">
        <f>DI724</f>
        <v>0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ROW(Source!A286)</f>
        <v>286</v>
      </c>
      <c r="B725">
        <v>55747651</v>
      </c>
      <c r="C725">
        <v>55748579</v>
      </c>
      <c r="D725">
        <v>54768339</v>
      </c>
      <c r="E725">
        <v>1</v>
      </c>
      <c r="F725">
        <v>1</v>
      </c>
      <c r="G725">
        <v>1081</v>
      </c>
      <c r="H725">
        <v>2</v>
      </c>
      <c r="I725" t="s">
        <v>483</v>
      </c>
      <c r="J725" t="s">
        <v>484</v>
      </c>
      <c r="K725" t="s">
        <v>485</v>
      </c>
      <c r="L725">
        <v>1368</v>
      </c>
      <c r="N725">
        <v>1011</v>
      </c>
      <c r="O725" t="s">
        <v>479</v>
      </c>
      <c r="P725" t="s">
        <v>479</v>
      </c>
      <c r="Q725">
        <v>1</v>
      </c>
      <c r="W725">
        <v>0</v>
      </c>
      <c r="X725">
        <v>874612079</v>
      </c>
      <c r="Y725">
        <f>((AT725*1.2)*1.25)</f>
        <v>1.4999999999999999E-2</v>
      </c>
      <c r="AA725">
        <v>0</v>
      </c>
      <c r="AB725">
        <v>1485.19</v>
      </c>
      <c r="AC725">
        <v>744.56</v>
      </c>
      <c r="AD725">
        <v>0</v>
      </c>
      <c r="AE725">
        <v>0</v>
      </c>
      <c r="AF725">
        <v>83.1</v>
      </c>
      <c r="AG725">
        <v>12.62</v>
      </c>
      <c r="AH725">
        <v>0</v>
      </c>
      <c r="AI725">
        <v>1</v>
      </c>
      <c r="AJ725">
        <v>17.07</v>
      </c>
      <c r="AK725">
        <v>56.35</v>
      </c>
      <c r="AL725">
        <v>1</v>
      </c>
      <c r="AM725">
        <v>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0.01</v>
      </c>
      <c r="AU725" t="s">
        <v>39</v>
      </c>
      <c r="AV725">
        <v>0</v>
      </c>
      <c r="AW725">
        <v>2</v>
      </c>
      <c r="AX725">
        <v>57263948</v>
      </c>
      <c r="AY725">
        <v>1</v>
      </c>
      <c r="AZ725">
        <v>0</v>
      </c>
      <c r="BA725">
        <v>759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f>ROUND(Y725*Source!I286*DO725,9)</f>
        <v>1.2100055999999999</v>
      </c>
      <c r="CX725">
        <f>ROUND(Y725*Source!I286,9)</f>
        <v>9.5880000000000007E-2</v>
      </c>
      <c r="CY725">
        <f>AB725</f>
        <v>1485.19</v>
      </c>
      <c r="CZ725">
        <f>AF725</f>
        <v>83.1</v>
      </c>
      <c r="DA725">
        <f>AJ725</f>
        <v>17.07</v>
      </c>
      <c r="DB725">
        <f>ROUND(((ROUND(AT725*CZ725,2)*1.2)*1.25),6)</f>
        <v>1.2450000000000001</v>
      </c>
      <c r="DC725">
        <f>ROUND(((ROUND(AT725*AG725,2)*1.2)*1.25),6)</f>
        <v>0.19500000000000001</v>
      </c>
      <c r="DD725" t="s">
        <v>3</v>
      </c>
      <c r="DE725" t="s">
        <v>3</v>
      </c>
      <c r="DF725">
        <f t="shared" si="293"/>
        <v>0</v>
      </c>
      <c r="DG725">
        <f>ROUND(ROUND(AF725*AJ725,2)*CX725,2)</f>
        <v>136.01</v>
      </c>
      <c r="DH725">
        <f>ROUND(ROUND(AG725*AK725,2)*CX725,2)</f>
        <v>68.180000000000007</v>
      </c>
      <c r="DI725">
        <f t="shared" si="290"/>
        <v>0</v>
      </c>
      <c r="DJ725">
        <f>DG725</f>
        <v>136.01</v>
      </c>
      <c r="DK725">
        <v>0</v>
      </c>
      <c r="DL725" t="s">
        <v>486</v>
      </c>
      <c r="DM725">
        <v>0</v>
      </c>
      <c r="DN725" t="s">
        <v>475</v>
      </c>
      <c r="DO725">
        <v>12.62</v>
      </c>
    </row>
    <row r="726" spans="1:119" x14ac:dyDescent="0.2">
      <c r="A726">
        <f>ROW(Source!A286)</f>
        <v>286</v>
      </c>
      <c r="B726">
        <v>55747651</v>
      </c>
      <c r="C726">
        <v>55748579</v>
      </c>
      <c r="D726">
        <v>54767643</v>
      </c>
      <c r="E726">
        <v>1</v>
      </c>
      <c r="F726">
        <v>1</v>
      </c>
      <c r="G726">
        <v>1081</v>
      </c>
      <c r="H726">
        <v>2</v>
      </c>
      <c r="I726" t="s">
        <v>607</v>
      </c>
      <c r="J726" t="s">
        <v>608</v>
      </c>
      <c r="K726" t="s">
        <v>609</v>
      </c>
      <c r="L726">
        <v>1368</v>
      </c>
      <c r="N726">
        <v>1011</v>
      </c>
      <c r="O726" t="s">
        <v>479</v>
      </c>
      <c r="P726" t="s">
        <v>479</v>
      </c>
      <c r="Q726">
        <v>1</v>
      </c>
      <c r="W726">
        <v>0</v>
      </c>
      <c r="X726">
        <v>-1520980008</v>
      </c>
      <c r="Y726">
        <f>((AT726*1.2)*1.25)</f>
        <v>1.4999999999999999E-2</v>
      </c>
      <c r="AA726">
        <v>0</v>
      </c>
      <c r="AB726">
        <v>1942.87</v>
      </c>
      <c r="AC726">
        <v>744.56</v>
      </c>
      <c r="AD726">
        <v>0</v>
      </c>
      <c r="AE726">
        <v>0</v>
      </c>
      <c r="AF726">
        <v>114.83</v>
      </c>
      <c r="AG726">
        <v>12.62</v>
      </c>
      <c r="AH726">
        <v>0</v>
      </c>
      <c r="AI726">
        <v>1</v>
      </c>
      <c r="AJ726">
        <v>16.16</v>
      </c>
      <c r="AK726">
        <v>56.35</v>
      </c>
      <c r="AL726">
        <v>1</v>
      </c>
      <c r="AM726">
        <v>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0.01</v>
      </c>
      <c r="AU726" t="s">
        <v>39</v>
      </c>
      <c r="AV726">
        <v>0</v>
      </c>
      <c r="AW726">
        <v>2</v>
      </c>
      <c r="AX726">
        <v>57263949</v>
      </c>
      <c r="AY726">
        <v>1</v>
      </c>
      <c r="AZ726">
        <v>0</v>
      </c>
      <c r="BA726">
        <v>760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f>ROUND(Y726*Source!I286*DO726,9)</f>
        <v>1.2100055999999999</v>
      </c>
      <c r="CX726">
        <f>ROUND(Y726*Source!I286,9)</f>
        <v>9.5880000000000007E-2</v>
      </c>
      <c r="CY726">
        <f>AB726</f>
        <v>1942.87</v>
      </c>
      <c r="CZ726">
        <f>AF726</f>
        <v>114.83</v>
      </c>
      <c r="DA726">
        <f>AJ726</f>
        <v>16.16</v>
      </c>
      <c r="DB726">
        <f>ROUND(((ROUND(AT726*CZ726,2)*1.2)*1.25),6)</f>
        <v>1.7250000000000001</v>
      </c>
      <c r="DC726">
        <f>ROUND(((ROUND(AT726*AG726,2)*1.2)*1.25),6)</f>
        <v>0.19500000000000001</v>
      </c>
      <c r="DD726" t="s">
        <v>3</v>
      </c>
      <c r="DE726" t="s">
        <v>3</v>
      </c>
      <c r="DF726">
        <f t="shared" si="293"/>
        <v>0</v>
      </c>
      <c r="DG726">
        <f>ROUND(ROUND(AF726*AJ726,2)*CX726,2)</f>
        <v>177.92</v>
      </c>
      <c r="DH726">
        <f>ROUND(ROUND(AG726*AK726,2)*CX726,2)</f>
        <v>68.180000000000007</v>
      </c>
      <c r="DI726">
        <f t="shared" si="290"/>
        <v>0</v>
      </c>
      <c r="DJ726">
        <f>DG726</f>
        <v>177.92</v>
      </c>
      <c r="DK726">
        <v>0</v>
      </c>
      <c r="DL726" t="s">
        <v>486</v>
      </c>
      <c r="DM726">
        <v>0</v>
      </c>
      <c r="DN726" t="s">
        <v>475</v>
      </c>
      <c r="DO726">
        <v>12.62</v>
      </c>
    </row>
    <row r="727" spans="1:119" x14ac:dyDescent="0.2">
      <c r="A727">
        <f>ROW(Source!A286)</f>
        <v>286</v>
      </c>
      <c r="B727">
        <v>55747651</v>
      </c>
      <c r="C727">
        <v>55748579</v>
      </c>
      <c r="D727">
        <v>54738440</v>
      </c>
      <c r="E727">
        <v>1</v>
      </c>
      <c r="F727">
        <v>1</v>
      </c>
      <c r="G727">
        <v>1081</v>
      </c>
      <c r="H727">
        <v>3</v>
      </c>
      <c r="I727" t="s">
        <v>556</v>
      </c>
      <c r="J727" t="s">
        <v>557</v>
      </c>
      <c r="K727" t="s">
        <v>558</v>
      </c>
      <c r="L727">
        <v>1346</v>
      </c>
      <c r="N727">
        <v>1009</v>
      </c>
      <c r="O727" t="s">
        <v>503</v>
      </c>
      <c r="P727" t="s">
        <v>503</v>
      </c>
      <c r="Q727">
        <v>1</v>
      </c>
      <c r="W727">
        <v>0</v>
      </c>
      <c r="X727">
        <v>-1097873860</v>
      </c>
      <c r="Y727">
        <f>((AT727*1)*1)</f>
        <v>9</v>
      </c>
      <c r="AA727">
        <v>101.03</v>
      </c>
      <c r="AB727">
        <v>0</v>
      </c>
      <c r="AC727">
        <v>0</v>
      </c>
      <c r="AD727">
        <v>0</v>
      </c>
      <c r="AE727">
        <v>29.89</v>
      </c>
      <c r="AF727">
        <v>0</v>
      </c>
      <c r="AG727">
        <v>0</v>
      </c>
      <c r="AH727">
        <v>0</v>
      </c>
      <c r="AI727">
        <v>3.38</v>
      </c>
      <c r="AJ727">
        <v>1</v>
      </c>
      <c r="AK727">
        <v>1</v>
      </c>
      <c r="AL727">
        <v>1</v>
      </c>
      <c r="AM727">
        <v>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9</v>
      </c>
      <c r="AU727" t="s">
        <v>38</v>
      </c>
      <c r="AV727">
        <v>0</v>
      </c>
      <c r="AW727">
        <v>2</v>
      </c>
      <c r="AX727">
        <v>57263950</v>
      </c>
      <c r="AY727">
        <v>1</v>
      </c>
      <c r="AZ727">
        <v>0</v>
      </c>
      <c r="BA727">
        <v>761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ROUND(Y727*Source!I286,9)</f>
        <v>57.527999999999999</v>
      </c>
      <c r="CY727">
        <f>AA727</f>
        <v>101.03</v>
      </c>
      <c r="CZ727">
        <f>AE727</f>
        <v>29.89</v>
      </c>
      <c r="DA727">
        <f>AI727</f>
        <v>3.38</v>
      </c>
      <c r="DB727">
        <f>ROUND(((ROUND(AT727*CZ727,2)*1)*1),6)</f>
        <v>269.01</v>
      </c>
      <c r="DC727">
        <f>ROUND(((ROUND(AT727*AG727,2)*1)*1),6)</f>
        <v>0</v>
      </c>
      <c r="DD727" t="s">
        <v>3</v>
      </c>
      <c r="DE727" t="s">
        <v>3</v>
      </c>
      <c r="DF727">
        <f>ROUND(ROUND(AE727*AI727,2)*CX727,2)</f>
        <v>5812.05</v>
      </c>
      <c r="DG727">
        <f>ROUND(ROUND(AF727,2)*CX727,2)</f>
        <v>0</v>
      </c>
      <c r="DH727">
        <f>ROUND(ROUND(AG727,2)*CX727,2)</f>
        <v>0</v>
      </c>
      <c r="DI727">
        <f t="shared" si="290"/>
        <v>0</v>
      </c>
      <c r="DJ727">
        <f>DF727</f>
        <v>5812.05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">
      <c r="A728">
        <f>ROW(Source!A286)</f>
        <v>286</v>
      </c>
      <c r="B728">
        <v>55747651</v>
      </c>
      <c r="C728">
        <v>55748579</v>
      </c>
      <c r="D728">
        <v>54737965</v>
      </c>
      <c r="E728">
        <v>1</v>
      </c>
      <c r="F728">
        <v>1</v>
      </c>
      <c r="G728">
        <v>1081</v>
      </c>
      <c r="H728">
        <v>3</v>
      </c>
      <c r="I728" t="s">
        <v>577</v>
      </c>
      <c r="J728" t="s">
        <v>578</v>
      </c>
      <c r="K728" t="s">
        <v>579</v>
      </c>
      <c r="L728">
        <v>1348</v>
      </c>
      <c r="N728">
        <v>1009</v>
      </c>
      <c r="O728" t="s">
        <v>282</v>
      </c>
      <c r="P728" t="s">
        <v>282</v>
      </c>
      <c r="Q728">
        <v>1000</v>
      </c>
      <c r="W728">
        <v>0</v>
      </c>
      <c r="X728">
        <v>-1860917919</v>
      </c>
      <c r="Y728">
        <f>((AT728*1)*1)</f>
        <v>1.48E-3</v>
      </c>
      <c r="AA728">
        <v>56975.05</v>
      </c>
      <c r="AB728">
        <v>0</v>
      </c>
      <c r="AC728">
        <v>0</v>
      </c>
      <c r="AD728">
        <v>0</v>
      </c>
      <c r="AE728">
        <v>12521.99</v>
      </c>
      <c r="AF728">
        <v>0</v>
      </c>
      <c r="AG728">
        <v>0</v>
      </c>
      <c r="AH728">
        <v>0</v>
      </c>
      <c r="AI728">
        <v>4.55</v>
      </c>
      <c r="AJ728">
        <v>1</v>
      </c>
      <c r="AK728">
        <v>1</v>
      </c>
      <c r="AL728">
        <v>1</v>
      </c>
      <c r="AM728">
        <v>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1.48E-3</v>
      </c>
      <c r="AU728" t="s">
        <v>38</v>
      </c>
      <c r="AV728">
        <v>0</v>
      </c>
      <c r="AW728">
        <v>2</v>
      </c>
      <c r="AX728">
        <v>57263951</v>
      </c>
      <c r="AY728">
        <v>1</v>
      </c>
      <c r="AZ728">
        <v>0</v>
      </c>
      <c r="BA728">
        <v>762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v>0</v>
      </c>
      <c r="CX728">
        <f>ROUND(Y728*Source!I286,9)</f>
        <v>9.4601600000000004E-3</v>
      </c>
      <c r="CY728">
        <f>AA728</f>
        <v>56975.05</v>
      </c>
      <c r="CZ728">
        <f>AE728</f>
        <v>12521.99</v>
      </c>
      <c r="DA728">
        <f>AI728</f>
        <v>4.55</v>
      </c>
      <c r="DB728">
        <f>ROUND(((ROUND(AT728*CZ728,2)*1)*1),6)</f>
        <v>18.53</v>
      </c>
      <c r="DC728">
        <f>ROUND(((ROUND(AT728*AG728,2)*1)*1),6)</f>
        <v>0</v>
      </c>
      <c r="DD728" t="s">
        <v>3</v>
      </c>
      <c r="DE728" t="s">
        <v>3</v>
      </c>
      <c r="DF728">
        <f>ROUND(ROUND(AE728*AI728,2)*CX728,2)</f>
        <v>538.99</v>
      </c>
      <c r="DG728">
        <f>ROUND(ROUND(AF728,2)*CX728,2)</f>
        <v>0</v>
      </c>
      <c r="DH728">
        <f>ROUND(ROUND(AG728,2)*CX728,2)</f>
        <v>0</v>
      </c>
      <c r="DI728">
        <f t="shared" si="290"/>
        <v>0</v>
      </c>
      <c r="DJ728">
        <f>DF728</f>
        <v>538.99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55747843</v>
      </c>
      <c r="C1">
        <v>55747832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473</v>
      </c>
      <c r="J1" t="s">
        <v>3</v>
      </c>
      <c r="K1" t="s">
        <v>474</v>
      </c>
      <c r="L1">
        <v>1191</v>
      </c>
      <c r="N1">
        <v>1013</v>
      </c>
      <c r="O1" t="s">
        <v>475</v>
      </c>
      <c r="P1" t="s">
        <v>475</v>
      </c>
      <c r="Q1">
        <v>1</v>
      </c>
      <c r="X1">
        <v>32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28</v>
      </c>
      <c r="AG1">
        <v>28.799999999999997</v>
      </c>
      <c r="AH1">
        <v>2</v>
      </c>
      <c r="AI1">
        <v>55747833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55747844</v>
      </c>
      <c r="C2">
        <v>55747832</v>
      </c>
      <c r="D2">
        <v>54768040</v>
      </c>
      <c r="E2">
        <v>1</v>
      </c>
      <c r="F2">
        <v>1</v>
      </c>
      <c r="G2">
        <v>1081</v>
      </c>
      <c r="H2">
        <v>2</v>
      </c>
      <c r="I2" t="s">
        <v>476</v>
      </c>
      <c r="J2" t="s">
        <v>477</v>
      </c>
      <c r="K2" t="s">
        <v>478</v>
      </c>
      <c r="L2">
        <v>1368</v>
      </c>
      <c r="N2">
        <v>1011</v>
      </c>
      <c r="O2" t="s">
        <v>479</v>
      </c>
      <c r="P2" t="s">
        <v>479</v>
      </c>
      <c r="Q2">
        <v>1</v>
      </c>
      <c r="X2">
        <v>2.6</v>
      </c>
      <c r="Y2">
        <v>0</v>
      </c>
      <c r="Z2">
        <v>7.11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28</v>
      </c>
      <c r="AG2">
        <v>2.3400000000000003</v>
      </c>
      <c r="AH2">
        <v>2</v>
      </c>
      <c r="AI2">
        <v>55747834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55747845</v>
      </c>
      <c r="C3">
        <v>55747832</v>
      </c>
      <c r="D3">
        <v>54768042</v>
      </c>
      <c r="E3">
        <v>1</v>
      </c>
      <c r="F3">
        <v>1</v>
      </c>
      <c r="G3">
        <v>1081</v>
      </c>
      <c r="H3">
        <v>2</v>
      </c>
      <c r="I3" t="s">
        <v>480</v>
      </c>
      <c r="J3" t="s">
        <v>481</v>
      </c>
      <c r="K3" t="s">
        <v>482</v>
      </c>
      <c r="L3">
        <v>1368</v>
      </c>
      <c r="N3">
        <v>1011</v>
      </c>
      <c r="O3" t="s">
        <v>479</v>
      </c>
      <c r="P3" t="s">
        <v>479</v>
      </c>
      <c r="Q3">
        <v>1</v>
      </c>
      <c r="X3">
        <v>0.5</v>
      </c>
      <c r="Y3">
        <v>0</v>
      </c>
      <c r="Z3">
        <v>0.28000000000000003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28</v>
      </c>
      <c r="AG3">
        <v>0.44999999999999996</v>
      </c>
      <c r="AH3">
        <v>2</v>
      </c>
      <c r="AI3">
        <v>55747835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55747846</v>
      </c>
      <c r="C4">
        <v>55747832</v>
      </c>
      <c r="D4">
        <v>54768339</v>
      </c>
      <c r="E4">
        <v>1</v>
      </c>
      <c r="F4">
        <v>1</v>
      </c>
      <c r="G4">
        <v>1081</v>
      </c>
      <c r="H4">
        <v>2</v>
      </c>
      <c r="I4" t="s">
        <v>483</v>
      </c>
      <c r="J4" t="s">
        <v>484</v>
      </c>
      <c r="K4" t="s">
        <v>485</v>
      </c>
      <c r="L4">
        <v>1368</v>
      </c>
      <c r="N4">
        <v>1011</v>
      </c>
      <c r="O4" t="s">
        <v>479</v>
      </c>
      <c r="P4" t="s">
        <v>479</v>
      </c>
      <c r="Q4">
        <v>1</v>
      </c>
      <c r="X4">
        <v>0.23</v>
      </c>
      <c r="Y4">
        <v>0</v>
      </c>
      <c r="Z4">
        <v>83.1</v>
      </c>
      <c r="AA4">
        <v>12.62</v>
      </c>
      <c r="AB4">
        <v>0</v>
      </c>
      <c r="AC4">
        <v>0</v>
      </c>
      <c r="AD4">
        <v>1</v>
      </c>
      <c r="AE4">
        <v>0</v>
      </c>
      <c r="AF4" t="s">
        <v>28</v>
      </c>
      <c r="AG4">
        <v>0.20700000000000002</v>
      </c>
      <c r="AH4">
        <v>2</v>
      </c>
      <c r="AI4">
        <v>55747836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55747847</v>
      </c>
      <c r="C5">
        <v>55747832</v>
      </c>
      <c r="D5">
        <v>54768400</v>
      </c>
      <c r="E5">
        <v>1</v>
      </c>
      <c r="F5">
        <v>1</v>
      </c>
      <c r="G5">
        <v>1081</v>
      </c>
      <c r="H5">
        <v>2</v>
      </c>
      <c r="I5" t="s">
        <v>487</v>
      </c>
      <c r="J5" t="s">
        <v>488</v>
      </c>
      <c r="K5" t="s">
        <v>489</v>
      </c>
      <c r="L5">
        <v>1368</v>
      </c>
      <c r="N5">
        <v>1011</v>
      </c>
      <c r="O5" t="s">
        <v>479</v>
      </c>
      <c r="P5" t="s">
        <v>479</v>
      </c>
      <c r="Q5">
        <v>1</v>
      </c>
      <c r="X5">
        <v>2.9</v>
      </c>
      <c r="Y5">
        <v>0</v>
      </c>
      <c r="Z5">
        <v>0.42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28</v>
      </c>
      <c r="AG5">
        <v>2.61</v>
      </c>
      <c r="AH5">
        <v>2</v>
      </c>
      <c r="AI5">
        <v>55747837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55747848</v>
      </c>
      <c r="C6">
        <v>55747832</v>
      </c>
      <c r="D6">
        <v>54767702</v>
      </c>
      <c r="E6">
        <v>1</v>
      </c>
      <c r="F6">
        <v>1</v>
      </c>
      <c r="G6">
        <v>1081</v>
      </c>
      <c r="H6">
        <v>2</v>
      </c>
      <c r="I6" t="s">
        <v>490</v>
      </c>
      <c r="J6" t="s">
        <v>491</v>
      </c>
      <c r="K6" t="s">
        <v>492</v>
      </c>
      <c r="L6">
        <v>1368</v>
      </c>
      <c r="N6">
        <v>1011</v>
      </c>
      <c r="O6" t="s">
        <v>479</v>
      </c>
      <c r="P6" t="s">
        <v>479</v>
      </c>
      <c r="Q6">
        <v>1</v>
      </c>
      <c r="X6">
        <v>0.78</v>
      </c>
      <c r="Y6">
        <v>0</v>
      </c>
      <c r="Z6">
        <v>4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28</v>
      </c>
      <c r="AG6">
        <v>0.70199999999999996</v>
      </c>
      <c r="AH6">
        <v>2</v>
      </c>
      <c r="AI6">
        <v>55747838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55747849</v>
      </c>
      <c r="C7">
        <v>55747832</v>
      </c>
      <c r="D7">
        <v>54738518</v>
      </c>
      <c r="E7">
        <v>1</v>
      </c>
      <c r="F7">
        <v>1</v>
      </c>
      <c r="G7">
        <v>1081</v>
      </c>
      <c r="H7">
        <v>3</v>
      </c>
      <c r="I7" t="s">
        <v>493</v>
      </c>
      <c r="J7" t="s">
        <v>494</v>
      </c>
      <c r="K7" t="s">
        <v>495</v>
      </c>
      <c r="L7">
        <v>1348</v>
      </c>
      <c r="N7">
        <v>1009</v>
      </c>
      <c r="O7" t="s">
        <v>282</v>
      </c>
      <c r="P7" t="s">
        <v>282</v>
      </c>
      <c r="Q7">
        <v>1000</v>
      </c>
      <c r="X7">
        <v>3.5000000000000001E-3</v>
      </c>
      <c r="Y7">
        <v>9112.49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27</v>
      </c>
      <c r="AG7">
        <v>2.6250000000000002E-3</v>
      </c>
      <c r="AH7">
        <v>2</v>
      </c>
      <c r="AI7">
        <v>55747839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55747850</v>
      </c>
      <c r="C8">
        <v>55747832</v>
      </c>
      <c r="D8">
        <v>54738676</v>
      </c>
      <c r="E8">
        <v>1</v>
      </c>
      <c r="F8">
        <v>1</v>
      </c>
      <c r="G8">
        <v>1081</v>
      </c>
      <c r="H8">
        <v>3</v>
      </c>
      <c r="I8" t="s">
        <v>496</v>
      </c>
      <c r="J8" t="s">
        <v>497</v>
      </c>
      <c r="K8" t="s">
        <v>498</v>
      </c>
      <c r="L8">
        <v>1255</v>
      </c>
      <c r="N8">
        <v>1013</v>
      </c>
      <c r="O8" t="s">
        <v>499</v>
      </c>
      <c r="P8" t="s">
        <v>499</v>
      </c>
      <c r="Q8">
        <v>1</v>
      </c>
      <c r="X8">
        <v>9.5</v>
      </c>
      <c r="Y8">
        <v>0.42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27</v>
      </c>
      <c r="AG8">
        <v>7.125</v>
      </c>
      <c r="AH8">
        <v>2</v>
      </c>
      <c r="AI8">
        <v>55747840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ROW(Source!A28)</f>
        <v>28</v>
      </c>
      <c r="B9">
        <v>55747851</v>
      </c>
      <c r="C9">
        <v>55747832</v>
      </c>
      <c r="D9">
        <v>54739191</v>
      </c>
      <c r="E9">
        <v>1</v>
      </c>
      <c r="F9">
        <v>1</v>
      </c>
      <c r="G9">
        <v>1081</v>
      </c>
      <c r="H9">
        <v>3</v>
      </c>
      <c r="I9" t="s">
        <v>500</v>
      </c>
      <c r="J9" t="s">
        <v>501</v>
      </c>
      <c r="K9" t="s">
        <v>502</v>
      </c>
      <c r="L9">
        <v>1346</v>
      </c>
      <c r="N9">
        <v>1009</v>
      </c>
      <c r="O9" t="s">
        <v>503</v>
      </c>
      <c r="P9" t="s">
        <v>503</v>
      </c>
      <c r="Q9">
        <v>1</v>
      </c>
      <c r="X9">
        <v>0.24</v>
      </c>
      <c r="Y9">
        <v>6.25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27</v>
      </c>
      <c r="AG9">
        <v>0.18</v>
      </c>
      <c r="AH9">
        <v>2</v>
      </c>
      <c r="AI9">
        <v>55747841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ROW(Source!A28)</f>
        <v>28</v>
      </c>
      <c r="B10">
        <v>55747852</v>
      </c>
      <c r="C10">
        <v>55747832</v>
      </c>
      <c r="D10">
        <v>54737565</v>
      </c>
      <c r="E10">
        <v>1</v>
      </c>
      <c r="F10">
        <v>1</v>
      </c>
      <c r="G10">
        <v>1081</v>
      </c>
      <c r="H10">
        <v>3</v>
      </c>
      <c r="I10" t="s">
        <v>504</v>
      </c>
      <c r="J10" t="s">
        <v>505</v>
      </c>
      <c r="K10" t="s">
        <v>506</v>
      </c>
      <c r="L10">
        <v>1339</v>
      </c>
      <c r="N10">
        <v>1007</v>
      </c>
      <c r="O10" t="s">
        <v>507</v>
      </c>
      <c r="P10" t="s">
        <v>507</v>
      </c>
      <c r="Q10">
        <v>1</v>
      </c>
      <c r="X10">
        <v>1.4</v>
      </c>
      <c r="Y10">
        <v>5.82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27</v>
      </c>
      <c r="AG10">
        <v>1.0499999999999998</v>
      </c>
      <c r="AH10">
        <v>2</v>
      </c>
      <c r="AI10">
        <v>55747842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ROW(Source!A28)</f>
        <v>28</v>
      </c>
      <c r="B11">
        <v>55747853</v>
      </c>
      <c r="C11">
        <v>55747832</v>
      </c>
      <c r="D11">
        <v>54717540</v>
      </c>
      <c r="E11">
        <v>1081</v>
      </c>
      <c r="F11">
        <v>1</v>
      </c>
      <c r="G11">
        <v>1081</v>
      </c>
      <c r="H11">
        <v>3</v>
      </c>
      <c r="I11" t="s">
        <v>657</v>
      </c>
      <c r="J11" t="s">
        <v>3</v>
      </c>
      <c r="K11" t="s">
        <v>658</v>
      </c>
      <c r="L11">
        <v>1391</v>
      </c>
      <c r="N11">
        <v>1013</v>
      </c>
      <c r="O11" t="s">
        <v>381</v>
      </c>
      <c r="P11" t="s">
        <v>381</v>
      </c>
      <c r="Q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27</v>
      </c>
      <c r="AG11">
        <v>0.75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55747843</v>
      </c>
      <c r="C12">
        <v>55747832</v>
      </c>
      <c r="D12">
        <v>54702434</v>
      </c>
      <c r="E12">
        <v>1081</v>
      </c>
      <c r="F12">
        <v>1</v>
      </c>
      <c r="G12">
        <v>1081</v>
      </c>
      <c r="H12">
        <v>1</v>
      </c>
      <c r="I12" t="s">
        <v>473</v>
      </c>
      <c r="J12" t="s">
        <v>3</v>
      </c>
      <c r="K12" t="s">
        <v>474</v>
      </c>
      <c r="L12">
        <v>1191</v>
      </c>
      <c r="N12">
        <v>1013</v>
      </c>
      <c r="O12" t="s">
        <v>475</v>
      </c>
      <c r="P12" t="s">
        <v>475</v>
      </c>
      <c r="Q12">
        <v>1</v>
      </c>
      <c r="X12">
        <v>32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t="s">
        <v>28</v>
      </c>
      <c r="AG12">
        <v>28.799999999999997</v>
      </c>
      <c r="AH12">
        <v>2</v>
      </c>
      <c r="AI12">
        <v>55747833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55747844</v>
      </c>
      <c r="C13">
        <v>55747832</v>
      </c>
      <c r="D13">
        <v>54768040</v>
      </c>
      <c r="E13">
        <v>1</v>
      </c>
      <c r="F13">
        <v>1</v>
      </c>
      <c r="G13">
        <v>1081</v>
      </c>
      <c r="H13">
        <v>2</v>
      </c>
      <c r="I13" t="s">
        <v>476</v>
      </c>
      <c r="J13" t="s">
        <v>477</v>
      </c>
      <c r="K13" t="s">
        <v>478</v>
      </c>
      <c r="L13">
        <v>1368</v>
      </c>
      <c r="N13">
        <v>1011</v>
      </c>
      <c r="O13" t="s">
        <v>479</v>
      </c>
      <c r="P13" t="s">
        <v>479</v>
      </c>
      <c r="Q13">
        <v>1</v>
      </c>
      <c r="X13">
        <v>2.6</v>
      </c>
      <c r="Y13">
        <v>0</v>
      </c>
      <c r="Z13">
        <v>7.11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28</v>
      </c>
      <c r="AG13">
        <v>2.3400000000000003</v>
      </c>
      <c r="AH13">
        <v>2</v>
      </c>
      <c r="AI13">
        <v>55747834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55747845</v>
      </c>
      <c r="C14">
        <v>55747832</v>
      </c>
      <c r="D14">
        <v>54768042</v>
      </c>
      <c r="E14">
        <v>1</v>
      </c>
      <c r="F14">
        <v>1</v>
      </c>
      <c r="G14">
        <v>1081</v>
      </c>
      <c r="H14">
        <v>2</v>
      </c>
      <c r="I14" t="s">
        <v>480</v>
      </c>
      <c r="J14" t="s">
        <v>481</v>
      </c>
      <c r="K14" t="s">
        <v>482</v>
      </c>
      <c r="L14">
        <v>1368</v>
      </c>
      <c r="N14">
        <v>1011</v>
      </c>
      <c r="O14" t="s">
        <v>479</v>
      </c>
      <c r="P14" t="s">
        <v>479</v>
      </c>
      <c r="Q14">
        <v>1</v>
      </c>
      <c r="X14">
        <v>0.5</v>
      </c>
      <c r="Y14">
        <v>0</v>
      </c>
      <c r="Z14">
        <v>0.28000000000000003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28</v>
      </c>
      <c r="AG14">
        <v>0.44999999999999996</v>
      </c>
      <c r="AH14">
        <v>2</v>
      </c>
      <c r="AI14">
        <v>55747835</v>
      </c>
      <c r="AJ14">
        <v>13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55747846</v>
      </c>
      <c r="C15">
        <v>55747832</v>
      </c>
      <c r="D15">
        <v>54768339</v>
      </c>
      <c r="E15">
        <v>1</v>
      </c>
      <c r="F15">
        <v>1</v>
      </c>
      <c r="G15">
        <v>1081</v>
      </c>
      <c r="H15">
        <v>2</v>
      </c>
      <c r="I15" t="s">
        <v>483</v>
      </c>
      <c r="J15" t="s">
        <v>484</v>
      </c>
      <c r="K15" t="s">
        <v>485</v>
      </c>
      <c r="L15">
        <v>1368</v>
      </c>
      <c r="N15">
        <v>1011</v>
      </c>
      <c r="O15" t="s">
        <v>479</v>
      </c>
      <c r="P15" t="s">
        <v>479</v>
      </c>
      <c r="Q15">
        <v>1</v>
      </c>
      <c r="X15">
        <v>0.23</v>
      </c>
      <c r="Y15">
        <v>0</v>
      </c>
      <c r="Z15">
        <v>83.1</v>
      </c>
      <c r="AA15">
        <v>12.62</v>
      </c>
      <c r="AB15">
        <v>0</v>
      </c>
      <c r="AC15">
        <v>0</v>
      </c>
      <c r="AD15">
        <v>1</v>
      </c>
      <c r="AE15">
        <v>0</v>
      </c>
      <c r="AF15" t="s">
        <v>28</v>
      </c>
      <c r="AG15">
        <v>0.20700000000000002</v>
      </c>
      <c r="AH15">
        <v>2</v>
      </c>
      <c r="AI15">
        <v>55747836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55747847</v>
      </c>
      <c r="C16">
        <v>55747832</v>
      </c>
      <c r="D16">
        <v>54768400</v>
      </c>
      <c r="E16">
        <v>1</v>
      </c>
      <c r="F16">
        <v>1</v>
      </c>
      <c r="G16">
        <v>1081</v>
      </c>
      <c r="H16">
        <v>2</v>
      </c>
      <c r="I16" t="s">
        <v>487</v>
      </c>
      <c r="J16" t="s">
        <v>488</v>
      </c>
      <c r="K16" t="s">
        <v>489</v>
      </c>
      <c r="L16">
        <v>1368</v>
      </c>
      <c r="N16">
        <v>1011</v>
      </c>
      <c r="O16" t="s">
        <v>479</v>
      </c>
      <c r="P16" t="s">
        <v>479</v>
      </c>
      <c r="Q16">
        <v>1</v>
      </c>
      <c r="X16">
        <v>2.9</v>
      </c>
      <c r="Y16">
        <v>0</v>
      </c>
      <c r="Z16">
        <v>0.42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28</v>
      </c>
      <c r="AG16">
        <v>2.61</v>
      </c>
      <c r="AH16">
        <v>2</v>
      </c>
      <c r="AI16">
        <v>55747837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ROW(Source!A29)</f>
        <v>29</v>
      </c>
      <c r="B17">
        <v>55747848</v>
      </c>
      <c r="C17">
        <v>55747832</v>
      </c>
      <c r="D17">
        <v>54767702</v>
      </c>
      <c r="E17">
        <v>1</v>
      </c>
      <c r="F17">
        <v>1</v>
      </c>
      <c r="G17">
        <v>1081</v>
      </c>
      <c r="H17">
        <v>2</v>
      </c>
      <c r="I17" t="s">
        <v>490</v>
      </c>
      <c r="J17" t="s">
        <v>491</v>
      </c>
      <c r="K17" t="s">
        <v>492</v>
      </c>
      <c r="L17">
        <v>1368</v>
      </c>
      <c r="N17">
        <v>1011</v>
      </c>
      <c r="O17" t="s">
        <v>479</v>
      </c>
      <c r="P17" t="s">
        <v>479</v>
      </c>
      <c r="Q17">
        <v>1</v>
      </c>
      <c r="X17">
        <v>0.78</v>
      </c>
      <c r="Y17">
        <v>0</v>
      </c>
      <c r="Z17">
        <v>4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28</v>
      </c>
      <c r="AG17">
        <v>0.70199999999999996</v>
      </c>
      <c r="AH17">
        <v>2</v>
      </c>
      <c r="AI17">
        <v>55747838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ROW(Source!A29)</f>
        <v>29</v>
      </c>
      <c r="B18">
        <v>55747849</v>
      </c>
      <c r="C18">
        <v>55747832</v>
      </c>
      <c r="D18">
        <v>54738518</v>
      </c>
      <c r="E18">
        <v>1</v>
      </c>
      <c r="F18">
        <v>1</v>
      </c>
      <c r="G18">
        <v>1081</v>
      </c>
      <c r="H18">
        <v>3</v>
      </c>
      <c r="I18" t="s">
        <v>493</v>
      </c>
      <c r="J18" t="s">
        <v>494</v>
      </c>
      <c r="K18" t="s">
        <v>495</v>
      </c>
      <c r="L18">
        <v>1348</v>
      </c>
      <c r="N18">
        <v>1009</v>
      </c>
      <c r="O18" t="s">
        <v>282</v>
      </c>
      <c r="P18" t="s">
        <v>282</v>
      </c>
      <c r="Q18">
        <v>1000</v>
      </c>
      <c r="X18">
        <v>3.5000000000000001E-3</v>
      </c>
      <c r="Y18">
        <v>9112.49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27</v>
      </c>
      <c r="AG18">
        <v>2.6250000000000002E-3</v>
      </c>
      <c r="AH18">
        <v>2</v>
      </c>
      <c r="AI18">
        <v>55747839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ROW(Source!A29)</f>
        <v>29</v>
      </c>
      <c r="B19">
        <v>55747850</v>
      </c>
      <c r="C19">
        <v>55747832</v>
      </c>
      <c r="D19">
        <v>54738676</v>
      </c>
      <c r="E19">
        <v>1</v>
      </c>
      <c r="F19">
        <v>1</v>
      </c>
      <c r="G19">
        <v>1081</v>
      </c>
      <c r="H19">
        <v>3</v>
      </c>
      <c r="I19" t="s">
        <v>496</v>
      </c>
      <c r="J19" t="s">
        <v>497</v>
      </c>
      <c r="K19" t="s">
        <v>498</v>
      </c>
      <c r="L19">
        <v>1255</v>
      </c>
      <c r="N19">
        <v>1013</v>
      </c>
      <c r="O19" t="s">
        <v>499</v>
      </c>
      <c r="P19" t="s">
        <v>499</v>
      </c>
      <c r="Q19">
        <v>1</v>
      </c>
      <c r="X19">
        <v>9.5</v>
      </c>
      <c r="Y19">
        <v>0.42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27</v>
      </c>
      <c r="AG19">
        <v>7.125</v>
      </c>
      <c r="AH19">
        <v>2</v>
      </c>
      <c r="AI19">
        <v>55747840</v>
      </c>
      <c r="AJ19">
        <v>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ROW(Source!A29)</f>
        <v>29</v>
      </c>
      <c r="B20">
        <v>55747851</v>
      </c>
      <c r="C20">
        <v>55747832</v>
      </c>
      <c r="D20">
        <v>54739191</v>
      </c>
      <c r="E20">
        <v>1</v>
      </c>
      <c r="F20">
        <v>1</v>
      </c>
      <c r="G20">
        <v>1081</v>
      </c>
      <c r="H20">
        <v>3</v>
      </c>
      <c r="I20" t="s">
        <v>500</v>
      </c>
      <c r="J20" t="s">
        <v>501</v>
      </c>
      <c r="K20" t="s">
        <v>502</v>
      </c>
      <c r="L20">
        <v>1346</v>
      </c>
      <c r="N20">
        <v>1009</v>
      </c>
      <c r="O20" t="s">
        <v>503</v>
      </c>
      <c r="P20" t="s">
        <v>503</v>
      </c>
      <c r="Q20">
        <v>1</v>
      </c>
      <c r="X20">
        <v>0.24</v>
      </c>
      <c r="Y20">
        <v>6.25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27</v>
      </c>
      <c r="AG20">
        <v>0.18</v>
      </c>
      <c r="AH20">
        <v>2</v>
      </c>
      <c r="AI20">
        <v>55747841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ROW(Source!A29)</f>
        <v>29</v>
      </c>
      <c r="B21">
        <v>55747852</v>
      </c>
      <c r="C21">
        <v>55747832</v>
      </c>
      <c r="D21">
        <v>54737565</v>
      </c>
      <c r="E21">
        <v>1</v>
      </c>
      <c r="F21">
        <v>1</v>
      </c>
      <c r="G21">
        <v>1081</v>
      </c>
      <c r="H21">
        <v>3</v>
      </c>
      <c r="I21" t="s">
        <v>504</v>
      </c>
      <c r="J21" t="s">
        <v>505</v>
      </c>
      <c r="K21" t="s">
        <v>506</v>
      </c>
      <c r="L21">
        <v>1339</v>
      </c>
      <c r="N21">
        <v>1007</v>
      </c>
      <c r="O21" t="s">
        <v>507</v>
      </c>
      <c r="P21" t="s">
        <v>507</v>
      </c>
      <c r="Q21">
        <v>1</v>
      </c>
      <c r="X21">
        <v>1.4</v>
      </c>
      <c r="Y21">
        <v>5.82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27</v>
      </c>
      <c r="AG21">
        <v>1.0499999999999998</v>
      </c>
      <c r="AH21">
        <v>2</v>
      </c>
      <c r="AI21">
        <v>55747842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ROW(Source!A29)</f>
        <v>29</v>
      </c>
      <c r="B22">
        <v>55747853</v>
      </c>
      <c r="C22">
        <v>55747832</v>
      </c>
      <c r="D22">
        <v>54717540</v>
      </c>
      <c r="E22">
        <v>1081</v>
      </c>
      <c r="F22">
        <v>1</v>
      </c>
      <c r="G22">
        <v>1081</v>
      </c>
      <c r="H22">
        <v>3</v>
      </c>
      <c r="I22" t="s">
        <v>657</v>
      </c>
      <c r="J22" t="s">
        <v>3</v>
      </c>
      <c r="K22" t="s">
        <v>658</v>
      </c>
      <c r="L22">
        <v>1391</v>
      </c>
      <c r="N22">
        <v>1013</v>
      </c>
      <c r="O22" t="s">
        <v>381</v>
      </c>
      <c r="P22" t="s">
        <v>381</v>
      </c>
      <c r="Q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27</v>
      </c>
      <c r="AG22">
        <v>0.75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ROW(Source!A30)</f>
        <v>30</v>
      </c>
      <c r="B23">
        <v>57261017</v>
      </c>
      <c r="C23">
        <v>57261016</v>
      </c>
      <c r="D23">
        <v>54702434</v>
      </c>
      <c r="E23">
        <v>1081</v>
      </c>
      <c r="F23">
        <v>1</v>
      </c>
      <c r="G23">
        <v>1081</v>
      </c>
      <c r="H23">
        <v>1</v>
      </c>
      <c r="I23" t="s">
        <v>473</v>
      </c>
      <c r="J23" t="s">
        <v>3</v>
      </c>
      <c r="K23" t="s">
        <v>474</v>
      </c>
      <c r="L23">
        <v>1191</v>
      </c>
      <c r="N23">
        <v>1013</v>
      </c>
      <c r="O23" t="s">
        <v>475</v>
      </c>
      <c r="P23" t="s">
        <v>475</v>
      </c>
      <c r="Q23">
        <v>1</v>
      </c>
      <c r="X23">
        <v>16.3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40</v>
      </c>
      <c r="AG23">
        <v>22.493999999999996</v>
      </c>
      <c r="AH23">
        <v>2</v>
      </c>
      <c r="AI23">
        <v>57261017</v>
      </c>
      <c r="AJ23">
        <v>21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ROW(Source!A30)</f>
        <v>30</v>
      </c>
      <c r="B24">
        <v>57261018</v>
      </c>
      <c r="C24">
        <v>57261016</v>
      </c>
      <c r="D24">
        <v>54768040</v>
      </c>
      <c r="E24">
        <v>1</v>
      </c>
      <c r="F24">
        <v>1</v>
      </c>
      <c r="G24">
        <v>1081</v>
      </c>
      <c r="H24">
        <v>2</v>
      </c>
      <c r="I24" t="s">
        <v>476</v>
      </c>
      <c r="J24" t="s">
        <v>477</v>
      </c>
      <c r="K24" t="s">
        <v>478</v>
      </c>
      <c r="L24">
        <v>1368</v>
      </c>
      <c r="N24">
        <v>1011</v>
      </c>
      <c r="O24" t="s">
        <v>479</v>
      </c>
      <c r="P24" t="s">
        <v>479</v>
      </c>
      <c r="Q24">
        <v>1</v>
      </c>
      <c r="X24">
        <v>0.53</v>
      </c>
      <c r="Y24">
        <v>0</v>
      </c>
      <c r="Z24">
        <v>7.11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39</v>
      </c>
      <c r="AG24">
        <v>0.79500000000000004</v>
      </c>
      <c r="AH24">
        <v>2</v>
      </c>
      <c r="AI24">
        <v>57261018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ROW(Source!A30)</f>
        <v>30</v>
      </c>
      <c r="B25">
        <v>57261019</v>
      </c>
      <c r="C25">
        <v>57261016</v>
      </c>
      <c r="D25">
        <v>54768339</v>
      </c>
      <c r="E25">
        <v>1</v>
      </c>
      <c r="F25">
        <v>1</v>
      </c>
      <c r="G25">
        <v>1081</v>
      </c>
      <c r="H25">
        <v>2</v>
      </c>
      <c r="I25" t="s">
        <v>483</v>
      </c>
      <c r="J25" t="s">
        <v>484</v>
      </c>
      <c r="K25" t="s">
        <v>485</v>
      </c>
      <c r="L25">
        <v>1368</v>
      </c>
      <c r="N25">
        <v>1011</v>
      </c>
      <c r="O25" t="s">
        <v>479</v>
      </c>
      <c r="P25" t="s">
        <v>479</v>
      </c>
      <c r="Q25">
        <v>1</v>
      </c>
      <c r="X25">
        <v>0.06</v>
      </c>
      <c r="Y25">
        <v>0</v>
      </c>
      <c r="Z25">
        <v>83.1</v>
      </c>
      <c r="AA25">
        <v>12.62</v>
      </c>
      <c r="AB25">
        <v>0</v>
      </c>
      <c r="AC25">
        <v>0</v>
      </c>
      <c r="AD25">
        <v>1</v>
      </c>
      <c r="AE25">
        <v>0</v>
      </c>
      <c r="AF25" t="s">
        <v>39</v>
      </c>
      <c r="AG25">
        <v>0.09</v>
      </c>
      <c r="AH25">
        <v>2</v>
      </c>
      <c r="AI25">
        <v>57261019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ROW(Source!A30)</f>
        <v>30</v>
      </c>
      <c r="B26">
        <v>57261020</v>
      </c>
      <c r="C26">
        <v>57261016</v>
      </c>
      <c r="D26">
        <v>54767573</v>
      </c>
      <c r="E26">
        <v>1</v>
      </c>
      <c r="F26">
        <v>1</v>
      </c>
      <c r="G26">
        <v>1081</v>
      </c>
      <c r="H26">
        <v>2</v>
      </c>
      <c r="I26" t="s">
        <v>508</v>
      </c>
      <c r="J26" t="s">
        <v>509</v>
      </c>
      <c r="K26" t="s">
        <v>510</v>
      </c>
      <c r="L26">
        <v>1368</v>
      </c>
      <c r="N26">
        <v>1011</v>
      </c>
      <c r="O26" t="s">
        <v>479</v>
      </c>
      <c r="P26" t="s">
        <v>479</v>
      </c>
      <c r="Q26">
        <v>1</v>
      </c>
      <c r="X26">
        <v>0.04</v>
      </c>
      <c r="Y26">
        <v>0</v>
      </c>
      <c r="Z26">
        <v>179.17</v>
      </c>
      <c r="AA26">
        <v>16.93</v>
      </c>
      <c r="AB26">
        <v>0</v>
      </c>
      <c r="AC26">
        <v>0</v>
      </c>
      <c r="AD26">
        <v>1</v>
      </c>
      <c r="AE26">
        <v>0</v>
      </c>
      <c r="AF26" t="s">
        <v>39</v>
      </c>
      <c r="AG26">
        <v>0.06</v>
      </c>
      <c r="AH26">
        <v>2</v>
      </c>
      <c r="AI26">
        <v>57261020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ROW(Source!A30)</f>
        <v>30</v>
      </c>
      <c r="B27">
        <v>57261021</v>
      </c>
      <c r="C27">
        <v>57261016</v>
      </c>
      <c r="D27">
        <v>54737969</v>
      </c>
      <c r="E27">
        <v>1</v>
      </c>
      <c r="F27">
        <v>1</v>
      </c>
      <c r="G27">
        <v>1081</v>
      </c>
      <c r="H27">
        <v>3</v>
      </c>
      <c r="I27" t="s">
        <v>511</v>
      </c>
      <c r="J27" t="s">
        <v>512</v>
      </c>
      <c r="K27" t="s">
        <v>513</v>
      </c>
      <c r="L27">
        <v>1348</v>
      </c>
      <c r="N27">
        <v>1009</v>
      </c>
      <c r="O27" t="s">
        <v>282</v>
      </c>
      <c r="P27" t="s">
        <v>282</v>
      </c>
      <c r="Q27">
        <v>1000</v>
      </c>
      <c r="X27">
        <v>9.0000000000000006E-5</v>
      </c>
      <c r="Y27">
        <v>23114.43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38</v>
      </c>
      <c r="AG27">
        <v>9.0000000000000006E-5</v>
      </c>
      <c r="AH27">
        <v>2</v>
      </c>
      <c r="AI27">
        <v>57261021</v>
      </c>
      <c r="AJ27">
        <v>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ROW(Source!A30)</f>
        <v>30</v>
      </c>
      <c r="B28">
        <v>57261022</v>
      </c>
      <c r="C28">
        <v>57261016</v>
      </c>
      <c r="D28">
        <v>54738510</v>
      </c>
      <c r="E28">
        <v>1</v>
      </c>
      <c r="F28">
        <v>1</v>
      </c>
      <c r="G28">
        <v>1081</v>
      </c>
      <c r="H28">
        <v>3</v>
      </c>
      <c r="I28" t="s">
        <v>514</v>
      </c>
      <c r="J28" t="s">
        <v>515</v>
      </c>
      <c r="K28" t="s">
        <v>516</v>
      </c>
      <c r="L28">
        <v>1348</v>
      </c>
      <c r="N28">
        <v>1009</v>
      </c>
      <c r="O28" t="s">
        <v>282</v>
      </c>
      <c r="P28" t="s">
        <v>282</v>
      </c>
      <c r="Q28">
        <v>1000</v>
      </c>
      <c r="X28">
        <v>4.0999999999999999E-4</v>
      </c>
      <c r="Y28">
        <v>8590.86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38</v>
      </c>
      <c r="AG28">
        <v>4.0999999999999999E-4</v>
      </c>
      <c r="AH28">
        <v>2</v>
      </c>
      <c r="AI28">
        <v>57261022</v>
      </c>
      <c r="AJ28">
        <v>26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ROW(Source!A30)</f>
        <v>30</v>
      </c>
      <c r="B29">
        <v>57261023</v>
      </c>
      <c r="C29">
        <v>57261016</v>
      </c>
      <c r="D29">
        <v>54753582</v>
      </c>
      <c r="E29">
        <v>1</v>
      </c>
      <c r="F29">
        <v>1</v>
      </c>
      <c r="G29">
        <v>1081</v>
      </c>
      <c r="H29">
        <v>3</v>
      </c>
      <c r="I29" t="s">
        <v>517</v>
      </c>
      <c r="J29" t="s">
        <v>518</v>
      </c>
      <c r="K29" t="s">
        <v>519</v>
      </c>
      <c r="L29">
        <v>1354</v>
      </c>
      <c r="N29">
        <v>1010</v>
      </c>
      <c r="O29" t="s">
        <v>118</v>
      </c>
      <c r="P29" t="s">
        <v>118</v>
      </c>
      <c r="Q29">
        <v>1</v>
      </c>
      <c r="X29">
        <v>1</v>
      </c>
      <c r="Y29">
        <v>73.52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38</v>
      </c>
      <c r="AG29">
        <v>1</v>
      </c>
      <c r="AH29">
        <v>2</v>
      </c>
      <c r="AI29">
        <v>57261023</v>
      </c>
      <c r="AJ29">
        <v>27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ROW(Source!A30)</f>
        <v>30</v>
      </c>
      <c r="B30">
        <v>57261024</v>
      </c>
      <c r="C30">
        <v>57261016</v>
      </c>
      <c r="D30">
        <v>54753583</v>
      </c>
      <c r="E30">
        <v>1</v>
      </c>
      <c r="F30">
        <v>1</v>
      </c>
      <c r="G30">
        <v>1081</v>
      </c>
      <c r="H30">
        <v>3</v>
      </c>
      <c r="I30" t="s">
        <v>520</v>
      </c>
      <c r="J30" t="s">
        <v>521</v>
      </c>
      <c r="K30" t="s">
        <v>522</v>
      </c>
      <c r="L30">
        <v>1354</v>
      </c>
      <c r="N30">
        <v>1010</v>
      </c>
      <c r="O30" t="s">
        <v>118</v>
      </c>
      <c r="P30" t="s">
        <v>118</v>
      </c>
      <c r="Q30">
        <v>1</v>
      </c>
      <c r="X30">
        <v>1</v>
      </c>
      <c r="Y30">
        <v>87.78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38</v>
      </c>
      <c r="AG30">
        <v>1</v>
      </c>
      <c r="AH30">
        <v>2</v>
      </c>
      <c r="AI30">
        <v>57261024</v>
      </c>
      <c r="AJ30">
        <v>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ROW(Source!A30)</f>
        <v>30</v>
      </c>
      <c r="B31">
        <v>57261025</v>
      </c>
      <c r="C31">
        <v>57261016</v>
      </c>
      <c r="D31">
        <v>54744824</v>
      </c>
      <c r="E31">
        <v>1</v>
      </c>
      <c r="F31">
        <v>1</v>
      </c>
      <c r="G31">
        <v>1081</v>
      </c>
      <c r="H31">
        <v>3</v>
      </c>
      <c r="I31" t="s">
        <v>523</v>
      </c>
      <c r="J31" t="s">
        <v>524</v>
      </c>
      <c r="K31" t="s">
        <v>525</v>
      </c>
      <c r="L31">
        <v>1339</v>
      </c>
      <c r="N31">
        <v>1007</v>
      </c>
      <c r="O31" t="s">
        <v>507</v>
      </c>
      <c r="P31" t="s">
        <v>507</v>
      </c>
      <c r="Q31">
        <v>1</v>
      </c>
      <c r="X31">
        <v>1.4E-2</v>
      </c>
      <c r="Y31">
        <v>364.57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38</v>
      </c>
      <c r="AG31">
        <v>1.4E-2</v>
      </c>
      <c r="AH31">
        <v>2</v>
      </c>
      <c r="AI31">
        <v>57261025</v>
      </c>
      <c r="AJ31">
        <v>29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ROW(Source!A30)</f>
        <v>30</v>
      </c>
      <c r="B32">
        <v>57261026</v>
      </c>
      <c r="C32">
        <v>57261016</v>
      </c>
      <c r="D32">
        <v>54695116</v>
      </c>
      <c r="E32">
        <v>1081</v>
      </c>
      <c r="F32">
        <v>1</v>
      </c>
      <c r="G32">
        <v>1081</v>
      </c>
      <c r="H32">
        <v>3</v>
      </c>
      <c r="I32" t="s">
        <v>659</v>
      </c>
      <c r="J32" t="s">
        <v>3</v>
      </c>
      <c r="K32" t="s">
        <v>660</v>
      </c>
      <c r="L32">
        <v>1348</v>
      </c>
      <c r="N32">
        <v>1009</v>
      </c>
      <c r="O32" t="s">
        <v>282</v>
      </c>
      <c r="P32" t="s">
        <v>282</v>
      </c>
      <c r="Q32">
        <v>1000</v>
      </c>
      <c r="X32">
        <v>2.2000000000000001E-3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38</v>
      </c>
      <c r="AG32">
        <v>2.2000000000000001E-3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ROW(Source!A30)</f>
        <v>30</v>
      </c>
      <c r="B33">
        <v>57261027</v>
      </c>
      <c r="C33">
        <v>57261016</v>
      </c>
      <c r="D33">
        <v>54695142</v>
      </c>
      <c r="E33">
        <v>1081</v>
      </c>
      <c r="F33">
        <v>1</v>
      </c>
      <c r="G33">
        <v>1081</v>
      </c>
      <c r="H33">
        <v>3</v>
      </c>
      <c r="I33" t="s">
        <v>659</v>
      </c>
      <c r="J33" t="s">
        <v>3</v>
      </c>
      <c r="K33" t="s">
        <v>661</v>
      </c>
      <c r="L33">
        <v>1348</v>
      </c>
      <c r="N33">
        <v>1009</v>
      </c>
      <c r="O33" t="s">
        <v>282</v>
      </c>
      <c r="P33" t="s">
        <v>282</v>
      </c>
      <c r="Q33">
        <v>1000</v>
      </c>
      <c r="X33">
        <v>1.64E-3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38</v>
      </c>
      <c r="AG33">
        <v>1.64E-3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ROW(Source!A30)</f>
        <v>30</v>
      </c>
      <c r="B34">
        <v>57261028</v>
      </c>
      <c r="C34">
        <v>57261016</v>
      </c>
      <c r="D34">
        <v>54717665</v>
      </c>
      <c r="E34">
        <v>1081</v>
      </c>
      <c r="F34">
        <v>1</v>
      </c>
      <c r="G34">
        <v>1081</v>
      </c>
      <c r="H34">
        <v>3</v>
      </c>
      <c r="I34" t="s">
        <v>662</v>
      </c>
      <c r="J34" t="s">
        <v>3</v>
      </c>
      <c r="K34" t="s">
        <v>663</v>
      </c>
      <c r="L34">
        <v>1354</v>
      </c>
      <c r="N34">
        <v>1010</v>
      </c>
      <c r="O34" t="s">
        <v>118</v>
      </c>
      <c r="P34" t="s">
        <v>118</v>
      </c>
      <c r="Q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38</v>
      </c>
      <c r="AG34">
        <v>1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ROW(Source!A31)</f>
        <v>31</v>
      </c>
      <c r="B35">
        <v>57261017</v>
      </c>
      <c r="C35">
        <v>57261016</v>
      </c>
      <c r="D35">
        <v>54702434</v>
      </c>
      <c r="E35">
        <v>1081</v>
      </c>
      <c r="F35">
        <v>1</v>
      </c>
      <c r="G35">
        <v>1081</v>
      </c>
      <c r="H35">
        <v>1</v>
      </c>
      <c r="I35" t="s">
        <v>473</v>
      </c>
      <c r="J35" t="s">
        <v>3</v>
      </c>
      <c r="K35" t="s">
        <v>474</v>
      </c>
      <c r="L35">
        <v>1191</v>
      </c>
      <c r="N35">
        <v>1013</v>
      </c>
      <c r="O35" t="s">
        <v>475</v>
      </c>
      <c r="P35" t="s">
        <v>475</v>
      </c>
      <c r="Q35">
        <v>1</v>
      </c>
      <c r="X35">
        <v>16.3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40</v>
      </c>
      <c r="AG35">
        <v>22.493999999999996</v>
      </c>
      <c r="AH35">
        <v>2</v>
      </c>
      <c r="AI35">
        <v>57261017</v>
      </c>
      <c r="AJ35">
        <v>30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ROW(Source!A31)</f>
        <v>31</v>
      </c>
      <c r="B36">
        <v>57261018</v>
      </c>
      <c r="C36">
        <v>57261016</v>
      </c>
      <c r="D36">
        <v>54768040</v>
      </c>
      <c r="E36">
        <v>1</v>
      </c>
      <c r="F36">
        <v>1</v>
      </c>
      <c r="G36">
        <v>1081</v>
      </c>
      <c r="H36">
        <v>2</v>
      </c>
      <c r="I36" t="s">
        <v>476</v>
      </c>
      <c r="J36" t="s">
        <v>477</v>
      </c>
      <c r="K36" t="s">
        <v>478</v>
      </c>
      <c r="L36">
        <v>1368</v>
      </c>
      <c r="N36">
        <v>1011</v>
      </c>
      <c r="O36" t="s">
        <v>479</v>
      </c>
      <c r="P36" t="s">
        <v>479</v>
      </c>
      <c r="Q36">
        <v>1</v>
      </c>
      <c r="X36">
        <v>0.53</v>
      </c>
      <c r="Y36">
        <v>0</v>
      </c>
      <c r="Z36">
        <v>7.11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39</v>
      </c>
      <c r="AG36">
        <v>0.79500000000000004</v>
      </c>
      <c r="AH36">
        <v>2</v>
      </c>
      <c r="AI36">
        <v>57261018</v>
      </c>
      <c r="AJ36">
        <v>31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ROW(Source!A31)</f>
        <v>31</v>
      </c>
      <c r="B37">
        <v>57261019</v>
      </c>
      <c r="C37">
        <v>57261016</v>
      </c>
      <c r="D37">
        <v>54768339</v>
      </c>
      <c r="E37">
        <v>1</v>
      </c>
      <c r="F37">
        <v>1</v>
      </c>
      <c r="G37">
        <v>1081</v>
      </c>
      <c r="H37">
        <v>2</v>
      </c>
      <c r="I37" t="s">
        <v>483</v>
      </c>
      <c r="J37" t="s">
        <v>484</v>
      </c>
      <c r="K37" t="s">
        <v>485</v>
      </c>
      <c r="L37">
        <v>1368</v>
      </c>
      <c r="N37">
        <v>1011</v>
      </c>
      <c r="O37" t="s">
        <v>479</v>
      </c>
      <c r="P37" t="s">
        <v>479</v>
      </c>
      <c r="Q37">
        <v>1</v>
      </c>
      <c r="X37">
        <v>0.06</v>
      </c>
      <c r="Y37">
        <v>0</v>
      </c>
      <c r="Z37">
        <v>83.1</v>
      </c>
      <c r="AA37">
        <v>12.62</v>
      </c>
      <c r="AB37">
        <v>0</v>
      </c>
      <c r="AC37">
        <v>0</v>
      </c>
      <c r="AD37">
        <v>1</v>
      </c>
      <c r="AE37">
        <v>0</v>
      </c>
      <c r="AF37" t="s">
        <v>39</v>
      </c>
      <c r="AG37">
        <v>0.09</v>
      </c>
      <c r="AH37">
        <v>2</v>
      </c>
      <c r="AI37">
        <v>57261019</v>
      </c>
      <c r="AJ37">
        <v>32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ROW(Source!A31)</f>
        <v>31</v>
      </c>
      <c r="B38">
        <v>57261020</v>
      </c>
      <c r="C38">
        <v>57261016</v>
      </c>
      <c r="D38">
        <v>54767573</v>
      </c>
      <c r="E38">
        <v>1</v>
      </c>
      <c r="F38">
        <v>1</v>
      </c>
      <c r="G38">
        <v>1081</v>
      </c>
      <c r="H38">
        <v>2</v>
      </c>
      <c r="I38" t="s">
        <v>508</v>
      </c>
      <c r="J38" t="s">
        <v>509</v>
      </c>
      <c r="K38" t="s">
        <v>510</v>
      </c>
      <c r="L38">
        <v>1368</v>
      </c>
      <c r="N38">
        <v>1011</v>
      </c>
      <c r="O38" t="s">
        <v>479</v>
      </c>
      <c r="P38" t="s">
        <v>479</v>
      </c>
      <c r="Q38">
        <v>1</v>
      </c>
      <c r="X38">
        <v>0.04</v>
      </c>
      <c r="Y38">
        <v>0</v>
      </c>
      <c r="Z38">
        <v>179.17</v>
      </c>
      <c r="AA38">
        <v>16.93</v>
      </c>
      <c r="AB38">
        <v>0</v>
      </c>
      <c r="AC38">
        <v>0</v>
      </c>
      <c r="AD38">
        <v>1</v>
      </c>
      <c r="AE38">
        <v>0</v>
      </c>
      <c r="AF38" t="s">
        <v>39</v>
      </c>
      <c r="AG38">
        <v>0.06</v>
      </c>
      <c r="AH38">
        <v>2</v>
      </c>
      <c r="AI38">
        <v>57261020</v>
      </c>
      <c r="AJ38">
        <v>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ROW(Source!A31)</f>
        <v>31</v>
      </c>
      <c r="B39">
        <v>57261021</v>
      </c>
      <c r="C39">
        <v>57261016</v>
      </c>
      <c r="D39">
        <v>54737969</v>
      </c>
      <c r="E39">
        <v>1</v>
      </c>
      <c r="F39">
        <v>1</v>
      </c>
      <c r="G39">
        <v>1081</v>
      </c>
      <c r="H39">
        <v>3</v>
      </c>
      <c r="I39" t="s">
        <v>511</v>
      </c>
      <c r="J39" t="s">
        <v>512</v>
      </c>
      <c r="K39" t="s">
        <v>513</v>
      </c>
      <c r="L39">
        <v>1348</v>
      </c>
      <c r="N39">
        <v>1009</v>
      </c>
      <c r="O39" t="s">
        <v>282</v>
      </c>
      <c r="P39" t="s">
        <v>282</v>
      </c>
      <c r="Q39">
        <v>1000</v>
      </c>
      <c r="X39">
        <v>9.0000000000000006E-5</v>
      </c>
      <c r="Y39">
        <v>23114.43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38</v>
      </c>
      <c r="AG39">
        <v>9.0000000000000006E-5</v>
      </c>
      <c r="AH39">
        <v>2</v>
      </c>
      <c r="AI39">
        <v>57261021</v>
      </c>
      <c r="AJ39">
        <v>34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ROW(Source!A31)</f>
        <v>31</v>
      </c>
      <c r="B40">
        <v>57261022</v>
      </c>
      <c r="C40">
        <v>57261016</v>
      </c>
      <c r="D40">
        <v>54738510</v>
      </c>
      <c r="E40">
        <v>1</v>
      </c>
      <c r="F40">
        <v>1</v>
      </c>
      <c r="G40">
        <v>1081</v>
      </c>
      <c r="H40">
        <v>3</v>
      </c>
      <c r="I40" t="s">
        <v>514</v>
      </c>
      <c r="J40" t="s">
        <v>515</v>
      </c>
      <c r="K40" t="s">
        <v>516</v>
      </c>
      <c r="L40">
        <v>1348</v>
      </c>
      <c r="N40">
        <v>1009</v>
      </c>
      <c r="O40" t="s">
        <v>282</v>
      </c>
      <c r="P40" t="s">
        <v>282</v>
      </c>
      <c r="Q40">
        <v>1000</v>
      </c>
      <c r="X40">
        <v>4.0999999999999999E-4</v>
      </c>
      <c r="Y40">
        <v>8590.86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38</v>
      </c>
      <c r="AG40">
        <v>4.0999999999999999E-4</v>
      </c>
      <c r="AH40">
        <v>2</v>
      </c>
      <c r="AI40">
        <v>57261022</v>
      </c>
      <c r="AJ40">
        <v>35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ROW(Source!A31)</f>
        <v>31</v>
      </c>
      <c r="B41">
        <v>57261023</v>
      </c>
      <c r="C41">
        <v>57261016</v>
      </c>
      <c r="D41">
        <v>54753582</v>
      </c>
      <c r="E41">
        <v>1</v>
      </c>
      <c r="F41">
        <v>1</v>
      </c>
      <c r="G41">
        <v>1081</v>
      </c>
      <c r="H41">
        <v>3</v>
      </c>
      <c r="I41" t="s">
        <v>517</v>
      </c>
      <c r="J41" t="s">
        <v>518</v>
      </c>
      <c r="K41" t="s">
        <v>519</v>
      </c>
      <c r="L41">
        <v>1354</v>
      </c>
      <c r="N41">
        <v>1010</v>
      </c>
      <c r="O41" t="s">
        <v>118</v>
      </c>
      <c r="P41" t="s">
        <v>118</v>
      </c>
      <c r="Q41">
        <v>1</v>
      </c>
      <c r="X41">
        <v>1</v>
      </c>
      <c r="Y41">
        <v>73.52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38</v>
      </c>
      <c r="AG41">
        <v>1</v>
      </c>
      <c r="AH41">
        <v>2</v>
      </c>
      <c r="AI41">
        <v>57261023</v>
      </c>
      <c r="AJ41">
        <v>36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ROW(Source!A31)</f>
        <v>31</v>
      </c>
      <c r="B42">
        <v>57261024</v>
      </c>
      <c r="C42">
        <v>57261016</v>
      </c>
      <c r="D42">
        <v>54753583</v>
      </c>
      <c r="E42">
        <v>1</v>
      </c>
      <c r="F42">
        <v>1</v>
      </c>
      <c r="G42">
        <v>1081</v>
      </c>
      <c r="H42">
        <v>3</v>
      </c>
      <c r="I42" t="s">
        <v>520</v>
      </c>
      <c r="J42" t="s">
        <v>521</v>
      </c>
      <c r="K42" t="s">
        <v>522</v>
      </c>
      <c r="L42">
        <v>1354</v>
      </c>
      <c r="N42">
        <v>1010</v>
      </c>
      <c r="O42" t="s">
        <v>118</v>
      </c>
      <c r="P42" t="s">
        <v>118</v>
      </c>
      <c r="Q42">
        <v>1</v>
      </c>
      <c r="X42">
        <v>1</v>
      </c>
      <c r="Y42">
        <v>87.78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38</v>
      </c>
      <c r="AG42">
        <v>1</v>
      </c>
      <c r="AH42">
        <v>2</v>
      </c>
      <c r="AI42">
        <v>57261024</v>
      </c>
      <c r="AJ42">
        <v>37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ROW(Source!A31)</f>
        <v>31</v>
      </c>
      <c r="B43">
        <v>57261025</v>
      </c>
      <c r="C43">
        <v>57261016</v>
      </c>
      <c r="D43">
        <v>54744824</v>
      </c>
      <c r="E43">
        <v>1</v>
      </c>
      <c r="F43">
        <v>1</v>
      </c>
      <c r="G43">
        <v>1081</v>
      </c>
      <c r="H43">
        <v>3</v>
      </c>
      <c r="I43" t="s">
        <v>523</v>
      </c>
      <c r="J43" t="s">
        <v>524</v>
      </c>
      <c r="K43" t="s">
        <v>525</v>
      </c>
      <c r="L43">
        <v>1339</v>
      </c>
      <c r="N43">
        <v>1007</v>
      </c>
      <c r="O43" t="s">
        <v>507</v>
      </c>
      <c r="P43" t="s">
        <v>507</v>
      </c>
      <c r="Q43">
        <v>1</v>
      </c>
      <c r="X43">
        <v>1.4E-2</v>
      </c>
      <c r="Y43">
        <v>364.57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38</v>
      </c>
      <c r="AG43">
        <v>1.4E-2</v>
      </c>
      <c r="AH43">
        <v>2</v>
      </c>
      <c r="AI43">
        <v>57261025</v>
      </c>
      <c r="AJ43">
        <v>38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ROW(Source!A31)</f>
        <v>31</v>
      </c>
      <c r="B44">
        <v>57261026</v>
      </c>
      <c r="C44">
        <v>57261016</v>
      </c>
      <c r="D44">
        <v>54695116</v>
      </c>
      <c r="E44">
        <v>1081</v>
      </c>
      <c r="F44">
        <v>1</v>
      </c>
      <c r="G44">
        <v>1081</v>
      </c>
      <c r="H44">
        <v>3</v>
      </c>
      <c r="I44" t="s">
        <v>659</v>
      </c>
      <c r="J44" t="s">
        <v>3</v>
      </c>
      <c r="K44" t="s">
        <v>660</v>
      </c>
      <c r="L44">
        <v>1348</v>
      </c>
      <c r="N44">
        <v>1009</v>
      </c>
      <c r="O44" t="s">
        <v>282</v>
      </c>
      <c r="P44" t="s">
        <v>282</v>
      </c>
      <c r="Q44">
        <v>1000</v>
      </c>
      <c r="X44">
        <v>2.2000000000000001E-3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38</v>
      </c>
      <c r="AG44">
        <v>2.2000000000000001E-3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ROW(Source!A31)</f>
        <v>31</v>
      </c>
      <c r="B45">
        <v>57261027</v>
      </c>
      <c r="C45">
        <v>57261016</v>
      </c>
      <c r="D45">
        <v>54695142</v>
      </c>
      <c r="E45">
        <v>1081</v>
      </c>
      <c r="F45">
        <v>1</v>
      </c>
      <c r="G45">
        <v>1081</v>
      </c>
      <c r="H45">
        <v>3</v>
      </c>
      <c r="I45" t="s">
        <v>659</v>
      </c>
      <c r="J45" t="s">
        <v>3</v>
      </c>
      <c r="K45" t="s">
        <v>661</v>
      </c>
      <c r="L45">
        <v>1348</v>
      </c>
      <c r="N45">
        <v>1009</v>
      </c>
      <c r="O45" t="s">
        <v>282</v>
      </c>
      <c r="P45" t="s">
        <v>282</v>
      </c>
      <c r="Q45">
        <v>1000</v>
      </c>
      <c r="X45">
        <v>1.64E-3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38</v>
      </c>
      <c r="AG45">
        <v>1.64E-3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ROW(Source!A31)</f>
        <v>31</v>
      </c>
      <c r="B46">
        <v>57261028</v>
      </c>
      <c r="C46">
        <v>57261016</v>
      </c>
      <c r="D46">
        <v>54717665</v>
      </c>
      <c r="E46">
        <v>1081</v>
      </c>
      <c r="F46">
        <v>1</v>
      </c>
      <c r="G46">
        <v>1081</v>
      </c>
      <c r="H46">
        <v>3</v>
      </c>
      <c r="I46" t="s">
        <v>662</v>
      </c>
      <c r="J46" t="s">
        <v>3</v>
      </c>
      <c r="K46" t="s">
        <v>663</v>
      </c>
      <c r="L46">
        <v>1354</v>
      </c>
      <c r="N46">
        <v>1010</v>
      </c>
      <c r="O46" t="s">
        <v>118</v>
      </c>
      <c r="P46" t="s">
        <v>118</v>
      </c>
      <c r="Q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38</v>
      </c>
      <c r="AG46">
        <v>1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ROW(Source!A32)</f>
        <v>32</v>
      </c>
      <c r="B47">
        <v>55747865</v>
      </c>
      <c r="C47">
        <v>55747854</v>
      </c>
      <c r="D47">
        <v>54702434</v>
      </c>
      <c r="E47">
        <v>1081</v>
      </c>
      <c r="F47">
        <v>1</v>
      </c>
      <c r="G47">
        <v>1081</v>
      </c>
      <c r="H47">
        <v>1</v>
      </c>
      <c r="I47" t="s">
        <v>473</v>
      </c>
      <c r="J47" t="s">
        <v>3</v>
      </c>
      <c r="K47" t="s">
        <v>474</v>
      </c>
      <c r="L47">
        <v>1191</v>
      </c>
      <c r="N47">
        <v>1013</v>
      </c>
      <c r="O47" t="s">
        <v>475</v>
      </c>
      <c r="P47" t="s">
        <v>475</v>
      </c>
      <c r="Q47">
        <v>1</v>
      </c>
      <c r="X47">
        <v>27.8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49</v>
      </c>
      <c r="AG47">
        <v>33.36</v>
      </c>
      <c r="AH47">
        <v>2</v>
      </c>
      <c r="AI47">
        <v>55747855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ROW(Source!A32)</f>
        <v>32</v>
      </c>
      <c r="B48">
        <v>55747866</v>
      </c>
      <c r="C48">
        <v>55747854</v>
      </c>
      <c r="D48">
        <v>54768040</v>
      </c>
      <c r="E48">
        <v>1</v>
      </c>
      <c r="F48">
        <v>1</v>
      </c>
      <c r="G48">
        <v>1081</v>
      </c>
      <c r="H48">
        <v>2</v>
      </c>
      <c r="I48" t="s">
        <v>476</v>
      </c>
      <c r="J48" t="s">
        <v>477</v>
      </c>
      <c r="K48" t="s">
        <v>478</v>
      </c>
      <c r="L48">
        <v>1368</v>
      </c>
      <c r="N48">
        <v>1011</v>
      </c>
      <c r="O48" t="s">
        <v>479</v>
      </c>
      <c r="P48" t="s">
        <v>479</v>
      </c>
      <c r="Q48">
        <v>1</v>
      </c>
      <c r="X48">
        <v>2.6</v>
      </c>
      <c r="Y48">
        <v>0</v>
      </c>
      <c r="Z48">
        <v>7.11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49</v>
      </c>
      <c r="AG48">
        <v>3.12</v>
      </c>
      <c r="AH48">
        <v>2</v>
      </c>
      <c r="AI48">
        <v>55747856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ROW(Source!A32)</f>
        <v>32</v>
      </c>
      <c r="B49">
        <v>55747867</v>
      </c>
      <c r="C49">
        <v>55747854</v>
      </c>
      <c r="D49">
        <v>54768042</v>
      </c>
      <c r="E49">
        <v>1</v>
      </c>
      <c r="F49">
        <v>1</v>
      </c>
      <c r="G49">
        <v>1081</v>
      </c>
      <c r="H49">
        <v>2</v>
      </c>
      <c r="I49" t="s">
        <v>480</v>
      </c>
      <c r="J49" t="s">
        <v>481</v>
      </c>
      <c r="K49" t="s">
        <v>482</v>
      </c>
      <c r="L49">
        <v>1368</v>
      </c>
      <c r="N49">
        <v>1011</v>
      </c>
      <c r="O49" t="s">
        <v>479</v>
      </c>
      <c r="P49" t="s">
        <v>479</v>
      </c>
      <c r="Q49">
        <v>1</v>
      </c>
      <c r="X49">
        <v>0.5</v>
      </c>
      <c r="Y49">
        <v>0</v>
      </c>
      <c r="Z49">
        <v>0.28000000000000003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49</v>
      </c>
      <c r="AG49">
        <v>0.6</v>
      </c>
      <c r="AH49">
        <v>2</v>
      </c>
      <c r="AI49">
        <v>55747857</v>
      </c>
      <c r="AJ49">
        <v>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ROW(Source!A32)</f>
        <v>32</v>
      </c>
      <c r="B50">
        <v>55747868</v>
      </c>
      <c r="C50">
        <v>55747854</v>
      </c>
      <c r="D50">
        <v>54768339</v>
      </c>
      <c r="E50">
        <v>1</v>
      </c>
      <c r="F50">
        <v>1</v>
      </c>
      <c r="G50">
        <v>1081</v>
      </c>
      <c r="H50">
        <v>2</v>
      </c>
      <c r="I50" t="s">
        <v>483</v>
      </c>
      <c r="J50" t="s">
        <v>484</v>
      </c>
      <c r="K50" t="s">
        <v>485</v>
      </c>
      <c r="L50">
        <v>1368</v>
      </c>
      <c r="N50">
        <v>1011</v>
      </c>
      <c r="O50" t="s">
        <v>479</v>
      </c>
      <c r="P50" t="s">
        <v>479</v>
      </c>
      <c r="Q50">
        <v>1</v>
      </c>
      <c r="X50">
        <v>0.03</v>
      </c>
      <c r="Y50">
        <v>0</v>
      </c>
      <c r="Z50">
        <v>83.1</v>
      </c>
      <c r="AA50">
        <v>12.62</v>
      </c>
      <c r="AB50">
        <v>0</v>
      </c>
      <c r="AC50">
        <v>0</v>
      </c>
      <c r="AD50">
        <v>1</v>
      </c>
      <c r="AE50">
        <v>0</v>
      </c>
      <c r="AF50" t="s">
        <v>49</v>
      </c>
      <c r="AG50">
        <v>3.5999999999999997E-2</v>
      </c>
      <c r="AH50">
        <v>2</v>
      </c>
      <c r="AI50">
        <v>55747858</v>
      </c>
      <c r="AJ50">
        <v>42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ROW(Source!A32)</f>
        <v>32</v>
      </c>
      <c r="B51">
        <v>55747869</v>
      </c>
      <c r="C51">
        <v>55747854</v>
      </c>
      <c r="D51">
        <v>54768400</v>
      </c>
      <c r="E51">
        <v>1</v>
      </c>
      <c r="F51">
        <v>1</v>
      </c>
      <c r="G51">
        <v>1081</v>
      </c>
      <c r="H51">
        <v>2</v>
      </c>
      <c r="I51" t="s">
        <v>487</v>
      </c>
      <c r="J51" t="s">
        <v>488</v>
      </c>
      <c r="K51" t="s">
        <v>489</v>
      </c>
      <c r="L51">
        <v>1368</v>
      </c>
      <c r="N51">
        <v>1011</v>
      </c>
      <c r="O51" t="s">
        <v>479</v>
      </c>
      <c r="P51" t="s">
        <v>479</v>
      </c>
      <c r="Q51">
        <v>1</v>
      </c>
      <c r="X51">
        <v>2.9</v>
      </c>
      <c r="Y51">
        <v>0</v>
      </c>
      <c r="Z51">
        <v>0.42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49</v>
      </c>
      <c r="AG51">
        <v>3.48</v>
      </c>
      <c r="AH51">
        <v>2</v>
      </c>
      <c r="AI51">
        <v>55747859</v>
      </c>
      <c r="AJ51">
        <v>43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ROW(Source!A32)</f>
        <v>32</v>
      </c>
      <c r="B52">
        <v>55747870</v>
      </c>
      <c r="C52">
        <v>55747854</v>
      </c>
      <c r="D52">
        <v>54767702</v>
      </c>
      <c r="E52">
        <v>1</v>
      </c>
      <c r="F52">
        <v>1</v>
      </c>
      <c r="G52">
        <v>1081</v>
      </c>
      <c r="H52">
        <v>2</v>
      </c>
      <c r="I52" t="s">
        <v>490</v>
      </c>
      <c r="J52" t="s">
        <v>491</v>
      </c>
      <c r="K52" t="s">
        <v>492</v>
      </c>
      <c r="L52">
        <v>1368</v>
      </c>
      <c r="N52">
        <v>1011</v>
      </c>
      <c r="O52" t="s">
        <v>479</v>
      </c>
      <c r="P52" t="s">
        <v>479</v>
      </c>
      <c r="Q52">
        <v>1</v>
      </c>
      <c r="X52">
        <v>0.54</v>
      </c>
      <c r="Y52">
        <v>0</v>
      </c>
      <c r="Z52">
        <v>4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49</v>
      </c>
      <c r="AG52">
        <v>0.64800000000000002</v>
      </c>
      <c r="AH52">
        <v>2</v>
      </c>
      <c r="AI52">
        <v>55747860</v>
      </c>
      <c r="AJ52">
        <v>44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ROW(Source!A32)</f>
        <v>32</v>
      </c>
      <c r="B53">
        <v>55747871</v>
      </c>
      <c r="C53">
        <v>55747854</v>
      </c>
      <c r="D53">
        <v>54738518</v>
      </c>
      <c r="E53">
        <v>1</v>
      </c>
      <c r="F53">
        <v>1</v>
      </c>
      <c r="G53">
        <v>1081</v>
      </c>
      <c r="H53">
        <v>3</v>
      </c>
      <c r="I53" t="s">
        <v>493</v>
      </c>
      <c r="J53" t="s">
        <v>494</v>
      </c>
      <c r="K53" t="s">
        <v>495</v>
      </c>
      <c r="L53">
        <v>1348</v>
      </c>
      <c r="N53">
        <v>1009</v>
      </c>
      <c r="O53" t="s">
        <v>282</v>
      </c>
      <c r="P53" t="s">
        <v>282</v>
      </c>
      <c r="Q53">
        <v>1000</v>
      </c>
      <c r="X53">
        <v>3.5000000000000001E-3</v>
      </c>
      <c r="Y53">
        <v>9112.49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48</v>
      </c>
      <c r="AG53">
        <v>3.5000000000000001E-3</v>
      </c>
      <c r="AH53">
        <v>2</v>
      </c>
      <c r="AI53">
        <v>55747861</v>
      </c>
      <c r="AJ53">
        <v>45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ROW(Source!A32)</f>
        <v>32</v>
      </c>
      <c r="B54">
        <v>55747872</v>
      </c>
      <c r="C54">
        <v>55747854</v>
      </c>
      <c r="D54">
        <v>54738676</v>
      </c>
      <c r="E54">
        <v>1</v>
      </c>
      <c r="F54">
        <v>1</v>
      </c>
      <c r="G54">
        <v>1081</v>
      </c>
      <c r="H54">
        <v>3</v>
      </c>
      <c r="I54" t="s">
        <v>496</v>
      </c>
      <c r="J54" t="s">
        <v>497</v>
      </c>
      <c r="K54" t="s">
        <v>498</v>
      </c>
      <c r="L54">
        <v>1255</v>
      </c>
      <c r="N54">
        <v>1013</v>
      </c>
      <c r="O54" t="s">
        <v>499</v>
      </c>
      <c r="P54" t="s">
        <v>499</v>
      </c>
      <c r="Q54">
        <v>1</v>
      </c>
      <c r="X54">
        <v>1.9</v>
      </c>
      <c r="Y54">
        <v>0.42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48</v>
      </c>
      <c r="AG54">
        <v>1.9</v>
      </c>
      <c r="AH54">
        <v>2</v>
      </c>
      <c r="AI54">
        <v>55747862</v>
      </c>
      <c r="AJ54">
        <v>46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ROW(Source!A32)</f>
        <v>32</v>
      </c>
      <c r="B55">
        <v>55747873</v>
      </c>
      <c r="C55">
        <v>55747854</v>
      </c>
      <c r="D55">
        <v>54739191</v>
      </c>
      <c r="E55">
        <v>1</v>
      </c>
      <c r="F55">
        <v>1</v>
      </c>
      <c r="G55">
        <v>1081</v>
      </c>
      <c r="H55">
        <v>3</v>
      </c>
      <c r="I55" t="s">
        <v>500</v>
      </c>
      <c r="J55" t="s">
        <v>501</v>
      </c>
      <c r="K55" t="s">
        <v>502</v>
      </c>
      <c r="L55">
        <v>1346</v>
      </c>
      <c r="N55">
        <v>1009</v>
      </c>
      <c r="O55" t="s">
        <v>503</v>
      </c>
      <c r="P55" t="s">
        <v>503</v>
      </c>
      <c r="Q55">
        <v>1</v>
      </c>
      <c r="X55">
        <v>0.24</v>
      </c>
      <c r="Y55">
        <v>6.25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48</v>
      </c>
      <c r="AG55">
        <v>0.24</v>
      </c>
      <c r="AH55">
        <v>2</v>
      </c>
      <c r="AI55">
        <v>55747863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ROW(Source!A32)</f>
        <v>32</v>
      </c>
      <c r="B56">
        <v>55747874</v>
      </c>
      <c r="C56">
        <v>55747854</v>
      </c>
      <c r="D56">
        <v>54737565</v>
      </c>
      <c r="E56">
        <v>1</v>
      </c>
      <c r="F56">
        <v>1</v>
      </c>
      <c r="G56">
        <v>1081</v>
      </c>
      <c r="H56">
        <v>3</v>
      </c>
      <c r="I56" t="s">
        <v>504</v>
      </c>
      <c r="J56" t="s">
        <v>505</v>
      </c>
      <c r="K56" t="s">
        <v>506</v>
      </c>
      <c r="L56">
        <v>1339</v>
      </c>
      <c r="N56">
        <v>1007</v>
      </c>
      <c r="O56" t="s">
        <v>507</v>
      </c>
      <c r="P56" t="s">
        <v>507</v>
      </c>
      <c r="Q56">
        <v>1</v>
      </c>
      <c r="X56">
        <v>1.4</v>
      </c>
      <c r="Y56">
        <v>5.82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48</v>
      </c>
      <c r="AG56">
        <v>1.4</v>
      </c>
      <c r="AH56">
        <v>2</v>
      </c>
      <c r="AI56">
        <v>55747864</v>
      </c>
      <c r="AJ56">
        <v>48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ROW(Source!A32)</f>
        <v>32</v>
      </c>
      <c r="B57">
        <v>55747875</v>
      </c>
      <c r="C57">
        <v>55747854</v>
      </c>
      <c r="D57">
        <v>54717540</v>
      </c>
      <c r="E57">
        <v>1081</v>
      </c>
      <c r="F57">
        <v>1</v>
      </c>
      <c r="G57">
        <v>1081</v>
      </c>
      <c r="H57">
        <v>3</v>
      </c>
      <c r="I57" t="s">
        <v>657</v>
      </c>
      <c r="J57" t="s">
        <v>3</v>
      </c>
      <c r="K57" t="s">
        <v>658</v>
      </c>
      <c r="L57">
        <v>1391</v>
      </c>
      <c r="N57">
        <v>1013</v>
      </c>
      <c r="O57" t="s">
        <v>381</v>
      </c>
      <c r="P57" t="s">
        <v>381</v>
      </c>
      <c r="Q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48</v>
      </c>
      <c r="AG57">
        <v>1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ROW(Source!A33)</f>
        <v>33</v>
      </c>
      <c r="B58">
        <v>55747865</v>
      </c>
      <c r="C58">
        <v>55747854</v>
      </c>
      <c r="D58">
        <v>54702434</v>
      </c>
      <c r="E58">
        <v>1081</v>
      </c>
      <c r="F58">
        <v>1</v>
      </c>
      <c r="G58">
        <v>1081</v>
      </c>
      <c r="H58">
        <v>1</v>
      </c>
      <c r="I58" t="s">
        <v>473</v>
      </c>
      <c r="J58" t="s">
        <v>3</v>
      </c>
      <c r="K58" t="s">
        <v>474</v>
      </c>
      <c r="L58">
        <v>1191</v>
      </c>
      <c r="N58">
        <v>1013</v>
      </c>
      <c r="O58" t="s">
        <v>475</v>
      </c>
      <c r="P58" t="s">
        <v>475</v>
      </c>
      <c r="Q58">
        <v>1</v>
      </c>
      <c r="X58">
        <v>27.8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49</v>
      </c>
      <c r="AG58">
        <v>33.36</v>
      </c>
      <c r="AH58">
        <v>2</v>
      </c>
      <c r="AI58">
        <v>55747855</v>
      </c>
      <c r="AJ58">
        <v>49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ROW(Source!A33)</f>
        <v>33</v>
      </c>
      <c r="B59">
        <v>55747866</v>
      </c>
      <c r="C59">
        <v>55747854</v>
      </c>
      <c r="D59">
        <v>54768040</v>
      </c>
      <c r="E59">
        <v>1</v>
      </c>
      <c r="F59">
        <v>1</v>
      </c>
      <c r="G59">
        <v>1081</v>
      </c>
      <c r="H59">
        <v>2</v>
      </c>
      <c r="I59" t="s">
        <v>476</v>
      </c>
      <c r="J59" t="s">
        <v>477</v>
      </c>
      <c r="K59" t="s">
        <v>478</v>
      </c>
      <c r="L59">
        <v>1368</v>
      </c>
      <c r="N59">
        <v>1011</v>
      </c>
      <c r="O59" t="s">
        <v>479</v>
      </c>
      <c r="P59" t="s">
        <v>479</v>
      </c>
      <c r="Q59">
        <v>1</v>
      </c>
      <c r="X59">
        <v>2.6</v>
      </c>
      <c r="Y59">
        <v>0</v>
      </c>
      <c r="Z59">
        <v>7.11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49</v>
      </c>
      <c r="AG59">
        <v>3.12</v>
      </c>
      <c r="AH59">
        <v>2</v>
      </c>
      <c r="AI59">
        <v>55747856</v>
      </c>
      <c r="AJ59">
        <v>50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ROW(Source!A33)</f>
        <v>33</v>
      </c>
      <c r="B60">
        <v>55747867</v>
      </c>
      <c r="C60">
        <v>55747854</v>
      </c>
      <c r="D60">
        <v>54768042</v>
      </c>
      <c r="E60">
        <v>1</v>
      </c>
      <c r="F60">
        <v>1</v>
      </c>
      <c r="G60">
        <v>1081</v>
      </c>
      <c r="H60">
        <v>2</v>
      </c>
      <c r="I60" t="s">
        <v>480</v>
      </c>
      <c r="J60" t="s">
        <v>481</v>
      </c>
      <c r="K60" t="s">
        <v>482</v>
      </c>
      <c r="L60">
        <v>1368</v>
      </c>
      <c r="N60">
        <v>1011</v>
      </c>
      <c r="O60" t="s">
        <v>479</v>
      </c>
      <c r="P60" t="s">
        <v>479</v>
      </c>
      <c r="Q60">
        <v>1</v>
      </c>
      <c r="X60">
        <v>0.5</v>
      </c>
      <c r="Y60">
        <v>0</v>
      </c>
      <c r="Z60">
        <v>0.28000000000000003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49</v>
      </c>
      <c r="AG60">
        <v>0.6</v>
      </c>
      <c r="AH60">
        <v>2</v>
      </c>
      <c r="AI60">
        <v>55747857</v>
      </c>
      <c r="AJ60">
        <v>51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ROW(Source!A33)</f>
        <v>33</v>
      </c>
      <c r="B61">
        <v>55747868</v>
      </c>
      <c r="C61">
        <v>55747854</v>
      </c>
      <c r="D61">
        <v>54768339</v>
      </c>
      <c r="E61">
        <v>1</v>
      </c>
      <c r="F61">
        <v>1</v>
      </c>
      <c r="G61">
        <v>1081</v>
      </c>
      <c r="H61">
        <v>2</v>
      </c>
      <c r="I61" t="s">
        <v>483</v>
      </c>
      <c r="J61" t="s">
        <v>484</v>
      </c>
      <c r="K61" t="s">
        <v>485</v>
      </c>
      <c r="L61">
        <v>1368</v>
      </c>
      <c r="N61">
        <v>1011</v>
      </c>
      <c r="O61" t="s">
        <v>479</v>
      </c>
      <c r="P61" t="s">
        <v>479</v>
      </c>
      <c r="Q61">
        <v>1</v>
      </c>
      <c r="X61">
        <v>0.03</v>
      </c>
      <c r="Y61">
        <v>0</v>
      </c>
      <c r="Z61">
        <v>83.1</v>
      </c>
      <c r="AA61">
        <v>12.62</v>
      </c>
      <c r="AB61">
        <v>0</v>
      </c>
      <c r="AC61">
        <v>0</v>
      </c>
      <c r="AD61">
        <v>1</v>
      </c>
      <c r="AE61">
        <v>0</v>
      </c>
      <c r="AF61" t="s">
        <v>49</v>
      </c>
      <c r="AG61">
        <v>3.5999999999999997E-2</v>
      </c>
      <c r="AH61">
        <v>2</v>
      </c>
      <c r="AI61">
        <v>55747858</v>
      </c>
      <c r="AJ61">
        <v>52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ROW(Source!A33)</f>
        <v>33</v>
      </c>
      <c r="B62">
        <v>55747869</v>
      </c>
      <c r="C62">
        <v>55747854</v>
      </c>
      <c r="D62">
        <v>54768400</v>
      </c>
      <c r="E62">
        <v>1</v>
      </c>
      <c r="F62">
        <v>1</v>
      </c>
      <c r="G62">
        <v>1081</v>
      </c>
      <c r="H62">
        <v>2</v>
      </c>
      <c r="I62" t="s">
        <v>487</v>
      </c>
      <c r="J62" t="s">
        <v>488</v>
      </c>
      <c r="K62" t="s">
        <v>489</v>
      </c>
      <c r="L62">
        <v>1368</v>
      </c>
      <c r="N62">
        <v>1011</v>
      </c>
      <c r="O62" t="s">
        <v>479</v>
      </c>
      <c r="P62" t="s">
        <v>479</v>
      </c>
      <c r="Q62">
        <v>1</v>
      </c>
      <c r="X62">
        <v>2.9</v>
      </c>
      <c r="Y62">
        <v>0</v>
      </c>
      <c r="Z62">
        <v>0.42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49</v>
      </c>
      <c r="AG62">
        <v>3.48</v>
      </c>
      <c r="AH62">
        <v>2</v>
      </c>
      <c r="AI62">
        <v>55747859</v>
      </c>
      <c r="AJ62">
        <v>53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ROW(Source!A33)</f>
        <v>33</v>
      </c>
      <c r="B63">
        <v>55747870</v>
      </c>
      <c r="C63">
        <v>55747854</v>
      </c>
      <c r="D63">
        <v>54767702</v>
      </c>
      <c r="E63">
        <v>1</v>
      </c>
      <c r="F63">
        <v>1</v>
      </c>
      <c r="G63">
        <v>1081</v>
      </c>
      <c r="H63">
        <v>2</v>
      </c>
      <c r="I63" t="s">
        <v>490</v>
      </c>
      <c r="J63" t="s">
        <v>491</v>
      </c>
      <c r="K63" t="s">
        <v>492</v>
      </c>
      <c r="L63">
        <v>1368</v>
      </c>
      <c r="N63">
        <v>1011</v>
      </c>
      <c r="O63" t="s">
        <v>479</v>
      </c>
      <c r="P63" t="s">
        <v>479</v>
      </c>
      <c r="Q63">
        <v>1</v>
      </c>
      <c r="X63">
        <v>0.54</v>
      </c>
      <c r="Y63">
        <v>0</v>
      </c>
      <c r="Z63">
        <v>4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49</v>
      </c>
      <c r="AG63">
        <v>0.64800000000000002</v>
      </c>
      <c r="AH63">
        <v>2</v>
      </c>
      <c r="AI63">
        <v>55747860</v>
      </c>
      <c r="AJ63">
        <v>54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ROW(Source!A33)</f>
        <v>33</v>
      </c>
      <c r="B64">
        <v>55747871</v>
      </c>
      <c r="C64">
        <v>55747854</v>
      </c>
      <c r="D64">
        <v>54738518</v>
      </c>
      <c r="E64">
        <v>1</v>
      </c>
      <c r="F64">
        <v>1</v>
      </c>
      <c r="G64">
        <v>1081</v>
      </c>
      <c r="H64">
        <v>3</v>
      </c>
      <c r="I64" t="s">
        <v>493</v>
      </c>
      <c r="J64" t="s">
        <v>494</v>
      </c>
      <c r="K64" t="s">
        <v>495</v>
      </c>
      <c r="L64">
        <v>1348</v>
      </c>
      <c r="N64">
        <v>1009</v>
      </c>
      <c r="O64" t="s">
        <v>282</v>
      </c>
      <c r="P64" t="s">
        <v>282</v>
      </c>
      <c r="Q64">
        <v>1000</v>
      </c>
      <c r="X64">
        <v>3.5000000000000001E-3</v>
      </c>
      <c r="Y64">
        <v>9112.49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48</v>
      </c>
      <c r="AG64">
        <v>3.5000000000000001E-3</v>
      </c>
      <c r="AH64">
        <v>2</v>
      </c>
      <c r="AI64">
        <v>55747861</v>
      </c>
      <c r="AJ64">
        <v>55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ROW(Source!A33)</f>
        <v>33</v>
      </c>
      <c r="B65">
        <v>55747872</v>
      </c>
      <c r="C65">
        <v>55747854</v>
      </c>
      <c r="D65">
        <v>54738676</v>
      </c>
      <c r="E65">
        <v>1</v>
      </c>
      <c r="F65">
        <v>1</v>
      </c>
      <c r="G65">
        <v>1081</v>
      </c>
      <c r="H65">
        <v>3</v>
      </c>
      <c r="I65" t="s">
        <v>496</v>
      </c>
      <c r="J65" t="s">
        <v>497</v>
      </c>
      <c r="K65" t="s">
        <v>498</v>
      </c>
      <c r="L65">
        <v>1255</v>
      </c>
      <c r="N65">
        <v>1013</v>
      </c>
      <c r="O65" t="s">
        <v>499</v>
      </c>
      <c r="P65" t="s">
        <v>499</v>
      </c>
      <c r="Q65">
        <v>1</v>
      </c>
      <c r="X65">
        <v>1.9</v>
      </c>
      <c r="Y65">
        <v>0.42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48</v>
      </c>
      <c r="AG65">
        <v>1.9</v>
      </c>
      <c r="AH65">
        <v>2</v>
      </c>
      <c r="AI65">
        <v>55747862</v>
      </c>
      <c r="AJ65">
        <v>56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ROW(Source!A33)</f>
        <v>33</v>
      </c>
      <c r="B66">
        <v>55747873</v>
      </c>
      <c r="C66">
        <v>55747854</v>
      </c>
      <c r="D66">
        <v>54739191</v>
      </c>
      <c r="E66">
        <v>1</v>
      </c>
      <c r="F66">
        <v>1</v>
      </c>
      <c r="G66">
        <v>1081</v>
      </c>
      <c r="H66">
        <v>3</v>
      </c>
      <c r="I66" t="s">
        <v>500</v>
      </c>
      <c r="J66" t="s">
        <v>501</v>
      </c>
      <c r="K66" t="s">
        <v>502</v>
      </c>
      <c r="L66">
        <v>1346</v>
      </c>
      <c r="N66">
        <v>1009</v>
      </c>
      <c r="O66" t="s">
        <v>503</v>
      </c>
      <c r="P66" t="s">
        <v>503</v>
      </c>
      <c r="Q66">
        <v>1</v>
      </c>
      <c r="X66">
        <v>0.24</v>
      </c>
      <c r="Y66">
        <v>6.25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48</v>
      </c>
      <c r="AG66">
        <v>0.24</v>
      </c>
      <c r="AH66">
        <v>2</v>
      </c>
      <c r="AI66">
        <v>55747863</v>
      </c>
      <c r="AJ66">
        <v>57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ROW(Source!A33)</f>
        <v>33</v>
      </c>
      <c r="B67">
        <v>55747874</v>
      </c>
      <c r="C67">
        <v>55747854</v>
      </c>
      <c r="D67">
        <v>54737565</v>
      </c>
      <c r="E67">
        <v>1</v>
      </c>
      <c r="F67">
        <v>1</v>
      </c>
      <c r="G67">
        <v>1081</v>
      </c>
      <c r="H67">
        <v>3</v>
      </c>
      <c r="I67" t="s">
        <v>504</v>
      </c>
      <c r="J67" t="s">
        <v>505</v>
      </c>
      <c r="K67" t="s">
        <v>506</v>
      </c>
      <c r="L67">
        <v>1339</v>
      </c>
      <c r="N67">
        <v>1007</v>
      </c>
      <c r="O67" t="s">
        <v>507</v>
      </c>
      <c r="P67" t="s">
        <v>507</v>
      </c>
      <c r="Q67">
        <v>1</v>
      </c>
      <c r="X67">
        <v>1.4</v>
      </c>
      <c r="Y67">
        <v>5.82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48</v>
      </c>
      <c r="AG67">
        <v>1.4</v>
      </c>
      <c r="AH67">
        <v>2</v>
      </c>
      <c r="AI67">
        <v>55747864</v>
      </c>
      <c r="AJ67">
        <v>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ROW(Source!A33)</f>
        <v>33</v>
      </c>
      <c r="B68">
        <v>55747875</v>
      </c>
      <c r="C68">
        <v>55747854</v>
      </c>
      <c r="D68">
        <v>54717540</v>
      </c>
      <c r="E68">
        <v>1081</v>
      </c>
      <c r="F68">
        <v>1</v>
      </c>
      <c r="G68">
        <v>1081</v>
      </c>
      <c r="H68">
        <v>3</v>
      </c>
      <c r="I68" t="s">
        <v>657</v>
      </c>
      <c r="J68" t="s">
        <v>3</v>
      </c>
      <c r="K68" t="s">
        <v>658</v>
      </c>
      <c r="L68">
        <v>1391</v>
      </c>
      <c r="N68">
        <v>1013</v>
      </c>
      <c r="O68" t="s">
        <v>381</v>
      </c>
      <c r="P68" t="s">
        <v>381</v>
      </c>
      <c r="Q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48</v>
      </c>
      <c r="AG68">
        <v>1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ROW(Source!A34)</f>
        <v>34</v>
      </c>
      <c r="B69">
        <v>57261033</v>
      </c>
      <c r="C69">
        <v>57261032</v>
      </c>
      <c r="D69">
        <v>54702434</v>
      </c>
      <c r="E69">
        <v>1081</v>
      </c>
      <c r="F69">
        <v>1</v>
      </c>
      <c r="G69">
        <v>1081</v>
      </c>
      <c r="H69">
        <v>1</v>
      </c>
      <c r="I69" t="s">
        <v>473</v>
      </c>
      <c r="J69" t="s">
        <v>3</v>
      </c>
      <c r="K69" t="s">
        <v>474</v>
      </c>
      <c r="L69">
        <v>1191</v>
      </c>
      <c r="N69">
        <v>1013</v>
      </c>
      <c r="O69" t="s">
        <v>475</v>
      </c>
      <c r="P69" t="s">
        <v>475</v>
      </c>
      <c r="Q69">
        <v>1</v>
      </c>
      <c r="X69">
        <v>13.3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40</v>
      </c>
      <c r="AG69">
        <v>18.353999999999999</v>
      </c>
      <c r="AH69">
        <v>2</v>
      </c>
      <c r="AI69">
        <v>57261033</v>
      </c>
      <c r="AJ69">
        <v>59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ROW(Source!A34)</f>
        <v>34</v>
      </c>
      <c r="B70">
        <v>57261034</v>
      </c>
      <c r="C70">
        <v>57261032</v>
      </c>
      <c r="D70">
        <v>54768040</v>
      </c>
      <c r="E70">
        <v>1</v>
      </c>
      <c r="F70">
        <v>1</v>
      </c>
      <c r="G70">
        <v>1081</v>
      </c>
      <c r="H70">
        <v>2</v>
      </c>
      <c r="I70" t="s">
        <v>476</v>
      </c>
      <c r="J70" t="s">
        <v>477</v>
      </c>
      <c r="K70" t="s">
        <v>478</v>
      </c>
      <c r="L70">
        <v>1368</v>
      </c>
      <c r="N70">
        <v>1011</v>
      </c>
      <c r="O70" t="s">
        <v>479</v>
      </c>
      <c r="P70" t="s">
        <v>479</v>
      </c>
      <c r="Q70">
        <v>1</v>
      </c>
      <c r="X70">
        <v>0.51</v>
      </c>
      <c r="Y70">
        <v>0</v>
      </c>
      <c r="Z70">
        <v>7.11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39</v>
      </c>
      <c r="AG70">
        <v>0.76500000000000001</v>
      </c>
      <c r="AH70">
        <v>2</v>
      </c>
      <c r="AI70">
        <v>57261034</v>
      </c>
      <c r="AJ70">
        <v>60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ROW(Source!A34)</f>
        <v>34</v>
      </c>
      <c r="B71">
        <v>57261035</v>
      </c>
      <c r="C71">
        <v>57261032</v>
      </c>
      <c r="D71">
        <v>54768339</v>
      </c>
      <c r="E71">
        <v>1</v>
      </c>
      <c r="F71">
        <v>1</v>
      </c>
      <c r="G71">
        <v>1081</v>
      </c>
      <c r="H71">
        <v>2</v>
      </c>
      <c r="I71" t="s">
        <v>483</v>
      </c>
      <c r="J71" t="s">
        <v>484</v>
      </c>
      <c r="K71" t="s">
        <v>485</v>
      </c>
      <c r="L71">
        <v>1368</v>
      </c>
      <c r="N71">
        <v>1011</v>
      </c>
      <c r="O71" t="s">
        <v>479</v>
      </c>
      <c r="P71" t="s">
        <v>479</v>
      </c>
      <c r="Q71">
        <v>1</v>
      </c>
      <c r="X71">
        <v>0.01</v>
      </c>
      <c r="Y71">
        <v>0</v>
      </c>
      <c r="Z71">
        <v>83.1</v>
      </c>
      <c r="AA71">
        <v>12.62</v>
      </c>
      <c r="AB71">
        <v>0</v>
      </c>
      <c r="AC71">
        <v>0</v>
      </c>
      <c r="AD71">
        <v>1</v>
      </c>
      <c r="AE71">
        <v>0</v>
      </c>
      <c r="AF71" t="s">
        <v>39</v>
      </c>
      <c r="AG71">
        <v>1.4999999999999999E-2</v>
      </c>
      <c r="AH71">
        <v>2</v>
      </c>
      <c r="AI71">
        <v>57261035</v>
      </c>
      <c r="AJ71">
        <v>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ROW(Source!A34)</f>
        <v>34</v>
      </c>
      <c r="B72">
        <v>57261036</v>
      </c>
      <c r="C72">
        <v>57261032</v>
      </c>
      <c r="D72">
        <v>54767573</v>
      </c>
      <c r="E72">
        <v>1</v>
      </c>
      <c r="F72">
        <v>1</v>
      </c>
      <c r="G72">
        <v>1081</v>
      </c>
      <c r="H72">
        <v>2</v>
      </c>
      <c r="I72" t="s">
        <v>508</v>
      </c>
      <c r="J72" t="s">
        <v>509</v>
      </c>
      <c r="K72" t="s">
        <v>510</v>
      </c>
      <c r="L72">
        <v>1368</v>
      </c>
      <c r="N72">
        <v>1011</v>
      </c>
      <c r="O72" t="s">
        <v>479</v>
      </c>
      <c r="P72" t="s">
        <v>479</v>
      </c>
      <c r="Q72">
        <v>1</v>
      </c>
      <c r="X72">
        <v>0.01</v>
      </c>
      <c r="Y72">
        <v>0</v>
      </c>
      <c r="Z72">
        <v>179.17</v>
      </c>
      <c r="AA72">
        <v>16.93</v>
      </c>
      <c r="AB72">
        <v>0</v>
      </c>
      <c r="AC72">
        <v>0</v>
      </c>
      <c r="AD72">
        <v>1</v>
      </c>
      <c r="AE72">
        <v>0</v>
      </c>
      <c r="AF72" t="s">
        <v>39</v>
      </c>
      <c r="AG72">
        <v>1.4999999999999999E-2</v>
      </c>
      <c r="AH72">
        <v>2</v>
      </c>
      <c r="AI72">
        <v>57261036</v>
      </c>
      <c r="AJ72">
        <v>62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ROW(Source!A34)</f>
        <v>34</v>
      </c>
      <c r="B73">
        <v>57261037</v>
      </c>
      <c r="C73">
        <v>57261032</v>
      </c>
      <c r="D73">
        <v>54737969</v>
      </c>
      <c r="E73">
        <v>1</v>
      </c>
      <c r="F73">
        <v>1</v>
      </c>
      <c r="G73">
        <v>1081</v>
      </c>
      <c r="H73">
        <v>3</v>
      </c>
      <c r="I73" t="s">
        <v>511</v>
      </c>
      <c r="J73" t="s">
        <v>512</v>
      </c>
      <c r="K73" t="s">
        <v>513</v>
      </c>
      <c r="L73">
        <v>1348</v>
      </c>
      <c r="N73">
        <v>1009</v>
      </c>
      <c r="O73" t="s">
        <v>282</v>
      </c>
      <c r="P73" t="s">
        <v>282</v>
      </c>
      <c r="Q73">
        <v>1000</v>
      </c>
      <c r="X73">
        <v>5.0000000000000002E-5</v>
      </c>
      <c r="Y73">
        <v>23114.43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38</v>
      </c>
      <c r="AG73">
        <v>5.0000000000000002E-5</v>
      </c>
      <c r="AH73">
        <v>2</v>
      </c>
      <c r="AI73">
        <v>57261037</v>
      </c>
      <c r="AJ73">
        <v>63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ROW(Source!A34)</f>
        <v>34</v>
      </c>
      <c r="B74">
        <v>57261038</v>
      </c>
      <c r="C74">
        <v>57261032</v>
      </c>
      <c r="D74">
        <v>54738510</v>
      </c>
      <c r="E74">
        <v>1</v>
      </c>
      <c r="F74">
        <v>1</v>
      </c>
      <c r="G74">
        <v>1081</v>
      </c>
      <c r="H74">
        <v>3</v>
      </c>
      <c r="I74" t="s">
        <v>514</v>
      </c>
      <c r="J74" t="s">
        <v>515</v>
      </c>
      <c r="K74" t="s">
        <v>516</v>
      </c>
      <c r="L74">
        <v>1348</v>
      </c>
      <c r="N74">
        <v>1009</v>
      </c>
      <c r="O74" t="s">
        <v>282</v>
      </c>
      <c r="P74" t="s">
        <v>282</v>
      </c>
      <c r="Q74">
        <v>1000</v>
      </c>
      <c r="X74">
        <v>2.0000000000000001E-4</v>
      </c>
      <c r="Y74">
        <v>8590.86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38</v>
      </c>
      <c r="AG74">
        <v>2.0000000000000001E-4</v>
      </c>
      <c r="AH74">
        <v>2</v>
      </c>
      <c r="AI74">
        <v>57261038</v>
      </c>
      <c r="AJ74">
        <v>64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ROW(Source!A34)</f>
        <v>34</v>
      </c>
      <c r="B75">
        <v>57261039</v>
      </c>
      <c r="C75">
        <v>57261032</v>
      </c>
      <c r="D75">
        <v>54737318</v>
      </c>
      <c r="E75">
        <v>1</v>
      </c>
      <c r="F75">
        <v>1</v>
      </c>
      <c r="G75">
        <v>1081</v>
      </c>
      <c r="H75">
        <v>3</v>
      </c>
      <c r="I75" t="s">
        <v>526</v>
      </c>
      <c r="J75" t="s">
        <v>527</v>
      </c>
      <c r="K75" t="s">
        <v>528</v>
      </c>
      <c r="L75">
        <v>1348</v>
      </c>
      <c r="N75">
        <v>1009</v>
      </c>
      <c r="O75" t="s">
        <v>282</v>
      </c>
      <c r="P75" t="s">
        <v>282</v>
      </c>
      <c r="Q75">
        <v>1000</v>
      </c>
      <c r="X75">
        <v>1.2999999999999999E-3</v>
      </c>
      <c r="Y75">
        <v>17868.28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38</v>
      </c>
      <c r="AG75">
        <v>1.2999999999999999E-3</v>
      </c>
      <c r="AH75">
        <v>2</v>
      </c>
      <c r="AI75">
        <v>57261039</v>
      </c>
      <c r="AJ75">
        <v>65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ROW(Source!A34)</f>
        <v>34</v>
      </c>
      <c r="B76">
        <v>57261040</v>
      </c>
      <c r="C76">
        <v>57261032</v>
      </c>
      <c r="D76">
        <v>54753579</v>
      </c>
      <c r="E76">
        <v>1</v>
      </c>
      <c r="F76">
        <v>1</v>
      </c>
      <c r="G76">
        <v>1081</v>
      </c>
      <c r="H76">
        <v>3</v>
      </c>
      <c r="I76" t="s">
        <v>529</v>
      </c>
      <c r="J76" t="s">
        <v>530</v>
      </c>
      <c r="K76" t="s">
        <v>531</v>
      </c>
      <c r="L76">
        <v>1354</v>
      </c>
      <c r="N76">
        <v>1010</v>
      </c>
      <c r="O76" t="s">
        <v>118</v>
      </c>
      <c r="P76" t="s">
        <v>118</v>
      </c>
      <c r="Q76">
        <v>1</v>
      </c>
      <c r="X76">
        <v>1</v>
      </c>
      <c r="Y76">
        <v>37.619999999999997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38</v>
      </c>
      <c r="AG76">
        <v>1</v>
      </c>
      <c r="AH76">
        <v>2</v>
      </c>
      <c r="AI76">
        <v>57261040</v>
      </c>
      <c r="AJ76">
        <v>66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ROW(Source!A34)</f>
        <v>34</v>
      </c>
      <c r="B77">
        <v>57261041</v>
      </c>
      <c r="C77">
        <v>57261032</v>
      </c>
      <c r="D77">
        <v>54753580</v>
      </c>
      <c r="E77">
        <v>1</v>
      </c>
      <c r="F77">
        <v>1</v>
      </c>
      <c r="G77">
        <v>1081</v>
      </c>
      <c r="H77">
        <v>3</v>
      </c>
      <c r="I77" t="s">
        <v>532</v>
      </c>
      <c r="J77" t="s">
        <v>533</v>
      </c>
      <c r="K77" t="s">
        <v>534</v>
      </c>
      <c r="L77">
        <v>1354</v>
      </c>
      <c r="N77">
        <v>1010</v>
      </c>
      <c r="O77" t="s">
        <v>118</v>
      </c>
      <c r="P77" t="s">
        <v>118</v>
      </c>
      <c r="Q77">
        <v>1</v>
      </c>
      <c r="X77">
        <v>1</v>
      </c>
      <c r="Y77">
        <v>45.93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38</v>
      </c>
      <c r="AG77">
        <v>1</v>
      </c>
      <c r="AH77">
        <v>2</v>
      </c>
      <c r="AI77">
        <v>57261041</v>
      </c>
      <c r="AJ77">
        <v>67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ROW(Source!A34)</f>
        <v>34</v>
      </c>
      <c r="B78">
        <v>57261042</v>
      </c>
      <c r="C78">
        <v>57261032</v>
      </c>
      <c r="D78">
        <v>54717634</v>
      </c>
      <c r="E78">
        <v>1081</v>
      </c>
      <c r="F78">
        <v>1</v>
      </c>
      <c r="G78">
        <v>1081</v>
      </c>
      <c r="H78">
        <v>3</v>
      </c>
      <c r="I78" t="s">
        <v>664</v>
      </c>
      <c r="J78" t="s">
        <v>3</v>
      </c>
      <c r="K78" t="s">
        <v>665</v>
      </c>
      <c r="L78">
        <v>1354</v>
      </c>
      <c r="N78">
        <v>1010</v>
      </c>
      <c r="O78" t="s">
        <v>118</v>
      </c>
      <c r="P78" t="s">
        <v>118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38</v>
      </c>
      <c r="AG78">
        <v>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ROW(Source!A35)</f>
        <v>35</v>
      </c>
      <c r="B79">
        <v>57261033</v>
      </c>
      <c r="C79">
        <v>57261032</v>
      </c>
      <c r="D79">
        <v>54702434</v>
      </c>
      <c r="E79">
        <v>1081</v>
      </c>
      <c r="F79">
        <v>1</v>
      </c>
      <c r="G79">
        <v>1081</v>
      </c>
      <c r="H79">
        <v>1</v>
      </c>
      <c r="I79" t="s">
        <v>473</v>
      </c>
      <c r="J79" t="s">
        <v>3</v>
      </c>
      <c r="K79" t="s">
        <v>474</v>
      </c>
      <c r="L79">
        <v>1191</v>
      </c>
      <c r="N79">
        <v>1013</v>
      </c>
      <c r="O79" t="s">
        <v>475</v>
      </c>
      <c r="P79" t="s">
        <v>475</v>
      </c>
      <c r="Q79">
        <v>1</v>
      </c>
      <c r="X79">
        <v>13.3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40</v>
      </c>
      <c r="AG79">
        <v>18.353999999999999</v>
      </c>
      <c r="AH79">
        <v>2</v>
      </c>
      <c r="AI79">
        <v>57261033</v>
      </c>
      <c r="AJ79">
        <v>68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ROW(Source!A35)</f>
        <v>35</v>
      </c>
      <c r="B80">
        <v>57261034</v>
      </c>
      <c r="C80">
        <v>57261032</v>
      </c>
      <c r="D80">
        <v>54768040</v>
      </c>
      <c r="E80">
        <v>1</v>
      </c>
      <c r="F80">
        <v>1</v>
      </c>
      <c r="G80">
        <v>1081</v>
      </c>
      <c r="H80">
        <v>2</v>
      </c>
      <c r="I80" t="s">
        <v>476</v>
      </c>
      <c r="J80" t="s">
        <v>477</v>
      </c>
      <c r="K80" t="s">
        <v>478</v>
      </c>
      <c r="L80">
        <v>1368</v>
      </c>
      <c r="N80">
        <v>1011</v>
      </c>
      <c r="O80" t="s">
        <v>479</v>
      </c>
      <c r="P80" t="s">
        <v>479</v>
      </c>
      <c r="Q80">
        <v>1</v>
      </c>
      <c r="X80">
        <v>0.51</v>
      </c>
      <c r="Y80">
        <v>0</v>
      </c>
      <c r="Z80">
        <v>7.11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39</v>
      </c>
      <c r="AG80">
        <v>0.76500000000000001</v>
      </c>
      <c r="AH80">
        <v>2</v>
      </c>
      <c r="AI80">
        <v>57261034</v>
      </c>
      <c r="AJ80">
        <v>69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ROW(Source!A35)</f>
        <v>35</v>
      </c>
      <c r="B81">
        <v>57261035</v>
      </c>
      <c r="C81">
        <v>57261032</v>
      </c>
      <c r="D81">
        <v>54768339</v>
      </c>
      <c r="E81">
        <v>1</v>
      </c>
      <c r="F81">
        <v>1</v>
      </c>
      <c r="G81">
        <v>1081</v>
      </c>
      <c r="H81">
        <v>2</v>
      </c>
      <c r="I81" t="s">
        <v>483</v>
      </c>
      <c r="J81" t="s">
        <v>484</v>
      </c>
      <c r="K81" t="s">
        <v>485</v>
      </c>
      <c r="L81">
        <v>1368</v>
      </c>
      <c r="N81">
        <v>1011</v>
      </c>
      <c r="O81" t="s">
        <v>479</v>
      </c>
      <c r="P81" t="s">
        <v>479</v>
      </c>
      <c r="Q81">
        <v>1</v>
      </c>
      <c r="X81">
        <v>0.01</v>
      </c>
      <c r="Y81">
        <v>0</v>
      </c>
      <c r="Z81">
        <v>83.1</v>
      </c>
      <c r="AA81">
        <v>12.62</v>
      </c>
      <c r="AB81">
        <v>0</v>
      </c>
      <c r="AC81">
        <v>0</v>
      </c>
      <c r="AD81">
        <v>1</v>
      </c>
      <c r="AE81">
        <v>0</v>
      </c>
      <c r="AF81" t="s">
        <v>39</v>
      </c>
      <c r="AG81">
        <v>1.4999999999999999E-2</v>
      </c>
      <c r="AH81">
        <v>2</v>
      </c>
      <c r="AI81">
        <v>57261035</v>
      </c>
      <c r="AJ81">
        <v>70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ROW(Source!A35)</f>
        <v>35</v>
      </c>
      <c r="B82">
        <v>57261036</v>
      </c>
      <c r="C82">
        <v>57261032</v>
      </c>
      <c r="D82">
        <v>54767573</v>
      </c>
      <c r="E82">
        <v>1</v>
      </c>
      <c r="F82">
        <v>1</v>
      </c>
      <c r="G82">
        <v>1081</v>
      </c>
      <c r="H82">
        <v>2</v>
      </c>
      <c r="I82" t="s">
        <v>508</v>
      </c>
      <c r="J82" t="s">
        <v>509</v>
      </c>
      <c r="K82" t="s">
        <v>510</v>
      </c>
      <c r="L82">
        <v>1368</v>
      </c>
      <c r="N82">
        <v>1011</v>
      </c>
      <c r="O82" t="s">
        <v>479</v>
      </c>
      <c r="P82" t="s">
        <v>479</v>
      </c>
      <c r="Q82">
        <v>1</v>
      </c>
      <c r="X82">
        <v>0.01</v>
      </c>
      <c r="Y82">
        <v>0</v>
      </c>
      <c r="Z82">
        <v>179.17</v>
      </c>
      <c r="AA82">
        <v>16.93</v>
      </c>
      <c r="AB82">
        <v>0</v>
      </c>
      <c r="AC82">
        <v>0</v>
      </c>
      <c r="AD82">
        <v>1</v>
      </c>
      <c r="AE82">
        <v>0</v>
      </c>
      <c r="AF82" t="s">
        <v>39</v>
      </c>
      <c r="AG82">
        <v>1.4999999999999999E-2</v>
      </c>
      <c r="AH82">
        <v>2</v>
      </c>
      <c r="AI82">
        <v>57261036</v>
      </c>
      <c r="AJ82">
        <v>71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ROW(Source!A35)</f>
        <v>35</v>
      </c>
      <c r="B83">
        <v>57261037</v>
      </c>
      <c r="C83">
        <v>57261032</v>
      </c>
      <c r="D83">
        <v>54737969</v>
      </c>
      <c r="E83">
        <v>1</v>
      </c>
      <c r="F83">
        <v>1</v>
      </c>
      <c r="G83">
        <v>1081</v>
      </c>
      <c r="H83">
        <v>3</v>
      </c>
      <c r="I83" t="s">
        <v>511</v>
      </c>
      <c r="J83" t="s">
        <v>512</v>
      </c>
      <c r="K83" t="s">
        <v>513</v>
      </c>
      <c r="L83">
        <v>1348</v>
      </c>
      <c r="N83">
        <v>1009</v>
      </c>
      <c r="O83" t="s">
        <v>282</v>
      </c>
      <c r="P83" t="s">
        <v>282</v>
      </c>
      <c r="Q83">
        <v>1000</v>
      </c>
      <c r="X83">
        <v>5.0000000000000002E-5</v>
      </c>
      <c r="Y83">
        <v>23114.43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38</v>
      </c>
      <c r="AG83">
        <v>5.0000000000000002E-5</v>
      </c>
      <c r="AH83">
        <v>2</v>
      </c>
      <c r="AI83">
        <v>57261037</v>
      </c>
      <c r="AJ83">
        <v>72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ROW(Source!A35)</f>
        <v>35</v>
      </c>
      <c r="B84">
        <v>57261038</v>
      </c>
      <c r="C84">
        <v>57261032</v>
      </c>
      <c r="D84">
        <v>54738510</v>
      </c>
      <c r="E84">
        <v>1</v>
      </c>
      <c r="F84">
        <v>1</v>
      </c>
      <c r="G84">
        <v>1081</v>
      </c>
      <c r="H84">
        <v>3</v>
      </c>
      <c r="I84" t="s">
        <v>514</v>
      </c>
      <c r="J84" t="s">
        <v>515</v>
      </c>
      <c r="K84" t="s">
        <v>516</v>
      </c>
      <c r="L84">
        <v>1348</v>
      </c>
      <c r="N84">
        <v>1009</v>
      </c>
      <c r="O84" t="s">
        <v>282</v>
      </c>
      <c r="P84" t="s">
        <v>282</v>
      </c>
      <c r="Q84">
        <v>1000</v>
      </c>
      <c r="X84">
        <v>2.0000000000000001E-4</v>
      </c>
      <c r="Y84">
        <v>8590.86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38</v>
      </c>
      <c r="AG84">
        <v>2.0000000000000001E-4</v>
      </c>
      <c r="AH84">
        <v>2</v>
      </c>
      <c r="AI84">
        <v>57261038</v>
      </c>
      <c r="AJ84">
        <v>73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ROW(Source!A35)</f>
        <v>35</v>
      </c>
      <c r="B85">
        <v>57261039</v>
      </c>
      <c r="C85">
        <v>57261032</v>
      </c>
      <c r="D85">
        <v>54737318</v>
      </c>
      <c r="E85">
        <v>1</v>
      </c>
      <c r="F85">
        <v>1</v>
      </c>
      <c r="G85">
        <v>1081</v>
      </c>
      <c r="H85">
        <v>3</v>
      </c>
      <c r="I85" t="s">
        <v>526</v>
      </c>
      <c r="J85" t="s">
        <v>527</v>
      </c>
      <c r="K85" t="s">
        <v>528</v>
      </c>
      <c r="L85">
        <v>1348</v>
      </c>
      <c r="N85">
        <v>1009</v>
      </c>
      <c r="O85" t="s">
        <v>282</v>
      </c>
      <c r="P85" t="s">
        <v>282</v>
      </c>
      <c r="Q85">
        <v>1000</v>
      </c>
      <c r="X85">
        <v>1.2999999999999999E-3</v>
      </c>
      <c r="Y85">
        <v>17868.28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38</v>
      </c>
      <c r="AG85">
        <v>1.2999999999999999E-3</v>
      </c>
      <c r="AH85">
        <v>2</v>
      </c>
      <c r="AI85">
        <v>57261039</v>
      </c>
      <c r="AJ85">
        <v>74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ROW(Source!A35)</f>
        <v>35</v>
      </c>
      <c r="B86">
        <v>57261040</v>
      </c>
      <c r="C86">
        <v>57261032</v>
      </c>
      <c r="D86">
        <v>54753579</v>
      </c>
      <c r="E86">
        <v>1</v>
      </c>
      <c r="F86">
        <v>1</v>
      </c>
      <c r="G86">
        <v>1081</v>
      </c>
      <c r="H86">
        <v>3</v>
      </c>
      <c r="I86" t="s">
        <v>529</v>
      </c>
      <c r="J86" t="s">
        <v>530</v>
      </c>
      <c r="K86" t="s">
        <v>531</v>
      </c>
      <c r="L86">
        <v>1354</v>
      </c>
      <c r="N86">
        <v>1010</v>
      </c>
      <c r="O86" t="s">
        <v>118</v>
      </c>
      <c r="P86" t="s">
        <v>118</v>
      </c>
      <c r="Q86">
        <v>1</v>
      </c>
      <c r="X86">
        <v>1</v>
      </c>
      <c r="Y86">
        <v>37.619999999999997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38</v>
      </c>
      <c r="AG86">
        <v>1</v>
      </c>
      <c r="AH86">
        <v>2</v>
      </c>
      <c r="AI86">
        <v>57261040</v>
      </c>
      <c r="AJ86">
        <v>75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ROW(Source!A35)</f>
        <v>35</v>
      </c>
      <c r="B87">
        <v>57261041</v>
      </c>
      <c r="C87">
        <v>57261032</v>
      </c>
      <c r="D87">
        <v>54753580</v>
      </c>
      <c r="E87">
        <v>1</v>
      </c>
      <c r="F87">
        <v>1</v>
      </c>
      <c r="G87">
        <v>1081</v>
      </c>
      <c r="H87">
        <v>3</v>
      </c>
      <c r="I87" t="s">
        <v>532</v>
      </c>
      <c r="J87" t="s">
        <v>533</v>
      </c>
      <c r="K87" t="s">
        <v>534</v>
      </c>
      <c r="L87">
        <v>1354</v>
      </c>
      <c r="N87">
        <v>1010</v>
      </c>
      <c r="O87" t="s">
        <v>118</v>
      </c>
      <c r="P87" t="s">
        <v>118</v>
      </c>
      <c r="Q87">
        <v>1</v>
      </c>
      <c r="X87">
        <v>1</v>
      </c>
      <c r="Y87">
        <v>45.93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38</v>
      </c>
      <c r="AG87">
        <v>1</v>
      </c>
      <c r="AH87">
        <v>2</v>
      </c>
      <c r="AI87">
        <v>57261041</v>
      </c>
      <c r="AJ87">
        <v>76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ROW(Source!A35)</f>
        <v>35</v>
      </c>
      <c r="B88">
        <v>57261042</v>
      </c>
      <c r="C88">
        <v>57261032</v>
      </c>
      <c r="D88">
        <v>54717634</v>
      </c>
      <c r="E88">
        <v>1081</v>
      </c>
      <c r="F88">
        <v>1</v>
      </c>
      <c r="G88">
        <v>1081</v>
      </c>
      <c r="H88">
        <v>3</v>
      </c>
      <c r="I88" t="s">
        <v>664</v>
      </c>
      <c r="J88" t="s">
        <v>3</v>
      </c>
      <c r="K88" t="s">
        <v>665</v>
      </c>
      <c r="L88">
        <v>1354</v>
      </c>
      <c r="N88">
        <v>1010</v>
      </c>
      <c r="O88" t="s">
        <v>118</v>
      </c>
      <c r="P88" t="s">
        <v>118</v>
      </c>
      <c r="Q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38</v>
      </c>
      <c r="AG88">
        <v>1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ROW(Source!A36)</f>
        <v>36</v>
      </c>
      <c r="B89">
        <v>55747879</v>
      </c>
      <c r="C89">
        <v>55747877</v>
      </c>
      <c r="D89">
        <v>54702434</v>
      </c>
      <c r="E89">
        <v>1081</v>
      </c>
      <c r="F89">
        <v>1</v>
      </c>
      <c r="G89">
        <v>1081</v>
      </c>
      <c r="H89">
        <v>1</v>
      </c>
      <c r="I89" t="s">
        <v>473</v>
      </c>
      <c r="J89" t="s">
        <v>3</v>
      </c>
      <c r="K89" t="s">
        <v>474</v>
      </c>
      <c r="L89">
        <v>1191</v>
      </c>
      <c r="N89">
        <v>1013</v>
      </c>
      <c r="O89" t="s">
        <v>475</v>
      </c>
      <c r="P89" t="s">
        <v>475</v>
      </c>
      <c r="Q89">
        <v>1</v>
      </c>
      <c r="X89">
        <v>487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49</v>
      </c>
      <c r="AG89">
        <v>584.4</v>
      </c>
      <c r="AH89">
        <v>2</v>
      </c>
      <c r="AI89">
        <v>55747878</v>
      </c>
      <c r="AJ89">
        <v>77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ROW(Source!A37)</f>
        <v>37</v>
      </c>
      <c r="B90">
        <v>55747879</v>
      </c>
      <c r="C90">
        <v>55747877</v>
      </c>
      <c r="D90">
        <v>54702434</v>
      </c>
      <c r="E90">
        <v>1081</v>
      </c>
      <c r="F90">
        <v>1</v>
      </c>
      <c r="G90">
        <v>1081</v>
      </c>
      <c r="H90">
        <v>1</v>
      </c>
      <c r="I90" t="s">
        <v>473</v>
      </c>
      <c r="J90" t="s">
        <v>3</v>
      </c>
      <c r="K90" t="s">
        <v>474</v>
      </c>
      <c r="L90">
        <v>1191</v>
      </c>
      <c r="N90">
        <v>1013</v>
      </c>
      <c r="O90" t="s">
        <v>475</v>
      </c>
      <c r="P90" t="s">
        <v>475</v>
      </c>
      <c r="Q90">
        <v>1</v>
      </c>
      <c r="X90">
        <v>487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49</v>
      </c>
      <c r="AG90">
        <v>584.4</v>
      </c>
      <c r="AH90">
        <v>2</v>
      </c>
      <c r="AI90">
        <v>55747878</v>
      </c>
      <c r="AJ90">
        <v>78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ROW(Source!A38)</f>
        <v>38</v>
      </c>
      <c r="B91">
        <v>55747890</v>
      </c>
      <c r="C91">
        <v>55747881</v>
      </c>
      <c r="D91">
        <v>54702434</v>
      </c>
      <c r="E91">
        <v>1081</v>
      </c>
      <c r="F91">
        <v>1</v>
      </c>
      <c r="G91">
        <v>1081</v>
      </c>
      <c r="H91">
        <v>1</v>
      </c>
      <c r="I91" t="s">
        <v>473</v>
      </c>
      <c r="J91" t="s">
        <v>3</v>
      </c>
      <c r="K91" t="s">
        <v>474</v>
      </c>
      <c r="L91">
        <v>1191</v>
      </c>
      <c r="N91">
        <v>1013</v>
      </c>
      <c r="O91" t="s">
        <v>475</v>
      </c>
      <c r="P91" t="s">
        <v>475</v>
      </c>
      <c r="Q91">
        <v>1</v>
      </c>
      <c r="X91">
        <v>3.63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3</v>
      </c>
      <c r="AG91">
        <v>3.63</v>
      </c>
      <c r="AH91">
        <v>2</v>
      </c>
      <c r="AI91">
        <v>55747882</v>
      </c>
      <c r="AJ91">
        <v>79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ROW(Source!A38)</f>
        <v>38</v>
      </c>
      <c r="B92">
        <v>55747891</v>
      </c>
      <c r="C92">
        <v>55747881</v>
      </c>
      <c r="D92">
        <v>54767994</v>
      </c>
      <c r="E92">
        <v>1</v>
      </c>
      <c r="F92">
        <v>1</v>
      </c>
      <c r="G92">
        <v>1081</v>
      </c>
      <c r="H92">
        <v>2</v>
      </c>
      <c r="I92" t="s">
        <v>535</v>
      </c>
      <c r="J92" t="s">
        <v>536</v>
      </c>
      <c r="K92" t="s">
        <v>537</v>
      </c>
      <c r="L92">
        <v>1368</v>
      </c>
      <c r="N92">
        <v>1011</v>
      </c>
      <c r="O92" t="s">
        <v>479</v>
      </c>
      <c r="P92" t="s">
        <v>479</v>
      </c>
      <c r="Q92">
        <v>1</v>
      </c>
      <c r="X92">
        <v>0.4</v>
      </c>
      <c r="Y92">
        <v>0</v>
      </c>
      <c r="Z92">
        <v>5.78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</v>
      </c>
      <c r="AG92">
        <v>0.4</v>
      </c>
      <c r="AH92">
        <v>2</v>
      </c>
      <c r="AI92">
        <v>55747883</v>
      </c>
      <c r="AJ92">
        <v>80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ROW(Source!A38)</f>
        <v>38</v>
      </c>
      <c r="B93">
        <v>55747892</v>
      </c>
      <c r="C93">
        <v>55747881</v>
      </c>
      <c r="D93">
        <v>54768339</v>
      </c>
      <c r="E93">
        <v>1</v>
      </c>
      <c r="F93">
        <v>1</v>
      </c>
      <c r="G93">
        <v>1081</v>
      </c>
      <c r="H93">
        <v>2</v>
      </c>
      <c r="I93" t="s">
        <v>483</v>
      </c>
      <c r="J93" t="s">
        <v>484</v>
      </c>
      <c r="K93" t="s">
        <v>485</v>
      </c>
      <c r="L93">
        <v>1368</v>
      </c>
      <c r="N93">
        <v>1011</v>
      </c>
      <c r="O93" t="s">
        <v>479</v>
      </c>
      <c r="P93" t="s">
        <v>479</v>
      </c>
      <c r="Q93">
        <v>1</v>
      </c>
      <c r="X93">
        <v>0.02</v>
      </c>
      <c r="Y93">
        <v>0</v>
      </c>
      <c r="Z93">
        <v>83.1</v>
      </c>
      <c r="AA93">
        <v>12.62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0.02</v>
      </c>
      <c r="AH93">
        <v>2</v>
      </c>
      <c r="AI93">
        <v>55747884</v>
      </c>
      <c r="AJ93">
        <v>81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ROW(Source!A38)</f>
        <v>38</v>
      </c>
      <c r="B94">
        <v>55747893</v>
      </c>
      <c r="C94">
        <v>55747881</v>
      </c>
      <c r="D94">
        <v>54767573</v>
      </c>
      <c r="E94">
        <v>1</v>
      </c>
      <c r="F94">
        <v>1</v>
      </c>
      <c r="G94">
        <v>1081</v>
      </c>
      <c r="H94">
        <v>2</v>
      </c>
      <c r="I94" t="s">
        <v>508</v>
      </c>
      <c r="J94" t="s">
        <v>509</v>
      </c>
      <c r="K94" t="s">
        <v>510</v>
      </c>
      <c r="L94">
        <v>1368</v>
      </c>
      <c r="N94">
        <v>1011</v>
      </c>
      <c r="O94" t="s">
        <v>479</v>
      </c>
      <c r="P94" t="s">
        <v>479</v>
      </c>
      <c r="Q94">
        <v>1</v>
      </c>
      <c r="X94">
        <v>0.02</v>
      </c>
      <c r="Y94">
        <v>0</v>
      </c>
      <c r="Z94">
        <v>179.17</v>
      </c>
      <c r="AA94">
        <v>16.93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0.02</v>
      </c>
      <c r="AH94">
        <v>2</v>
      </c>
      <c r="AI94">
        <v>55747885</v>
      </c>
      <c r="AJ94">
        <v>82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ROW(Source!A38)</f>
        <v>38</v>
      </c>
      <c r="B95">
        <v>55747894</v>
      </c>
      <c r="C95">
        <v>55747881</v>
      </c>
      <c r="D95">
        <v>54737367</v>
      </c>
      <c r="E95">
        <v>1</v>
      </c>
      <c r="F95">
        <v>1</v>
      </c>
      <c r="G95">
        <v>1081</v>
      </c>
      <c r="H95">
        <v>3</v>
      </c>
      <c r="I95" t="s">
        <v>538</v>
      </c>
      <c r="J95" t="s">
        <v>539</v>
      </c>
      <c r="K95" t="s">
        <v>540</v>
      </c>
      <c r="L95">
        <v>1339</v>
      </c>
      <c r="N95">
        <v>1007</v>
      </c>
      <c r="O95" t="s">
        <v>507</v>
      </c>
      <c r="P95" t="s">
        <v>507</v>
      </c>
      <c r="Q95">
        <v>1</v>
      </c>
      <c r="X95">
        <v>0.08</v>
      </c>
      <c r="Y95">
        <v>7.07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0.08</v>
      </c>
      <c r="AH95">
        <v>2</v>
      </c>
      <c r="AI95">
        <v>55747886</v>
      </c>
      <c r="AJ95">
        <v>83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ROW(Source!A38)</f>
        <v>38</v>
      </c>
      <c r="B96">
        <v>55747895</v>
      </c>
      <c r="C96">
        <v>55747881</v>
      </c>
      <c r="D96">
        <v>54739078</v>
      </c>
      <c r="E96">
        <v>1</v>
      </c>
      <c r="F96">
        <v>1</v>
      </c>
      <c r="G96">
        <v>1081</v>
      </c>
      <c r="H96">
        <v>3</v>
      </c>
      <c r="I96" t="s">
        <v>541</v>
      </c>
      <c r="J96" t="s">
        <v>542</v>
      </c>
      <c r="K96" t="s">
        <v>543</v>
      </c>
      <c r="L96">
        <v>1346</v>
      </c>
      <c r="N96">
        <v>1009</v>
      </c>
      <c r="O96" t="s">
        <v>503</v>
      </c>
      <c r="P96" t="s">
        <v>503</v>
      </c>
      <c r="Q96">
        <v>1</v>
      </c>
      <c r="X96">
        <v>0.04</v>
      </c>
      <c r="Y96">
        <v>37.979999999999997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0.04</v>
      </c>
      <c r="AH96">
        <v>2</v>
      </c>
      <c r="AI96">
        <v>55747887</v>
      </c>
      <c r="AJ96">
        <v>84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ROW(Source!A38)</f>
        <v>38</v>
      </c>
      <c r="B97">
        <v>55747896</v>
      </c>
      <c r="C97">
        <v>55747881</v>
      </c>
      <c r="D97">
        <v>54737637</v>
      </c>
      <c r="E97">
        <v>1</v>
      </c>
      <c r="F97">
        <v>1</v>
      </c>
      <c r="G97">
        <v>1081</v>
      </c>
      <c r="H97">
        <v>3</v>
      </c>
      <c r="I97" t="s">
        <v>544</v>
      </c>
      <c r="J97" t="s">
        <v>545</v>
      </c>
      <c r="K97" t="s">
        <v>546</v>
      </c>
      <c r="L97">
        <v>1348</v>
      </c>
      <c r="N97">
        <v>1009</v>
      </c>
      <c r="O97" t="s">
        <v>282</v>
      </c>
      <c r="P97" t="s">
        <v>282</v>
      </c>
      <c r="Q97">
        <v>1000</v>
      </c>
      <c r="X97">
        <v>8.0000000000000007E-5</v>
      </c>
      <c r="Y97">
        <v>16214.84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</v>
      </c>
      <c r="AG97">
        <v>8.0000000000000007E-5</v>
      </c>
      <c r="AH97">
        <v>2</v>
      </c>
      <c r="AI97">
        <v>55747888</v>
      </c>
      <c r="AJ97">
        <v>85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ROW(Source!A38)</f>
        <v>38</v>
      </c>
      <c r="B98">
        <v>55747897</v>
      </c>
      <c r="C98">
        <v>55747881</v>
      </c>
      <c r="D98">
        <v>54737805</v>
      </c>
      <c r="E98">
        <v>1</v>
      </c>
      <c r="F98">
        <v>1</v>
      </c>
      <c r="G98">
        <v>1081</v>
      </c>
      <c r="H98">
        <v>3</v>
      </c>
      <c r="I98" t="s">
        <v>547</v>
      </c>
      <c r="J98" t="s">
        <v>548</v>
      </c>
      <c r="K98" t="s">
        <v>549</v>
      </c>
      <c r="L98">
        <v>1346</v>
      </c>
      <c r="N98">
        <v>1009</v>
      </c>
      <c r="O98" t="s">
        <v>503</v>
      </c>
      <c r="P98" t="s">
        <v>503</v>
      </c>
      <c r="Q98">
        <v>1</v>
      </c>
      <c r="X98">
        <v>0.04</v>
      </c>
      <c r="Y98">
        <v>20.190000000000001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</v>
      </c>
      <c r="AG98">
        <v>0.04</v>
      </c>
      <c r="AH98">
        <v>2</v>
      </c>
      <c r="AI98">
        <v>55747889</v>
      </c>
      <c r="AJ98">
        <v>86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ROW(Source!A38)</f>
        <v>38</v>
      </c>
      <c r="B99">
        <v>55747898</v>
      </c>
      <c r="C99">
        <v>55747881</v>
      </c>
      <c r="D99">
        <v>54721087</v>
      </c>
      <c r="E99">
        <v>1081</v>
      </c>
      <c r="F99">
        <v>1</v>
      </c>
      <c r="G99">
        <v>1081</v>
      </c>
      <c r="H99">
        <v>3</v>
      </c>
      <c r="I99" t="s">
        <v>666</v>
      </c>
      <c r="J99" t="s">
        <v>3</v>
      </c>
      <c r="K99" t="s">
        <v>667</v>
      </c>
      <c r="L99">
        <v>1354</v>
      </c>
      <c r="N99">
        <v>1010</v>
      </c>
      <c r="O99" t="s">
        <v>118</v>
      </c>
      <c r="P99" t="s">
        <v>118</v>
      </c>
      <c r="Q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</v>
      </c>
      <c r="AG99">
        <v>1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ROW(Source!A39)</f>
        <v>39</v>
      </c>
      <c r="B100">
        <v>55747890</v>
      </c>
      <c r="C100">
        <v>55747881</v>
      </c>
      <c r="D100">
        <v>54702434</v>
      </c>
      <c r="E100">
        <v>1081</v>
      </c>
      <c r="F100">
        <v>1</v>
      </c>
      <c r="G100">
        <v>1081</v>
      </c>
      <c r="H100">
        <v>1</v>
      </c>
      <c r="I100" t="s">
        <v>473</v>
      </c>
      <c r="J100" t="s">
        <v>3</v>
      </c>
      <c r="K100" t="s">
        <v>474</v>
      </c>
      <c r="L100">
        <v>1191</v>
      </c>
      <c r="N100">
        <v>1013</v>
      </c>
      <c r="O100" t="s">
        <v>475</v>
      </c>
      <c r="P100" t="s">
        <v>475</v>
      </c>
      <c r="Q100">
        <v>1</v>
      </c>
      <c r="X100">
        <v>3.63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3</v>
      </c>
      <c r="AG100">
        <v>3.63</v>
      </c>
      <c r="AH100">
        <v>2</v>
      </c>
      <c r="AI100">
        <v>55747882</v>
      </c>
      <c r="AJ100">
        <v>87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ROW(Source!A39)</f>
        <v>39</v>
      </c>
      <c r="B101">
        <v>55747891</v>
      </c>
      <c r="C101">
        <v>55747881</v>
      </c>
      <c r="D101">
        <v>54767994</v>
      </c>
      <c r="E101">
        <v>1</v>
      </c>
      <c r="F101">
        <v>1</v>
      </c>
      <c r="G101">
        <v>1081</v>
      </c>
      <c r="H101">
        <v>2</v>
      </c>
      <c r="I101" t="s">
        <v>535</v>
      </c>
      <c r="J101" t="s">
        <v>536</v>
      </c>
      <c r="K101" t="s">
        <v>537</v>
      </c>
      <c r="L101">
        <v>1368</v>
      </c>
      <c r="N101">
        <v>1011</v>
      </c>
      <c r="O101" t="s">
        <v>479</v>
      </c>
      <c r="P101" t="s">
        <v>479</v>
      </c>
      <c r="Q101">
        <v>1</v>
      </c>
      <c r="X101">
        <v>0.4</v>
      </c>
      <c r="Y101">
        <v>0</v>
      </c>
      <c r="Z101">
        <v>5.78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0.4</v>
      </c>
      <c r="AH101">
        <v>2</v>
      </c>
      <c r="AI101">
        <v>55747883</v>
      </c>
      <c r="AJ101">
        <v>88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ROW(Source!A39)</f>
        <v>39</v>
      </c>
      <c r="B102">
        <v>55747892</v>
      </c>
      <c r="C102">
        <v>55747881</v>
      </c>
      <c r="D102">
        <v>54768339</v>
      </c>
      <c r="E102">
        <v>1</v>
      </c>
      <c r="F102">
        <v>1</v>
      </c>
      <c r="G102">
        <v>1081</v>
      </c>
      <c r="H102">
        <v>2</v>
      </c>
      <c r="I102" t="s">
        <v>483</v>
      </c>
      <c r="J102" t="s">
        <v>484</v>
      </c>
      <c r="K102" t="s">
        <v>485</v>
      </c>
      <c r="L102">
        <v>1368</v>
      </c>
      <c r="N102">
        <v>1011</v>
      </c>
      <c r="O102" t="s">
        <v>479</v>
      </c>
      <c r="P102" t="s">
        <v>479</v>
      </c>
      <c r="Q102">
        <v>1</v>
      </c>
      <c r="X102">
        <v>0.02</v>
      </c>
      <c r="Y102">
        <v>0</v>
      </c>
      <c r="Z102">
        <v>83.1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3</v>
      </c>
      <c r="AG102">
        <v>0.02</v>
      </c>
      <c r="AH102">
        <v>2</v>
      </c>
      <c r="AI102">
        <v>55747884</v>
      </c>
      <c r="AJ102">
        <v>89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ROW(Source!A39)</f>
        <v>39</v>
      </c>
      <c r="B103">
        <v>55747893</v>
      </c>
      <c r="C103">
        <v>55747881</v>
      </c>
      <c r="D103">
        <v>54767573</v>
      </c>
      <c r="E103">
        <v>1</v>
      </c>
      <c r="F103">
        <v>1</v>
      </c>
      <c r="G103">
        <v>1081</v>
      </c>
      <c r="H103">
        <v>2</v>
      </c>
      <c r="I103" t="s">
        <v>508</v>
      </c>
      <c r="J103" t="s">
        <v>509</v>
      </c>
      <c r="K103" t="s">
        <v>510</v>
      </c>
      <c r="L103">
        <v>1368</v>
      </c>
      <c r="N103">
        <v>1011</v>
      </c>
      <c r="O103" t="s">
        <v>479</v>
      </c>
      <c r="P103" t="s">
        <v>479</v>
      </c>
      <c r="Q103">
        <v>1</v>
      </c>
      <c r="X103">
        <v>0.02</v>
      </c>
      <c r="Y103">
        <v>0</v>
      </c>
      <c r="Z103">
        <v>179.17</v>
      </c>
      <c r="AA103">
        <v>16.93</v>
      </c>
      <c r="AB103">
        <v>0</v>
      </c>
      <c r="AC103">
        <v>0</v>
      </c>
      <c r="AD103">
        <v>1</v>
      </c>
      <c r="AE103">
        <v>0</v>
      </c>
      <c r="AF103" t="s">
        <v>3</v>
      </c>
      <c r="AG103">
        <v>0.02</v>
      </c>
      <c r="AH103">
        <v>2</v>
      </c>
      <c r="AI103">
        <v>55747885</v>
      </c>
      <c r="AJ103">
        <v>90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ROW(Source!A39)</f>
        <v>39</v>
      </c>
      <c r="B104">
        <v>55747894</v>
      </c>
      <c r="C104">
        <v>55747881</v>
      </c>
      <c r="D104">
        <v>54737367</v>
      </c>
      <c r="E104">
        <v>1</v>
      </c>
      <c r="F104">
        <v>1</v>
      </c>
      <c r="G104">
        <v>1081</v>
      </c>
      <c r="H104">
        <v>3</v>
      </c>
      <c r="I104" t="s">
        <v>538</v>
      </c>
      <c r="J104" t="s">
        <v>539</v>
      </c>
      <c r="K104" t="s">
        <v>540</v>
      </c>
      <c r="L104">
        <v>1339</v>
      </c>
      <c r="N104">
        <v>1007</v>
      </c>
      <c r="O104" t="s">
        <v>507</v>
      </c>
      <c r="P104" t="s">
        <v>507</v>
      </c>
      <c r="Q104">
        <v>1</v>
      </c>
      <c r="X104">
        <v>0.08</v>
      </c>
      <c r="Y104">
        <v>7.07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0.08</v>
      </c>
      <c r="AH104">
        <v>2</v>
      </c>
      <c r="AI104">
        <v>55747886</v>
      </c>
      <c r="AJ104">
        <v>91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ROW(Source!A39)</f>
        <v>39</v>
      </c>
      <c r="B105">
        <v>55747895</v>
      </c>
      <c r="C105">
        <v>55747881</v>
      </c>
      <c r="D105">
        <v>54739078</v>
      </c>
      <c r="E105">
        <v>1</v>
      </c>
      <c r="F105">
        <v>1</v>
      </c>
      <c r="G105">
        <v>1081</v>
      </c>
      <c r="H105">
        <v>3</v>
      </c>
      <c r="I105" t="s">
        <v>541</v>
      </c>
      <c r="J105" t="s">
        <v>542</v>
      </c>
      <c r="K105" t="s">
        <v>543</v>
      </c>
      <c r="L105">
        <v>1346</v>
      </c>
      <c r="N105">
        <v>1009</v>
      </c>
      <c r="O105" t="s">
        <v>503</v>
      </c>
      <c r="P105" t="s">
        <v>503</v>
      </c>
      <c r="Q105">
        <v>1</v>
      </c>
      <c r="X105">
        <v>0.04</v>
      </c>
      <c r="Y105">
        <v>37.979999999999997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0.04</v>
      </c>
      <c r="AH105">
        <v>2</v>
      </c>
      <c r="AI105">
        <v>55747887</v>
      </c>
      <c r="AJ105">
        <v>92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ROW(Source!A39)</f>
        <v>39</v>
      </c>
      <c r="B106">
        <v>55747896</v>
      </c>
      <c r="C106">
        <v>55747881</v>
      </c>
      <c r="D106">
        <v>54737637</v>
      </c>
      <c r="E106">
        <v>1</v>
      </c>
      <c r="F106">
        <v>1</v>
      </c>
      <c r="G106">
        <v>1081</v>
      </c>
      <c r="H106">
        <v>3</v>
      </c>
      <c r="I106" t="s">
        <v>544</v>
      </c>
      <c r="J106" t="s">
        <v>545</v>
      </c>
      <c r="K106" t="s">
        <v>546</v>
      </c>
      <c r="L106">
        <v>1348</v>
      </c>
      <c r="N106">
        <v>1009</v>
      </c>
      <c r="O106" t="s">
        <v>282</v>
      </c>
      <c r="P106" t="s">
        <v>282</v>
      </c>
      <c r="Q106">
        <v>1000</v>
      </c>
      <c r="X106">
        <v>8.0000000000000007E-5</v>
      </c>
      <c r="Y106">
        <v>16214.84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8.0000000000000007E-5</v>
      </c>
      <c r="AH106">
        <v>2</v>
      </c>
      <c r="AI106">
        <v>55747888</v>
      </c>
      <c r="AJ106">
        <v>93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ROW(Source!A39)</f>
        <v>39</v>
      </c>
      <c r="B107">
        <v>55747897</v>
      </c>
      <c r="C107">
        <v>55747881</v>
      </c>
      <c r="D107">
        <v>54737805</v>
      </c>
      <c r="E107">
        <v>1</v>
      </c>
      <c r="F107">
        <v>1</v>
      </c>
      <c r="G107">
        <v>1081</v>
      </c>
      <c r="H107">
        <v>3</v>
      </c>
      <c r="I107" t="s">
        <v>547</v>
      </c>
      <c r="J107" t="s">
        <v>548</v>
      </c>
      <c r="K107" t="s">
        <v>549</v>
      </c>
      <c r="L107">
        <v>1346</v>
      </c>
      <c r="N107">
        <v>1009</v>
      </c>
      <c r="O107" t="s">
        <v>503</v>
      </c>
      <c r="P107" t="s">
        <v>503</v>
      </c>
      <c r="Q107">
        <v>1</v>
      </c>
      <c r="X107">
        <v>0.04</v>
      </c>
      <c r="Y107">
        <v>20.190000000000001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0.04</v>
      </c>
      <c r="AH107">
        <v>2</v>
      </c>
      <c r="AI107">
        <v>55747889</v>
      </c>
      <c r="AJ107">
        <v>94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ROW(Source!A39)</f>
        <v>39</v>
      </c>
      <c r="B108">
        <v>55747898</v>
      </c>
      <c r="C108">
        <v>55747881</v>
      </c>
      <c r="D108">
        <v>54721087</v>
      </c>
      <c r="E108">
        <v>1081</v>
      </c>
      <c r="F108">
        <v>1</v>
      </c>
      <c r="G108">
        <v>1081</v>
      </c>
      <c r="H108">
        <v>3</v>
      </c>
      <c r="I108" t="s">
        <v>666</v>
      </c>
      <c r="J108" t="s">
        <v>3</v>
      </c>
      <c r="K108" t="s">
        <v>667</v>
      </c>
      <c r="L108">
        <v>1354</v>
      </c>
      <c r="N108">
        <v>1010</v>
      </c>
      <c r="O108" t="s">
        <v>118</v>
      </c>
      <c r="P108" t="s">
        <v>118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1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ROW(Source!A40)</f>
        <v>40</v>
      </c>
      <c r="B109">
        <v>55747907</v>
      </c>
      <c r="C109">
        <v>55747899</v>
      </c>
      <c r="D109">
        <v>54702434</v>
      </c>
      <c r="E109">
        <v>1081</v>
      </c>
      <c r="F109">
        <v>1</v>
      </c>
      <c r="G109">
        <v>1081</v>
      </c>
      <c r="H109">
        <v>1</v>
      </c>
      <c r="I109" t="s">
        <v>473</v>
      </c>
      <c r="J109" t="s">
        <v>3</v>
      </c>
      <c r="K109" t="s">
        <v>474</v>
      </c>
      <c r="L109">
        <v>1191</v>
      </c>
      <c r="N109">
        <v>1013</v>
      </c>
      <c r="O109" t="s">
        <v>475</v>
      </c>
      <c r="P109" t="s">
        <v>475</v>
      </c>
      <c r="Q109">
        <v>1</v>
      </c>
      <c r="X109">
        <v>2.06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49</v>
      </c>
      <c r="AG109">
        <v>2.472</v>
      </c>
      <c r="AH109">
        <v>2</v>
      </c>
      <c r="AI109">
        <v>55747900</v>
      </c>
      <c r="AJ109">
        <v>95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ROW(Source!A40)</f>
        <v>40</v>
      </c>
      <c r="B110">
        <v>55747908</v>
      </c>
      <c r="C110">
        <v>55747899</v>
      </c>
      <c r="D110">
        <v>54767933</v>
      </c>
      <c r="E110">
        <v>1</v>
      </c>
      <c r="F110">
        <v>1</v>
      </c>
      <c r="G110">
        <v>1081</v>
      </c>
      <c r="H110">
        <v>2</v>
      </c>
      <c r="I110" t="s">
        <v>550</v>
      </c>
      <c r="J110" t="s">
        <v>551</v>
      </c>
      <c r="K110" t="s">
        <v>552</v>
      </c>
      <c r="L110">
        <v>1368</v>
      </c>
      <c r="N110">
        <v>1011</v>
      </c>
      <c r="O110" t="s">
        <v>479</v>
      </c>
      <c r="P110" t="s">
        <v>479</v>
      </c>
      <c r="Q110">
        <v>1</v>
      </c>
      <c r="X110">
        <v>0.19</v>
      </c>
      <c r="Y110">
        <v>0</v>
      </c>
      <c r="Z110">
        <v>41.45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49</v>
      </c>
      <c r="AG110">
        <v>0.22799999999999998</v>
      </c>
      <c r="AH110">
        <v>2</v>
      </c>
      <c r="AI110">
        <v>55747901</v>
      </c>
      <c r="AJ110">
        <v>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ROW(Source!A40)</f>
        <v>40</v>
      </c>
      <c r="B111">
        <v>55747909</v>
      </c>
      <c r="C111">
        <v>55747899</v>
      </c>
      <c r="D111">
        <v>54768040</v>
      </c>
      <c r="E111">
        <v>1</v>
      </c>
      <c r="F111">
        <v>1</v>
      </c>
      <c r="G111">
        <v>1081</v>
      </c>
      <c r="H111">
        <v>2</v>
      </c>
      <c r="I111" t="s">
        <v>476</v>
      </c>
      <c r="J111" t="s">
        <v>477</v>
      </c>
      <c r="K111" t="s">
        <v>478</v>
      </c>
      <c r="L111">
        <v>1368</v>
      </c>
      <c r="N111">
        <v>1011</v>
      </c>
      <c r="O111" t="s">
        <v>479</v>
      </c>
      <c r="P111" t="s">
        <v>479</v>
      </c>
      <c r="Q111">
        <v>1</v>
      </c>
      <c r="X111">
        <v>0.61</v>
      </c>
      <c r="Y111">
        <v>0</v>
      </c>
      <c r="Z111">
        <v>7.11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49</v>
      </c>
      <c r="AG111">
        <v>0.73199999999999998</v>
      </c>
      <c r="AH111">
        <v>2</v>
      </c>
      <c r="AI111">
        <v>55747902</v>
      </c>
      <c r="AJ111">
        <v>97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ROW(Source!A40)</f>
        <v>40</v>
      </c>
      <c r="B112">
        <v>55747910</v>
      </c>
      <c r="C112">
        <v>55747899</v>
      </c>
      <c r="D112">
        <v>54768339</v>
      </c>
      <c r="E112">
        <v>1</v>
      </c>
      <c r="F112">
        <v>1</v>
      </c>
      <c r="G112">
        <v>1081</v>
      </c>
      <c r="H112">
        <v>2</v>
      </c>
      <c r="I112" t="s">
        <v>483</v>
      </c>
      <c r="J112" t="s">
        <v>484</v>
      </c>
      <c r="K112" t="s">
        <v>485</v>
      </c>
      <c r="L112">
        <v>1368</v>
      </c>
      <c r="N112">
        <v>1011</v>
      </c>
      <c r="O112" t="s">
        <v>479</v>
      </c>
      <c r="P112" t="s">
        <v>479</v>
      </c>
      <c r="Q112">
        <v>1</v>
      </c>
      <c r="X112">
        <v>0.06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49</v>
      </c>
      <c r="AG112">
        <v>7.1999999999999995E-2</v>
      </c>
      <c r="AH112">
        <v>2</v>
      </c>
      <c r="AI112">
        <v>55747903</v>
      </c>
      <c r="AJ112">
        <v>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ROW(Source!A40)</f>
        <v>40</v>
      </c>
      <c r="B113">
        <v>55747911</v>
      </c>
      <c r="C113">
        <v>55747899</v>
      </c>
      <c r="D113">
        <v>54768390</v>
      </c>
      <c r="E113">
        <v>1</v>
      </c>
      <c r="F113">
        <v>1</v>
      </c>
      <c r="G113">
        <v>1081</v>
      </c>
      <c r="H113">
        <v>2</v>
      </c>
      <c r="I113" t="s">
        <v>553</v>
      </c>
      <c r="J113" t="s">
        <v>554</v>
      </c>
      <c r="K113" t="s">
        <v>555</v>
      </c>
      <c r="L113">
        <v>1368</v>
      </c>
      <c r="N113">
        <v>1011</v>
      </c>
      <c r="O113" t="s">
        <v>479</v>
      </c>
      <c r="P113" t="s">
        <v>479</v>
      </c>
      <c r="Q113">
        <v>1</v>
      </c>
      <c r="X113">
        <v>0.19</v>
      </c>
      <c r="Y113">
        <v>0</v>
      </c>
      <c r="Z113">
        <v>1.1499999999999999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49</v>
      </c>
      <c r="AG113">
        <v>0.22799999999999998</v>
      </c>
      <c r="AH113">
        <v>2</v>
      </c>
      <c r="AI113">
        <v>55747904</v>
      </c>
      <c r="AJ113">
        <v>99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ROW(Source!A40)</f>
        <v>40</v>
      </c>
      <c r="B114">
        <v>55747912</v>
      </c>
      <c r="C114">
        <v>55747899</v>
      </c>
      <c r="D114">
        <v>54738440</v>
      </c>
      <c r="E114">
        <v>1</v>
      </c>
      <c r="F114">
        <v>1</v>
      </c>
      <c r="G114">
        <v>1081</v>
      </c>
      <c r="H114">
        <v>3</v>
      </c>
      <c r="I114" t="s">
        <v>556</v>
      </c>
      <c r="J114" t="s">
        <v>557</v>
      </c>
      <c r="K114" t="s">
        <v>558</v>
      </c>
      <c r="L114">
        <v>1346</v>
      </c>
      <c r="N114">
        <v>1009</v>
      </c>
      <c r="O114" t="s">
        <v>503</v>
      </c>
      <c r="P114" t="s">
        <v>503</v>
      </c>
      <c r="Q114">
        <v>1</v>
      </c>
      <c r="X114">
        <v>0.02</v>
      </c>
      <c r="Y114">
        <v>29.89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48</v>
      </c>
      <c r="AG114">
        <v>0.02</v>
      </c>
      <c r="AH114">
        <v>2</v>
      </c>
      <c r="AI114">
        <v>55747905</v>
      </c>
      <c r="AJ114">
        <v>100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ROW(Source!A40)</f>
        <v>40</v>
      </c>
      <c r="B115">
        <v>55747913</v>
      </c>
      <c r="C115">
        <v>55747899</v>
      </c>
      <c r="D115">
        <v>54738510</v>
      </c>
      <c r="E115">
        <v>1</v>
      </c>
      <c r="F115">
        <v>1</v>
      </c>
      <c r="G115">
        <v>1081</v>
      </c>
      <c r="H115">
        <v>3</v>
      </c>
      <c r="I115" t="s">
        <v>514</v>
      </c>
      <c r="J115" t="s">
        <v>515</v>
      </c>
      <c r="K115" t="s">
        <v>516</v>
      </c>
      <c r="L115">
        <v>1348</v>
      </c>
      <c r="N115">
        <v>1009</v>
      </c>
      <c r="O115" t="s">
        <v>282</v>
      </c>
      <c r="P115" t="s">
        <v>282</v>
      </c>
      <c r="Q115">
        <v>1000</v>
      </c>
      <c r="X115">
        <v>1E-4</v>
      </c>
      <c r="Y115">
        <v>8590.86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48</v>
      </c>
      <c r="AG115">
        <v>1E-4</v>
      </c>
      <c r="AH115">
        <v>2</v>
      </c>
      <c r="AI115">
        <v>55747906</v>
      </c>
      <c r="AJ115">
        <v>101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ROW(Source!A40)</f>
        <v>40</v>
      </c>
      <c r="B116">
        <v>55747914</v>
      </c>
      <c r="C116">
        <v>55747899</v>
      </c>
      <c r="D116">
        <v>54695112</v>
      </c>
      <c r="E116">
        <v>1081</v>
      </c>
      <c r="F116">
        <v>1</v>
      </c>
      <c r="G116">
        <v>1081</v>
      </c>
      <c r="H116">
        <v>3</v>
      </c>
      <c r="I116" t="s">
        <v>659</v>
      </c>
      <c r="J116" t="s">
        <v>3</v>
      </c>
      <c r="K116" t="s">
        <v>661</v>
      </c>
      <c r="L116">
        <v>1346</v>
      </c>
      <c r="N116">
        <v>1009</v>
      </c>
      <c r="O116" t="s">
        <v>503</v>
      </c>
      <c r="P116" t="s">
        <v>503</v>
      </c>
      <c r="Q116">
        <v>1</v>
      </c>
      <c r="X116">
        <v>0.1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48</v>
      </c>
      <c r="AG116">
        <v>0.1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ROW(Source!A40)</f>
        <v>40</v>
      </c>
      <c r="B117">
        <v>55747915</v>
      </c>
      <c r="C117">
        <v>55747899</v>
      </c>
      <c r="D117">
        <v>54709578</v>
      </c>
      <c r="E117">
        <v>1081</v>
      </c>
      <c r="F117">
        <v>1</v>
      </c>
      <c r="G117">
        <v>1081</v>
      </c>
      <c r="H117">
        <v>3</v>
      </c>
      <c r="I117" t="s">
        <v>668</v>
      </c>
      <c r="J117" t="s">
        <v>3</v>
      </c>
      <c r="K117" t="s">
        <v>669</v>
      </c>
      <c r="L117">
        <v>1354</v>
      </c>
      <c r="N117">
        <v>1010</v>
      </c>
      <c r="O117" t="s">
        <v>118</v>
      </c>
      <c r="P117" t="s">
        <v>118</v>
      </c>
      <c r="Q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48</v>
      </c>
      <c r="AG117">
        <v>1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ROW(Source!A41)</f>
        <v>41</v>
      </c>
      <c r="B118">
        <v>55747907</v>
      </c>
      <c r="C118">
        <v>55747899</v>
      </c>
      <c r="D118">
        <v>54702434</v>
      </c>
      <c r="E118">
        <v>1081</v>
      </c>
      <c r="F118">
        <v>1</v>
      </c>
      <c r="G118">
        <v>1081</v>
      </c>
      <c r="H118">
        <v>1</v>
      </c>
      <c r="I118" t="s">
        <v>473</v>
      </c>
      <c r="J118" t="s">
        <v>3</v>
      </c>
      <c r="K118" t="s">
        <v>474</v>
      </c>
      <c r="L118">
        <v>1191</v>
      </c>
      <c r="N118">
        <v>1013</v>
      </c>
      <c r="O118" t="s">
        <v>475</v>
      </c>
      <c r="P118" t="s">
        <v>475</v>
      </c>
      <c r="Q118">
        <v>1</v>
      </c>
      <c r="X118">
        <v>2.06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49</v>
      </c>
      <c r="AG118">
        <v>2.472</v>
      </c>
      <c r="AH118">
        <v>2</v>
      </c>
      <c r="AI118">
        <v>55747900</v>
      </c>
      <c r="AJ118">
        <v>102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ROW(Source!A41)</f>
        <v>41</v>
      </c>
      <c r="B119">
        <v>55747908</v>
      </c>
      <c r="C119">
        <v>55747899</v>
      </c>
      <c r="D119">
        <v>54767933</v>
      </c>
      <c r="E119">
        <v>1</v>
      </c>
      <c r="F119">
        <v>1</v>
      </c>
      <c r="G119">
        <v>1081</v>
      </c>
      <c r="H119">
        <v>2</v>
      </c>
      <c r="I119" t="s">
        <v>550</v>
      </c>
      <c r="J119" t="s">
        <v>551</v>
      </c>
      <c r="K119" t="s">
        <v>552</v>
      </c>
      <c r="L119">
        <v>1368</v>
      </c>
      <c r="N119">
        <v>1011</v>
      </c>
      <c r="O119" t="s">
        <v>479</v>
      </c>
      <c r="P119" t="s">
        <v>479</v>
      </c>
      <c r="Q119">
        <v>1</v>
      </c>
      <c r="X119">
        <v>0.19</v>
      </c>
      <c r="Y119">
        <v>0</v>
      </c>
      <c r="Z119">
        <v>41.45</v>
      </c>
      <c r="AA119">
        <v>12.62</v>
      </c>
      <c r="AB119">
        <v>0</v>
      </c>
      <c r="AC119">
        <v>0</v>
      </c>
      <c r="AD119">
        <v>1</v>
      </c>
      <c r="AE119">
        <v>0</v>
      </c>
      <c r="AF119" t="s">
        <v>49</v>
      </c>
      <c r="AG119">
        <v>0.22799999999999998</v>
      </c>
      <c r="AH119">
        <v>2</v>
      </c>
      <c r="AI119">
        <v>55747901</v>
      </c>
      <c r="AJ119">
        <v>103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ROW(Source!A41)</f>
        <v>41</v>
      </c>
      <c r="B120">
        <v>55747909</v>
      </c>
      <c r="C120">
        <v>55747899</v>
      </c>
      <c r="D120">
        <v>54768040</v>
      </c>
      <c r="E120">
        <v>1</v>
      </c>
      <c r="F120">
        <v>1</v>
      </c>
      <c r="G120">
        <v>1081</v>
      </c>
      <c r="H120">
        <v>2</v>
      </c>
      <c r="I120" t="s">
        <v>476</v>
      </c>
      <c r="J120" t="s">
        <v>477</v>
      </c>
      <c r="K120" t="s">
        <v>478</v>
      </c>
      <c r="L120">
        <v>1368</v>
      </c>
      <c r="N120">
        <v>1011</v>
      </c>
      <c r="O120" t="s">
        <v>479</v>
      </c>
      <c r="P120" t="s">
        <v>479</v>
      </c>
      <c r="Q120">
        <v>1</v>
      </c>
      <c r="X120">
        <v>0.61</v>
      </c>
      <c r="Y120">
        <v>0</v>
      </c>
      <c r="Z120">
        <v>7.11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49</v>
      </c>
      <c r="AG120">
        <v>0.73199999999999998</v>
      </c>
      <c r="AH120">
        <v>2</v>
      </c>
      <c r="AI120">
        <v>55747902</v>
      </c>
      <c r="AJ120">
        <v>104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ROW(Source!A41)</f>
        <v>41</v>
      </c>
      <c r="B121">
        <v>55747910</v>
      </c>
      <c r="C121">
        <v>55747899</v>
      </c>
      <c r="D121">
        <v>54768339</v>
      </c>
      <c r="E121">
        <v>1</v>
      </c>
      <c r="F121">
        <v>1</v>
      </c>
      <c r="G121">
        <v>1081</v>
      </c>
      <c r="H121">
        <v>2</v>
      </c>
      <c r="I121" t="s">
        <v>483</v>
      </c>
      <c r="J121" t="s">
        <v>484</v>
      </c>
      <c r="K121" t="s">
        <v>485</v>
      </c>
      <c r="L121">
        <v>1368</v>
      </c>
      <c r="N121">
        <v>1011</v>
      </c>
      <c r="O121" t="s">
        <v>479</v>
      </c>
      <c r="P121" t="s">
        <v>479</v>
      </c>
      <c r="Q121">
        <v>1</v>
      </c>
      <c r="X121">
        <v>0.06</v>
      </c>
      <c r="Y121">
        <v>0</v>
      </c>
      <c r="Z121">
        <v>83.1</v>
      </c>
      <c r="AA121">
        <v>12.62</v>
      </c>
      <c r="AB121">
        <v>0</v>
      </c>
      <c r="AC121">
        <v>0</v>
      </c>
      <c r="AD121">
        <v>1</v>
      </c>
      <c r="AE121">
        <v>0</v>
      </c>
      <c r="AF121" t="s">
        <v>49</v>
      </c>
      <c r="AG121">
        <v>7.1999999999999995E-2</v>
      </c>
      <c r="AH121">
        <v>2</v>
      </c>
      <c r="AI121">
        <v>55747903</v>
      </c>
      <c r="AJ121">
        <v>105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ROW(Source!A41)</f>
        <v>41</v>
      </c>
      <c r="B122">
        <v>55747911</v>
      </c>
      <c r="C122">
        <v>55747899</v>
      </c>
      <c r="D122">
        <v>54768390</v>
      </c>
      <c r="E122">
        <v>1</v>
      </c>
      <c r="F122">
        <v>1</v>
      </c>
      <c r="G122">
        <v>1081</v>
      </c>
      <c r="H122">
        <v>2</v>
      </c>
      <c r="I122" t="s">
        <v>553</v>
      </c>
      <c r="J122" t="s">
        <v>554</v>
      </c>
      <c r="K122" t="s">
        <v>555</v>
      </c>
      <c r="L122">
        <v>1368</v>
      </c>
      <c r="N122">
        <v>1011</v>
      </c>
      <c r="O122" t="s">
        <v>479</v>
      </c>
      <c r="P122" t="s">
        <v>479</v>
      </c>
      <c r="Q122">
        <v>1</v>
      </c>
      <c r="X122">
        <v>0.19</v>
      </c>
      <c r="Y122">
        <v>0</v>
      </c>
      <c r="Z122">
        <v>1.1499999999999999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49</v>
      </c>
      <c r="AG122">
        <v>0.22799999999999998</v>
      </c>
      <c r="AH122">
        <v>2</v>
      </c>
      <c r="AI122">
        <v>55747904</v>
      </c>
      <c r="AJ122">
        <v>106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ROW(Source!A41)</f>
        <v>41</v>
      </c>
      <c r="B123">
        <v>55747912</v>
      </c>
      <c r="C123">
        <v>55747899</v>
      </c>
      <c r="D123">
        <v>54738440</v>
      </c>
      <c r="E123">
        <v>1</v>
      </c>
      <c r="F123">
        <v>1</v>
      </c>
      <c r="G123">
        <v>1081</v>
      </c>
      <c r="H123">
        <v>3</v>
      </c>
      <c r="I123" t="s">
        <v>556</v>
      </c>
      <c r="J123" t="s">
        <v>557</v>
      </c>
      <c r="K123" t="s">
        <v>558</v>
      </c>
      <c r="L123">
        <v>1346</v>
      </c>
      <c r="N123">
        <v>1009</v>
      </c>
      <c r="O123" t="s">
        <v>503</v>
      </c>
      <c r="P123" t="s">
        <v>503</v>
      </c>
      <c r="Q123">
        <v>1</v>
      </c>
      <c r="X123">
        <v>0.02</v>
      </c>
      <c r="Y123">
        <v>29.89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48</v>
      </c>
      <c r="AG123">
        <v>0.02</v>
      </c>
      <c r="AH123">
        <v>2</v>
      </c>
      <c r="AI123">
        <v>55747905</v>
      </c>
      <c r="AJ123">
        <v>107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ROW(Source!A41)</f>
        <v>41</v>
      </c>
      <c r="B124">
        <v>55747913</v>
      </c>
      <c r="C124">
        <v>55747899</v>
      </c>
      <c r="D124">
        <v>54738510</v>
      </c>
      <c r="E124">
        <v>1</v>
      </c>
      <c r="F124">
        <v>1</v>
      </c>
      <c r="G124">
        <v>1081</v>
      </c>
      <c r="H124">
        <v>3</v>
      </c>
      <c r="I124" t="s">
        <v>514</v>
      </c>
      <c r="J124" t="s">
        <v>515</v>
      </c>
      <c r="K124" t="s">
        <v>516</v>
      </c>
      <c r="L124">
        <v>1348</v>
      </c>
      <c r="N124">
        <v>1009</v>
      </c>
      <c r="O124" t="s">
        <v>282</v>
      </c>
      <c r="P124" t="s">
        <v>282</v>
      </c>
      <c r="Q124">
        <v>1000</v>
      </c>
      <c r="X124">
        <v>1E-4</v>
      </c>
      <c r="Y124">
        <v>8590.86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48</v>
      </c>
      <c r="AG124">
        <v>1E-4</v>
      </c>
      <c r="AH124">
        <v>2</v>
      </c>
      <c r="AI124">
        <v>55747906</v>
      </c>
      <c r="AJ124">
        <v>108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ROW(Source!A41)</f>
        <v>41</v>
      </c>
      <c r="B125">
        <v>55747914</v>
      </c>
      <c r="C125">
        <v>55747899</v>
      </c>
      <c r="D125">
        <v>54695112</v>
      </c>
      <c r="E125">
        <v>1081</v>
      </c>
      <c r="F125">
        <v>1</v>
      </c>
      <c r="G125">
        <v>1081</v>
      </c>
      <c r="H125">
        <v>3</v>
      </c>
      <c r="I125" t="s">
        <v>659</v>
      </c>
      <c r="J125" t="s">
        <v>3</v>
      </c>
      <c r="K125" t="s">
        <v>661</v>
      </c>
      <c r="L125">
        <v>1346</v>
      </c>
      <c r="N125">
        <v>1009</v>
      </c>
      <c r="O125" t="s">
        <v>503</v>
      </c>
      <c r="P125" t="s">
        <v>503</v>
      </c>
      <c r="Q125">
        <v>1</v>
      </c>
      <c r="X125">
        <v>0.1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48</v>
      </c>
      <c r="AG125">
        <v>0.1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ROW(Source!A41)</f>
        <v>41</v>
      </c>
      <c r="B126">
        <v>55747915</v>
      </c>
      <c r="C126">
        <v>55747899</v>
      </c>
      <c r="D126">
        <v>54709578</v>
      </c>
      <c r="E126">
        <v>1081</v>
      </c>
      <c r="F126">
        <v>1</v>
      </c>
      <c r="G126">
        <v>1081</v>
      </c>
      <c r="H126">
        <v>3</v>
      </c>
      <c r="I126" t="s">
        <v>668</v>
      </c>
      <c r="J126" t="s">
        <v>3</v>
      </c>
      <c r="K126" t="s">
        <v>669</v>
      </c>
      <c r="L126">
        <v>1354</v>
      </c>
      <c r="N126">
        <v>1010</v>
      </c>
      <c r="O126" t="s">
        <v>118</v>
      </c>
      <c r="P126" t="s">
        <v>118</v>
      </c>
      <c r="Q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48</v>
      </c>
      <c r="AG126">
        <v>1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ROW(Source!A42)</f>
        <v>42</v>
      </c>
      <c r="B127">
        <v>57261045</v>
      </c>
      <c r="C127">
        <v>57261044</v>
      </c>
      <c r="D127">
        <v>54702434</v>
      </c>
      <c r="E127">
        <v>1081</v>
      </c>
      <c r="F127">
        <v>1</v>
      </c>
      <c r="G127">
        <v>1081</v>
      </c>
      <c r="H127">
        <v>1</v>
      </c>
      <c r="I127" t="s">
        <v>473</v>
      </c>
      <c r="J127" t="s">
        <v>3</v>
      </c>
      <c r="K127" t="s">
        <v>474</v>
      </c>
      <c r="L127">
        <v>1191</v>
      </c>
      <c r="N127">
        <v>1013</v>
      </c>
      <c r="O127" t="s">
        <v>475</v>
      </c>
      <c r="P127" t="s">
        <v>475</v>
      </c>
      <c r="Q127">
        <v>1</v>
      </c>
      <c r="X127">
        <v>5.15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49</v>
      </c>
      <c r="AG127">
        <v>6.1800000000000006</v>
      </c>
      <c r="AH127">
        <v>2</v>
      </c>
      <c r="AI127">
        <v>57261045</v>
      </c>
      <c r="AJ127">
        <v>109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ROW(Source!A42)</f>
        <v>42</v>
      </c>
      <c r="B128">
        <v>57261046</v>
      </c>
      <c r="C128">
        <v>57261044</v>
      </c>
      <c r="D128">
        <v>54768040</v>
      </c>
      <c r="E128">
        <v>1</v>
      </c>
      <c r="F128">
        <v>1</v>
      </c>
      <c r="G128">
        <v>1081</v>
      </c>
      <c r="H128">
        <v>2</v>
      </c>
      <c r="I128" t="s">
        <v>476</v>
      </c>
      <c r="J128" t="s">
        <v>477</v>
      </c>
      <c r="K128" t="s">
        <v>478</v>
      </c>
      <c r="L128">
        <v>1368</v>
      </c>
      <c r="N128">
        <v>1011</v>
      </c>
      <c r="O128" t="s">
        <v>479</v>
      </c>
      <c r="P128" t="s">
        <v>479</v>
      </c>
      <c r="Q128">
        <v>1</v>
      </c>
      <c r="X128">
        <v>0.2</v>
      </c>
      <c r="Y128">
        <v>0</v>
      </c>
      <c r="Z128">
        <v>7.11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49</v>
      </c>
      <c r="AG128">
        <v>0.24</v>
      </c>
      <c r="AH128">
        <v>2</v>
      </c>
      <c r="AI128">
        <v>57261046</v>
      </c>
      <c r="AJ128">
        <v>110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ROW(Source!A42)</f>
        <v>42</v>
      </c>
      <c r="B129">
        <v>57261047</v>
      </c>
      <c r="C129">
        <v>57261044</v>
      </c>
      <c r="D129">
        <v>54768339</v>
      </c>
      <c r="E129">
        <v>1</v>
      </c>
      <c r="F129">
        <v>1</v>
      </c>
      <c r="G129">
        <v>1081</v>
      </c>
      <c r="H129">
        <v>2</v>
      </c>
      <c r="I129" t="s">
        <v>483</v>
      </c>
      <c r="J129" t="s">
        <v>484</v>
      </c>
      <c r="K129" t="s">
        <v>485</v>
      </c>
      <c r="L129">
        <v>1368</v>
      </c>
      <c r="N129">
        <v>1011</v>
      </c>
      <c r="O129" t="s">
        <v>479</v>
      </c>
      <c r="P129" t="s">
        <v>479</v>
      </c>
      <c r="Q129">
        <v>1</v>
      </c>
      <c r="X129">
        <v>0.03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49</v>
      </c>
      <c r="AG129">
        <v>3.5999999999999997E-2</v>
      </c>
      <c r="AH129">
        <v>2</v>
      </c>
      <c r="AI129">
        <v>57261047</v>
      </c>
      <c r="AJ129">
        <v>111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ROW(Source!A42)</f>
        <v>42</v>
      </c>
      <c r="B130">
        <v>57261048</v>
      </c>
      <c r="C130">
        <v>57261044</v>
      </c>
      <c r="D130">
        <v>54768415</v>
      </c>
      <c r="E130">
        <v>1</v>
      </c>
      <c r="F130">
        <v>1</v>
      </c>
      <c r="G130">
        <v>1081</v>
      </c>
      <c r="H130">
        <v>2</v>
      </c>
      <c r="I130" t="s">
        <v>559</v>
      </c>
      <c r="J130" t="s">
        <v>560</v>
      </c>
      <c r="K130" t="s">
        <v>561</v>
      </c>
      <c r="L130">
        <v>1368</v>
      </c>
      <c r="N130">
        <v>1011</v>
      </c>
      <c r="O130" t="s">
        <v>479</v>
      </c>
      <c r="P130" t="s">
        <v>479</v>
      </c>
      <c r="Q130">
        <v>1</v>
      </c>
      <c r="X130">
        <v>0.46</v>
      </c>
      <c r="Y130">
        <v>0</v>
      </c>
      <c r="Z130">
        <v>0.78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49</v>
      </c>
      <c r="AG130">
        <v>0.55200000000000005</v>
      </c>
      <c r="AH130">
        <v>2</v>
      </c>
      <c r="AI130">
        <v>57261048</v>
      </c>
      <c r="AJ130">
        <v>112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ROW(Source!A42)</f>
        <v>42</v>
      </c>
      <c r="B131">
        <v>57261049</v>
      </c>
      <c r="C131">
        <v>57261044</v>
      </c>
      <c r="D131">
        <v>54738430</v>
      </c>
      <c r="E131">
        <v>1</v>
      </c>
      <c r="F131">
        <v>1</v>
      </c>
      <c r="G131">
        <v>1081</v>
      </c>
      <c r="H131">
        <v>3</v>
      </c>
      <c r="I131" t="s">
        <v>562</v>
      </c>
      <c r="J131" t="s">
        <v>563</v>
      </c>
      <c r="K131" t="s">
        <v>564</v>
      </c>
      <c r="L131">
        <v>1348</v>
      </c>
      <c r="N131">
        <v>1009</v>
      </c>
      <c r="O131" t="s">
        <v>282</v>
      </c>
      <c r="P131" t="s">
        <v>282</v>
      </c>
      <c r="Q131">
        <v>1000</v>
      </c>
      <c r="X131">
        <v>1.21E-4</v>
      </c>
      <c r="Y131">
        <v>7185.82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48</v>
      </c>
      <c r="AG131">
        <v>1.21E-4</v>
      </c>
      <c r="AH131">
        <v>2</v>
      </c>
      <c r="AI131">
        <v>57261049</v>
      </c>
      <c r="AJ131">
        <v>113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ROW(Source!A42)</f>
        <v>42</v>
      </c>
      <c r="B132">
        <v>57261050</v>
      </c>
      <c r="C132">
        <v>57261044</v>
      </c>
      <c r="D132">
        <v>54738439</v>
      </c>
      <c r="E132">
        <v>1</v>
      </c>
      <c r="F132">
        <v>1</v>
      </c>
      <c r="G132">
        <v>1081</v>
      </c>
      <c r="H132">
        <v>3</v>
      </c>
      <c r="I132" t="s">
        <v>565</v>
      </c>
      <c r="J132" t="s">
        <v>566</v>
      </c>
      <c r="K132" t="s">
        <v>567</v>
      </c>
      <c r="L132">
        <v>1346</v>
      </c>
      <c r="N132">
        <v>1009</v>
      </c>
      <c r="O132" t="s">
        <v>503</v>
      </c>
      <c r="P132" t="s">
        <v>503</v>
      </c>
      <c r="Q132">
        <v>1</v>
      </c>
      <c r="X132">
        <v>2.3E-2</v>
      </c>
      <c r="Y132">
        <v>29.82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48</v>
      </c>
      <c r="AG132">
        <v>2.3E-2</v>
      </c>
      <c r="AH132">
        <v>2</v>
      </c>
      <c r="AI132">
        <v>57261050</v>
      </c>
      <c r="AJ132">
        <v>114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ROW(Source!A42)</f>
        <v>42</v>
      </c>
      <c r="B133">
        <v>57261051</v>
      </c>
      <c r="C133">
        <v>57261044</v>
      </c>
      <c r="D133">
        <v>54737410</v>
      </c>
      <c r="E133">
        <v>1</v>
      </c>
      <c r="F133">
        <v>1</v>
      </c>
      <c r="G133">
        <v>1081</v>
      </c>
      <c r="H133">
        <v>3</v>
      </c>
      <c r="I133" t="s">
        <v>280</v>
      </c>
      <c r="J133" t="s">
        <v>283</v>
      </c>
      <c r="K133" t="s">
        <v>281</v>
      </c>
      <c r="L133">
        <v>1348</v>
      </c>
      <c r="N133">
        <v>1009</v>
      </c>
      <c r="O133" t="s">
        <v>282</v>
      </c>
      <c r="P133" t="s">
        <v>282</v>
      </c>
      <c r="Q133">
        <v>1000</v>
      </c>
      <c r="X133">
        <v>1.8E-5</v>
      </c>
      <c r="Y133">
        <v>18653.07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48</v>
      </c>
      <c r="AG133">
        <v>1.8E-5</v>
      </c>
      <c r="AH133">
        <v>2</v>
      </c>
      <c r="AI133">
        <v>57261051</v>
      </c>
      <c r="AJ133">
        <v>115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ROW(Source!A42)</f>
        <v>42</v>
      </c>
      <c r="B134">
        <v>57261052</v>
      </c>
      <c r="C134">
        <v>57261044</v>
      </c>
      <c r="D134">
        <v>54739199</v>
      </c>
      <c r="E134">
        <v>1</v>
      </c>
      <c r="F134">
        <v>1</v>
      </c>
      <c r="G134">
        <v>1081</v>
      </c>
      <c r="H134">
        <v>3</v>
      </c>
      <c r="I134" t="s">
        <v>568</v>
      </c>
      <c r="J134" t="s">
        <v>569</v>
      </c>
      <c r="K134" t="s">
        <v>570</v>
      </c>
      <c r="L134">
        <v>1348</v>
      </c>
      <c r="N134">
        <v>1009</v>
      </c>
      <c r="O134" t="s">
        <v>282</v>
      </c>
      <c r="P134" t="s">
        <v>282</v>
      </c>
      <c r="Q134">
        <v>1000</v>
      </c>
      <c r="X134">
        <v>2.3780000000000001E-4</v>
      </c>
      <c r="Y134">
        <v>11487.92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48</v>
      </c>
      <c r="AG134">
        <v>2.3780000000000001E-4</v>
      </c>
      <c r="AH134">
        <v>2</v>
      </c>
      <c r="AI134">
        <v>57261052</v>
      </c>
      <c r="AJ134">
        <v>116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ROW(Source!A42)</f>
        <v>42</v>
      </c>
      <c r="B135">
        <v>57261053</v>
      </c>
      <c r="C135">
        <v>57261044</v>
      </c>
      <c r="D135">
        <v>54739762</v>
      </c>
      <c r="E135">
        <v>1</v>
      </c>
      <c r="F135">
        <v>1</v>
      </c>
      <c r="G135">
        <v>1081</v>
      </c>
      <c r="H135">
        <v>3</v>
      </c>
      <c r="I135" t="s">
        <v>571</v>
      </c>
      <c r="J135" t="s">
        <v>572</v>
      </c>
      <c r="K135" t="s">
        <v>573</v>
      </c>
      <c r="L135">
        <v>1348</v>
      </c>
      <c r="N135">
        <v>1009</v>
      </c>
      <c r="O135" t="s">
        <v>282</v>
      </c>
      <c r="P135" t="s">
        <v>282</v>
      </c>
      <c r="Q135">
        <v>1000</v>
      </c>
      <c r="X135">
        <v>7.0000000000000001E-3</v>
      </c>
      <c r="Y135">
        <v>12089.95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48</v>
      </c>
      <c r="AG135">
        <v>7.0000000000000001E-3</v>
      </c>
      <c r="AH135">
        <v>2</v>
      </c>
      <c r="AI135">
        <v>57261053</v>
      </c>
      <c r="AJ135">
        <v>117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ROW(Source!A42)</f>
        <v>42</v>
      </c>
      <c r="B136">
        <v>57261054</v>
      </c>
      <c r="C136">
        <v>57261044</v>
      </c>
      <c r="D136">
        <v>54737961</v>
      </c>
      <c r="E136">
        <v>1</v>
      </c>
      <c r="F136">
        <v>1</v>
      </c>
      <c r="G136">
        <v>1081</v>
      </c>
      <c r="H136">
        <v>3</v>
      </c>
      <c r="I136" t="s">
        <v>574</v>
      </c>
      <c r="J136" t="s">
        <v>575</v>
      </c>
      <c r="K136" t="s">
        <v>576</v>
      </c>
      <c r="L136">
        <v>1348</v>
      </c>
      <c r="N136">
        <v>1009</v>
      </c>
      <c r="O136" t="s">
        <v>282</v>
      </c>
      <c r="P136" t="s">
        <v>282</v>
      </c>
      <c r="Q136">
        <v>1000</v>
      </c>
      <c r="X136">
        <v>1.0000000000000001E-5</v>
      </c>
      <c r="Y136">
        <v>8582.42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48</v>
      </c>
      <c r="AG136">
        <v>1.0000000000000001E-5</v>
      </c>
      <c r="AH136">
        <v>2</v>
      </c>
      <c r="AI136">
        <v>57261054</v>
      </c>
      <c r="AJ136">
        <v>118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ROW(Source!A42)</f>
        <v>42</v>
      </c>
      <c r="B137">
        <v>57261055</v>
      </c>
      <c r="C137">
        <v>57261044</v>
      </c>
      <c r="D137">
        <v>54737965</v>
      </c>
      <c r="E137">
        <v>1</v>
      </c>
      <c r="F137">
        <v>1</v>
      </c>
      <c r="G137">
        <v>1081</v>
      </c>
      <c r="H137">
        <v>3</v>
      </c>
      <c r="I137" t="s">
        <v>577</v>
      </c>
      <c r="J137" t="s">
        <v>578</v>
      </c>
      <c r="K137" t="s">
        <v>579</v>
      </c>
      <c r="L137">
        <v>1348</v>
      </c>
      <c r="N137">
        <v>1009</v>
      </c>
      <c r="O137" t="s">
        <v>282</v>
      </c>
      <c r="P137" t="s">
        <v>282</v>
      </c>
      <c r="Q137">
        <v>1000</v>
      </c>
      <c r="X137">
        <v>1.9999999999999999E-6</v>
      </c>
      <c r="Y137">
        <v>12521.99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48</v>
      </c>
      <c r="AG137">
        <v>1.9999999999999999E-6</v>
      </c>
      <c r="AH137">
        <v>2</v>
      </c>
      <c r="AI137">
        <v>57261055</v>
      </c>
      <c r="AJ137">
        <v>119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ROW(Source!A42)</f>
        <v>42</v>
      </c>
      <c r="B138">
        <v>57261056</v>
      </c>
      <c r="C138">
        <v>57261044</v>
      </c>
      <c r="D138">
        <v>54719221</v>
      </c>
      <c r="E138">
        <v>1081</v>
      </c>
      <c r="F138">
        <v>1</v>
      </c>
      <c r="G138">
        <v>1081</v>
      </c>
      <c r="H138">
        <v>3</v>
      </c>
      <c r="I138" t="s">
        <v>670</v>
      </c>
      <c r="J138" t="s">
        <v>3</v>
      </c>
      <c r="K138" t="s">
        <v>671</v>
      </c>
      <c r="L138">
        <v>1354</v>
      </c>
      <c r="N138">
        <v>1010</v>
      </c>
      <c r="O138" t="s">
        <v>118</v>
      </c>
      <c r="P138" t="s">
        <v>118</v>
      </c>
      <c r="Q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48</v>
      </c>
      <c r="AG138">
        <v>1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ROW(Source!A43)</f>
        <v>43</v>
      </c>
      <c r="B139">
        <v>57261045</v>
      </c>
      <c r="C139">
        <v>57261044</v>
      </c>
      <c r="D139">
        <v>54702434</v>
      </c>
      <c r="E139">
        <v>1081</v>
      </c>
      <c r="F139">
        <v>1</v>
      </c>
      <c r="G139">
        <v>1081</v>
      </c>
      <c r="H139">
        <v>1</v>
      </c>
      <c r="I139" t="s">
        <v>473</v>
      </c>
      <c r="J139" t="s">
        <v>3</v>
      </c>
      <c r="K139" t="s">
        <v>474</v>
      </c>
      <c r="L139">
        <v>1191</v>
      </c>
      <c r="N139">
        <v>1013</v>
      </c>
      <c r="O139" t="s">
        <v>475</v>
      </c>
      <c r="P139" t="s">
        <v>475</v>
      </c>
      <c r="Q139">
        <v>1</v>
      </c>
      <c r="X139">
        <v>5.15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49</v>
      </c>
      <c r="AG139">
        <v>6.1800000000000006</v>
      </c>
      <c r="AH139">
        <v>2</v>
      </c>
      <c r="AI139">
        <v>57261045</v>
      </c>
      <c r="AJ139">
        <v>120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ROW(Source!A43)</f>
        <v>43</v>
      </c>
      <c r="B140">
        <v>57261046</v>
      </c>
      <c r="C140">
        <v>57261044</v>
      </c>
      <c r="D140">
        <v>54768040</v>
      </c>
      <c r="E140">
        <v>1</v>
      </c>
      <c r="F140">
        <v>1</v>
      </c>
      <c r="G140">
        <v>1081</v>
      </c>
      <c r="H140">
        <v>2</v>
      </c>
      <c r="I140" t="s">
        <v>476</v>
      </c>
      <c r="J140" t="s">
        <v>477</v>
      </c>
      <c r="K140" t="s">
        <v>478</v>
      </c>
      <c r="L140">
        <v>1368</v>
      </c>
      <c r="N140">
        <v>1011</v>
      </c>
      <c r="O140" t="s">
        <v>479</v>
      </c>
      <c r="P140" t="s">
        <v>479</v>
      </c>
      <c r="Q140">
        <v>1</v>
      </c>
      <c r="X140">
        <v>0.2</v>
      </c>
      <c r="Y140">
        <v>0</v>
      </c>
      <c r="Z140">
        <v>7.11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49</v>
      </c>
      <c r="AG140">
        <v>0.24</v>
      </c>
      <c r="AH140">
        <v>2</v>
      </c>
      <c r="AI140">
        <v>57261046</v>
      </c>
      <c r="AJ140">
        <v>121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ROW(Source!A43)</f>
        <v>43</v>
      </c>
      <c r="B141">
        <v>57261047</v>
      </c>
      <c r="C141">
        <v>57261044</v>
      </c>
      <c r="D141">
        <v>54768339</v>
      </c>
      <c r="E141">
        <v>1</v>
      </c>
      <c r="F141">
        <v>1</v>
      </c>
      <c r="G141">
        <v>1081</v>
      </c>
      <c r="H141">
        <v>2</v>
      </c>
      <c r="I141" t="s">
        <v>483</v>
      </c>
      <c r="J141" t="s">
        <v>484</v>
      </c>
      <c r="K141" t="s">
        <v>485</v>
      </c>
      <c r="L141">
        <v>1368</v>
      </c>
      <c r="N141">
        <v>1011</v>
      </c>
      <c r="O141" t="s">
        <v>479</v>
      </c>
      <c r="P141" t="s">
        <v>479</v>
      </c>
      <c r="Q141">
        <v>1</v>
      </c>
      <c r="X141">
        <v>0.03</v>
      </c>
      <c r="Y141">
        <v>0</v>
      </c>
      <c r="Z141">
        <v>83.1</v>
      </c>
      <c r="AA141">
        <v>12.62</v>
      </c>
      <c r="AB141">
        <v>0</v>
      </c>
      <c r="AC141">
        <v>0</v>
      </c>
      <c r="AD141">
        <v>1</v>
      </c>
      <c r="AE141">
        <v>0</v>
      </c>
      <c r="AF141" t="s">
        <v>49</v>
      </c>
      <c r="AG141">
        <v>3.5999999999999997E-2</v>
      </c>
      <c r="AH141">
        <v>2</v>
      </c>
      <c r="AI141">
        <v>57261047</v>
      </c>
      <c r="AJ141">
        <v>122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ROW(Source!A43)</f>
        <v>43</v>
      </c>
      <c r="B142">
        <v>57261048</v>
      </c>
      <c r="C142">
        <v>57261044</v>
      </c>
      <c r="D142">
        <v>54768415</v>
      </c>
      <c r="E142">
        <v>1</v>
      </c>
      <c r="F142">
        <v>1</v>
      </c>
      <c r="G142">
        <v>1081</v>
      </c>
      <c r="H142">
        <v>2</v>
      </c>
      <c r="I142" t="s">
        <v>559</v>
      </c>
      <c r="J142" t="s">
        <v>560</v>
      </c>
      <c r="K142" t="s">
        <v>561</v>
      </c>
      <c r="L142">
        <v>1368</v>
      </c>
      <c r="N142">
        <v>1011</v>
      </c>
      <c r="O142" t="s">
        <v>479</v>
      </c>
      <c r="P142" t="s">
        <v>479</v>
      </c>
      <c r="Q142">
        <v>1</v>
      </c>
      <c r="X142">
        <v>0.46</v>
      </c>
      <c r="Y142">
        <v>0</v>
      </c>
      <c r="Z142">
        <v>0.78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49</v>
      </c>
      <c r="AG142">
        <v>0.55200000000000005</v>
      </c>
      <c r="AH142">
        <v>2</v>
      </c>
      <c r="AI142">
        <v>57261048</v>
      </c>
      <c r="AJ142">
        <v>123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ROW(Source!A43)</f>
        <v>43</v>
      </c>
      <c r="B143">
        <v>57261049</v>
      </c>
      <c r="C143">
        <v>57261044</v>
      </c>
      <c r="D143">
        <v>54738430</v>
      </c>
      <c r="E143">
        <v>1</v>
      </c>
      <c r="F143">
        <v>1</v>
      </c>
      <c r="G143">
        <v>1081</v>
      </c>
      <c r="H143">
        <v>3</v>
      </c>
      <c r="I143" t="s">
        <v>562</v>
      </c>
      <c r="J143" t="s">
        <v>563</v>
      </c>
      <c r="K143" t="s">
        <v>564</v>
      </c>
      <c r="L143">
        <v>1348</v>
      </c>
      <c r="N143">
        <v>1009</v>
      </c>
      <c r="O143" t="s">
        <v>282</v>
      </c>
      <c r="P143" t="s">
        <v>282</v>
      </c>
      <c r="Q143">
        <v>1000</v>
      </c>
      <c r="X143">
        <v>1.21E-4</v>
      </c>
      <c r="Y143">
        <v>7185.82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48</v>
      </c>
      <c r="AG143">
        <v>1.21E-4</v>
      </c>
      <c r="AH143">
        <v>2</v>
      </c>
      <c r="AI143">
        <v>57261049</v>
      </c>
      <c r="AJ143">
        <v>124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ROW(Source!A43)</f>
        <v>43</v>
      </c>
      <c r="B144">
        <v>57261050</v>
      </c>
      <c r="C144">
        <v>57261044</v>
      </c>
      <c r="D144">
        <v>54738439</v>
      </c>
      <c r="E144">
        <v>1</v>
      </c>
      <c r="F144">
        <v>1</v>
      </c>
      <c r="G144">
        <v>1081</v>
      </c>
      <c r="H144">
        <v>3</v>
      </c>
      <c r="I144" t="s">
        <v>565</v>
      </c>
      <c r="J144" t="s">
        <v>566</v>
      </c>
      <c r="K144" t="s">
        <v>567</v>
      </c>
      <c r="L144">
        <v>1346</v>
      </c>
      <c r="N144">
        <v>1009</v>
      </c>
      <c r="O144" t="s">
        <v>503</v>
      </c>
      <c r="P144" t="s">
        <v>503</v>
      </c>
      <c r="Q144">
        <v>1</v>
      </c>
      <c r="X144">
        <v>2.3E-2</v>
      </c>
      <c r="Y144">
        <v>29.82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48</v>
      </c>
      <c r="AG144">
        <v>2.3E-2</v>
      </c>
      <c r="AH144">
        <v>2</v>
      </c>
      <c r="AI144">
        <v>57261050</v>
      </c>
      <c r="AJ144">
        <v>125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ROW(Source!A43)</f>
        <v>43</v>
      </c>
      <c r="B145">
        <v>57261051</v>
      </c>
      <c r="C145">
        <v>57261044</v>
      </c>
      <c r="D145">
        <v>54737410</v>
      </c>
      <c r="E145">
        <v>1</v>
      </c>
      <c r="F145">
        <v>1</v>
      </c>
      <c r="G145">
        <v>1081</v>
      </c>
      <c r="H145">
        <v>3</v>
      </c>
      <c r="I145" t="s">
        <v>280</v>
      </c>
      <c r="J145" t="s">
        <v>283</v>
      </c>
      <c r="K145" t="s">
        <v>281</v>
      </c>
      <c r="L145">
        <v>1348</v>
      </c>
      <c r="N145">
        <v>1009</v>
      </c>
      <c r="O145" t="s">
        <v>282</v>
      </c>
      <c r="P145" t="s">
        <v>282</v>
      </c>
      <c r="Q145">
        <v>1000</v>
      </c>
      <c r="X145">
        <v>1.8E-5</v>
      </c>
      <c r="Y145">
        <v>18653.07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48</v>
      </c>
      <c r="AG145">
        <v>1.8E-5</v>
      </c>
      <c r="AH145">
        <v>2</v>
      </c>
      <c r="AI145">
        <v>57261051</v>
      </c>
      <c r="AJ145">
        <v>126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ROW(Source!A43)</f>
        <v>43</v>
      </c>
      <c r="B146">
        <v>57261052</v>
      </c>
      <c r="C146">
        <v>57261044</v>
      </c>
      <c r="D146">
        <v>54739199</v>
      </c>
      <c r="E146">
        <v>1</v>
      </c>
      <c r="F146">
        <v>1</v>
      </c>
      <c r="G146">
        <v>1081</v>
      </c>
      <c r="H146">
        <v>3</v>
      </c>
      <c r="I146" t="s">
        <v>568</v>
      </c>
      <c r="J146" t="s">
        <v>569</v>
      </c>
      <c r="K146" t="s">
        <v>570</v>
      </c>
      <c r="L146">
        <v>1348</v>
      </c>
      <c r="N146">
        <v>1009</v>
      </c>
      <c r="O146" t="s">
        <v>282</v>
      </c>
      <c r="P146" t="s">
        <v>282</v>
      </c>
      <c r="Q146">
        <v>1000</v>
      </c>
      <c r="X146">
        <v>2.3780000000000001E-4</v>
      </c>
      <c r="Y146">
        <v>11487.92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48</v>
      </c>
      <c r="AG146">
        <v>2.3780000000000001E-4</v>
      </c>
      <c r="AH146">
        <v>2</v>
      </c>
      <c r="AI146">
        <v>57261052</v>
      </c>
      <c r="AJ146">
        <v>127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ROW(Source!A43)</f>
        <v>43</v>
      </c>
      <c r="B147">
        <v>57261053</v>
      </c>
      <c r="C147">
        <v>57261044</v>
      </c>
      <c r="D147">
        <v>54739762</v>
      </c>
      <c r="E147">
        <v>1</v>
      </c>
      <c r="F147">
        <v>1</v>
      </c>
      <c r="G147">
        <v>1081</v>
      </c>
      <c r="H147">
        <v>3</v>
      </c>
      <c r="I147" t="s">
        <v>571</v>
      </c>
      <c r="J147" t="s">
        <v>572</v>
      </c>
      <c r="K147" t="s">
        <v>573</v>
      </c>
      <c r="L147">
        <v>1348</v>
      </c>
      <c r="N147">
        <v>1009</v>
      </c>
      <c r="O147" t="s">
        <v>282</v>
      </c>
      <c r="P147" t="s">
        <v>282</v>
      </c>
      <c r="Q147">
        <v>1000</v>
      </c>
      <c r="X147">
        <v>7.0000000000000001E-3</v>
      </c>
      <c r="Y147">
        <v>12089.95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48</v>
      </c>
      <c r="AG147">
        <v>7.0000000000000001E-3</v>
      </c>
      <c r="AH147">
        <v>2</v>
      </c>
      <c r="AI147">
        <v>57261053</v>
      </c>
      <c r="AJ147">
        <v>128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ROW(Source!A43)</f>
        <v>43</v>
      </c>
      <c r="B148">
        <v>57261054</v>
      </c>
      <c r="C148">
        <v>57261044</v>
      </c>
      <c r="D148">
        <v>54737961</v>
      </c>
      <c r="E148">
        <v>1</v>
      </c>
      <c r="F148">
        <v>1</v>
      </c>
      <c r="G148">
        <v>1081</v>
      </c>
      <c r="H148">
        <v>3</v>
      </c>
      <c r="I148" t="s">
        <v>574</v>
      </c>
      <c r="J148" t="s">
        <v>575</v>
      </c>
      <c r="K148" t="s">
        <v>576</v>
      </c>
      <c r="L148">
        <v>1348</v>
      </c>
      <c r="N148">
        <v>1009</v>
      </c>
      <c r="O148" t="s">
        <v>282</v>
      </c>
      <c r="P148" t="s">
        <v>282</v>
      </c>
      <c r="Q148">
        <v>1000</v>
      </c>
      <c r="X148">
        <v>1.0000000000000001E-5</v>
      </c>
      <c r="Y148">
        <v>8582.42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48</v>
      </c>
      <c r="AG148">
        <v>1.0000000000000001E-5</v>
      </c>
      <c r="AH148">
        <v>2</v>
      </c>
      <c r="AI148">
        <v>57261054</v>
      </c>
      <c r="AJ148">
        <v>129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ROW(Source!A43)</f>
        <v>43</v>
      </c>
      <c r="B149">
        <v>57261055</v>
      </c>
      <c r="C149">
        <v>57261044</v>
      </c>
      <c r="D149">
        <v>54737965</v>
      </c>
      <c r="E149">
        <v>1</v>
      </c>
      <c r="F149">
        <v>1</v>
      </c>
      <c r="G149">
        <v>1081</v>
      </c>
      <c r="H149">
        <v>3</v>
      </c>
      <c r="I149" t="s">
        <v>577</v>
      </c>
      <c r="J149" t="s">
        <v>578</v>
      </c>
      <c r="K149" t="s">
        <v>579</v>
      </c>
      <c r="L149">
        <v>1348</v>
      </c>
      <c r="N149">
        <v>1009</v>
      </c>
      <c r="O149" t="s">
        <v>282</v>
      </c>
      <c r="P149" t="s">
        <v>282</v>
      </c>
      <c r="Q149">
        <v>1000</v>
      </c>
      <c r="X149">
        <v>1.9999999999999999E-6</v>
      </c>
      <c r="Y149">
        <v>12521.99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48</v>
      </c>
      <c r="AG149">
        <v>1.9999999999999999E-6</v>
      </c>
      <c r="AH149">
        <v>2</v>
      </c>
      <c r="AI149">
        <v>57261055</v>
      </c>
      <c r="AJ149">
        <v>130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ROW(Source!A43)</f>
        <v>43</v>
      </c>
      <c r="B150">
        <v>57261056</v>
      </c>
      <c r="C150">
        <v>57261044</v>
      </c>
      <c r="D150">
        <v>54719221</v>
      </c>
      <c r="E150">
        <v>1081</v>
      </c>
      <c r="F150">
        <v>1</v>
      </c>
      <c r="G150">
        <v>1081</v>
      </c>
      <c r="H150">
        <v>3</v>
      </c>
      <c r="I150" t="s">
        <v>670</v>
      </c>
      <c r="J150" t="s">
        <v>3</v>
      </c>
      <c r="K150" t="s">
        <v>671</v>
      </c>
      <c r="L150">
        <v>1354</v>
      </c>
      <c r="N150">
        <v>1010</v>
      </c>
      <c r="O150" t="s">
        <v>118</v>
      </c>
      <c r="P150" t="s">
        <v>118</v>
      </c>
      <c r="Q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48</v>
      </c>
      <c r="AG150">
        <v>1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ROW(Source!A44)</f>
        <v>44</v>
      </c>
      <c r="B151">
        <v>57261059</v>
      </c>
      <c r="C151">
        <v>57261058</v>
      </c>
      <c r="D151">
        <v>54702434</v>
      </c>
      <c r="E151">
        <v>1081</v>
      </c>
      <c r="F151">
        <v>1</v>
      </c>
      <c r="G151">
        <v>1081</v>
      </c>
      <c r="H151">
        <v>1</v>
      </c>
      <c r="I151" t="s">
        <v>473</v>
      </c>
      <c r="J151" t="s">
        <v>3</v>
      </c>
      <c r="K151" t="s">
        <v>474</v>
      </c>
      <c r="L151">
        <v>1191</v>
      </c>
      <c r="N151">
        <v>1013</v>
      </c>
      <c r="O151" t="s">
        <v>475</v>
      </c>
      <c r="P151" t="s">
        <v>475</v>
      </c>
      <c r="Q151">
        <v>1</v>
      </c>
      <c r="X151">
        <v>0.52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49</v>
      </c>
      <c r="AG151">
        <v>0.624</v>
      </c>
      <c r="AH151">
        <v>2</v>
      </c>
      <c r="AI151">
        <v>57261059</v>
      </c>
      <c r="AJ151">
        <v>131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ROW(Source!A44)</f>
        <v>44</v>
      </c>
      <c r="B152">
        <v>57261060</v>
      </c>
      <c r="C152">
        <v>57261058</v>
      </c>
      <c r="D152">
        <v>54695140</v>
      </c>
      <c r="E152">
        <v>1081</v>
      </c>
      <c r="F152">
        <v>1</v>
      </c>
      <c r="G152">
        <v>1081</v>
      </c>
      <c r="H152">
        <v>3</v>
      </c>
      <c r="I152" t="s">
        <v>659</v>
      </c>
      <c r="J152" t="s">
        <v>3</v>
      </c>
      <c r="K152" t="s">
        <v>661</v>
      </c>
      <c r="L152">
        <v>1346</v>
      </c>
      <c r="N152">
        <v>1009</v>
      </c>
      <c r="O152" t="s">
        <v>503</v>
      </c>
      <c r="P152" t="s">
        <v>503</v>
      </c>
      <c r="Q152">
        <v>1</v>
      </c>
      <c r="X152">
        <v>3.5000000000000003E-2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48</v>
      </c>
      <c r="AG152">
        <v>3.5000000000000003E-2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ROW(Source!A44)</f>
        <v>44</v>
      </c>
      <c r="B153">
        <v>57261061</v>
      </c>
      <c r="C153">
        <v>57261058</v>
      </c>
      <c r="D153">
        <v>54719065</v>
      </c>
      <c r="E153">
        <v>1081</v>
      </c>
      <c r="F153">
        <v>1</v>
      </c>
      <c r="G153">
        <v>1081</v>
      </c>
      <c r="H153">
        <v>3</v>
      </c>
      <c r="I153" t="s">
        <v>672</v>
      </c>
      <c r="J153" t="s">
        <v>3</v>
      </c>
      <c r="K153" t="s">
        <v>673</v>
      </c>
      <c r="L153">
        <v>1354</v>
      </c>
      <c r="N153">
        <v>1010</v>
      </c>
      <c r="O153" t="s">
        <v>118</v>
      </c>
      <c r="P153" t="s">
        <v>118</v>
      </c>
      <c r="Q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48</v>
      </c>
      <c r="AG153">
        <v>1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ROW(Source!A45)</f>
        <v>45</v>
      </c>
      <c r="B154">
        <v>57261059</v>
      </c>
      <c r="C154">
        <v>57261058</v>
      </c>
      <c r="D154">
        <v>54702434</v>
      </c>
      <c r="E154">
        <v>1081</v>
      </c>
      <c r="F154">
        <v>1</v>
      </c>
      <c r="G154">
        <v>1081</v>
      </c>
      <c r="H154">
        <v>1</v>
      </c>
      <c r="I154" t="s">
        <v>473</v>
      </c>
      <c r="J154" t="s">
        <v>3</v>
      </c>
      <c r="K154" t="s">
        <v>474</v>
      </c>
      <c r="L154">
        <v>1191</v>
      </c>
      <c r="N154">
        <v>1013</v>
      </c>
      <c r="O154" t="s">
        <v>475</v>
      </c>
      <c r="P154" t="s">
        <v>475</v>
      </c>
      <c r="Q154">
        <v>1</v>
      </c>
      <c r="X154">
        <v>0.52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49</v>
      </c>
      <c r="AG154">
        <v>0.624</v>
      </c>
      <c r="AH154">
        <v>2</v>
      </c>
      <c r="AI154">
        <v>57261059</v>
      </c>
      <c r="AJ154">
        <v>132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ROW(Source!A45)</f>
        <v>45</v>
      </c>
      <c r="B155">
        <v>57261060</v>
      </c>
      <c r="C155">
        <v>57261058</v>
      </c>
      <c r="D155">
        <v>54695140</v>
      </c>
      <c r="E155">
        <v>1081</v>
      </c>
      <c r="F155">
        <v>1</v>
      </c>
      <c r="G155">
        <v>1081</v>
      </c>
      <c r="H155">
        <v>3</v>
      </c>
      <c r="I155" t="s">
        <v>659</v>
      </c>
      <c r="J155" t="s">
        <v>3</v>
      </c>
      <c r="K155" t="s">
        <v>661</v>
      </c>
      <c r="L155">
        <v>1346</v>
      </c>
      <c r="N155">
        <v>1009</v>
      </c>
      <c r="O155" t="s">
        <v>503</v>
      </c>
      <c r="P155" t="s">
        <v>503</v>
      </c>
      <c r="Q155">
        <v>1</v>
      </c>
      <c r="X155">
        <v>3.5000000000000003E-2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48</v>
      </c>
      <c r="AG155">
        <v>3.5000000000000003E-2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ROW(Source!A45)</f>
        <v>45</v>
      </c>
      <c r="B156">
        <v>57261061</v>
      </c>
      <c r="C156">
        <v>57261058</v>
      </c>
      <c r="D156">
        <v>54719065</v>
      </c>
      <c r="E156">
        <v>1081</v>
      </c>
      <c r="F156">
        <v>1</v>
      </c>
      <c r="G156">
        <v>1081</v>
      </c>
      <c r="H156">
        <v>3</v>
      </c>
      <c r="I156" t="s">
        <v>672</v>
      </c>
      <c r="J156" t="s">
        <v>3</v>
      </c>
      <c r="K156" t="s">
        <v>673</v>
      </c>
      <c r="L156">
        <v>1354</v>
      </c>
      <c r="N156">
        <v>1010</v>
      </c>
      <c r="O156" t="s">
        <v>118</v>
      </c>
      <c r="P156" t="s">
        <v>118</v>
      </c>
      <c r="Q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48</v>
      </c>
      <c r="AG156">
        <v>1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ROW(Source!A46)</f>
        <v>46</v>
      </c>
      <c r="B157">
        <v>55747921</v>
      </c>
      <c r="C157">
        <v>55747917</v>
      </c>
      <c r="D157">
        <v>54702434</v>
      </c>
      <c r="E157">
        <v>1081</v>
      </c>
      <c r="F157">
        <v>1</v>
      </c>
      <c r="G157">
        <v>1081</v>
      </c>
      <c r="H157">
        <v>1</v>
      </c>
      <c r="I157" t="s">
        <v>473</v>
      </c>
      <c r="J157" t="s">
        <v>3</v>
      </c>
      <c r="K157" t="s">
        <v>474</v>
      </c>
      <c r="L157">
        <v>1191</v>
      </c>
      <c r="N157">
        <v>1013</v>
      </c>
      <c r="O157" t="s">
        <v>475</v>
      </c>
      <c r="P157" t="s">
        <v>475</v>
      </c>
      <c r="Q157">
        <v>1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 t="s">
        <v>49</v>
      </c>
      <c r="AG157">
        <v>4.8</v>
      </c>
      <c r="AH157">
        <v>2</v>
      </c>
      <c r="AI157">
        <v>55747918</v>
      </c>
      <c r="AJ157">
        <v>133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ROW(Source!A46)</f>
        <v>46</v>
      </c>
      <c r="B158">
        <v>55747922</v>
      </c>
      <c r="C158">
        <v>55747917</v>
      </c>
      <c r="D158">
        <v>54768339</v>
      </c>
      <c r="E158">
        <v>1</v>
      </c>
      <c r="F158">
        <v>1</v>
      </c>
      <c r="G158">
        <v>1081</v>
      </c>
      <c r="H158">
        <v>2</v>
      </c>
      <c r="I158" t="s">
        <v>483</v>
      </c>
      <c r="J158" t="s">
        <v>484</v>
      </c>
      <c r="K158" t="s">
        <v>485</v>
      </c>
      <c r="L158">
        <v>1368</v>
      </c>
      <c r="N158">
        <v>1011</v>
      </c>
      <c r="O158" t="s">
        <v>479</v>
      </c>
      <c r="P158" t="s">
        <v>479</v>
      </c>
      <c r="Q158">
        <v>1</v>
      </c>
      <c r="X158">
        <v>0.02</v>
      </c>
      <c r="Y158">
        <v>0</v>
      </c>
      <c r="Z158">
        <v>83.1</v>
      </c>
      <c r="AA158">
        <v>12.62</v>
      </c>
      <c r="AB158">
        <v>0</v>
      </c>
      <c r="AC158">
        <v>0</v>
      </c>
      <c r="AD158">
        <v>1</v>
      </c>
      <c r="AE158">
        <v>0</v>
      </c>
      <c r="AF158" t="s">
        <v>49</v>
      </c>
      <c r="AG158">
        <v>2.4E-2</v>
      </c>
      <c r="AH158">
        <v>2</v>
      </c>
      <c r="AI158">
        <v>55747919</v>
      </c>
      <c r="AJ158">
        <v>134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ROW(Source!A46)</f>
        <v>46</v>
      </c>
      <c r="B159">
        <v>55747923</v>
      </c>
      <c r="C159">
        <v>55747917</v>
      </c>
      <c r="D159">
        <v>54737969</v>
      </c>
      <c r="E159">
        <v>1</v>
      </c>
      <c r="F159">
        <v>1</v>
      </c>
      <c r="G159">
        <v>1081</v>
      </c>
      <c r="H159">
        <v>3</v>
      </c>
      <c r="I159" t="s">
        <v>511</v>
      </c>
      <c r="J159" t="s">
        <v>512</v>
      </c>
      <c r="K159" t="s">
        <v>513</v>
      </c>
      <c r="L159">
        <v>1348</v>
      </c>
      <c r="N159">
        <v>1009</v>
      </c>
      <c r="O159" t="s">
        <v>282</v>
      </c>
      <c r="P159" t="s">
        <v>282</v>
      </c>
      <c r="Q159">
        <v>1000</v>
      </c>
      <c r="X159">
        <v>1.2E-4</v>
      </c>
      <c r="Y159">
        <v>23114.43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48</v>
      </c>
      <c r="AG159">
        <v>1.2E-4</v>
      </c>
      <c r="AH159">
        <v>2</v>
      </c>
      <c r="AI159">
        <v>55747920</v>
      </c>
      <c r="AJ159">
        <v>135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ROW(Source!A46)</f>
        <v>46</v>
      </c>
      <c r="B160">
        <v>55747924</v>
      </c>
      <c r="C160">
        <v>55747917</v>
      </c>
      <c r="D160">
        <v>54695112</v>
      </c>
      <c r="E160">
        <v>1081</v>
      </c>
      <c r="F160">
        <v>1</v>
      </c>
      <c r="G160">
        <v>1081</v>
      </c>
      <c r="H160">
        <v>3</v>
      </c>
      <c r="I160" t="s">
        <v>659</v>
      </c>
      <c r="J160" t="s">
        <v>3</v>
      </c>
      <c r="K160" t="s">
        <v>661</v>
      </c>
      <c r="L160">
        <v>1346</v>
      </c>
      <c r="N160">
        <v>1009</v>
      </c>
      <c r="O160" t="s">
        <v>503</v>
      </c>
      <c r="P160" t="s">
        <v>503</v>
      </c>
      <c r="Q160">
        <v>1</v>
      </c>
      <c r="X160">
        <v>3.6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48</v>
      </c>
      <c r="AG160">
        <v>3.6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ROW(Source!A46)</f>
        <v>46</v>
      </c>
      <c r="B161">
        <v>55747925</v>
      </c>
      <c r="C161">
        <v>55747917</v>
      </c>
      <c r="D161">
        <v>54717889</v>
      </c>
      <c r="E161">
        <v>1081</v>
      </c>
      <c r="F161">
        <v>1</v>
      </c>
      <c r="G161">
        <v>1081</v>
      </c>
      <c r="H161">
        <v>3</v>
      </c>
      <c r="I161" t="s">
        <v>674</v>
      </c>
      <c r="J161" t="s">
        <v>3</v>
      </c>
      <c r="K161" t="s">
        <v>675</v>
      </c>
      <c r="L161">
        <v>1354</v>
      </c>
      <c r="N161">
        <v>1010</v>
      </c>
      <c r="O161" t="s">
        <v>118</v>
      </c>
      <c r="P161" t="s">
        <v>118</v>
      </c>
      <c r="Q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48</v>
      </c>
      <c r="AG161">
        <v>1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ROW(Source!A47)</f>
        <v>47</v>
      </c>
      <c r="B162">
        <v>55747921</v>
      </c>
      <c r="C162">
        <v>55747917</v>
      </c>
      <c r="D162">
        <v>54702434</v>
      </c>
      <c r="E162">
        <v>1081</v>
      </c>
      <c r="F162">
        <v>1</v>
      </c>
      <c r="G162">
        <v>1081</v>
      </c>
      <c r="H162">
        <v>1</v>
      </c>
      <c r="I162" t="s">
        <v>473</v>
      </c>
      <c r="J162" t="s">
        <v>3</v>
      </c>
      <c r="K162" t="s">
        <v>474</v>
      </c>
      <c r="L162">
        <v>1191</v>
      </c>
      <c r="N162">
        <v>1013</v>
      </c>
      <c r="O162" t="s">
        <v>475</v>
      </c>
      <c r="P162" t="s">
        <v>475</v>
      </c>
      <c r="Q162">
        <v>1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 t="s">
        <v>49</v>
      </c>
      <c r="AG162">
        <v>4.8</v>
      </c>
      <c r="AH162">
        <v>2</v>
      </c>
      <c r="AI162">
        <v>55747918</v>
      </c>
      <c r="AJ162">
        <v>136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ROW(Source!A47)</f>
        <v>47</v>
      </c>
      <c r="B163">
        <v>55747922</v>
      </c>
      <c r="C163">
        <v>55747917</v>
      </c>
      <c r="D163">
        <v>54768339</v>
      </c>
      <c r="E163">
        <v>1</v>
      </c>
      <c r="F163">
        <v>1</v>
      </c>
      <c r="G163">
        <v>1081</v>
      </c>
      <c r="H163">
        <v>2</v>
      </c>
      <c r="I163" t="s">
        <v>483</v>
      </c>
      <c r="J163" t="s">
        <v>484</v>
      </c>
      <c r="K163" t="s">
        <v>485</v>
      </c>
      <c r="L163">
        <v>1368</v>
      </c>
      <c r="N163">
        <v>1011</v>
      </c>
      <c r="O163" t="s">
        <v>479</v>
      </c>
      <c r="P163" t="s">
        <v>479</v>
      </c>
      <c r="Q163">
        <v>1</v>
      </c>
      <c r="X163">
        <v>0.02</v>
      </c>
      <c r="Y163">
        <v>0</v>
      </c>
      <c r="Z163">
        <v>83.1</v>
      </c>
      <c r="AA163">
        <v>12.62</v>
      </c>
      <c r="AB163">
        <v>0</v>
      </c>
      <c r="AC163">
        <v>0</v>
      </c>
      <c r="AD163">
        <v>1</v>
      </c>
      <c r="AE163">
        <v>0</v>
      </c>
      <c r="AF163" t="s">
        <v>49</v>
      </c>
      <c r="AG163">
        <v>2.4E-2</v>
      </c>
      <c r="AH163">
        <v>2</v>
      </c>
      <c r="AI163">
        <v>55747919</v>
      </c>
      <c r="AJ163">
        <v>137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ROW(Source!A47)</f>
        <v>47</v>
      </c>
      <c r="B164">
        <v>55747923</v>
      </c>
      <c r="C164">
        <v>55747917</v>
      </c>
      <c r="D164">
        <v>54737969</v>
      </c>
      <c r="E164">
        <v>1</v>
      </c>
      <c r="F164">
        <v>1</v>
      </c>
      <c r="G164">
        <v>1081</v>
      </c>
      <c r="H164">
        <v>3</v>
      </c>
      <c r="I164" t="s">
        <v>511</v>
      </c>
      <c r="J164" t="s">
        <v>512</v>
      </c>
      <c r="K164" t="s">
        <v>513</v>
      </c>
      <c r="L164">
        <v>1348</v>
      </c>
      <c r="N164">
        <v>1009</v>
      </c>
      <c r="O164" t="s">
        <v>282</v>
      </c>
      <c r="P164" t="s">
        <v>282</v>
      </c>
      <c r="Q164">
        <v>1000</v>
      </c>
      <c r="X164">
        <v>1.2E-4</v>
      </c>
      <c r="Y164">
        <v>23114.43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48</v>
      </c>
      <c r="AG164">
        <v>1.2E-4</v>
      </c>
      <c r="AH164">
        <v>2</v>
      </c>
      <c r="AI164">
        <v>55747920</v>
      </c>
      <c r="AJ164">
        <v>138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ROW(Source!A47)</f>
        <v>47</v>
      </c>
      <c r="B165">
        <v>55747924</v>
      </c>
      <c r="C165">
        <v>55747917</v>
      </c>
      <c r="D165">
        <v>54695112</v>
      </c>
      <c r="E165">
        <v>1081</v>
      </c>
      <c r="F165">
        <v>1</v>
      </c>
      <c r="G165">
        <v>1081</v>
      </c>
      <c r="H165">
        <v>3</v>
      </c>
      <c r="I165" t="s">
        <v>659</v>
      </c>
      <c r="J165" t="s">
        <v>3</v>
      </c>
      <c r="K165" t="s">
        <v>661</v>
      </c>
      <c r="L165">
        <v>1346</v>
      </c>
      <c r="N165">
        <v>1009</v>
      </c>
      <c r="O165" t="s">
        <v>503</v>
      </c>
      <c r="P165" t="s">
        <v>503</v>
      </c>
      <c r="Q165">
        <v>1</v>
      </c>
      <c r="X165">
        <v>3.6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48</v>
      </c>
      <c r="AG165">
        <v>3.6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ROW(Source!A47)</f>
        <v>47</v>
      </c>
      <c r="B166">
        <v>55747925</v>
      </c>
      <c r="C166">
        <v>55747917</v>
      </c>
      <c r="D166">
        <v>54717889</v>
      </c>
      <c r="E166">
        <v>1081</v>
      </c>
      <c r="F166">
        <v>1</v>
      </c>
      <c r="G166">
        <v>1081</v>
      </c>
      <c r="H166">
        <v>3</v>
      </c>
      <c r="I166" t="s">
        <v>674</v>
      </c>
      <c r="J166" t="s">
        <v>3</v>
      </c>
      <c r="K166" t="s">
        <v>675</v>
      </c>
      <c r="L166">
        <v>1354</v>
      </c>
      <c r="N166">
        <v>1010</v>
      </c>
      <c r="O166" t="s">
        <v>118</v>
      </c>
      <c r="P166" t="s">
        <v>118</v>
      </c>
      <c r="Q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48</v>
      </c>
      <c r="AG166">
        <v>1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ROW(Source!A48)</f>
        <v>48</v>
      </c>
      <c r="B167">
        <v>55747931</v>
      </c>
      <c r="C167">
        <v>55747927</v>
      </c>
      <c r="D167">
        <v>54702434</v>
      </c>
      <c r="E167">
        <v>1081</v>
      </c>
      <c r="F167">
        <v>1</v>
      </c>
      <c r="G167">
        <v>1081</v>
      </c>
      <c r="H167">
        <v>1</v>
      </c>
      <c r="I167" t="s">
        <v>473</v>
      </c>
      <c r="J167" t="s">
        <v>3</v>
      </c>
      <c r="K167" t="s">
        <v>474</v>
      </c>
      <c r="L167">
        <v>1191</v>
      </c>
      <c r="N167">
        <v>1013</v>
      </c>
      <c r="O167" t="s">
        <v>475</v>
      </c>
      <c r="P167" t="s">
        <v>475</v>
      </c>
      <c r="Q167">
        <v>1</v>
      </c>
      <c r="X167">
        <v>5.4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49</v>
      </c>
      <c r="AG167">
        <v>6.48</v>
      </c>
      <c r="AH167">
        <v>2</v>
      </c>
      <c r="AI167">
        <v>55747928</v>
      </c>
      <c r="AJ167">
        <v>139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ROW(Source!A48)</f>
        <v>48</v>
      </c>
      <c r="B168">
        <v>55747932</v>
      </c>
      <c r="C168">
        <v>55747927</v>
      </c>
      <c r="D168">
        <v>54768339</v>
      </c>
      <c r="E168">
        <v>1</v>
      </c>
      <c r="F168">
        <v>1</v>
      </c>
      <c r="G168">
        <v>1081</v>
      </c>
      <c r="H168">
        <v>2</v>
      </c>
      <c r="I168" t="s">
        <v>483</v>
      </c>
      <c r="J168" t="s">
        <v>484</v>
      </c>
      <c r="K168" t="s">
        <v>485</v>
      </c>
      <c r="L168">
        <v>1368</v>
      </c>
      <c r="N168">
        <v>1011</v>
      </c>
      <c r="O168" t="s">
        <v>479</v>
      </c>
      <c r="P168" t="s">
        <v>479</v>
      </c>
      <c r="Q168">
        <v>1</v>
      </c>
      <c r="X168">
        <v>0.04</v>
      </c>
      <c r="Y168">
        <v>0</v>
      </c>
      <c r="Z168">
        <v>83.1</v>
      </c>
      <c r="AA168">
        <v>12.62</v>
      </c>
      <c r="AB168">
        <v>0</v>
      </c>
      <c r="AC168">
        <v>0</v>
      </c>
      <c r="AD168">
        <v>1</v>
      </c>
      <c r="AE168">
        <v>0</v>
      </c>
      <c r="AF168" t="s">
        <v>49</v>
      </c>
      <c r="AG168">
        <v>4.8000000000000001E-2</v>
      </c>
      <c r="AH168">
        <v>2</v>
      </c>
      <c r="AI168">
        <v>55747929</v>
      </c>
      <c r="AJ168">
        <v>140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ROW(Source!A48)</f>
        <v>48</v>
      </c>
      <c r="B169">
        <v>55747933</v>
      </c>
      <c r="C169">
        <v>55747927</v>
      </c>
      <c r="D169">
        <v>54737969</v>
      </c>
      <c r="E169">
        <v>1</v>
      </c>
      <c r="F169">
        <v>1</v>
      </c>
      <c r="G169">
        <v>1081</v>
      </c>
      <c r="H169">
        <v>3</v>
      </c>
      <c r="I169" t="s">
        <v>511</v>
      </c>
      <c r="J169" t="s">
        <v>512</v>
      </c>
      <c r="K169" t="s">
        <v>513</v>
      </c>
      <c r="L169">
        <v>1348</v>
      </c>
      <c r="N169">
        <v>1009</v>
      </c>
      <c r="O169" t="s">
        <v>282</v>
      </c>
      <c r="P169" t="s">
        <v>282</v>
      </c>
      <c r="Q169">
        <v>1000</v>
      </c>
      <c r="X169">
        <v>1.7000000000000001E-4</v>
      </c>
      <c r="Y169">
        <v>23114.43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48</v>
      </c>
      <c r="AG169">
        <v>1.7000000000000001E-4</v>
      </c>
      <c r="AH169">
        <v>2</v>
      </c>
      <c r="AI169">
        <v>55747930</v>
      </c>
      <c r="AJ169">
        <v>141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ROW(Source!A48)</f>
        <v>48</v>
      </c>
      <c r="B170">
        <v>55747934</v>
      </c>
      <c r="C170">
        <v>55747927</v>
      </c>
      <c r="D170">
        <v>54695112</v>
      </c>
      <c r="E170">
        <v>1081</v>
      </c>
      <c r="F170">
        <v>1</v>
      </c>
      <c r="G170">
        <v>1081</v>
      </c>
      <c r="H170">
        <v>3</v>
      </c>
      <c r="I170" t="s">
        <v>659</v>
      </c>
      <c r="J170" t="s">
        <v>3</v>
      </c>
      <c r="K170" t="s">
        <v>661</v>
      </c>
      <c r="L170">
        <v>1346</v>
      </c>
      <c r="N170">
        <v>1009</v>
      </c>
      <c r="O170" t="s">
        <v>503</v>
      </c>
      <c r="P170" t="s">
        <v>503</v>
      </c>
      <c r="Q170">
        <v>1</v>
      </c>
      <c r="X170">
        <v>11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48</v>
      </c>
      <c r="AG170">
        <v>11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ROW(Source!A48)</f>
        <v>48</v>
      </c>
      <c r="B171">
        <v>55747935</v>
      </c>
      <c r="C171">
        <v>55747927</v>
      </c>
      <c r="D171">
        <v>54717889</v>
      </c>
      <c r="E171">
        <v>1081</v>
      </c>
      <c r="F171">
        <v>1</v>
      </c>
      <c r="G171">
        <v>1081</v>
      </c>
      <c r="H171">
        <v>3</v>
      </c>
      <c r="I171" t="s">
        <v>674</v>
      </c>
      <c r="J171" t="s">
        <v>3</v>
      </c>
      <c r="K171" t="s">
        <v>675</v>
      </c>
      <c r="L171">
        <v>1354</v>
      </c>
      <c r="N171">
        <v>1010</v>
      </c>
      <c r="O171" t="s">
        <v>118</v>
      </c>
      <c r="P171" t="s">
        <v>118</v>
      </c>
      <c r="Q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48</v>
      </c>
      <c r="AG171">
        <v>1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ROW(Source!A49)</f>
        <v>49</v>
      </c>
      <c r="B172">
        <v>55747931</v>
      </c>
      <c r="C172">
        <v>55747927</v>
      </c>
      <c r="D172">
        <v>54702434</v>
      </c>
      <c r="E172">
        <v>1081</v>
      </c>
      <c r="F172">
        <v>1</v>
      </c>
      <c r="G172">
        <v>1081</v>
      </c>
      <c r="H172">
        <v>1</v>
      </c>
      <c r="I172" t="s">
        <v>473</v>
      </c>
      <c r="J172" t="s">
        <v>3</v>
      </c>
      <c r="K172" t="s">
        <v>474</v>
      </c>
      <c r="L172">
        <v>1191</v>
      </c>
      <c r="N172">
        <v>1013</v>
      </c>
      <c r="O172" t="s">
        <v>475</v>
      </c>
      <c r="P172" t="s">
        <v>475</v>
      </c>
      <c r="Q172">
        <v>1</v>
      </c>
      <c r="X172">
        <v>5.4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 t="s">
        <v>49</v>
      </c>
      <c r="AG172">
        <v>6.48</v>
      </c>
      <c r="AH172">
        <v>2</v>
      </c>
      <c r="AI172">
        <v>55747928</v>
      </c>
      <c r="AJ172">
        <v>142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ROW(Source!A49)</f>
        <v>49</v>
      </c>
      <c r="B173">
        <v>55747932</v>
      </c>
      <c r="C173">
        <v>55747927</v>
      </c>
      <c r="D173">
        <v>54768339</v>
      </c>
      <c r="E173">
        <v>1</v>
      </c>
      <c r="F173">
        <v>1</v>
      </c>
      <c r="G173">
        <v>1081</v>
      </c>
      <c r="H173">
        <v>2</v>
      </c>
      <c r="I173" t="s">
        <v>483</v>
      </c>
      <c r="J173" t="s">
        <v>484</v>
      </c>
      <c r="K173" t="s">
        <v>485</v>
      </c>
      <c r="L173">
        <v>1368</v>
      </c>
      <c r="N173">
        <v>1011</v>
      </c>
      <c r="O173" t="s">
        <v>479</v>
      </c>
      <c r="P173" t="s">
        <v>479</v>
      </c>
      <c r="Q173">
        <v>1</v>
      </c>
      <c r="X173">
        <v>0.04</v>
      </c>
      <c r="Y173">
        <v>0</v>
      </c>
      <c r="Z173">
        <v>83.1</v>
      </c>
      <c r="AA173">
        <v>12.62</v>
      </c>
      <c r="AB173">
        <v>0</v>
      </c>
      <c r="AC173">
        <v>0</v>
      </c>
      <c r="AD173">
        <v>1</v>
      </c>
      <c r="AE173">
        <v>0</v>
      </c>
      <c r="AF173" t="s">
        <v>49</v>
      </c>
      <c r="AG173">
        <v>4.8000000000000001E-2</v>
      </c>
      <c r="AH173">
        <v>2</v>
      </c>
      <c r="AI173">
        <v>55747929</v>
      </c>
      <c r="AJ173">
        <v>143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ROW(Source!A49)</f>
        <v>49</v>
      </c>
      <c r="B174">
        <v>55747933</v>
      </c>
      <c r="C174">
        <v>55747927</v>
      </c>
      <c r="D174">
        <v>54737969</v>
      </c>
      <c r="E174">
        <v>1</v>
      </c>
      <c r="F174">
        <v>1</v>
      </c>
      <c r="G174">
        <v>1081</v>
      </c>
      <c r="H174">
        <v>3</v>
      </c>
      <c r="I174" t="s">
        <v>511</v>
      </c>
      <c r="J174" t="s">
        <v>512</v>
      </c>
      <c r="K174" t="s">
        <v>513</v>
      </c>
      <c r="L174">
        <v>1348</v>
      </c>
      <c r="N174">
        <v>1009</v>
      </c>
      <c r="O174" t="s">
        <v>282</v>
      </c>
      <c r="P174" t="s">
        <v>282</v>
      </c>
      <c r="Q174">
        <v>1000</v>
      </c>
      <c r="X174">
        <v>1.7000000000000001E-4</v>
      </c>
      <c r="Y174">
        <v>23114.43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48</v>
      </c>
      <c r="AG174">
        <v>1.7000000000000001E-4</v>
      </c>
      <c r="AH174">
        <v>2</v>
      </c>
      <c r="AI174">
        <v>55747930</v>
      </c>
      <c r="AJ174">
        <v>144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ROW(Source!A49)</f>
        <v>49</v>
      </c>
      <c r="B175">
        <v>55747934</v>
      </c>
      <c r="C175">
        <v>55747927</v>
      </c>
      <c r="D175">
        <v>54695112</v>
      </c>
      <c r="E175">
        <v>1081</v>
      </c>
      <c r="F175">
        <v>1</v>
      </c>
      <c r="G175">
        <v>1081</v>
      </c>
      <c r="H175">
        <v>3</v>
      </c>
      <c r="I175" t="s">
        <v>659</v>
      </c>
      <c r="J175" t="s">
        <v>3</v>
      </c>
      <c r="K175" t="s">
        <v>661</v>
      </c>
      <c r="L175">
        <v>1346</v>
      </c>
      <c r="N175">
        <v>1009</v>
      </c>
      <c r="O175" t="s">
        <v>503</v>
      </c>
      <c r="P175" t="s">
        <v>503</v>
      </c>
      <c r="Q175">
        <v>1</v>
      </c>
      <c r="X175">
        <v>11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48</v>
      </c>
      <c r="AG175">
        <v>11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ROW(Source!A49)</f>
        <v>49</v>
      </c>
      <c r="B176">
        <v>55747935</v>
      </c>
      <c r="C176">
        <v>55747927</v>
      </c>
      <c r="D176">
        <v>54717889</v>
      </c>
      <c r="E176">
        <v>1081</v>
      </c>
      <c r="F176">
        <v>1</v>
      </c>
      <c r="G176">
        <v>1081</v>
      </c>
      <c r="H176">
        <v>3</v>
      </c>
      <c r="I176" t="s">
        <v>674</v>
      </c>
      <c r="J176" t="s">
        <v>3</v>
      </c>
      <c r="K176" t="s">
        <v>675</v>
      </c>
      <c r="L176">
        <v>1354</v>
      </c>
      <c r="N176">
        <v>1010</v>
      </c>
      <c r="O176" t="s">
        <v>118</v>
      </c>
      <c r="P176" t="s">
        <v>118</v>
      </c>
      <c r="Q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48</v>
      </c>
      <c r="AG176">
        <v>1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ROW(Source!A50)</f>
        <v>50</v>
      </c>
      <c r="B177">
        <v>55747940</v>
      </c>
      <c r="C177">
        <v>55747937</v>
      </c>
      <c r="D177">
        <v>54702434</v>
      </c>
      <c r="E177">
        <v>1081</v>
      </c>
      <c r="F177">
        <v>1</v>
      </c>
      <c r="G177">
        <v>1081</v>
      </c>
      <c r="H177">
        <v>1</v>
      </c>
      <c r="I177" t="s">
        <v>473</v>
      </c>
      <c r="J177" t="s">
        <v>3</v>
      </c>
      <c r="K177" t="s">
        <v>474</v>
      </c>
      <c r="L177">
        <v>1191</v>
      </c>
      <c r="N177">
        <v>1013</v>
      </c>
      <c r="O177" t="s">
        <v>475</v>
      </c>
      <c r="P177" t="s">
        <v>475</v>
      </c>
      <c r="Q177">
        <v>1</v>
      </c>
      <c r="X177">
        <v>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49</v>
      </c>
      <c r="AG177">
        <v>3.5999999999999996</v>
      </c>
      <c r="AH177">
        <v>2</v>
      </c>
      <c r="AI177">
        <v>55747938</v>
      </c>
      <c r="AJ177">
        <v>145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ROW(Source!A50)</f>
        <v>50</v>
      </c>
      <c r="B178">
        <v>55747941</v>
      </c>
      <c r="C178">
        <v>55747937</v>
      </c>
      <c r="D178">
        <v>54737969</v>
      </c>
      <c r="E178">
        <v>1</v>
      </c>
      <c r="F178">
        <v>1</v>
      </c>
      <c r="G178">
        <v>1081</v>
      </c>
      <c r="H178">
        <v>3</v>
      </c>
      <c r="I178" t="s">
        <v>511</v>
      </c>
      <c r="J178" t="s">
        <v>512</v>
      </c>
      <c r="K178" t="s">
        <v>513</v>
      </c>
      <c r="L178">
        <v>1348</v>
      </c>
      <c r="N178">
        <v>1009</v>
      </c>
      <c r="O178" t="s">
        <v>282</v>
      </c>
      <c r="P178" t="s">
        <v>282</v>
      </c>
      <c r="Q178">
        <v>1000</v>
      </c>
      <c r="X178">
        <v>3.0000000000000001E-5</v>
      </c>
      <c r="Y178">
        <v>23114.43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48</v>
      </c>
      <c r="AG178">
        <v>3.0000000000000001E-5</v>
      </c>
      <c r="AH178">
        <v>2</v>
      </c>
      <c r="AI178">
        <v>55747939</v>
      </c>
      <c r="AJ178">
        <v>146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ROW(Source!A50)</f>
        <v>50</v>
      </c>
      <c r="B179">
        <v>55747942</v>
      </c>
      <c r="C179">
        <v>55747937</v>
      </c>
      <c r="D179">
        <v>54695112</v>
      </c>
      <c r="E179">
        <v>1081</v>
      </c>
      <c r="F179">
        <v>1</v>
      </c>
      <c r="G179">
        <v>1081</v>
      </c>
      <c r="H179">
        <v>3</v>
      </c>
      <c r="I179" t="s">
        <v>659</v>
      </c>
      <c r="J179" t="s">
        <v>3</v>
      </c>
      <c r="K179" t="s">
        <v>661</v>
      </c>
      <c r="L179">
        <v>1346</v>
      </c>
      <c r="N179">
        <v>1009</v>
      </c>
      <c r="O179" t="s">
        <v>503</v>
      </c>
      <c r="P179" t="s">
        <v>503</v>
      </c>
      <c r="Q179">
        <v>1</v>
      </c>
      <c r="X179">
        <v>0.84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48</v>
      </c>
      <c r="AG179">
        <v>0.84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ROW(Source!A50)</f>
        <v>50</v>
      </c>
      <c r="B180">
        <v>55747943</v>
      </c>
      <c r="C180">
        <v>55747937</v>
      </c>
      <c r="D180">
        <v>54717889</v>
      </c>
      <c r="E180">
        <v>1081</v>
      </c>
      <c r="F180">
        <v>1</v>
      </c>
      <c r="G180">
        <v>1081</v>
      </c>
      <c r="H180">
        <v>3</v>
      </c>
      <c r="I180" t="s">
        <v>674</v>
      </c>
      <c r="J180" t="s">
        <v>3</v>
      </c>
      <c r="K180" t="s">
        <v>675</v>
      </c>
      <c r="L180">
        <v>1354</v>
      </c>
      <c r="N180">
        <v>1010</v>
      </c>
      <c r="O180" t="s">
        <v>118</v>
      </c>
      <c r="P180" t="s">
        <v>118</v>
      </c>
      <c r="Q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48</v>
      </c>
      <c r="AG180">
        <v>1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ROW(Source!A51)</f>
        <v>51</v>
      </c>
      <c r="B181">
        <v>55747940</v>
      </c>
      <c r="C181">
        <v>55747937</v>
      </c>
      <c r="D181">
        <v>54702434</v>
      </c>
      <c r="E181">
        <v>1081</v>
      </c>
      <c r="F181">
        <v>1</v>
      </c>
      <c r="G181">
        <v>1081</v>
      </c>
      <c r="H181">
        <v>1</v>
      </c>
      <c r="I181" t="s">
        <v>473</v>
      </c>
      <c r="J181" t="s">
        <v>3</v>
      </c>
      <c r="K181" t="s">
        <v>474</v>
      </c>
      <c r="L181">
        <v>1191</v>
      </c>
      <c r="N181">
        <v>1013</v>
      </c>
      <c r="O181" t="s">
        <v>475</v>
      </c>
      <c r="P181" t="s">
        <v>475</v>
      </c>
      <c r="Q181">
        <v>1</v>
      </c>
      <c r="X181">
        <v>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49</v>
      </c>
      <c r="AG181">
        <v>3.5999999999999996</v>
      </c>
      <c r="AH181">
        <v>2</v>
      </c>
      <c r="AI181">
        <v>55747938</v>
      </c>
      <c r="AJ181">
        <v>147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ROW(Source!A51)</f>
        <v>51</v>
      </c>
      <c r="B182">
        <v>55747941</v>
      </c>
      <c r="C182">
        <v>55747937</v>
      </c>
      <c r="D182">
        <v>54737969</v>
      </c>
      <c r="E182">
        <v>1</v>
      </c>
      <c r="F182">
        <v>1</v>
      </c>
      <c r="G182">
        <v>1081</v>
      </c>
      <c r="H182">
        <v>3</v>
      </c>
      <c r="I182" t="s">
        <v>511</v>
      </c>
      <c r="J182" t="s">
        <v>512</v>
      </c>
      <c r="K182" t="s">
        <v>513</v>
      </c>
      <c r="L182">
        <v>1348</v>
      </c>
      <c r="N182">
        <v>1009</v>
      </c>
      <c r="O182" t="s">
        <v>282</v>
      </c>
      <c r="P182" t="s">
        <v>282</v>
      </c>
      <c r="Q182">
        <v>1000</v>
      </c>
      <c r="X182">
        <v>3.0000000000000001E-5</v>
      </c>
      <c r="Y182">
        <v>23114.43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48</v>
      </c>
      <c r="AG182">
        <v>3.0000000000000001E-5</v>
      </c>
      <c r="AH182">
        <v>2</v>
      </c>
      <c r="AI182">
        <v>55747939</v>
      </c>
      <c r="AJ182">
        <v>148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ROW(Source!A51)</f>
        <v>51</v>
      </c>
      <c r="B183">
        <v>55747942</v>
      </c>
      <c r="C183">
        <v>55747937</v>
      </c>
      <c r="D183">
        <v>54695112</v>
      </c>
      <c r="E183">
        <v>1081</v>
      </c>
      <c r="F183">
        <v>1</v>
      </c>
      <c r="G183">
        <v>1081</v>
      </c>
      <c r="H183">
        <v>3</v>
      </c>
      <c r="I183" t="s">
        <v>659</v>
      </c>
      <c r="J183" t="s">
        <v>3</v>
      </c>
      <c r="K183" t="s">
        <v>661</v>
      </c>
      <c r="L183">
        <v>1346</v>
      </c>
      <c r="N183">
        <v>1009</v>
      </c>
      <c r="O183" t="s">
        <v>503</v>
      </c>
      <c r="P183" t="s">
        <v>503</v>
      </c>
      <c r="Q183">
        <v>1</v>
      </c>
      <c r="X183">
        <v>0.84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48</v>
      </c>
      <c r="AG183">
        <v>0.84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ROW(Source!A51)</f>
        <v>51</v>
      </c>
      <c r="B184">
        <v>55747943</v>
      </c>
      <c r="C184">
        <v>55747937</v>
      </c>
      <c r="D184">
        <v>54717889</v>
      </c>
      <c r="E184">
        <v>1081</v>
      </c>
      <c r="F184">
        <v>1</v>
      </c>
      <c r="G184">
        <v>1081</v>
      </c>
      <c r="H184">
        <v>3</v>
      </c>
      <c r="I184" t="s">
        <v>674</v>
      </c>
      <c r="J184" t="s">
        <v>3</v>
      </c>
      <c r="K184" t="s">
        <v>675</v>
      </c>
      <c r="L184">
        <v>1354</v>
      </c>
      <c r="N184">
        <v>1010</v>
      </c>
      <c r="O184" t="s">
        <v>118</v>
      </c>
      <c r="P184" t="s">
        <v>118</v>
      </c>
      <c r="Q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48</v>
      </c>
      <c r="AG184">
        <v>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ROW(Source!A52)</f>
        <v>52</v>
      </c>
      <c r="B185">
        <v>55747950</v>
      </c>
      <c r="C185">
        <v>55747945</v>
      </c>
      <c r="D185">
        <v>54702434</v>
      </c>
      <c r="E185">
        <v>1081</v>
      </c>
      <c r="F185">
        <v>1</v>
      </c>
      <c r="G185">
        <v>1081</v>
      </c>
      <c r="H185">
        <v>1</v>
      </c>
      <c r="I185" t="s">
        <v>473</v>
      </c>
      <c r="J185" t="s">
        <v>3</v>
      </c>
      <c r="K185" t="s">
        <v>474</v>
      </c>
      <c r="L185">
        <v>1191</v>
      </c>
      <c r="N185">
        <v>1013</v>
      </c>
      <c r="O185" t="s">
        <v>475</v>
      </c>
      <c r="P185" t="s">
        <v>475</v>
      </c>
      <c r="Q185">
        <v>1</v>
      </c>
      <c r="X185">
        <v>0.22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98</v>
      </c>
      <c r="AG185">
        <v>0.30359999999999998</v>
      </c>
      <c r="AH185">
        <v>2</v>
      </c>
      <c r="AI185">
        <v>55747946</v>
      </c>
      <c r="AJ185">
        <v>149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ROW(Source!A52)</f>
        <v>52</v>
      </c>
      <c r="B186">
        <v>55747951</v>
      </c>
      <c r="C186">
        <v>55747945</v>
      </c>
      <c r="D186">
        <v>54739078</v>
      </c>
      <c r="E186">
        <v>1</v>
      </c>
      <c r="F186">
        <v>1</v>
      </c>
      <c r="G186">
        <v>1081</v>
      </c>
      <c r="H186">
        <v>3</v>
      </c>
      <c r="I186" t="s">
        <v>541</v>
      </c>
      <c r="J186" t="s">
        <v>542</v>
      </c>
      <c r="K186" t="s">
        <v>543</v>
      </c>
      <c r="L186">
        <v>1346</v>
      </c>
      <c r="N186">
        <v>1009</v>
      </c>
      <c r="O186" t="s">
        <v>503</v>
      </c>
      <c r="P186" t="s">
        <v>503</v>
      </c>
      <c r="Q186">
        <v>1</v>
      </c>
      <c r="X186">
        <v>0.01</v>
      </c>
      <c r="Y186">
        <v>37.979999999999997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38</v>
      </c>
      <c r="AG186">
        <v>0.01</v>
      </c>
      <c r="AH186">
        <v>2</v>
      </c>
      <c r="AI186">
        <v>55747947</v>
      </c>
      <c r="AJ186">
        <v>150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ROW(Source!A52)</f>
        <v>52</v>
      </c>
      <c r="B187">
        <v>55747952</v>
      </c>
      <c r="C187">
        <v>55747945</v>
      </c>
      <c r="D187">
        <v>54737637</v>
      </c>
      <c r="E187">
        <v>1</v>
      </c>
      <c r="F187">
        <v>1</v>
      </c>
      <c r="G187">
        <v>1081</v>
      </c>
      <c r="H187">
        <v>3</v>
      </c>
      <c r="I187" t="s">
        <v>544</v>
      </c>
      <c r="J187" t="s">
        <v>545</v>
      </c>
      <c r="K187" t="s">
        <v>546</v>
      </c>
      <c r="L187">
        <v>1348</v>
      </c>
      <c r="N187">
        <v>1009</v>
      </c>
      <c r="O187" t="s">
        <v>282</v>
      </c>
      <c r="P187" t="s">
        <v>282</v>
      </c>
      <c r="Q187">
        <v>1000</v>
      </c>
      <c r="X187">
        <v>3.0000000000000001E-5</v>
      </c>
      <c r="Y187">
        <v>16214.84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38</v>
      </c>
      <c r="AG187">
        <v>3.0000000000000001E-5</v>
      </c>
      <c r="AH187">
        <v>2</v>
      </c>
      <c r="AI187">
        <v>55747948</v>
      </c>
      <c r="AJ187">
        <v>151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ROW(Source!A52)</f>
        <v>52</v>
      </c>
      <c r="B188">
        <v>55747953</v>
      </c>
      <c r="C188">
        <v>55747945</v>
      </c>
      <c r="D188">
        <v>54737805</v>
      </c>
      <c r="E188">
        <v>1</v>
      </c>
      <c r="F188">
        <v>1</v>
      </c>
      <c r="G188">
        <v>1081</v>
      </c>
      <c r="H188">
        <v>3</v>
      </c>
      <c r="I188" t="s">
        <v>547</v>
      </c>
      <c r="J188" t="s">
        <v>548</v>
      </c>
      <c r="K188" t="s">
        <v>549</v>
      </c>
      <c r="L188">
        <v>1346</v>
      </c>
      <c r="N188">
        <v>1009</v>
      </c>
      <c r="O188" t="s">
        <v>503</v>
      </c>
      <c r="P188" t="s">
        <v>503</v>
      </c>
      <c r="Q188">
        <v>1</v>
      </c>
      <c r="X188">
        <v>3.0000000000000001E-3</v>
      </c>
      <c r="Y188">
        <v>20.190000000000001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38</v>
      </c>
      <c r="AG188">
        <v>3.0000000000000001E-3</v>
      </c>
      <c r="AH188">
        <v>2</v>
      </c>
      <c r="AI188">
        <v>55747949</v>
      </c>
      <c r="AJ188">
        <v>152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ROW(Source!A52)</f>
        <v>52</v>
      </c>
      <c r="B189">
        <v>55747954</v>
      </c>
      <c r="C189">
        <v>55747945</v>
      </c>
      <c r="D189">
        <v>54717933</v>
      </c>
      <c r="E189">
        <v>1081</v>
      </c>
      <c r="F189">
        <v>1</v>
      </c>
      <c r="G189">
        <v>1081</v>
      </c>
      <c r="H189">
        <v>3</v>
      </c>
      <c r="I189" t="s">
        <v>676</v>
      </c>
      <c r="J189" t="s">
        <v>3</v>
      </c>
      <c r="K189" t="s">
        <v>677</v>
      </c>
      <c r="L189">
        <v>1354</v>
      </c>
      <c r="N189">
        <v>1010</v>
      </c>
      <c r="O189" t="s">
        <v>118</v>
      </c>
      <c r="P189" t="s">
        <v>118</v>
      </c>
      <c r="Q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38</v>
      </c>
      <c r="AG189">
        <v>1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ROW(Source!A52)</f>
        <v>52</v>
      </c>
      <c r="B190">
        <v>55747955</v>
      </c>
      <c r="C190">
        <v>55747945</v>
      </c>
      <c r="D190">
        <v>54719080</v>
      </c>
      <c r="E190">
        <v>1081</v>
      </c>
      <c r="F190">
        <v>1</v>
      </c>
      <c r="G190">
        <v>1081</v>
      </c>
      <c r="H190">
        <v>3</v>
      </c>
      <c r="I190" t="s">
        <v>678</v>
      </c>
      <c r="J190" t="s">
        <v>3</v>
      </c>
      <c r="K190" t="s">
        <v>679</v>
      </c>
      <c r="L190">
        <v>1354</v>
      </c>
      <c r="N190">
        <v>1010</v>
      </c>
      <c r="O190" t="s">
        <v>118</v>
      </c>
      <c r="P190" t="s">
        <v>118</v>
      </c>
      <c r="Q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38</v>
      </c>
      <c r="AG190">
        <v>1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ROW(Source!A53)</f>
        <v>53</v>
      </c>
      <c r="B191">
        <v>55747950</v>
      </c>
      <c r="C191">
        <v>55747945</v>
      </c>
      <c r="D191">
        <v>54702434</v>
      </c>
      <c r="E191">
        <v>1081</v>
      </c>
      <c r="F191">
        <v>1</v>
      </c>
      <c r="G191">
        <v>1081</v>
      </c>
      <c r="H191">
        <v>1</v>
      </c>
      <c r="I191" t="s">
        <v>473</v>
      </c>
      <c r="J191" t="s">
        <v>3</v>
      </c>
      <c r="K191" t="s">
        <v>474</v>
      </c>
      <c r="L191">
        <v>1191</v>
      </c>
      <c r="N191">
        <v>1013</v>
      </c>
      <c r="O191" t="s">
        <v>475</v>
      </c>
      <c r="P191" t="s">
        <v>475</v>
      </c>
      <c r="Q191">
        <v>1</v>
      </c>
      <c r="X191">
        <v>0.22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98</v>
      </c>
      <c r="AG191">
        <v>0.30359999999999998</v>
      </c>
      <c r="AH191">
        <v>2</v>
      </c>
      <c r="AI191">
        <v>55747946</v>
      </c>
      <c r="AJ191">
        <v>153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ROW(Source!A53)</f>
        <v>53</v>
      </c>
      <c r="B192">
        <v>55747951</v>
      </c>
      <c r="C192">
        <v>55747945</v>
      </c>
      <c r="D192">
        <v>54739078</v>
      </c>
      <c r="E192">
        <v>1</v>
      </c>
      <c r="F192">
        <v>1</v>
      </c>
      <c r="G192">
        <v>1081</v>
      </c>
      <c r="H192">
        <v>3</v>
      </c>
      <c r="I192" t="s">
        <v>541</v>
      </c>
      <c r="J192" t="s">
        <v>542</v>
      </c>
      <c r="K192" t="s">
        <v>543</v>
      </c>
      <c r="L192">
        <v>1346</v>
      </c>
      <c r="N192">
        <v>1009</v>
      </c>
      <c r="O192" t="s">
        <v>503</v>
      </c>
      <c r="P192" t="s">
        <v>503</v>
      </c>
      <c r="Q192">
        <v>1</v>
      </c>
      <c r="X192">
        <v>0.01</v>
      </c>
      <c r="Y192">
        <v>37.979999999999997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38</v>
      </c>
      <c r="AG192">
        <v>0.01</v>
      </c>
      <c r="AH192">
        <v>2</v>
      </c>
      <c r="AI192">
        <v>55747947</v>
      </c>
      <c r="AJ192">
        <v>154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ROW(Source!A53)</f>
        <v>53</v>
      </c>
      <c r="B193">
        <v>55747952</v>
      </c>
      <c r="C193">
        <v>55747945</v>
      </c>
      <c r="D193">
        <v>54737637</v>
      </c>
      <c r="E193">
        <v>1</v>
      </c>
      <c r="F193">
        <v>1</v>
      </c>
      <c r="G193">
        <v>1081</v>
      </c>
      <c r="H193">
        <v>3</v>
      </c>
      <c r="I193" t="s">
        <v>544</v>
      </c>
      <c r="J193" t="s">
        <v>545</v>
      </c>
      <c r="K193" t="s">
        <v>546</v>
      </c>
      <c r="L193">
        <v>1348</v>
      </c>
      <c r="N193">
        <v>1009</v>
      </c>
      <c r="O193" t="s">
        <v>282</v>
      </c>
      <c r="P193" t="s">
        <v>282</v>
      </c>
      <c r="Q193">
        <v>1000</v>
      </c>
      <c r="X193">
        <v>3.0000000000000001E-5</v>
      </c>
      <c r="Y193">
        <v>16214.84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38</v>
      </c>
      <c r="AG193">
        <v>3.0000000000000001E-5</v>
      </c>
      <c r="AH193">
        <v>2</v>
      </c>
      <c r="AI193">
        <v>55747948</v>
      </c>
      <c r="AJ193">
        <v>155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ROW(Source!A53)</f>
        <v>53</v>
      </c>
      <c r="B194">
        <v>55747953</v>
      </c>
      <c r="C194">
        <v>55747945</v>
      </c>
      <c r="D194">
        <v>54737805</v>
      </c>
      <c r="E194">
        <v>1</v>
      </c>
      <c r="F194">
        <v>1</v>
      </c>
      <c r="G194">
        <v>1081</v>
      </c>
      <c r="H194">
        <v>3</v>
      </c>
      <c r="I194" t="s">
        <v>547</v>
      </c>
      <c r="J194" t="s">
        <v>548</v>
      </c>
      <c r="K194" t="s">
        <v>549</v>
      </c>
      <c r="L194">
        <v>1346</v>
      </c>
      <c r="N194">
        <v>1009</v>
      </c>
      <c r="O194" t="s">
        <v>503</v>
      </c>
      <c r="P194" t="s">
        <v>503</v>
      </c>
      <c r="Q194">
        <v>1</v>
      </c>
      <c r="X194">
        <v>3.0000000000000001E-3</v>
      </c>
      <c r="Y194">
        <v>20.190000000000001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38</v>
      </c>
      <c r="AG194">
        <v>3.0000000000000001E-3</v>
      </c>
      <c r="AH194">
        <v>2</v>
      </c>
      <c r="AI194">
        <v>55747949</v>
      </c>
      <c r="AJ194">
        <v>156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ROW(Source!A53)</f>
        <v>53</v>
      </c>
      <c r="B195">
        <v>55747954</v>
      </c>
      <c r="C195">
        <v>55747945</v>
      </c>
      <c r="D195">
        <v>54717933</v>
      </c>
      <c r="E195">
        <v>1081</v>
      </c>
      <c r="F195">
        <v>1</v>
      </c>
      <c r="G195">
        <v>1081</v>
      </c>
      <c r="H195">
        <v>3</v>
      </c>
      <c r="I195" t="s">
        <v>676</v>
      </c>
      <c r="J195" t="s">
        <v>3</v>
      </c>
      <c r="K195" t="s">
        <v>677</v>
      </c>
      <c r="L195">
        <v>1354</v>
      </c>
      <c r="N195">
        <v>1010</v>
      </c>
      <c r="O195" t="s">
        <v>118</v>
      </c>
      <c r="P195" t="s">
        <v>118</v>
      </c>
      <c r="Q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38</v>
      </c>
      <c r="AG195">
        <v>1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ROW(Source!A53)</f>
        <v>53</v>
      </c>
      <c r="B196">
        <v>55747955</v>
      </c>
      <c r="C196">
        <v>55747945</v>
      </c>
      <c r="D196">
        <v>54719080</v>
      </c>
      <c r="E196">
        <v>1081</v>
      </c>
      <c r="F196">
        <v>1</v>
      </c>
      <c r="G196">
        <v>1081</v>
      </c>
      <c r="H196">
        <v>3</v>
      </c>
      <c r="I196" t="s">
        <v>678</v>
      </c>
      <c r="J196" t="s">
        <v>3</v>
      </c>
      <c r="K196" t="s">
        <v>679</v>
      </c>
      <c r="L196">
        <v>1354</v>
      </c>
      <c r="N196">
        <v>1010</v>
      </c>
      <c r="O196" t="s">
        <v>118</v>
      </c>
      <c r="P196" t="s">
        <v>118</v>
      </c>
      <c r="Q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38</v>
      </c>
      <c r="AG196">
        <v>1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ROW(Source!A56)</f>
        <v>56</v>
      </c>
      <c r="B197">
        <v>55747964</v>
      </c>
      <c r="C197">
        <v>55747958</v>
      </c>
      <c r="D197">
        <v>54702434</v>
      </c>
      <c r="E197">
        <v>1081</v>
      </c>
      <c r="F197">
        <v>1</v>
      </c>
      <c r="G197">
        <v>1081</v>
      </c>
      <c r="H197">
        <v>1</v>
      </c>
      <c r="I197" t="s">
        <v>473</v>
      </c>
      <c r="J197" t="s">
        <v>3</v>
      </c>
      <c r="K197" t="s">
        <v>474</v>
      </c>
      <c r="L197">
        <v>1191</v>
      </c>
      <c r="N197">
        <v>1013</v>
      </c>
      <c r="O197" t="s">
        <v>475</v>
      </c>
      <c r="P197" t="s">
        <v>475</v>
      </c>
      <c r="Q197">
        <v>1</v>
      </c>
      <c r="X197">
        <v>5.5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49</v>
      </c>
      <c r="AG197">
        <v>6.6</v>
      </c>
      <c r="AH197">
        <v>2</v>
      </c>
      <c r="AI197">
        <v>55747959</v>
      </c>
      <c r="AJ197">
        <v>157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ROW(Source!A56)</f>
        <v>56</v>
      </c>
      <c r="B198">
        <v>55747965</v>
      </c>
      <c r="C198">
        <v>55747958</v>
      </c>
      <c r="D198">
        <v>54768339</v>
      </c>
      <c r="E198">
        <v>1</v>
      </c>
      <c r="F198">
        <v>1</v>
      </c>
      <c r="G198">
        <v>1081</v>
      </c>
      <c r="H198">
        <v>2</v>
      </c>
      <c r="I198" t="s">
        <v>483</v>
      </c>
      <c r="J198" t="s">
        <v>484</v>
      </c>
      <c r="K198" t="s">
        <v>485</v>
      </c>
      <c r="L198">
        <v>1368</v>
      </c>
      <c r="N198">
        <v>1011</v>
      </c>
      <c r="O198" t="s">
        <v>479</v>
      </c>
      <c r="P198" t="s">
        <v>479</v>
      </c>
      <c r="Q198">
        <v>1</v>
      </c>
      <c r="X198">
        <v>0.09</v>
      </c>
      <c r="Y198">
        <v>0</v>
      </c>
      <c r="Z198">
        <v>83.1</v>
      </c>
      <c r="AA198">
        <v>12.62</v>
      </c>
      <c r="AB198">
        <v>0</v>
      </c>
      <c r="AC198">
        <v>0</v>
      </c>
      <c r="AD198">
        <v>1</v>
      </c>
      <c r="AE198">
        <v>0</v>
      </c>
      <c r="AF198" t="s">
        <v>49</v>
      </c>
      <c r="AG198">
        <v>0.108</v>
      </c>
      <c r="AH198">
        <v>2</v>
      </c>
      <c r="AI198">
        <v>55747960</v>
      </c>
      <c r="AJ198">
        <v>158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ROW(Source!A56)</f>
        <v>56</v>
      </c>
      <c r="B199">
        <v>55747966</v>
      </c>
      <c r="C199">
        <v>55747958</v>
      </c>
      <c r="D199">
        <v>54737969</v>
      </c>
      <c r="E199">
        <v>1</v>
      </c>
      <c r="F199">
        <v>1</v>
      </c>
      <c r="G199">
        <v>1081</v>
      </c>
      <c r="H199">
        <v>3</v>
      </c>
      <c r="I199" t="s">
        <v>511</v>
      </c>
      <c r="J199" t="s">
        <v>512</v>
      </c>
      <c r="K199" t="s">
        <v>513</v>
      </c>
      <c r="L199">
        <v>1348</v>
      </c>
      <c r="N199">
        <v>1009</v>
      </c>
      <c r="O199" t="s">
        <v>282</v>
      </c>
      <c r="P199" t="s">
        <v>282</v>
      </c>
      <c r="Q199">
        <v>1000</v>
      </c>
      <c r="X199">
        <v>1.7000000000000001E-4</v>
      </c>
      <c r="Y199">
        <v>23114.43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48</v>
      </c>
      <c r="AG199">
        <v>1.7000000000000001E-4</v>
      </c>
      <c r="AH199">
        <v>2</v>
      </c>
      <c r="AI199">
        <v>55747961</v>
      </c>
      <c r="AJ199">
        <v>159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ROW(Source!A56)</f>
        <v>56</v>
      </c>
      <c r="B200">
        <v>55747967</v>
      </c>
      <c r="C200">
        <v>55747958</v>
      </c>
      <c r="D200">
        <v>54695112</v>
      </c>
      <c r="E200">
        <v>1081</v>
      </c>
      <c r="F200">
        <v>1</v>
      </c>
      <c r="G200">
        <v>1081</v>
      </c>
      <c r="H200">
        <v>3</v>
      </c>
      <c r="I200" t="s">
        <v>659</v>
      </c>
      <c r="J200" t="s">
        <v>3</v>
      </c>
      <c r="K200" t="s">
        <v>661</v>
      </c>
      <c r="L200">
        <v>1346</v>
      </c>
      <c r="N200">
        <v>1009</v>
      </c>
      <c r="O200" t="s">
        <v>503</v>
      </c>
      <c r="P200" t="s">
        <v>503</v>
      </c>
      <c r="Q200">
        <v>1</v>
      </c>
      <c r="X200">
        <v>7.1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48</v>
      </c>
      <c r="AG200">
        <v>7.1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ROW(Source!A56)</f>
        <v>56</v>
      </c>
      <c r="B201">
        <v>55747968</v>
      </c>
      <c r="C201">
        <v>55747958</v>
      </c>
      <c r="D201">
        <v>54717889</v>
      </c>
      <c r="E201">
        <v>1081</v>
      </c>
      <c r="F201">
        <v>1</v>
      </c>
      <c r="G201">
        <v>1081</v>
      </c>
      <c r="H201">
        <v>3</v>
      </c>
      <c r="I201" t="s">
        <v>674</v>
      </c>
      <c r="J201" t="s">
        <v>3</v>
      </c>
      <c r="K201" t="s">
        <v>675</v>
      </c>
      <c r="L201">
        <v>1354</v>
      </c>
      <c r="N201">
        <v>1010</v>
      </c>
      <c r="O201" t="s">
        <v>118</v>
      </c>
      <c r="P201" t="s">
        <v>118</v>
      </c>
      <c r="Q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48</v>
      </c>
      <c r="AG201">
        <v>1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ROW(Source!A57)</f>
        <v>57</v>
      </c>
      <c r="B202">
        <v>55747964</v>
      </c>
      <c r="C202">
        <v>55747958</v>
      </c>
      <c r="D202">
        <v>54702434</v>
      </c>
      <c r="E202">
        <v>1081</v>
      </c>
      <c r="F202">
        <v>1</v>
      </c>
      <c r="G202">
        <v>1081</v>
      </c>
      <c r="H202">
        <v>1</v>
      </c>
      <c r="I202" t="s">
        <v>473</v>
      </c>
      <c r="J202" t="s">
        <v>3</v>
      </c>
      <c r="K202" t="s">
        <v>474</v>
      </c>
      <c r="L202">
        <v>1191</v>
      </c>
      <c r="N202">
        <v>1013</v>
      </c>
      <c r="O202" t="s">
        <v>475</v>
      </c>
      <c r="P202" t="s">
        <v>475</v>
      </c>
      <c r="Q202">
        <v>1</v>
      </c>
      <c r="X202">
        <v>5.5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49</v>
      </c>
      <c r="AG202">
        <v>6.6</v>
      </c>
      <c r="AH202">
        <v>2</v>
      </c>
      <c r="AI202">
        <v>55747959</v>
      </c>
      <c r="AJ202">
        <v>161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ROW(Source!A57)</f>
        <v>57</v>
      </c>
      <c r="B203">
        <v>55747965</v>
      </c>
      <c r="C203">
        <v>55747958</v>
      </c>
      <c r="D203">
        <v>54768339</v>
      </c>
      <c r="E203">
        <v>1</v>
      </c>
      <c r="F203">
        <v>1</v>
      </c>
      <c r="G203">
        <v>1081</v>
      </c>
      <c r="H203">
        <v>2</v>
      </c>
      <c r="I203" t="s">
        <v>483</v>
      </c>
      <c r="J203" t="s">
        <v>484</v>
      </c>
      <c r="K203" t="s">
        <v>485</v>
      </c>
      <c r="L203">
        <v>1368</v>
      </c>
      <c r="N203">
        <v>1011</v>
      </c>
      <c r="O203" t="s">
        <v>479</v>
      </c>
      <c r="P203" t="s">
        <v>479</v>
      </c>
      <c r="Q203">
        <v>1</v>
      </c>
      <c r="X203">
        <v>0.09</v>
      </c>
      <c r="Y203">
        <v>0</v>
      </c>
      <c r="Z203">
        <v>83.1</v>
      </c>
      <c r="AA203">
        <v>12.62</v>
      </c>
      <c r="AB203">
        <v>0</v>
      </c>
      <c r="AC203">
        <v>0</v>
      </c>
      <c r="AD203">
        <v>1</v>
      </c>
      <c r="AE203">
        <v>0</v>
      </c>
      <c r="AF203" t="s">
        <v>49</v>
      </c>
      <c r="AG203">
        <v>0.108</v>
      </c>
      <c r="AH203">
        <v>2</v>
      </c>
      <c r="AI203">
        <v>55747960</v>
      </c>
      <c r="AJ203">
        <v>162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ROW(Source!A57)</f>
        <v>57</v>
      </c>
      <c r="B204">
        <v>55747966</v>
      </c>
      <c r="C204">
        <v>55747958</v>
      </c>
      <c r="D204">
        <v>54737969</v>
      </c>
      <c r="E204">
        <v>1</v>
      </c>
      <c r="F204">
        <v>1</v>
      </c>
      <c r="G204">
        <v>1081</v>
      </c>
      <c r="H204">
        <v>3</v>
      </c>
      <c r="I204" t="s">
        <v>511</v>
      </c>
      <c r="J204" t="s">
        <v>512</v>
      </c>
      <c r="K204" t="s">
        <v>513</v>
      </c>
      <c r="L204">
        <v>1348</v>
      </c>
      <c r="N204">
        <v>1009</v>
      </c>
      <c r="O204" t="s">
        <v>282</v>
      </c>
      <c r="P204" t="s">
        <v>282</v>
      </c>
      <c r="Q204">
        <v>1000</v>
      </c>
      <c r="X204">
        <v>1.7000000000000001E-4</v>
      </c>
      <c r="Y204">
        <v>23114.43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48</v>
      </c>
      <c r="AG204">
        <v>1.7000000000000001E-4</v>
      </c>
      <c r="AH204">
        <v>2</v>
      </c>
      <c r="AI204">
        <v>55747961</v>
      </c>
      <c r="AJ204">
        <v>163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ROW(Source!A57)</f>
        <v>57</v>
      </c>
      <c r="B205">
        <v>55747967</v>
      </c>
      <c r="C205">
        <v>55747958</v>
      </c>
      <c r="D205">
        <v>54695112</v>
      </c>
      <c r="E205">
        <v>1081</v>
      </c>
      <c r="F205">
        <v>1</v>
      </c>
      <c r="G205">
        <v>1081</v>
      </c>
      <c r="H205">
        <v>3</v>
      </c>
      <c r="I205" t="s">
        <v>659</v>
      </c>
      <c r="J205" t="s">
        <v>3</v>
      </c>
      <c r="K205" t="s">
        <v>661</v>
      </c>
      <c r="L205">
        <v>1346</v>
      </c>
      <c r="N205">
        <v>1009</v>
      </c>
      <c r="O205" t="s">
        <v>503</v>
      </c>
      <c r="P205" t="s">
        <v>503</v>
      </c>
      <c r="Q205">
        <v>1</v>
      </c>
      <c r="X205">
        <v>7.1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48</v>
      </c>
      <c r="AG205">
        <v>7.1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ROW(Source!A57)</f>
        <v>57</v>
      </c>
      <c r="B206">
        <v>55747968</v>
      </c>
      <c r="C206">
        <v>55747958</v>
      </c>
      <c r="D206">
        <v>54717889</v>
      </c>
      <c r="E206">
        <v>1081</v>
      </c>
      <c r="F206">
        <v>1</v>
      </c>
      <c r="G206">
        <v>1081</v>
      </c>
      <c r="H206">
        <v>3</v>
      </c>
      <c r="I206" t="s">
        <v>674</v>
      </c>
      <c r="J206" t="s">
        <v>3</v>
      </c>
      <c r="K206" t="s">
        <v>675</v>
      </c>
      <c r="L206">
        <v>1354</v>
      </c>
      <c r="N206">
        <v>1010</v>
      </c>
      <c r="O206" t="s">
        <v>118</v>
      </c>
      <c r="P206" t="s">
        <v>118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48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ROW(Source!A60)</f>
        <v>60</v>
      </c>
      <c r="B207">
        <v>55747975</v>
      </c>
      <c r="C207">
        <v>55747970</v>
      </c>
      <c r="D207">
        <v>54702434</v>
      </c>
      <c r="E207">
        <v>1081</v>
      </c>
      <c r="F207">
        <v>1</v>
      </c>
      <c r="G207">
        <v>1081</v>
      </c>
      <c r="H207">
        <v>1</v>
      </c>
      <c r="I207" t="s">
        <v>473</v>
      </c>
      <c r="J207" t="s">
        <v>3</v>
      </c>
      <c r="K207" t="s">
        <v>474</v>
      </c>
      <c r="L207">
        <v>1191</v>
      </c>
      <c r="N207">
        <v>1013</v>
      </c>
      <c r="O207" t="s">
        <v>475</v>
      </c>
      <c r="P207" t="s">
        <v>475</v>
      </c>
      <c r="Q207">
        <v>1</v>
      </c>
      <c r="X207">
        <v>4.0999999999999996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49</v>
      </c>
      <c r="AG207">
        <v>4.919999999999999</v>
      </c>
      <c r="AH207">
        <v>2</v>
      </c>
      <c r="AI207">
        <v>55747971</v>
      </c>
      <c r="AJ207">
        <v>165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ROW(Source!A60)</f>
        <v>60</v>
      </c>
      <c r="B208">
        <v>55747976</v>
      </c>
      <c r="C208">
        <v>55747970</v>
      </c>
      <c r="D208">
        <v>54768339</v>
      </c>
      <c r="E208">
        <v>1</v>
      </c>
      <c r="F208">
        <v>1</v>
      </c>
      <c r="G208">
        <v>1081</v>
      </c>
      <c r="H208">
        <v>2</v>
      </c>
      <c r="I208" t="s">
        <v>483</v>
      </c>
      <c r="J208" t="s">
        <v>484</v>
      </c>
      <c r="K208" t="s">
        <v>485</v>
      </c>
      <c r="L208">
        <v>1368</v>
      </c>
      <c r="N208">
        <v>1011</v>
      </c>
      <c r="O208" t="s">
        <v>479</v>
      </c>
      <c r="P208" t="s">
        <v>479</v>
      </c>
      <c r="Q208">
        <v>1</v>
      </c>
      <c r="X208">
        <v>0.03</v>
      </c>
      <c r="Y208">
        <v>0</v>
      </c>
      <c r="Z208">
        <v>83.1</v>
      </c>
      <c r="AA208">
        <v>12.62</v>
      </c>
      <c r="AB208">
        <v>0</v>
      </c>
      <c r="AC208">
        <v>0</v>
      </c>
      <c r="AD208">
        <v>1</v>
      </c>
      <c r="AE208">
        <v>0</v>
      </c>
      <c r="AF208" t="s">
        <v>49</v>
      </c>
      <c r="AG208">
        <v>3.5999999999999997E-2</v>
      </c>
      <c r="AH208">
        <v>2</v>
      </c>
      <c r="AI208">
        <v>55747972</v>
      </c>
      <c r="AJ208">
        <v>166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ROW(Source!A60)</f>
        <v>60</v>
      </c>
      <c r="B209">
        <v>55747977</v>
      </c>
      <c r="C209">
        <v>55747970</v>
      </c>
      <c r="D209">
        <v>54737969</v>
      </c>
      <c r="E209">
        <v>1</v>
      </c>
      <c r="F209">
        <v>1</v>
      </c>
      <c r="G209">
        <v>1081</v>
      </c>
      <c r="H209">
        <v>3</v>
      </c>
      <c r="I209" t="s">
        <v>511</v>
      </c>
      <c r="J209" t="s">
        <v>512</v>
      </c>
      <c r="K209" t="s">
        <v>513</v>
      </c>
      <c r="L209">
        <v>1348</v>
      </c>
      <c r="N209">
        <v>1009</v>
      </c>
      <c r="O209" t="s">
        <v>282</v>
      </c>
      <c r="P209" t="s">
        <v>282</v>
      </c>
      <c r="Q209">
        <v>1000</v>
      </c>
      <c r="X209">
        <v>1.7000000000000001E-4</v>
      </c>
      <c r="Y209">
        <v>23114.43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48</v>
      </c>
      <c r="AG209">
        <v>1.7000000000000001E-4</v>
      </c>
      <c r="AH209">
        <v>2</v>
      </c>
      <c r="AI209">
        <v>55747973</v>
      </c>
      <c r="AJ209">
        <v>167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ROW(Source!A60)</f>
        <v>60</v>
      </c>
      <c r="B210">
        <v>55747978</v>
      </c>
      <c r="C210">
        <v>55747970</v>
      </c>
      <c r="D210">
        <v>54695112</v>
      </c>
      <c r="E210">
        <v>1081</v>
      </c>
      <c r="F210">
        <v>1</v>
      </c>
      <c r="G210">
        <v>1081</v>
      </c>
      <c r="H210">
        <v>3</v>
      </c>
      <c r="I210" t="s">
        <v>659</v>
      </c>
      <c r="J210" t="s">
        <v>3</v>
      </c>
      <c r="K210" t="s">
        <v>661</v>
      </c>
      <c r="L210">
        <v>1346</v>
      </c>
      <c r="N210">
        <v>1009</v>
      </c>
      <c r="O210" t="s">
        <v>503</v>
      </c>
      <c r="P210" t="s">
        <v>503</v>
      </c>
      <c r="Q210">
        <v>1</v>
      </c>
      <c r="X210">
        <v>7.1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48</v>
      </c>
      <c r="AG210">
        <v>7.1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ROW(Source!A60)</f>
        <v>60</v>
      </c>
      <c r="B211">
        <v>55747979</v>
      </c>
      <c r="C211">
        <v>55747970</v>
      </c>
      <c r="D211">
        <v>54717889</v>
      </c>
      <c r="E211">
        <v>1081</v>
      </c>
      <c r="F211">
        <v>1</v>
      </c>
      <c r="G211">
        <v>1081</v>
      </c>
      <c r="H211">
        <v>3</v>
      </c>
      <c r="I211" t="s">
        <v>674</v>
      </c>
      <c r="J211" t="s">
        <v>3</v>
      </c>
      <c r="K211" t="s">
        <v>675</v>
      </c>
      <c r="L211">
        <v>1354</v>
      </c>
      <c r="N211">
        <v>1010</v>
      </c>
      <c r="O211" t="s">
        <v>118</v>
      </c>
      <c r="P211" t="s">
        <v>118</v>
      </c>
      <c r="Q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48</v>
      </c>
      <c r="AG211">
        <v>1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ROW(Source!A61)</f>
        <v>61</v>
      </c>
      <c r="B212">
        <v>55747975</v>
      </c>
      <c r="C212">
        <v>55747970</v>
      </c>
      <c r="D212">
        <v>54702434</v>
      </c>
      <c r="E212">
        <v>1081</v>
      </c>
      <c r="F212">
        <v>1</v>
      </c>
      <c r="G212">
        <v>1081</v>
      </c>
      <c r="H212">
        <v>1</v>
      </c>
      <c r="I212" t="s">
        <v>473</v>
      </c>
      <c r="J212" t="s">
        <v>3</v>
      </c>
      <c r="K212" t="s">
        <v>474</v>
      </c>
      <c r="L212">
        <v>1191</v>
      </c>
      <c r="N212">
        <v>1013</v>
      </c>
      <c r="O212" t="s">
        <v>475</v>
      </c>
      <c r="P212" t="s">
        <v>475</v>
      </c>
      <c r="Q212">
        <v>1</v>
      </c>
      <c r="X212">
        <v>4.0999999999999996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49</v>
      </c>
      <c r="AG212">
        <v>4.919999999999999</v>
      </c>
      <c r="AH212">
        <v>2</v>
      </c>
      <c r="AI212">
        <v>55747971</v>
      </c>
      <c r="AJ212">
        <v>169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ROW(Source!A61)</f>
        <v>61</v>
      </c>
      <c r="B213">
        <v>55747976</v>
      </c>
      <c r="C213">
        <v>55747970</v>
      </c>
      <c r="D213">
        <v>54768339</v>
      </c>
      <c r="E213">
        <v>1</v>
      </c>
      <c r="F213">
        <v>1</v>
      </c>
      <c r="G213">
        <v>1081</v>
      </c>
      <c r="H213">
        <v>2</v>
      </c>
      <c r="I213" t="s">
        <v>483</v>
      </c>
      <c r="J213" t="s">
        <v>484</v>
      </c>
      <c r="K213" t="s">
        <v>485</v>
      </c>
      <c r="L213">
        <v>1368</v>
      </c>
      <c r="N213">
        <v>1011</v>
      </c>
      <c r="O213" t="s">
        <v>479</v>
      </c>
      <c r="P213" t="s">
        <v>479</v>
      </c>
      <c r="Q213">
        <v>1</v>
      </c>
      <c r="X213">
        <v>0.03</v>
      </c>
      <c r="Y213">
        <v>0</v>
      </c>
      <c r="Z213">
        <v>83.1</v>
      </c>
      <c r="AA213">
        <v>12.62</v>
      </c>
      <c r="AB213">
        <v>0</v>
      </c>
      <c r="AC213">
        <v>0</v>
      </c>
      <c r="AD213">
        <v>1</v>
      </c>
      <c r="AE213">
        <v>0</v>
      </c>
      <c r="AF213" t="s">
        <v>49</v>
      </c>
      <c r="AG213">
        <v>3.5999999999999997E-2</v>
      </c>
      <c r="AH213">
        <v>2</v>
      </c>
      <c r="AI213">
        <v>55747972</v>
      </c>
      <c r="AJ213">
        <v>170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ROW(Source!A61)</f>
        <v>61</v>
      </c>
      <c r="B214">
        <v>55747977</v>
      </c>
      <c r="C214">
        <v>55747970</v>
      </c>
      <c r="D214">
        <v>54737969</v>
      </c>
      <c r="E214">
        <v>1</v>
      </c>
      <c r="F214">
        <v>1</v>
      </c>
      <c r="G214">
        <v>1081</v>
      </c>
      <c r="H214">
        <v>3</v>
      </c>
      <c r="I214" t="s">
        <v>511</v>
      </c>
      <c r="J214" t="s">
        <v>512</v>
      </c>
      <c r="K214" t="s">
        <v>513</v>
      </c>
      <c r="L214">
        <v>1348</v>
      </c>
      <c r="N214">
        <v>1009</v>
      </c>
      <c r="O214" t="s">
        <v>282</v>
      </c>
      <c r="P214" t="s">
        <v>282</v>
      </c>
      <c r="Q214">
        <v>1000</v>
      </c>
      <c r="X214">
        <v>1.7000000000000001E-4</v>
      </c>
      <c r="Y214">
        <v>23114.43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48</v>
      </c>
      <c r="AG214">
        <v>1.7000000000000001E-4</v>
      </c>
      <c r="AH214">
        <v>2</v>
      </c>
      <c r="AI214">
        <v>55747973</v>
      </c>
      <c r="AJ214">
        <v>171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ROW(Source!A61)</f>
        <v>61</v>
      </c>
      <c r="B215">
        <v>55747978</v>
      </c>
      <c r="C215">
        <v>55747970</v>
      </c>
      <c r="D215">
        <v>54695112</v>
      </c>
      <c r="E215">
        <v>1081</v>
      </c>
      <c r="F215">
        <v>1</v>
      </c>
      <c r="G215">
        <v>1081</v>
      </c>
      <c r="H215">
        <v>3</v>
      </c>
      <c r="I215" t="s">
        <v>659</v>
      </c>
      <c r="J215" t="s">
        <v>3</v>
      </c>
      <c r="K215" t="s">
        <v>661</v>
      </c>
      <c r="L215">
        <v>1346</v>
      </c>
      <c r="N215">
        <v>1009</v>
      </c>
      <c r="O215" t="s">
        <v>503</v>
      </c>
      <c r="P215" t="s">
        <v>503</v>
      </c>
      <c r="Q215">
        <v>1</v>
      </c>
      <c r="X215">
        <v>7.1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48</v>
      </c>
      <c r="AG215">
        <v>7.1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ROW(Source!A61)</f>
        <v>61</v>
      </c>
      <c r="B216">
        <v>55747979</v>
      </c>
      <c r="C216">
        <v>55747970</v>
      </c>
      <c r="D216">
        <v>54717889</v>
      </c>
      <c r="E216">
        <v>1081</v>
      </c>
      <c r="F216">
        <v>1</v>
      </c>
      <c r="G216">
        <v>1081</v>
      </c>
      <c r="H216">
        <v>3</v>
      </c>
      <c r="I216" t="s">
        <v>674</v>
      </c>
      <c r="J216" t="s">
        <v>3</v>
      </c>
      <c r="K216" t="s">
        <v>675</v>
      </c>
      <c r="L216">
        <v>1354</v>
      </c>
      <c r="N216">
        <v>1010</v>
      </c>
      <c r="O216" t="s">
        <v>118</v>
      </c>
      <c r="P216" t="s">
        <v>118</v>
      </c>
      <c r="Q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48</v>
      </c>
      <c r="AG216">
        <v>1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ROW(Source!A66)</f>
        <v>66</v>
      </c>
      <c r="B217">
        <v>55747987</v>
      </c>
      <c r="C217">
        <v>55747981</v>
      </c>
      <c r="D217">
        <v>54702434</v>
      </c>
      <c r="E217">
        <v>1081</v>
      </c>
      <c r="F217">
        <v>1</v>
      </c>
      <c r="G217">
        <v>1081</v>
      </c>
      <c r="H217">
        <v>1</v>
      </c>
      <c r="I217" t="s">
        <v>473</v>
      </c>
      <c r="J217" t="s">
        <v>3</v>
      </c>
      <c r="K217" t="s">
        <v>474</v>
      </c>
      <c r="L217">
        <v>1191</v>
      </c>
      <c r="N217">
        <v>1013</v>
      </c>
      <c r="O217" t="s">
        <v>475</v>
      </c>
      <c r="P217" t="s">
        <v>475</v>
      </c>
      <c r="Q217">
        <v>1</v>
      </c>
      <c r="X217">
        <v>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 t="s">
        <v>49</v>
      </c>
      <c r="AG217">
        <v>4.8</v>
      </c>
      <c r="AH217">
        <v>2</v>
      </c>
      <c r="AI217">
        <v>55747982</v>
      </c>
      <c r="AJ217">
        <v>173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ROW(Source!A66)</f>
        <v>66</v>
      </c>
      <c r="B218">
        <v>55747988</v>
      </c>
      <c r="C218">
        <v>55747981</v>
      </c>
      <c r="D218">
        <v>54768339</v>
      </c>
      <c r="E218">
        <v>1</v>
      </c>
      <c r="F218">
        <v>1</v>
      </c>
      <c r="G218">
        <v>1081</v>
      </c>
      <c r="H218">
        <v>2</v>
      </c>
      <c r="I218" t="s">
        <v>483</v>
      </c>
      <c r="J218" t="s">
        <v>484</v>
      </c>
      <c r="K218" t="s">
        <v>485</v>
      </c>
      <c r="L218">
        <v>1368</v>
      </c>
      <c r="N218">
        <v>1011</v>
      </c>
      <c r="O218" t="s">
        <v>479</v>
      </c>
      <c r="P218" t="s">
        <v>479</v>
      </c>
      <c r="Q218">
        <v>1</v>
      </c>
      <c r="X218">
        <v>0.02</v>
      </c>
      <c r="Y218">
        <v>0</v>
      </c>
      <c r="Z218">
        <v>83.1</v>
      </c>
      <c r="AA218">
        <v>12.62</v>
      </c>
      <c r="AB218">
        <v>0</v>
      </c>
      <c r="AC218">
        <v>0</v>
      </c>
      <c r="AD218">
        <v>1</v>
      </c>
      <c r="AE218">
        <v>0</v>
      </c>
      <c r="AF218" t="s">
        <v>49</v>
      </c>
      <c r="AG218">
        <v>2.4E-2</v>
      </c>
      <c r="AH218">
        <v>2</v>
      </c>
      <c r="AI218">
        <v>55747983</v>
      </c>
      <c r="AJ218">
        <v>174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ROW(Source!A66)</f>
        <v>66</v>
      </c>
      <c r="B219">
        <v>55747989</v>
      </c>
      <c r="C219">
        <v>55747981</v>
      </c>
      <c r="D219">
        <v>54737969</v>
      </c>
      <c r="E219">
        <v>1</v>
      </c>
      <c r="F219">
        <v>1</v>
      </c>
      <c r="G219">
        <v>1081</v>
      </c>
      <c r="H219">
        <v>3</v>
      </c>
      <c r="I219" t="s">
        <v>511</v>
      </c>
      <c r="J219" t="s">
        <v>512</v>
      </c>
      <c r="K219" t="s">
        <v>513</v>
      </c>
      <c r="L219">
        <v>1348</v>
      </c>
      <c r="N219">
        <v>1009</v>
      </c>
      <c r="O219" t="s">
        <v>282</v>
      </c>
      <c r="P219" t="s">
        <v>282</v>
      </c>
      <c r="Q219">
        <v>1000</v>
      </c>
      <c r="X219">
        <v>1.2E-4</v>
      </c>
      <c r="Y219">
        <v>23114.43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48</v>
      </c>
      <c r="AG219">
        <v>1.2E-4</v>
      </c>
      <c r="AH219">
        <v>2</v>
      </c>
      <c r="AI219">
        <v>55747984</v>
      </c>
      <c r="AJ219">
        <v>175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ROW(Source!A66)</f>
        <v>66</v>
      </c>
      <c r="B220">
        <v>55747990</v>
      </c>
      <c r="C220">
        <v>55747981</v>
      </c>
      <c r="D220">
        <v>54695112</v>
      </c>
      <c r="E220">
        <v>1081</v>
      </c>
      <c r="F220">
        <v>1</v>
      </c>
      <c r="G220">
        <v>1081</v>
      </c>
      <c r="H220">
        <v>3</v>
      </c>
      <c r="I220" t="s">
        <v>659</v>
      </c>
      <c r="J220" t="s">
        <v>3</v>
      </c>
      <c r="K220" t="s">
        <v>661</v>
      </c>
      <c r="L220">
        <v>1346</v>
      </c>
      <c r="N220">
        <v>1009</v>
      </c>
      <c r="O220" t="s">
        <v>503</v>
      </c>
      <c r="P220" t="s">
        <v>503</v>
      </c>
      <c r="Q220">
        <v>1</v>
      </c>
      <c r="X220">
        <v>3.6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48</v>
      </c>
      <c r="AG220">
        <v>3.6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ROW(Source!A66)</f>
        <v>66</v>
      </c>
      <c r="B221">
        <v>55747991</v>
      </c>
      <c r="C221">
        <v>55747981</v>
      </c>
      <c r="D221">
        <v>54717889</v>
      </c>
      <c r="E221">
        <v>1081</v>
      </c>
      <c r="F221">
        <v>1</v>
      </c>
      <c r="G221">
        <v>1081</v>
      </c>
      <c r="H221">
        <v>3</v>
      </c>
      <c r="I221" t="s">
        <v>674</v>
      </c>
      <c r="J221" t="s">
        <v>3</v>
      </c>
      <c r="K221" t="s">
        <v>675</v>
      </c>
      <c r="L221">
        <v>1354</v>
      </c>
      <c r="N221">
        <v>1010</v>
      </c>
      <c r="O221" t="s">
        <v>118</v>
      </c>
      <c r="P221" t="s">
        <v>118</v>
      </c>
      <c r="Q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48</v>
      </c>
      <c r="AG221">
        <v>1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ROW(Source!A67)</f>
        <v>67</v>
      </c>
      <c r="B222">
        <v>55747987</v>
      </c>
      <c r="C222">
        <v>55747981</v>
      </c>
      <c r="D222">
        <v>54702434</v>
      </c>
      <c r="E222">
        <v>1081</v>
      </c>
      <c r="F222">
        <v>1</v>
      </c>
      <c r="G222">
        <v>1081</v>
      </c>
      <c r="H222">
        <v>1</v>
      </c>
      <c r="I222" t="s">
        <v>473</v>
      </c>
      <c r="J222" t="s">
        <v>3</v>
      </c>
      <c r="K222" t="s">
        <v>474</v>
      </c>
      <c r="L222">
        <v>1191</v>
      </c>
      <c r="N222">
        <v>1013</v>
      </c>
      <c r="O222" t="s">
        <v>475</v>
      </c>
      <c r="P222" t="s">
        <v>475</v>
      </c>
      <c r="Q222">
        <v>1</v>
      </c>
      <c r="X222">
        <v>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 t="s">
        <v>49</v>
      </c>
      <c r="AG222">
        <v>4.8</v>
      </c>
      <c r="AH222">
        <v>2</v>
      </c>
      <c r="AI222">
        <v>55747982</v>
      </c>
      <c r="AJ222">
        <v>178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ROW(Source!A67)</f>
        <v>67</v>
      </c>
      <c r="B223">
        <v>55747988</v>
      </c>
      <c r="C223">
        <v>55747981</v>
      </c>
      <c r="D223">
        <v>54768339</v>
      </c>
      <c r="E223">
        <v>1</v>
      </c>
      <c r="F223">
        <v>1</v>
      </c>
      <c r="G223">
        <v>1081</v>
      </c>
      <c r="H223">
        <v>2</v>
      </c>
      <c r="I223" t="s">
        <v>483</v>
      </c>
      <c r="J223" t="s">
        <v>484</v>
      </c>
      <c r="K223" t="s">
        <v>485</v>
      </c>
      <c r="L223">
        <v>1368</v>
      </c>
      <c r="N223">
        <v>1011</v>
      </c>
      <c r="O223" t="s">
        <v>479</v>
      </c>
      <c r="P223" t="s">
        <v>479</v>
      </c>
      <c r="Q223">
        <v>1</v>
      </c>
      <c r="X223">
        <v>0.02</v>
      </c>
      <c r="Y223">
        <v>0</v>
      </c>
      <c r="Z223">
        <v>83.1</v>
      </c>
      <c r="AA223">
        <v>12.62</v>
      </c>
      <c r="AB223">
        <v>0</v>
      </c>
      <c r="AC223">
        <v>0</v>
      </c>
      <c r="AD223">
        <v>1</v>
      </c>
      <c r="AE223">
        <v>0</v>
      </c>
      <c r="AF223" t="s">
        <v>49</v>
      </c>
      <c r="AG223">
        <v>2.4E-2</v>
      </c>
      <c r="AH223">
        <v>2</v>
      </c>
      <c r="AI223">
        <v>55747983</v>
      </c>
      <c r="AJ223">
        <v>179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ROW(Source!A67)</f>
        <v>67</v>
      </c>
      <c r="B224">
        <v>55747989</v>
      </c>
      <c r="C224">
        <v>55747981</v>
      </c>
      <c r="D224">
        <v>54737969</v>
      </c>
      <c r="E224">
        <v>1</v>
      </c>
      <c r="F224">
        <v>1</v>
      </c>
      <c r="G224">
        <v>1081</v>
      </c>
      <c r="H224">
        <v>3</v>
      </c>
      <c r="I224" t="s">
        <v>511</v>
      </c>
      <c r="J224" t="s">
        <v>512</v>
      </c>
      <c r="K224" t="s">
        <v>513</v>
      </c>
      <c r="L224">
        <v>1348</v>
      </c>
      <c r="N224">
        <v>1009</v>
      </c>
      <c r="O224" t="s">
        <v>282</v>
      </c>
      <c r="P224" t="s">
        <v>282</v>
      </c>
      <c r="Q224">
        <v>1000</v>
      </c>
      <c r="X224">
        <v>1.2E-4</v>
      </c>
      <c r="Y224">
        <v>23114.43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48</v>
      </c>
      <c r="AG224">
        <v>1.2E-4</v>
      </c>
      <c r="AH224">
        <v>2</v>
      </c>
      <c r="AI224">
        <v>55747984</v>
      </c>
      <c r="AJ224">
        <v>180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ROW(Source!A67)</f>
        <v>67</v>
      </c>
      <c r="B225">
        <v>55747990</v>
      </c>
      <c r="C225">
        <v>55747981</v>
      </c>
      <c r="D225">
        <v>54695112</v>
      </c>
      <c r="E225">
        <v>1081</v>
      </c>
      <c r="F225">
        <v>1</v>
      </c>
      <c r="G225">
        <v>1081</v>
      </c>
      <c r="H225">
        <v>3</v>
      </c>
      <c r="I225" t="s">
        <v>659</v>
      </c>
      <c r="J225" t="s">
        <v>3</v>
      </c>
      <c r="K225" t="s">
        <v>661</v>
      </c>
      <c r="L225">
        <v>1346</v>
      </c>
      <c r="N225">
        <v>1009</v>
      </c>
      <c r="O225" t="s">
        <v>503</v>
      </c>
      <c r="P225" t="s">
        <v>503</v>
      </c>
      <c r="Q225">
        <v>1</v>
      </c>
      <c r="X225">
        <v>3.6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48</v>
      </c>
      <c r="AG225">
        <v>3.6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ROW(Source!A67)</f>
        <v>67</v>
      </c>
      <c r="B226">
        <v>55747991</v>
      </c>
      <c r="C226">
        <v>55747981</v>
      </c>
      <c r="D226">
        <v>54717889</v>
      </c>
      <c r="E226">
        <v>1081</v>
      </c>
      <c r="F226">
        <v>1</v>
      </c>
      <c r="G226">
        <v>1081</v>
      </c>
      <c r="H226">
        <v>3</v>
      </c>
      <c r="I226" t="s">
        <v>674</v>
      </c>
      <c r="J226" t="s">
        <v>3</v>
      </c>
      <c r="K226" t="s">
        <v>675</v>
      </c>
      <c r="L226">
        <v>1354</v>
      </c>
      <c r="N226">
        <v>1010</v>
      </c>
      <c r="O226" t="s">
        <v>118</v>
      </c>
      <c r="P226" t="s">
        <v>118</v>
      </c>
      <c r="Q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48</v>
      </c>
      <c r="AG226">
        <v>1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ROW(Source!A74)</f>
        <v>74</v>
      </c>
      <c r="B227">
        <v>55748002</v>
      </c>
      <c r="C227">
        <v>55747994</v>
      </c>
      <c r="D227">
        <v>54702434</v>
      </c>
      <c r="E227">
        <v>1081</v>
      </c>
      <c r="F227">
        <v>1</v>
      </c>
      <c r="G227">
        <v>1081</v>
      </c>
      <c r="H227">
        <v>1</v>
      </c>
      <c r="I227" t="s">
        <v>473</v>
      </c>
      <c r="J227" t="s">
        <v>3</v>
      </c>
      <c r="K227" t="s">
        <v>474</v>
      </c>
      <c r="L227">
        <v>1191</v>
      </c>
      <c r="N227">
        <v>1013</v>
      </c>
      <c r="O227" t="s">
        <v>475</v>
      </c>
      <c r="P227" t="s">
        <v>475</v>
      </c>
      <c r="Q227">
        <v>1</v>
      </c>
      <c r="X227">
        <v>7.6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49</v>
      </c>
      <c r="AG227">
        <v>9.1199999999999992</v>
      </c>
      <c r="AH227">
        <v>2</v>
      </c>
      <c r="AI227">
        <v>55747995</v>
      </c>
      <c r="AJ227">
        <v>183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ROW(Source!A74)</f>
        <v>74</v>
      </c>
      <c r="B228">
        <v>55748003</v>
      </c>
      <c r="C228">
        <v>55747994</v>
      </c>
      <c r="D228">
        <v>54768040</v>
      </c>
      <c r="E228">
        <v>1</v>
      </c>
      <c r="F228">
        <v>1</v>
      </c>
      <c r="G228">
        <v>1081</v>
      </c>
      <c r="H228">
        <v>2</v>
      </c>
      <c r="I228" t="s">
        <v>476</v>
      </c>
      <c r="J228" t="s">
        <v>477</v>
      </c>
      <c r="K228" t="s">
        <v>478</v>
      </c>
      <c r="L228">
        <v>1368</v>
      </c>
      <c r="N228">
        <v>1011</v>
      </c>
      <c r="O228" t="s">
        <v>479</v>
      </c>
      <c r="P228" t="s">
        <v>479</v>
      </c>
      <c r="Q228">
        <v>1</v>
      </c>
      <c r="X228">
        <v>1.7</v>
      </c>
      <c r="Y228">
        <v>0</v>
      </c>
      <c r="Z228">
        <v>7.11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49</v>
      </c>
      <c r="AG228">
        <v>2.04</v>
      </c>
      <c r="AH228">
        <v>2</v>
      </c>
      <c r="AI228">
        <v>55747996</v>
      </c>
      <c r="AJ228">
        <v>184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ROW(Source!A74)</f>
        <v>74</v>
      </c>
      <c r="B229">
        <v>55748004</v>
      </c>
      <c r="C229">
        <v>55747994</v>
      </c>
      <c r="D229">
        <v>54768339</v>
      </c>
      <c r="E229">
        <v>1</v>
      </c>
      <c r="F229">
        <v>1</v>
      </c>
      <c r="G229">
        <v>1081</v>
      </c>
      <c r="H229">
        <v>2</v>
      </c>
      <c r="I229" t="s">
        <v>483</v>
      </c>
      <c r="J229" t="s">
        <v>484</v>
      </c>
      <c r="K229" t="s">
        <v>485</v>
      </c>
      <c r="L229">
        <v>1368</v>
      </c>
      <c r="N229">
        <v>1011</v>
      </c>
      <c r="O229" t="s">
        <v>479</v>
      </c>
      <c r="P229" t="s">
        <v>479</v>
      </c>
      <c r="Q229">
        <v>1</v>
      </c>
      <c r="X229">
        <v>0.03</v>
      </c>
      <c r="Y229">
        <v>0</v>
      </c>
      <c r="Z229">
        <v>83.1</v>
      </c>
      <c r="AA229">
        <v>12.62</v>
      </c>
      <c r="AB229">
        <v>0</v>
      </c>
      <c r="AC229">
        <v>0</v>
      </c>
      <c r="AD229">
        <v>1</v>
      </c>
      <c r="AE229">
        <v>0</v>
      </c>
      <c r="AF229" t="s">
        <v>49</v>
      </c>
      <c r="AG229">
        <v>3.5999999999999997E-2</v>
      </c>
      <c r="AH229">
        <v>2</v>
      </c>
      <c r="AI229">
        <v>55747997</v>
      </c>
      <c r="AJ229">
        <v>185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ROW(Source!A74)</f>
        <v>74</v>
      </c>
      <c r="B230">
        <v>55748005</v>
      </c>
      <c r="C230">
        <v>55747994</v>
      </c>
      <c r="D230">
        <v>54738518</v>
      </c>
      <c r="E230">
        <v>1</v>
      </c>
      <c r="F230">
        <v>1</v>
      </c>
      <c r="G230">
        <v>1081</v>
      </c>
      <c r="H230">
        <v>3</v>
      </c>
      <c r="I230" t="s">
        <v>493</v>
      </c>
      <c r="J230" t="s">
        <v>494</v>
      </c>
      <c r="K230" t="s">
        <v>495</v>
      </c>
      <c r="L230">
        <v>1348</v>
      </c>
      <c r="N230">
        <v>1009</v>
      </c>
      <c r="O230" t="s">
        <v>282</v>
      </c>
      <c r="P230" t="s">
        <v>282</v>
      </c>
      <c r="Q230">
        <v>1000</v>
      </c>
      <c r="X230">
        <v>6.6E-4</v>
      </c>
      <c r="Y230">
        <v>9112.49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48</v>
      </c>
      <c r="AG230">
        <v>6.6E-4</v>
      </c>
      <c r="AH230">
        <v>2</v>
      </c>
      <c r="AI230">
        <v>55747998</v>
      </c>
      <c r="AJ230">
        <v>186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ROW(Source!A74)</f>
        <v>74</v>
      </c>
      <c r="B231">
        <v>55748006</v>
      </c>
      <c r="C231">
        <v>55747994</v>
      </c>
      <c r="D231">
        <v>54739191</v>
      </c>
      <c r="E231">
        <v>1</v>
      </c>
      <c r="F231">
        <v>1</v>
      </c>
      <c r="G231">
        <v>1081</v>
      </c>
      <c r="H231">
        <v>3</v>
      </c>
      <c r="I231" t="s">
        <v>500</v>
      </c>
      <c r="J231" t="s">
        <v>501</v>
      </c>
      <c r="K231" t="s">
        <v>502</v>
      </c>
      <c r="L231">
        <v>1346</v>
      </c>
      <c r="N231">
        <v>1009</v>
      </c>
      <c r="O231" t="s">
        <v>503</v>
      </c>
      <c r="P231" t="s">
        <v>503</v>
      </c>
      <c r="Q231">
        <v>1</v>
      </c>
      <c r="X231">
        <v>2.1000000000000001E-2</v>
      </c>
      <c r="Y231">
        <v>6.25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48</v>
      </c>
      <c r="AG231">
        <v>2.1000000000000001E-2</v>
      </c>
      <c r="AH231">
        <v>2</v>
      </c>
      <c r="AI231">
        <v>55747999</v>
      </c>
      <c r="AJ231">
        <v>187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ROW(Source!A74)</f>
        <v>74</v>
      </c>
      <c r="B232">
        <v>55748007</v>
      </c>
      <c r="C232">
        <v>55747994</v>
      </c>
      <c r="D232">
        <v>54737565</v>
      </c>
      <c r="E232">
        <v>1</v>
      </c>
      <c r="F232">
        <v>1</v>
      </c>
      <c r="G232">
        <v>1081</v>
      </c>
      <c r="H232">
        <v>3</v>
      </c>
      <c r="I232" t="s">
        <v>504</v>
      </c>
      <c r="J232" t="s">
        <v>505</v>
      </c>
      <c r="K232" t="s">
        <v>506</v>
      </c>
      <c r="L232">
        <v>1339</v>
      </c>
      <c r="N232">
        <v>1007</v>
      </c>
      <c r="O232" t="s">
        <v>507</v>
      </c>
      <c r="P232" t="s">
        <v>507</v>
      </c>
      <c r="Q232">
        <v>1</v>
      </c>
      <c r="X232">
        <v>8.6999999999999994E-2</v>
      </c>
      <c r="Y232">
        <v>5.82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48</v>
      </c>
      <c r="AG232">
        <v>8.6999999999999994E-2</v>
      </c>
      <c r="AH232">
        <v>2</v>
      </c>
      <c r="AI232">
        <v>55748000</v>
      </c>
      <c r="AJ232">
        <v>188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ROW(Source!A74)</f>
        <v>74</v>
      </c>
      <c r="B233">
        <v>55748008</v>
      </c>
      <c r="C233">
        <v>55747994</v>
      </c>
      <c r="D233">
        <v>54717889</v>
      </c>
      <c r="E233">
        <v>1081</v>
      </c>
      <c r="F233">
        <v>1</v>
      </c>
      <c r="G233">
        <v>1081</v>
      </c>
      <c r="H233">
        <v>3</v>
      </c>
      <c r="I233" t="s">
        <v>674</v>
      </c>
      <c r="J233" t="s">
        <v>3</v>
      </c>
      <c r="K233" t="s">
        <v>675</v>
      </c>
      <c r="L233">
        <v>1354</v>
      </c>
      <c r="N233">
        <v>1010</v>
      </c>
      <c r="O233" t="s">
        <v>118</v>
      </c>
      <c r="P233" t="s">
        <v>118</v>
      </c>
      <c r="Q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48</v>
      </c>
      <c r="AG233">
        <v>1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ROW(Source!A75)</f>
        <v>75</v>
      </c>
      <c r="B234">
        <v>55748002</v>
      </c>
      <c r="C234">
        <v>55747994</v>
      </c>
      <c r="D234">
        <v>54702434</v>
      </c>
      <c r="E234">
        <v>1081</v>
      </c>
      <c r="F234">
        <v>1</v>
      </c>
      <c r="G234">
        <v>1081</v>
      </c>
      <c r="H234">
        <v>1</v>
      </c>
      <c r="I234" t="s">
        <v>473</v>
      </c>
      <c r="J234" t="s">
        <v>3</v>
      </c>
      <c r="K234" t="s">
        <v>474</v>
      </c>
      <c r="L234">
        <v>1191</v>
      </c>
      <c r="N234">
        <v>1013</v>
      </c>
      <c r="O234" t="s">
        <v>475</v>
      </c>
      <c r="P234" t="s">
        <v>475</v>
      </c>
      <c r="Q234">
        <v>1</v>
      </c>
      <c r="X234">
        <v>7.6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 t="s">
        <v>49</v>
      </c>
      <c r="AG234">
        <v>9.1199999999999992</v>
      </c>
      <c r="AH234">
        <v>2</v>
      </c>
      <c r="AI234">
        <v>55747995</v>
      </c>
      <c r="AJ234">
        <v>190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ROW(Source!A75)</f>
        <v>75</v>
      </c>
      <c r="B235">
        <v>55748003</v>
      </c>
      <c r="C235">
        <v>55747994</v>
      </c>
      <c r="D235">
        <v>54768040</v>
      </c>
      <c r="E235">
        <v>1</v>
      </c>
      <c r="F235">
        <v>1</v>
      </c>
      <c r="G235">
        <v>1081</v>
      </c>
      <c r="H235">
        <v>2</v>
      </c>
      <c r="I235" t="s">
        <v>476</v>
      </c>
      <c r="J235" t="s">
        <v>477</v>
      </c>
      <c r="K235" t="s">
        <v>478</v>
      </c>
      <c r="L235">
        <v>1368</v>
      </c>
      <c r="N235">
        <v>1011</v>
      </c>
      <c r="O235" t="s">
        <v>479</v>
      </c>
      <c r="P235" t="s">
        <v>479</v>
      </c>
      <c r="Q235">
        <v>1</v>
      </c>
      <c r="X235">
        <v>1.7</v>
      </c>
      <c r="Y235">
        <v>0</v>
      </c>
      <c r="Z235">
        <v>7.11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49</v>
      </c>
      <c r="AG235">
        <v>2.04</v>
      </c>
      <c r="AH235">
        <v>2</v>
      </c>
      <c r="AI235">
        <v>55747996</v>
      </c>
      <c r="AJ235">
        <v>191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ROW(Source!A75)</f>
        <v>75</v>
      </c>
      <c r="B236">
        <v>55748004</v>
      </c>
      <c r="C236">
        <v>55747994</v>
      </c>
      <c r="D236">
        <v>54768339</v>
      </c>
      <c r="E236">
        <v>1</v>
      </c>
      <c r="F236">
        <v>1</v>
      </c>
      <c r="G236">
        <v>1081</v>
      </c>
      <c r="H236">
        <v>2</v>
      </c>
      <c r="I236" t="s">
        <v>483</v>
      </c>
      <c r="J236" t="s">
        <v>484</v>
      </c>
      <c r="K236" t="s">
        <v>485</v>
      </c>
      <c r="L236">
        <v>1368</v>
      </c>
      <c r="N236">
        <v>1011</v>
      </c>
      <c r="O236" t="s">
        <v>479</v>
      </c>
      <c r="P236" t="s">
        <v>479</v>
      </c>
      <c r="Q236">
        <v>1</v>
      </c>
      <c r="X236">
        <v>0.03</v>
      </c>
      <c r="Y236">
        <v>0</v>
      </c>
      <c r="Z236">
        <v>83.1</v>
      </c>
      <c r="AA236">
        <v>12.62</v>
      </c>
      <c r="AB236">
        <v>0</v>
      </c>
      <c r="AC236">
        <v>0</v>
      </c>
      <c r="AD236">
        <v>1</v>
      </c>
      <c r="AE236">
        <v>0</v>
      </c>
      <c r="AF236" t="s">
        <v>49</v>
      </c>
      <c r="AG236">
        <v>3.5999999999999997E-2</v>
      </c>
      <c r="AH236">
        <v>2</v>
      </c>
      <c r="AI236">
        <v>55747997</v>
      </c>
      <c r="AJ236">
        <v>192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ROW(Source!A75)</f>
        <v>75</v>
      </c>
      <c r="B237">
        <v>55748005</v>
      </c>
      <c r="C237">
        <v>55747994</v>
      </c>
      <c r="D237">
        <v>54738518</v>
      </c>
      <c r="E237">
        <v>1</v>
      </c>
      <c r="F237">
        <v>1</v>
      </c>
      <c r="G237">
        <v>1081</v>
      </c>
      <c r="H237">
        <v>3</v>
      </c>
      <c r="I237" t="s">
        <v>493</v>
      </c>
      <c r="J237" t="s">
        <v>494</v>
      </c>
      <c r="K237" t="s">
        <v>495</v>
      </c>
      <c r="L237">
        <v>1348</v>
      </c>
      <c r="N237">
        <v>1009</v>
      </c>
      <c r="O237" t="s">
        <v>282</v>
      </c>
      <c r="P237" t="s">
        <v>282</v>
      </c>
      <c r="Q237">
        <v>1000</v>
      </c>
      <c r="X237">
        <v>6.6E-4</v>
      </c>
      <c r="Y237">
        <v>9112.49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48</v>
      </c>
      <c r="AG237">
        <v>6.6E-4</v>
      </c>
      <c r="AH237">
        <v>2</v>
      </c>
      <c r="AI237">
        <v>55747998</v>
      </c>
      <c r="AJ237">
        <v>193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ROW(Source!A75)</f>
        <v>75</v>
      </c>
      <c r="B238">
        <v>55748006</v>
      </c>
      <c r="C238">
        <v>55747994</v>
      </c>
      <c r="D238">
        <v>54739191</v>
      </c>
      <c r="E238">
        <v>1</v>
      </c>
      <c r="F238">
        <v>1</v>
      </c>
      <c r="G238">
        <v>1081</v>
      </c>
      <c r="H238">
        <v>3</v>
      </c>
      <c r="I238" t="s">
        <v>500</v>
      </c>
      <c r="J238" t="s">
        <v>501</v>
      </c>
      <c r="K238" t="s">
        <v>502</v>
      </c>
      <c r="L238">
        <v>1346</v>
      </c>
      <c r="N238">
        <v>1009</v>
      </c>
      <c r="O238" t="s">
        <v>503</v>
      </c>
      <c r="P238" t="s">
        <v>503</v>
      </c>
      <c r="Q238">
        <v>1</v>
      </c>
      <c r="X238">
        <v>2.1000000000000001E-2</v>
      </c>
      <c r="Y238">
        <v>6.25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48</v>
      </c>
      <c r="AG238">
        <v>2.1000000000000001E-2</v>
      </c>
      <c r="AH238">
        <v>2</v>
      </c>
      <c r="AI238">
        <v>55747999</v>
      </c>
      <c r="AJ238">
        <v>194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ROW(Source!A75)</f>
        <v>75</v>
      </c>
      <c r="B239">
        <v>55748007</v>
      </c>
      <c r="C239">
        <v>55747994</v>
      </c>
      <c r="D239">
        <v>54737565</v>
      </c>
      <c r="E239">
        <v>1</v>
      </c>
      <c r="F239">
        <v>1</v>
      </c>
      <c r="G239">
        <v>1081</v>
      </c>
      <c r="H239">
        <v>3</v>
      </c>
      <c r="I239" t="s">
        <v>504</v>
      </c>
      <c r="J239" t="s">
        <v>505</v>
      </c>
      <c r="K239" t="s">
        <v>506</v>
      </c>
      <c r="L239">
        <v>1339</v>
      </c>
      <c r="N239">
        <v>1007</v>
      </c>
      <c r="O239" t="s">
        <v>507</v>
      </c>
      <c r="P239" t="s">
        <v>507</v>
      </c>
      <c r="Q239">
        <v>1</v>
      </c>
      <c r="X239">
        <v>8.6999999999999994E-2</v>
      </c>
      <c r="Y239">
        <v>5.82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48</v>
      </c>
      <c r="AG239">
        <v>8.6999999999999994E-2</v>
      </c>
      <c r="AH239">
        <v>2</v>
      </c>
      <c r="AI239">
        <v>55748000</v>
      </c>
      <c r="AJ239">
        <v>195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ROW(Source!A75)</f>
        <v>75</v>
      </c>
      <c r="B240">
        <v>55748008</v>
      </c>
      <c r="C240">
        <v>55747994</v>
      </c>
      <c r="D240">
        <v>54717889</v>
      </c>
      <c r="E240">
        <v>1081</v>
      </c>
      <c r="F240">
        <v>1</v>
      </c>
      <c r="G240">
        <v>1081</v>
      </c>
      <c r="H240">
        <v>3</v>
      </c>
      <c r="I240" t="s">
        <v>674</v>
      </c>
      <c r="J240" t="s">
        <v>3</v>
      </c>
      <c r="K240" t="s">
        <v>675</v>
      </c>
      <c r="L240">
        <v>1354</v>
      </c>
      <c r="N240">
        <v>1010</v>
      </c>
      <c r="O240" t="s">
        <v>118</v>
      </c>
      <c r="P240" t="s">
        <v>118</v>
      </c>
      <c r="Q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48</v>
      </c>
      <c r="AG240">
        <v>1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ROW(Source!A78)</f>
        <v>78</v>
      </c>
      <c r="B241">
        <v>55748019</v>
      </c>
      <c r="C241">
        <v>55748010</v>
      </c>
      <c r="D241">
        <v>54702434</v>
      </c>
      <c r="E241">
        <v>1081</v>
      </c>
      <c r="F241">
        <v>1</v>
      </c>
      <c r="G241">
        <v>1081</v>
      </c>
      <c r="H241">
        <v>1</v>
      </c>
      <c r="I241" t="s">
        <v>473</v>
      </c>
      <c r="J241" t="s">
        <v>3</v>
      </c>
      <c r="K241" t="s">
        <v>474</v>
      </c>
      <c r="L241">
        <v>1191</v>
      </c>
      <c r="N241">
        <v>1013</v>
      </c>
      <c r="O241" t="s">
        <v>475</v>
      </c>
      <c r="P241" t="s">
        <v>475</v>
      </c>
      <c r="Q241">
        <v>1</v>
      </c>
      <c r="X241">
        <v>5.4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49</v>
      </c>
      <c r="AG241">
        <v>6.48</v>
      </c>
      <c r="AH241">
        <v>2</v>
      </c>
      <c r="AI241">
        <v>55748011</v>
      </c>
      <c r="AJ241">
        <v>197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ROW(Source!A78)</f>
        <v>78</v>
      </c>
      <c r="B242">
        <v>55748020</v>
      </c>
      <c r="C242">
        <v>55748010</v>
      </c>
      <c r="D242">
        <v>54768040</v>
      </c>
      <c r="E242">
        <v>1</v>
      </c>
      <c r="F242">
        <v>1</v>
      </c>
      <c r="G242">
        <v>1081</v>
      </c>
      <c r="H242">
        <v>2</v>
      </c>
      <c r="I242" t="s">
        <v>476</v>
      </c>
      <c r="J242" t="s">
        <v>477</v>
      </c>
      <c r="K242" t="s">
        <v>478</v>
      </c>
      <c r="L242">
        <v>1368</v>
      </c>
      <c r="N242">
        <v>1011</v>
      </c>
      <c r="O242" t="s">
        <v>479</v>
      </c>
      <c r="P242" t="s">
        <v>479</v>
      </c>
      <c r="Q242">
        <v>1</v>
      </c>
      <c r="X242">
        <v>0.9</v>
      </c>
      <c r="Y242">
        <v>0</v>
      </c>
      <c r="Z242">
        <v>7.11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49</v>
      </c>
      <c r="AG242">
        <v>1.08</v>
      </c>
      <c r="AH242">
        <v>2</v>
      </c>
      <c r="AI242">
        <v>55748012</v>
      </c>
      <c r="AJ242">
        <v>198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ROW(Source!A78)</f>
        <v>78</v>
      </c>
      <c r="B243">
        <v>55748021</v>
      </c>
      <c r="C243">
        <v>55748010</v>
      </c>
      <c r="D243">
        <v>54768339</v>
      </c>
      <c r="E243">
        <v>1</v>
      </c>
      <c r="F243">
        <v>1</v>
      </c>
      <c r="G243">
        <v>1081</v>
      </c>
      <c r="H243">
        <v>2</v>
      </c>
      <c r="I243" t="s">
        <v>483</v>
      </c>
      <c r="J243" t="s">
        <v>484</v>
      </c>
      <c r="K243" t="s">
        <v>485</v>
      </c>
      <c r="L243">
        <v>1368</v>
      </c>
      <c r="N243">
        <v>1011</v>
      </c>
      <c r="O243" t="s">
        <v>479</v>
      </c>
      <c r="P243" t="s">
        <v>479</v>
      </c>
      <c r="Q243">
        <v>1</v>
      </c>
      <c r="X243">
        <v>0.02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49</v>
      </c>
      <c r="AG243">
        <v>2.4E-2</v>
      </c>
      <c r="AH243">
        <v>2</v>
      </c>
      <c r="AI243">
        <v>55748013</v>
      </c>
      <c r="AJ243">
        <v>199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ROW(Source!A78)</f>
        <v>78</v>
      </c>
      <c r="B244">
        <v>55748022</v>
      </c>
      <c r="C244">
        <v>55748010</v>
      </c>
      <c r="D244">
        <v>54738518</v>
      </c>
      <c r="E244">
        <v>1</v>
      </c>
      <c r="F244">
        <v>1</v>
      </c>
      <c r="G244">
        <v>1081</v>
      </c>
      <c r="H244">
        <v>3</v>
      </c>
      <c r="I244" t="s">
        <v>493</v>
      </c>
      <c r="J244" t="s">
        <v>494</v>
      </c>
      <c r="K244" t="s">
        <v>495</v>
      </c>
      <c r="L244">
        <v>1348</v>
      </c>
      <c r="N244">
        <v>1009</v>
      </c>
      <c r="O244" t="s">
        <v>282</v>
      </c>
      <c r="P244" t="s">
        <v>282</v>
      </c>
      <c r="Q244">
        <v>1000</v>
      </c>
      <c r="X244">
        <v>4.4000000000000002E-4</v>
      </c>
      <c r="Y244">
        <v>9112.49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48</v>
      </c>
      <c r="AG244">
        <v>4.4000000000000002E-4</v>
      </c>
      <c r="AH244">
        <v>2</v>
      </c>
      <c r="AI244">
        <v>55748014</v>
      </c>
      <c r="AJ244">
        <v>200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ROW(Source!A78)</f>
        <v>78</v>
      </c>
      <c r="B245">
        <v>55748023</v>
      </c>
      <c r="C245">
        <v>55748010</v>
      </c>
      <c r="D245">
        <v>54739191</v>
      </c>
      <c r="E245">
        <v>1</v>
      </c>
      <c r="F245">
        <v>1</v>
      </c>
      <c r="G245">
        <v>1081</v>
      </c>
      <c r="H245">
        <v>3</v>
      </c>
      <c r="I245" t="s">
        <v>500</v>
      </c>
      <c r="J245" t="s">
        <v>501</v>
      </c>
      <c r="K245" t="s">
        <v>502</v>
      </c>
      <c r="L245">
        <v>1346</v>
      </c>
      <c r="N245">
        <v>1009</v>
      </c>
      <c r="O245" t="s">
        <v>503</v>
      </c>
      <c r="P245" t="s">
        <v>503</v>
      </c>
      <c r="Q245">
        <v>1</v>
      </c>
      <c r="X245">
        <v>1.0999999999999999E-2</v>
      </c>
      <c r="Y245">
        <v>6.25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48</v>
      </c>
      <c r="AG245">
        <v>1.0999999999999999E-2</v>
      </c>
      <c r="AH245">
        <v>2</v>
      </c>
      <c r="AI245">
        <v>55748015</v>
      </c>
      <c r="AJ245">
        <v>201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ROW(Source!A78)</f>
        <v>78</v>
      </c>
      <c r="B246">
        <v>55748024</v>
      </c>
      <c r="C246">
        <v>55748010</v>
      </c>
      <c r="D246">
        <v>54737565</v>
      </c>
      <c r="E246">
        <v>1</v>
      </c>
      <c r="F246">
        <v>1</v>
      </c>
      <c r="G246">
        <v>1081</v>
      </c>
      <c r="H246">
        <v>3</v>
      </c>
      <c r="I246" t="s">
        <v>504</v>
      </c>
      <c r="J246" t="s">
        <v>505</v>
      </c>
      <c r="K246" t="s">
        <v>506</v>
      </c>
      <c r="L246">
        <v>1339</v>
      </c>
      <c r="N246">
        <v>1007</v>
      </c>
      <c r="O246" t="s">
        <v>507</v>
      </c>
      <c r="P246" t="s">
        <v>507</v>
      </c>
      <c r="Q246">
        <v>1</v>
      </c>
      <c r="X246">
        <v>4.3999999999999997E-2</v>
      </c>
      <c r="Y246">
        <v>5.82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48</v>
      </c>
      <c r="AG246">
        <v>4.3999999999999997E-2</v>
      </c>
      <c r="AH246">
        <v>2</v>
      </c>
      <c r="AI246">
        <v>55748016</v>
      </c>
      <c r="AJ246">
        <v>202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ROW(Source!A78)</f>
        <v>78</v>
      </c>
      <c r="B247">
        <v>55748025</v>
      </c>
      <c r="C247">
        <v>55748010</v>
      </c>
      <c r="D247">
        <v>54717889</v>
      </c>
      <c r="E247">
        <v>1081</v>
      </c>
      <c r="F247">
        <v>1</v>
      </c>
      <c r="G247">
        <v>1081</v>
      </c>
      <c r="H247">
        <v>3</v>
      </c>
      <c r="I247" t="s">
        <v>674</v>
      </c>
      <c r="J247" t="s">
        <v>3</v>
      </c>
      <c r="K247" t="s">
        <v>675</v>
      </c>
      <c r="L247">
        <v>1354</v>
      </c>
      <c r="N247">
        <v>1010</v>
      </c>
      <c r="O247" t="s">
        <v>118</v>
      </c>
      <c r="P247" t="s">
        <v>118</v>
      </c>
      <c r="Q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48</v>
      </c>
      <c r="AG247">
        <v>1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ROW(Source!A79)</f>
        <v>79</v>
      </c>
      <c r="B248">
        <v>55748019</v>
      </c>
      <c r="C248">
        <v>55748010</v>
      </c>
      <c r="D248">
        <v>54702434</v>
      </c>
      <c r="E248">
        <v>1081</v>
      </c>
      <c r="F248">
        <v>1</v>
      </c>
      <c r="G248">
        <v>1081</v>
      </c>
      <c r="H248">
        <v>1</v>
      </c>
      <c r="I248" t="s">
        <v>473</v>
      </c>
      <c r="J248" t="s">
        <v>3</v>
      </c>
      <c r="K248" t="s">
        <v>474</v>
      </c>
      <c r="L248">
        <v>1191</v>
      </c>
      <c r="N248">
        <v>1013</v>
      </c>
      <c r="O248" t="s">
        <v>475</v>
      </c>
      <c r="P248" t="s">
        <v>475</v>
      </c>
      <c r="Q248">
        <v>1</v>
      </c>
      <c r="X248">
        <v>5.4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49</v>
      </c>
      <c r="AG248">
        <v>6.48</v>
      </c>
      <c r="AH248">
        <v>2</v>
      </c>
      <c r="AI248">
        <v>55748011</v>
      </c>
      <c r="AJ248">
        <v>205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ROW(Source!A79)</f>
        <v>79</v>
      </c>
      <c r="B249">
        <v>55748020</v>
      </c>
      <c r="C249">
        <v>55748010</v>
      </c>
      <c r="D249">
        <v>54768040</v>
      </c>
      <c r="E249">
        <v>1</v>
      </c>
      <c r="F249">
        <v>1</v>
      </c>
      <c r="G249">
        <v>1081</v>
      </c>
      <c r="H249">
        <v>2</v>
      </c>
      <c r="I249" t="s">
        <v>476</v>
      </c>
      <c r="J249" t="s">
        <v>477</v>
      </c>
      <c r="K249" t="s">
        <v>478</v>
      </c>
      <c r="L249">
        <v>1368</v>
      </c>
      <c r="N249">
        <v>1011</v>
      </c>
      <c r="O249" t="s">
        <v>479</v>
      </c>
      <c r="P249" t="s">
        <v>479</v>
      </c>
      <c r="Q249">
        <v>1</v>
      </c>
      <c r="X249">
        <v>0.9</v>
      </c>
      <c r="Y249">
        <v>0</v>
      </c>
      <c r="Z249">
        <v>7.11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49</v>
      </c>
      <c r="AG249">
        <v>1.08</v>
      </c>
      <c r="AH249">
        <v>2</v>
      </c>
      <c r="AI249">
        <v>55748012</v>
      </c>
      <c r="AJ249">
        <v>206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ROW(Source!A79)</f>
        <v>79</v>
      </c>
      <c r="B250">
        <v>55748021</v>
      </c>
      <c r="C250">
        <v>55748010</v>
      </c>
      <c r="D250">
        <v>54768339</v>
      </c>
      <c r="E250">
        <v>1</v>
      </c>
      <c r="F250">
        <v>1</v>
      </c>
      <c r="G250">
        <v>1081</v>
      </c>
      <c r="H250">
        <v>2</v>
      </c>
      <c r="I250" t="s">
        <v>483</v>
      </c>
      <c r="J250" t="s">
        <v>484</v>
      </c>
      <c r="K250" t="s">
        <v>485</v>
      </c>
      <c r="L250">
        <v>1368</v>
      </c>
      <c r="N250">
        <v>1011</v>
      </c>
      <c r="O250" t="s">
        <v>479</v>
      </c>
      <c r="P250" t="s">
        <v>479</v>
      </c>
      <c r="Q250">
        <v>1</v>
      </c>
      <c r="X250">
        <v>0.02</v>
      </c>
      <c r="Y250">
        <v>0</v>
      </c>
      <c r="Z250">
        <v>83.1</v>
      </c>
      <c r="AA250">
        <v>12.62</v>
      </c>
      <c r="AB250">
        <v>0</v>
      </c>
      <c r="AC250">
        <v>0</v>
      </c>
      <c r="AD250">
        <v>1</v>
      </c>
      <c r="AE250">
        <v>0</v>
      </c>
      <c r="AF250" t="s">
        <v>49</v>
      </c>
      <c r="AG250">
        <v>2.4E-2</v>
      </c>
      <c r="AH250">
        <v>2</v>
      </c>
      <c r="AI250">
        <v>55748013</v>
      </c>
      <c r="AJ250">
        <v>207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ROW(Source!A79)</f>
        <v>79</v>
      </c>
      <c r="B251">
        <v>55748022</v>
      </c>
      <c r="C251">
        <v>55748010</v>
      </c>
      <c r="D251">
        <v>54738518</v>
      </c>
      <c r="E251">
        <v>1</v>
      </c>
      <c r="F251">
        <v>1</v>
      </c>
      <c r="G251">
        <v>1081</v>
      </c>
      <c r="H251">
        <v>3</v>
      </c>
      <c r="I251" t="s">
        <v>493</v>
      </c>
      <c r="J251" t="s">
        <v>494</v>
      </c>
      <c r="K251" t="s">
        <v>495</v>
      </c>
      <c r="L251">
        <v>1348</v>
      </c>
      <c r="N251">
        <v>1009</v>
      </c>
      <c r="O251" t="s">
        <v>282</v>
      </c>
      <c r="P251" t="s">
        <v>282</v>
      </c>
      <c r="Q251">
        <v>1000</v>
      </c>
      <c r="X251">
        <v>4.4000000000000002E-4</v>
      </c>
      <c r="Y251">
        <v>9112.49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48</v>
      </c>
      <c r="AG251">
        <v>4.4000000000000002E-4</v>
      </c>
      <c r="AH251">
        <v>2</v>
      </c>
      <c r="AI251">
        <v>55748014</v>
      </c>
      <c r="AJ251">
        <v>208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ROW(Source!A79)</f>
        <v>79</v>
      </c>
      <c r="B252">
        <v>55748023</v>
      </c>
      <c r="C252">
        <v>55748010</v>
      </c>
      <c r="D252">
        <v>54739191</v>
      </c>
      <c r="E252">
        <v>1</v>
      </c>
      <c r="F252">
        <v>1</v>
      </c>
      <c r="G252">
        <v>1081</v>
      </c>
      <c r="H252">
        <v>3</v>
      </c>
      <c r="I252" t="s">
        <v>500</v>
      </c>
      <c r="J252" t="s">
        <v>501</v>
      </c>
      <c r="K252" t="s">
        <v>502</v>
      </c>
      <c r="L252">
        <v>1346</v>
      </c>
      <c r="N252">
        <v>1009</v>
      </c>
      <c r="O252" t="s">
        <v>503</v>
      </c>
      <c r="P252" t="s">
        <v>503</v>
      </c>
      <c r="Q252">
        <v>1</v>
      </c>
      <c r="X252">
        <v>1.0999999999999999E-2</v>
      </c>
      <c r="Y252">
        <v>6.25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48</v>
      </c>
      <c r="AG252">
        <v>1.0999999999999999E-2</v>
      </c>
      <c r="AH252">
        <v>2</v>
      </c>
      <c r="AI252">
        <v>55748015</v>
      </c>
      <c r="AJ252">
        <v>209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ROW(Source!A79)</f>
        <v>79</v>
      </c>
      <c r="B253">
        <v>55748024</v>
      </c>
      <c r="C253">
        <v>55748010</v>
      </c>
      <c r="D253">
        <v>54737565</v>
      </c>
      <c r="E253">
        <v>1</v>
      </c>
      <c r="F253">
        <v>1</v>
      </c>
      <c r="G253">
        <v>1081</v>
      </c>
      <c r="H253">
        <v>3</v>
      </c>
      <c r="I253" t="s">
        <v>504</v>
      </c>
      <c r="J253" t="s">
        <v>505</v>
      </c>
      <c r="K253" t="s">
        <v>506</v>
      </c>
      <c r="L253">
        <v>1339</v>
      </c>
      <c r="N253">
        <v>1007</v>
      </c>
      <c r="O253" t="s">
        <v>507</v>
      </c>
      <c r="P253" t="s">
        <v>507</v>
      </c>
      <c r="Q253">
        <v>1</v>
      </c>
      <c r="X253">
        <v>4.3999999999999997E-2</v>
      </c>
      <c r="Y253">
        <v>5.82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48</v>
      </c>
      <c r="AG253">
        <v>4.3999999999999997E-2</v>
      </c>
      <c r="AH253">
        <v>2</v>
      </c>
      <c r="AI253">
        <v>55748016</v>
      </c>
      <c r="AJ253">
        <v>210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ROW(Source!A79)</f>
        <v>79</v>
      </c>
      <c r="B254">
        <v>55748025</v>
      </c>
      <c r="C254">
        <v>55748010</v>
      </c>
      <c r="D254">
        <v>54717889</v>
      </c>
      <c r="E254">
        <v>1081</v>
      </c>
      <c r="F254">
        <v>1</v>
      </c>
      <c r="G254">
        <v>1081</v>
      </c>
      <c r="H254">
        <v>3</v>
      </c>
      <c r="I254" t="s">
        <v>674</v>
      </c>
      <c r="J254" t="s">
        <v>3</v>
      </c>
      <c r="K254" t="s">
        <v>675</v>
      </c>
      <c r="L254">
        <v>1354</v>
      </c>
      <c r="N254">
        <v>1010</v>
      </c>
      <c r="O254" t="s">
        <v>118</v>
      </c>
      <c r="P254" t="s">
        <v>118</v>
      </c>
      <c r="Q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48</v>
      </c>
      <c r="AG254">
        <v>1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ROW(Source!A84)</f>
        <v>84</v>
      </c>
      <c r="B255">
        <v>55748037</v>
      </c>
      <c r="C255">
        <v>55748028</v>
      </c>
      <c r="D255">
        <v>54702434</v>
      </c>
      <c r="E255">
        <v>1081</v>
      </c>
      <c r="F255">
        <v>1</v>
      </c>
      <c r="G255">
        <v>1081</v>
      </c>
      <c r="H255">
        <v>1</v>
      </c>
      <c r="I255" t="s">
        <v>473</v>
      </c>
      <c r="J255" t="s">
        <v>3</v>
      </c>
      <c r="K255" t="s">
        <v>474</v>
      </c>
      <c r="L255">
        <v>1191</v>
      </c>
      <c r="N255">
        <v>1013</v>
      </c>
      <c r="O255" t="s">
        <v>475</v>
      </c>
      <c r="P255" t="s">
        <v>475</v>
      </c>
      <c r="Q255">
        <v>1</v>
      </c>
      <c r="X255">
        <v>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 t="s">
        <v>49</v>
      </c>
      <c r="AG255">
        <v>6</v>
      </c>
      <c r="AH255">
        <v>2</v>
      </c>
      <c r="AI255">
        <v>55748029</v>
      </c>
      <c r="AJ255">
        <v>213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ROW(Source!A84)</f>
        <v>84</v>
      </c>
      <c r="B256">
        <v>55748038</v>
      </c>
      <c r="C256">
        <v>55748028</v>
      </c>
      <c r="D256">
        <v>54768040</v>
      </c>
      <c r="E256">
        <v>1</v>
      </c>
      <c r="F256">
        <v>1</v>
      </c>
      <c r="G256">
        <v>1081</v>
      </c>
      <c r="H256">
        <v>2</v>
      </c>
      <c r="I256" t="s">
        <v>476</v>
      </c>
      <c r="J256" t="s">
        <v>477</v>
      </c>
      <c r="K256" t="s">
        <v>478</v>
      </c>
      <c r="L256">
        <v>1368</v>
      </c>
      <c r="N256">
        <v>1011</v>
      </c>
      <c r="O256" t="s">
        <v>479</v>
      </c>
      <c r="P256" t="s">
        <v>479</v>
      </c>
      <c r="Q256">
        <v>1</v>
      </c>
      <c r="X256">
        <v>0.6</v>
      </c>
      <c r="Y256">
        <v>0</v>
      </c>
      <c r="Z256">
        <v>7.11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49</v>
      </c>
      <c r="AG256">
        <v>0.72</v>
      </c>
      <c r="AH256">
        <v>2</v>
      </c>
      <c r="AI256">
        <v>55748030</v>
      </c>
      <c r="AJ256">
        <v>214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ROW(Source!A84)</f>
        <v>84</v>
      </c>
      <c r="B257">
        <v>55748039</v>
      </c>
      <c r="C257">
        <v>55748028</v>
      </c>
      <c r="D257">
        <v>54768339</v>
      </c>
      <c r="E257">
        <v>1</v>
      </c>
      <c r="F257">
        <v>1</v>
      </c>
      <c r="G257">
        <v>1081</v>
      </c>
      <c r="H257">
        <v>2</v>
      </c>
      <c r="I257" t="s">
        <v>483</v>
      </c>
      <c r="J257" t="s">
        <v>484</v>
      </c>
      <c r="K257" t="s">
        <v>485</v>
      </c>
      <c r="L257">
        <v>1368</v>
      </c>
      <c r="N257">
        <v>1011</v>
      </c>
      <c r="O257" t="s">
        <v>479</v>
      </c>
      <c r="P257" t="s">
        <v>479</v>
      </c>
      <c r="Q257">
        <v>1</v>
      </c>
      <c r="X257">
        <v>0.02</v>
      </c>
      <c r="Y257">
        <v>0</v>
      </c>
      <c r="Z257">
        <v>83.1</v>
      </c>
      <c r="AA257">
        <v>12.62</v>
      </c>
      <c r="AB257">
        <v>0</v>
      </c>
      <c r="AC257">
        <v>0</v>
      </c>
      <c r="AD257">
        <v>1</v>
      </c>
      <c r="AE257">
        <v>0</v>
      </c>
      <c r="AF257" t="s">
        <v>49</v>
      </c>
      <c r="AG257">
        <v>2.4E-2</v>
      </c>
      <c r="AH257">
        <v>2</v>
      </c>
      <c r="AI257">
        <v>55748031</v>
      </c>
      <c r="AJ257">
        <v>215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ROW(Source!A84)</f>
        <v>84</v>
      </c>
      <c r="B258">
        <v>55748040</v>
      </c>
      <c r="C258">
        <v>55748028</v>
      </c>
      <c r="D258">
        <v>54738518</v>
      </c>
      <c r="E258">
        <v>1</v>
      </c>
      <c r="F258">
        <v>1</v>
      </c>
      <c r="G258">
        <v>1081</v>
      </c>
      <c r="H258">
        <v>3</v>
      </c>
      <c r="I258" t="s">
        <v>493</v>
      </c>
      <c r="J258" t="s">
        <v>494</v>
      </c>
      <c r="K258" t="s">
        <v>495</v>
      </c>
      <c r="L258">
        <v>1348</v>
      </c>
      <c r="N258">
        <v>1009</v>
      </c>
      <c r="O258" t="s">
        <v>282</v>
      </c>
      <c r="P258" t="s">
        <v>282</v>
      </c>
      <c r="Q258">
        <v>1000</v>
      </c>
      <c r="X258">
        <v>3.6000000000000002E-4</v>
      </c>
      <c r="Y258">
        <v>9112.49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48</v>
      </c>
      <c r="AG258">
        <v>3.6000000000000002E-4</v>
      </c>
      <c r="AH258">
        <v>2</v>
      </c>
      <c r="AI258">
        <v>55748032</v>
      </c>
      <c r="AJ258">
        <v>216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ROW(Source!A84)</f>
        <v>84</v>
      </c>
      <c r="B259">
        <v>55748041</v>
      </c>
      <c r="C259">
        <v>55748028</v>
      </c>
      <c r="D259">
        <v>54739191</v>
      </c>
      <c r="E259">
        <v>1</v>
      </c>
      <c r="F259">
        <v>1</v>
      </c>
      <c r="G259">
        <v>1081</v>
      </c>
      <c r="H259">
        <v>3</v>
      </c>
      <c r="I259" t="s">
        <v>500</v>
      </c>
      <c r="J259" t="s">
        <v>501</v>
      </c>
      <c r="K259" t="s">
        <v>502</v>
      </c>
      <c r="L259">
        <v>1346</v>
      </c>
      <c r="N259">
        <v>1009</v>
      </c>
      <c r="O259" t="s">
        <v>503</v>
      </c>
      <c r="P259" t="s">
        <v>503</v>
      </c>
      <c r="Q259">
        <v>1</v>
      </c>
      <c r="X259">
        <v>7.0000000000000001E-3</v>
      </c>
      <c r="Y259">
        <v>6.25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48</v>
      </c>
      <c r="AG259">
        <v>7.0000000000000001E-3</v>
      </c>
      <c r="AH259">
        <v>2</v>
      </c>
      <c r="AI259">
        <v>55748033</v>
      </c>
      <c r="AJ259">
        <v>217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ROW(Source!A84)</f>
        <v>84</v>
      </c>
      <c r="B260">
        <v>55748042</v>
      </c>
      <c r="C260">
        <v>55748028</v>
      </c>
      <c r="D260">
        <v>54737565</v>
      </c>
      <c r="E260">
        <v>1</v>
      </c>
      <c r="F260">
        <v>1</v>
      </c>
      <c r="G260">
        <v>1081</v>
      </c>
      <c r="H260">
        <v>3</v>
      </c>
      <c r="I260" t="s">
        <v>504</v>
      </c>
      <c r="J260" t="s">
        <v>505</v>
      </c>
      <c r="K260" t="s">
        <v>506</v>
      </c>
      <c r="L260">
        <v>1339</v>
      </c>
      <c r="N260">
        <v>1007</v>
      </c>
      <c r="O260" t="s">
        <v>507</v>
      </c>
      <c r="P260" t="s">
        <v>507</v>
      </c>
      <c r="Q260">
        <v>1</v>
      </c>
      <c r="X260">
        <v>0.03</v>
      </c>
      <c r="Y260">
        <v>5.82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48</v>
      </c>
      <c r="AG260">
        <v>0.03</v>
      </c>
      <c r="AH260">
        <v>2</v>
      </c>
      <c r="AI260">
        <v>55748034</v>
      </c>
      <c r="AJ260">
        <v>218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ROW(Source!A84)</f>
        <v>84</v>
      </c>
      <c r="B261">
        <v>55748043</v>
      </c>
      <c r="C261">
        <v>55748028</v>
      </c>
      <c r="D261">
        <v>54717889</v>
      </c>
      <c r="E261">
        <v>1081</v>
      </c>
      <c r="F261">
        <v>1</v>
      </c>
      <c r="G261">
        <v>1081</v>
      </c>
      <c r="H261">
        <v>3</v>
      </c>
      <c r="I261" t="s">
        <v>674</v>
      </c>
      <c r="J261" t="s">
        <v>3</v>
      </c>
      <c r="K261" t="s">
        <v>675</v>
      </c>
      <c r="L261">
        <v>1354</v>
      </c>
      <c r="N261">
        <v>1010</v>
      </c>
      <c r="O261" t="s">
        <v>118</v>
      </c>
      <c r="P261" t="s">
        <v>118</v>
      </c>
      <c r="Q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48</v>
      </c>
      <c r="AG261">
        <v>1</v>
      </c>
      <c r="AH261">
        <v>3</v>
      </c>
      <c r="AI261">
        <v>-1</v>
      </c>
      <c r="AJ261" t="s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ROW(Source!A85)</f>
        <v>85</v>
      </c>
      <c r="B262">
        <v>55748037</v>
      </c>
      <c r="C262">
        <v>55748028</v>
      </c>
      <c r="D262">
        <v>54702434</v>
      </c>
      <c r="E262">
        <v>1081</v>
      </c>
      <c r="F262">
        <v>1</v>
      </c>
      <c r="G262">
        <v>1081</v>
      </c>
      <c r="H262">
        <v>1</v>
      </c>
      <c r="I262" t="s">
        <v>473</v>
      </c>
      <c r="J262" t="s">
        <v>3</v>
      </c>
      <c r="K262" t="s">
        <v>474</v>
      </c>
      <c r="L262">
        <v>1191</v>
      </c>
      <c r="N262">
        <v>1013</v>
      </c>
      <c r="O262" t="s">
        <v>475</v>
      </c>
      <c r="P262" t="s">
        <v>475</v>
      </c>
      <c r="Q262">
        <v>1</v>
      </c>
      <c r="X262">
        <v>5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</v>
      </c>
      <c r="AF262" t="s">
        <v>49</v>
      </c>
      <c r="AG262">
        <v>6</v>
      </c>
      <c r="AH262">
        <v>2</v>
      </c>
      <c r="AI262">
        <v>55748029</v>
      </c>
      <c r="AJ262">
        <v>220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ROW(Source!A85)</f>
        <v>85</v>
      </c>
      <c r="B263">
        <v>55748038</v>
      </c>
      <c r="C263">
        <v>55748028</v>
      </c>
      <c r="D263">
        <v>54768040</v>
      </c>
      <c r="E263">
        <v>1</v>
      </c>
      <c r="F263">
        <v>1</v>
      </c>
      <c r="G263">
        <v>1081</v>
      </c>
      <c r="H263">
        <v>2</v>
      </c>
      <c r="I263" t="s">
        <v>476</v>
      </c>
      <c r="J263" t="s">
        <v>477</v>
      </c>
      <c r="K263" t="s">
        <v>478</v>
      </c>
      <c r="L263">
        <v>1368</v>
      </c>
      <c r="N263">
        <v>1011</v>
      </c>
      <c r="O263" t="s">
        <v>479</v>
      </c>
      <c r="P263" t="s">
        <v>479</v>
      </c>
      <c r="Q263">
        <v>1</v>
      </c>
      <c r="X263">
        <v>0.6</v>
      </c>
      <c r="Y263">
        <v>0</v>
      </c>
      <c r="Z263">
        <v>7.11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49</v>
      </c>
      <c r="AG263">
        <v>0.72</v>
      </c>
      <c r="AH263">
        <v>2</v>
      </c>
      <c r="AI263">
        <v>55748030</v>
      </c>
      <c r="AJ263">
        <v>221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ROW(Source!A85)</f>
        <v>85</v>
      </c>
      <c r="B264">
        <v>55748039</v>
      </c>
      <c r="C264">
        <v>55748028</v>
      </c>
      <c r="D264">
        <v>54768339</v>
      </c>
      <c r="E264">
        <v>1</v>
      </c>
      <c r="F264">
        <v>1</v>
      </c>
      <c r="G264">
        <v>1081</v>
      </c>
      <c r="H264">
        <v>2</v>
      </c>
      <c r="I264" t="s">
        <v>483</v>
      </c>
      <c r="J264" t="s">
        <v>484</v>
      </c>
      <c r="K264" t="s">
        <v>485</v>
      </c>
      <c r="L264">
        <v>1368</v>
      </c>
      <c r="N264">
        <v>1011</v>
      </c>
      <c r="O264" t="s">
        <v>479</v>
      </c>
      <c r="P264" t="s">
        <v>479</v>
      </c>
      <c r="Q264">
        <v>1</v>
      </c>
      <c r="X264">
        <v>0.02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49</v>
      </c>
      <c r="AG264">
        <v>2.4E-2</v>
      </c>
      <c r="AH264">
        <v>2</v>
      </c>
      <c r="AI264">
        <v>55748031</v>
      </c>
      <c r="AJ264">
        <v>222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ROW(Source!A85)</f>
        <v>85</v>
      </c>
      <c r="B265">
        <v>55748040</v>
      </c>
      <c r="C265">
        <v>55748028</v>
      </c>
      <c r="D265">
        <v>54738518</v>
      </c>
      <c r="E265">
        <v>1</v>
      </c>
      <c r="F265">
        <v>1</v>
      </c>
      <c r="G265">
        <v>1081</v>
      </c>
      <c r="H265">
        <v>3</v>
      </c>
      <c r="I265" t="s">
        <v>493</v>
      </c>
      <c r="J265" t="s">
        <v>494</v>
      </c>
      <c r="K265" t="s">
        <v>495</v>
      </c>
      <c r="L265">
        <v>1348</v>
      </c>
      <c r="N265">
        <v>1009</v>
      </c>
      <c r="O265" t="s">
        <v>282</v>
      </c>
      <c r="P265" t="s">
        <v>282</v>
      </c>
      <c r="Q265">
        <v>1000</v>
      </c>
      <c r="X265">
        <v>3.6000000000000002E-4</v>
      </c>
      <c r="Y265">
        <v>9112.49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48</v>
      </c>
      <c r="AG265">
        <v>3.6000000000000002E-4</v>
      </c>
      <c r="AH265">
        <v>2</v>
      </c>
      <c r="AI265">
        <v>55748032</v>
      </c>
      <c r="AJ265">
        <v>223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ROW(Source!A85)</f>
        <v>85</v>
      </c>
      <c r="B266">
        <v>55748041</v>
      </c>
      <c r="C266">
        <v>55748028</v>
      </c>
      <c r="D266">
        <v>54739191</v>
      </c>
      <c r="E266">
        <v>1</v>
      </c>
      <c r="F266">
        <v>1</v>
      </c>
      <c r="G266">
        <v>1081</v>
      </c>
      <c r="H266">
        <v>3</v>
      </c>
      <c r="I266" t="s">
        <v>500</v>
      </c>
      <c r="J266" t="s">
        <v>501</v>
      </c>
      <c r="K266" t="s">
        <v>502</v>
      </c>
      <c r="L266">
        <v>1346</v>
      </c>
      <c r="N266">
        <v>1009</v>
      </c>
      <c r="O266" t="s">
        <v>503</v>
      </c>
      <c r="P266" t="s">
        <v>503</v>
      </c>
      <c r="Q266">
        <v>1</v>
      </c>
      <c r="X266">
        <v>7.0000000000000001E-3</v>
      </c>
      <c r="Y266">
        <v>6.25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48</v>
      </c>
      <c r="AG266">
        <v>7.0000000000000001E-3</v>
      </c>
      <c r="AH266">
        <v>2</v>
      </c>
      <c r="AI266">
        <v>55748033</v>
      </c>
      <c r="AJ266">
        <v>224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ROW(Source!A85)</f>
        <v>85</v>
      </c>
      <c r="B267">
        <v>55748042</v>
      </c>
      <c r="C267">
        <v>55748028</v>
      </c>
      <c r="D267">
        <v>54737565</v>
      </c>
      <c r="E267">
        <v>1</v>
      </c>
      <c r="F267">
        <v>1</v>
      </c>
      <c r="G267">
        <v>1081</v>
      </c>
      <c r="H267">
        <v>3</v>
      </c>
      <c r="I267" t="s">
        <v>504</v>
      </c>
      <c r="J267" t="s">
        <v>505</v>
      </c>
      <c r="K267" t="s">
        <v>506</v>
      </c>
      <c r="L267">
        <v>1339</v>
      </c>
      <c r="N267">
        <v>1007</v>
      </c>
      <c r="O267" t="s">
        <v>507</v>
      </c>
      <c r="P267" t="s">
        <v>507</v>
      </c>
      <c r="Q267">
        <v>1</v>
      </c>
      <c r="X267">
        <v>0.03</v>
      </c>
      <c r="Y267">
        <v>5.82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48</v>
      </c>
      <c r="AG267">
        <v>0.03</v>
      </c>
      <c r="AH267">
        <v>2</v>
      </c>
      <c r="AI267">
        <v>55748034</v>
      </c>
      <c r="AJ267">
        <v>225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ROW(Source!A85)</f>
        <v>85</v>
      </c>
      <c r="B268">
        <v>55748043</v>
      </c>
      <c r="C268">
        <v>55748028</v>
      </c>
      <c r="D268">
        <v>54717889</v>
      </c>
      <c r="E268">
        <v>1081</v>
      </c>
      <c r="F268">
        <v>1</v>
      </c>
      <c r="G268">
        <v>1081</v>
      </c>
      <c r="H268">
        <v>3</v>
      </c>
      <c r="I268" t="s">
        <v>674</v>
      </c>
      <c r="J268" t="s">
        <v>3</v>
      </c>
      <c r="K268" t="s">
        <v>675</v>
      </c>
      <c r="L268">
        <v>1354</v>
      </c>
      <c r="N268">
        <v>1010</v>
      </c>
      <c r="O268" t="s">
        <v>118</v>
      </c>
      <c r="P268" t="s">
        <v>118</v>
      </c>
      <c r="Q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48</v>
      </c>
      <c r="AG268">
        <v>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ROW(Source!A88)</f>
        <v>88</v>
      </c>
      <c r="B269">
        <v>55748054</v>
      </c>
      <c r="C269">
        <v>55748046</v>
      </c>
      <c r="D269">
        <v>54702434</v>
      </c>
      <c r="E269">
        <v>1081</v>
      </c>
      <c r="F269">
        <v>1</v>
      </c>
      <c r="G269">
        <v>1081</v>
      </c>
      <c r="H269">
        <v>1</v>
      </c>
      <c r="I269" t="s">
        <v>473</v>
      </c>
      <c r="J269" t="s">
        <v>3</v>
      </c>
      <c r="K269" t="s">
        <v>474</v>
      </c>
      <c r="L269">
        <v>1191</v>
      </c>
      <c r="N269">
        <v>1013</v>
      </c>
      <c r="O269" t="s">
        <v>475</v>
      </c>
      <c r="P269" t="s">
        <v>475</v>
      </c>
      <c r="Q269">
        <v>1</v>
      </c>
      <c r="X269">
        <v>7.6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49</v>
      </c>
      <c r="AG269">
        <v>9.1199999999999992</v>
      </c>
      <c r="AH269">
        <v>2</v>
      </c>
      <c r="AI269">
        <v>55748047</v>
      </c>
      <c r="AJ269">
        <v>227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ROW(Source!A88)</f>
        <v>88</v>
      </c>
      <c r="B270">
        <v>55748055</v>
      </c>
      <c r="C270">
        <v>55748046</v>
      </c>
      <c r="D270">
        <v>54768040</v>
      </c>
      <c r="E270">
        <v>1</v>
      </c>
      <c r="F270">
        <v>1</v>
      </c>
      <c r="G270">
        <v>1081</v>
      </c>
      <c r="H270">
        <v>2</v>
      </c>
      <c r="I270" t="s">
        <v>476</v>
      </c>
      <c r="J270" t="s">
        <v>477</v>
      </c>
      <c r="K270" t="s">
        <v>478</v>
      </c>
      <c r="L270">
        <v>1368</v>
      </c>
      <c r="N270">
        <v>1011</v>
      </c>
      <c r="O270" t="s">
        <v>479</v>
      </c>
      <c r="P270" t="s">
        <v>479</v>
      </c>
      <c r="Q270">
        <v>1</v>
      </c>
      <c r="X270">
        <v>1</v>
      </c>
      <c r="Y270">
        <v>0</v>
      </c>
      <c r="Z270">
        <v>7.11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49</v>
      </c>
      <c r="AG270">
        <v>1.2</v>
      </c>
      <c r="AH270">
        <v>2</v>
      </c>
      <c r="AI270">
        <v>55748048</v>
      </c>
      <c r="AJ270">
        <v>228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ROW(Source!A88)</f>
        <v>88</v>
      </c>
      <c r="B271">
        <v>55748056</v>
      </c>
      <c r="C271">
        <v>55748046</v>
      </c>
      <c r="D271">
        <v>54768339</v>
      </c>
      <c r="E271">
        <v>1</v>
      </c>
      <c r="F271">
        <v>1</v>
      </c>
      <c r="G271">
        <v>1081</v>
      </c>
      <c r="H271">
        <v>2</v>
      </c>
      <c r="I271" t="s">
        <v>483</v>
      </c>
      <c r="J271" t="s">
        <v>484</v>
      </c>
      <c r="K271" t="s">
        <v>485</v>
      </c>
      <c r="L271">
        <v>1368</v>
      </c>
      <c r="N271">
        <v>1011</v>
      </c>
      <c r="O271" t="s">
        <v>479</v>
      </c>
      <c r="P271" t="s">
        <v>479</v>
      </c>
      <c r="Q271">
        <v>1</v>
      </c>
      <c r="X271">
        <v>0.01</v>
      </c>
      <c r="Y271">
        <v>0</v>
      </c>
      <c r="Z271">
        <v>83.1</v>
      </c>
      <c r="AA271">
        <v>12.62</v>
      </c>
      <c r="AB271">
        <v>0</v>
      </c>
      <c r="AC271">
        <v>0</v>
      </c>
      <c r="AD271">
        <v>1</v>
      </c>
      <c r="AE271">
        <v>0</v>
      </c>
      <c r="AF271" t="s">
        <v>49</v>
      </c>
      <c r="AG271">
        <v>1.2E-2</v>
      </c>
      <c r="AH271">
        <v>2</v>
      </c>
      <c r="AI271">
        <v>55748049</v>
      </c>
      <c r="AJ271">
        <v>229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ROW(Source!A88)</f>
        <v>88</v>
      </c>
      <c r="B272">
        <v>55748057</v>
      </c>
      <c r="C272">
        <v>55748046</v>
      </c>
      <c r="D272">
        <v>54738518</v>
      </c>
      <c r="E272">
        <v>1</v>
      </c>
      <c r="F272">
        <v>1</v>
      </c>
      <c r="G272">
        <v>1081</v>
      </c>
      <c r="H272">
        <v>3</v>
      </c>
      <c r="I272" t="s">
        <v>493</v>
      </c>
      <c r="J272" t="s">
        <v>494</v>
      </c>
      <c r="K272" t="s">
        <v>495</v>
      </c>
      <c r="L272">
        <v>1348</v>
      </c>
      <c r="N272">
        <v>1009</v>
      </c>
      <c r="O272" t="s">
        <v>282</v>
      </c>
      <c r="P272" t="s">
        <v>282</v>
      </c>
      <c r="Q272">
        <v>1000</v>
      </c>
      <c r="X272">
        <v>3.6000000000000002E-4</v>
      </c>
      <c r="Y272">
        <v>9112.49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48</v>
      </c>
      <c r="AG272">
        <v>3.6000000000000002E-4</v>
      </c>
      <c r="AH272">
        <v>2</v>
      </c>
      <c r="AI272">
        <v>55748050</v>
      </c>
      <c r="AJ272">
        <v>230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ROW(Source!A88)</f>
        <v>88</v>
      </c>
      <c r="B273">
        <v>55748058</v>
      </c>
      <c r="C273">
        <v>55748046</v>
      </c>
      <c r="D273">
        <v>54739191</v>
      </c>
      <c r="E273">
        <v>1</v>
      </c>
      <c r="F273">
        <v>1</v>
      </c>
      <c r="G273">
        <v>1081</v>
      </c>
      <c r="H273">
        <v>3</v>
      </c>
      <c r="I273" t="s">
        <v>500</v>
      </c>
      <c r="J273" t="s">
        <v>501</v>
      </c>
      <c r="K273" t="s">
        <v>502</v>
      </c>
      <c r="L273">
        <v>1346</v>
      </c>
      <c r="N273">
        <v>1009</v>
      </c>
      <c r="O273" t="s">
        <v>503</v>
      </c>
      <c r="P273" t="s">
        <v>503</v>
      </c>
      <c r="Q273">
        <v>1</v>
      </c>
      <c r="X273">
        <v>7.0000000000000001E-3</v>
      </c>
      <c r="Y273">
        <v>6.25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48</v>
      </c>
      <c r="AG273">
        <v>7.0000000000000001E-3</v>
      </c>
      <c r="AH273">
        <v>2</v>
      </c>
      <c r="AI273">
        <v>55748051</v>
      </c>
      <c r="AJ273">
        <v>231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ROW(Source!A88)</f>
        <v>88</v>
      </c>
      <c r="B274">
        <v>55748059</v>
      </c>
      <c r="C274">
        <v>55748046</v>
      </c>
      <c r="D274">
        <v>54737565</v>
      </c>
      <c r="E274">
        <v>1</v>
      </c>
      <c r="F274">
        <v>1</v>
      </c>
      <c r="G274">
        <v>1081</v>
      </c>
      <c r="H274">
        <v>3</v>
      </c>
      <c r="I274" t="s">
        <v>504</v>
      </c>
      <c r="J274" t="s">
        <v>505</v>
      </c>
      <c r="K274" t="s">
        <v>506</v>
      </c>
      <c r="L274">
        <v>1339</v>
      </c>
      <c r="N274">
        <v>1007</v>
      </c>
      <c r="O274" t="s">
        <v>507</v>
      </c>
      <c r="P274" t="s">
        <v>507</v>
      </c>
      <c r="Q274">
        <v>1</v>
      </c>
      <c r="X274">
        <v>0.03</v>
      </c>
      <c r="Y274">
        <v>5.82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48</v>
      </c>
      <c r="AG274">
        <v>0.03</v>
      </c>
      <c r="AH274">
        <v>2</v>
      </c>
      <c r="AI274">
        <v>55748052</v>
      </c>
      <c r="AJ274">
        <v>232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ROW(Source!A88)</f>
        <v>88</v>
      </c>
      <c r="B275">
        <v>55748060</v>
      </c>
      <c r="C275">
        <v>55748046</v>
      </c>
      <c r="D275">
        <v>54717889</v>
      </c>
      <c r="E275">
        <v>1081</v>
      </c>
      <c r="F275">
        <v>1</v>
      </c>
      <c r="G275">
        <v>1081</v>
      </c>
      <c r="H275">
        <v>3</v>
      </c>
      <c r="I275" t="s">
        <v>674</v>
      </c>
      <c r="J275" t="s">
        <v>3</v>
      </c>
      <c r="K275" t="s">
        <v>675</v>
      </c>
      <c r="L275">
        <v>1354</v>
      </c>
      <c r="N275">
        <v>1010</v>
      </c>
      <c r="O275" t="s">
        <v>118</v>
      </c>
      <c r="P275" t="s">
        <v>118</v>
      </c>
      <c r="Q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48</v>
      </c>
      <c r="AG275">
        <v>1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ROW(Source!A89)</f>
        <v>89</v>
      </c>
      <c r="B276">
        <v>55748054</v>
      </c>
      <c r="C276">
        <v>55748046</v>
      </c>
      <c r="D276">
        <v>54702434</v>
      </c>
      <c r="E276">
        <v>1081</v>
      </c>
      <c r="F276">
        <v>1</v>
      </c>
      <c r="G276">
        <v>1081</v>
      </c>
      <c r="H276">
        <v>1</v>
      </c>
      <c r="I276" t="s">
        <v>473</v>
      </c>
      <c r="J276" t="s">
        <v>3</v>
      </c>
      <c r="K276" t="s">
        <v>474</v>
      </c>
      <c r="L276">
        <v>1191</v>
      </c>
      <c r="N276">
        <v>1013</v>
      </c>
      <c r="O276" t="s">
        <v>475</v>
      </c>
      <c r="P276" t="s">
        <v>475</v>
      </c>
      <c r="Q276">
        <v>1</v>
      </c>
      <c r="X276">
        <v>7.6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49</v>
      </c>
      <c r="AG276">
        <v>9.1199999999999992</v>
      </c>
      <c r="AH276">
        <v>2</v>
      </c>
      <c r="AI276">
        <v>55748047</v>
      </c>
      <c r="AJ276">
        <v>234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ROW(Source!A89)</f>
        <v>89</v>
      </c>
      <c r="B277">
        <v>55748055</v>
      </c>
      <c r="C277">
        <v>55748046</v>
      </c>
      <c r="D277">
        <v>54768040</v>
      </c>
      <c r="E277">
        <v>1</v>
      </c>
      <c r="F277">
        <v>1</v>
      </c>
      <c r="G277">
        <v>1081</v>
      </c>
      <c r="H277">
        <v>2</v>
      </c>
      <c r="I277" t="s">
        <v>476</v>
      </c>
      <c r="J277" t="s">
        <v>477</v>
      </c>
      <c r="K277" t="s">
        <v>478</v>
      </c>
      <c r="L277">
        <v>1368</v>
      </c>
      <c r="N277">
        <v>1011</v>
      </c>
      <c r="O277" t="s">
        <v>479</v>
      </c>
      <c r="P277" t="s">
        <v>479</v>
      </c>
      <c r="Q277">
        <v>1</v>
      </c>
      <c r="X277">
        <v>1</v>
      </c>
      <c r="Y277">
        <v>0</v>
      </c>
      <c r="Z277">
        <v>7.11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49</v>
      </c>
      <c r="AG277">
        <v>1.2</v>
      </c>
      <c r="AH277">
        <v>2</v>
      </c>
      <c r="AI277">
        <v>55748048</v>
      </c>
      <c r="AJ277">
        <v>235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ROW(Source!A89)</f>
        <v>89</v>
      </c>
      <c r="B278">
        <v>55748056</v>
      </c>
      <c r="C278">
        <v>55748046</v>
      </c>
      <c r="D278">
        <v>54768339</v>
      </c>
      <c r="E278">
        <v>1</v>
      </c>
      <c r="F278">
        <v>1</v>
      </c>
      <c r="G278">
        <v>1081</v>
      </c>
      <c r="H278">
        <v>2</v>
      </c>
      <c r="I278" t="s">
        <v>483</v>
      </c>
      <c r="J278" t="s">
        <v>484</v>
      </c>
      <c r="K278" t="s">
        <v>485</v>
      </c>
      <c r="L278">
        <v>1368</v>
      </c>
      <c r="N278">
        <v>1011</v>
      </c>
      <c r="O278" t="s">
        <v>479</v>
      </c>
      <c r="P278" t="s">
        <v>479</v>
      </c>
      <c r="Q278">
        <v>1</v>
      </c>
      <c r="X278">
        <v>0.01</v>
      </c>
      <c r="Y278">
        <v>0</v>
      </c>
      <c r="Z278">
        <v>83.1</v>
      </c>
      <c r="AA278">
        <v>12.62</v>
      </c>
      <c r="AB278">
        <v>0</v>
      </c>
      <c r="AC278">
        <v>0</v>
      </c>
      <c r="AD278">
        <v>1</v>
      </c>
      <c r="AE278">
        <v>0</v>
      </c>
      <c r="AF278" t="s">
        <v>49</v>
      </c>
      <c r="AG278">
        <v>1.2E-2</v>
      </c>
      <c r="AH278">
        <v>2</v>
      </c>
      <c r="AI278">
        <v>55748049</v>
      </c>
      <c r="AJ278">
        <v>236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ROW(Source!A89)</f>
        <v>89</v>
      </c>
      <c r="B279">
        <v>55748057</v>
      </c>
      <c r="C279">
        <v>55748046</v>
      </c>
      <c r="D279">
        <v>54738518</v>
      </c>
      <c r="E279">
        <v>1</v>
      </c>
      <c r="F279">
        <v>1</v>
      </c>
      <c r="G279">
        <v>1081</v>
      </c>
      <c r="H279">
        <v>3</v>
      </c>
      <c r="I279" t="s">
        <v>493</v>
      </c>
      <c r="J279" t="s">
        <v>494</v>
      </c>
      <c r="K279" t="s">
        <v>495</v>
      </c>
      <c r="L279">
        <v>1348</v>
      </c>
      <c r="N279">
        <v>1009</v>
      </c>
      <c r="O279" t="s">
        <v>282</v>
      </c>
      <c r="P279" t="s">
        <v>282</v>
      </c>
      <c r="Q279">
        <v>1000</v>
      </c>
      <c r="X279">
        <v>3.6000000000000002E-4</v>
      </c>
      <c r="Y279">
        <v>9112.49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48</v>
      </c>
      <c r="AG279">
        <v>3.6000000000000002E-4</v>
      </c>
      <c r="AH279">
        <v>2</v>
      </c>
      <c r="AI279">
        <v>55748050</v>
      </c>
      <c r="AJ279">
        <v>237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ROW(Source!A89)</f>
        <v>89</v>
      </c>
      <c r="B280">
        <v>55748058</v>
      </c>
      <c r="C280">
        <v>55748046</v>
      </c>
      <c r="D280">
        <v>54739191</v>
      </c>
      <c r="E280">
        <v>1</v>
      </c>
      <c r="F280">
        <v>1</v>
      </c>
      <c r="G280">
        <v>1081</v>
      </c>
      <c r="H280">
        <v>3</v>
      </c>
      <c r="I280" t="s">
        <v>500</v>
      </c>
      <c r="J280" t="s">
        <v>501</v>
      </c>
      <c r="K280" t="s">
        <v>502</v>
      </c>
      <c r="L280">
        <v>1346</v>
      </c>
      <c r="N280">
        <v>1009</v>
      </c>
      <c r="O280" t="s">
        <v>503</v>
      </c>
      <c r="P280" t="s">
        <v>503</v>
      </c>
      <c r="Q280">
        <v>1</v>
      </c>
      <c r="X280">
        <v>7.0000000000000001E-3</v>
      </c>
      <c r="Y280">
        <v>6.25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48</v>
      </c>
      <c r="AG280">
        <v>7.0000000000000001E-3</v>
      </c>
      <c r="AH280">
        <v>2</v>
      </c>
      <c r="AI280">
        <v>55748051</v>
      </c>
      <c r="AJ280">
        <v>238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ROW(Source!A89)</f>
        <v>89</v>
      </c>
      <c r="B281">
        <v>55748059</v>
      </c>
      <c r="C281">
        <v>55748046</v>
      </c>
      <c r="D281">
        <v>54737565</v>
      </c>
      <c r="E281">
        <v>1</v>
      </c>
      <c r="F281">
        <v>1</v>
      </c>
      <c r="G281">
        <v>1081</v>
      </c>
      <c r="H281">
        <v>3</v>
      </c>
      <c r="I281" t="s">
        <v>504</v>
      </c>
      <c r="J281" t="s">
        <v>505</v>
      </c>
      <c r="K281" t="s">
        <v>506</v>
      </c>
      <c r="L281">
        <v>1339</v>
      </c>
      <c r="N281">
        <v>1007</v>
      </c>
      <c r="O281" t="s">
        <v>507</v>
      </c>
      <c r="P281" t="s">
        <v>507</v>
      </c>
      <c r="Q281">
        <v>1</v>
      </c>
      <c r="X281">
        <v>0.03</v>
      </c>
      <c r="Y281">
        <v>5.82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48</v>
      </c>
      <c r="AG281">
        <v>0.03</v>
      </c>
      <c r="AH281">
        <v>2</v>
      </c>
      <c r="AI281">
        <v>55748052</v>
      </c>
      <c r="AJ281">
        <v>239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ROW(Source!A89)</f>
        <v>89</v>
      </c>
      <c r="B282">
        <v>55748060</v>
      </c>
      <c r="C282">
        <v>55748046</v>
      </c>
      <c r="D282">
        <v>54717889</v>
      </c>
      <c r="E282">
        <v>1081</v>
      </c>
      <c r="F282">
        <v>1</v>
      </c>
      <c r="G282">
        <v>1081</v>
      </c>
      <c r="H282">
        <v>3</v>
      </c>
      <c r="I282" t="s">
        <v>674</v>
      </c>
      <c r="J282" t="s">
        <v>3</v>
      </c>
      <c r="K282" t="s">
        <v>675</v>
      </c>
      <c r="L282">
        <v>1354</v>
      </c>
      <c r="N282">
        <v>1010</v>
      </c>
      <c r="O282" t="s">
        <v>118</v>
      </c>
      <c r="P282" t="s">
        <v>118</v>
      </c>
      <c r="Q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48</v>
      </c>
      <c r="AG282">
        <v>1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ROW(Source!A94)</f>
        <v>94</v>
      </c>
      <c r="B283">
        <v>55748071</v>
      </c>
      <c r="C283">
        <v>55748062</v>
      </c>
      <c r="D283">
        <v>54702434</v>
      </c>
      <c r="E283">
        <v>1081</v>
      </c>
      <c r="F283">
        <v>1</v>
      </c>
      <c r="G283">
        <v>1081</v>
      </c>
      <c r="H283">
        <v>1</v>
      </c>
      <c r="I283" t="s">
        <v>473</v>
      </c>
      <c r="J283" t="s">
        <v>3</v>
      </c>
      <c r="K283" t="s">
        <v>474</v>
      </c>
      <c r="L283">
        <v>1191</v>
      </c>
      <c r="N283">
        <v>1013</v>
      </c>
      <c r="O283" t="s">
        <v>475</v>
      </c>
      <c r="P283" t="s">
        <v>475</v>
      </c>
      <c r="Q283">
        <v>1</v>
      </c>
      <c r="X283">
        <v>4.8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49</v>
      </c>
      <c r="AG283">
        <v>5.76</v>
      </c>
      <c r="AH283">
        <v>2</v>
      </c>
      <c r="AI283">
        <v>55748063</v>
      </c>
      <c r="AJ283">
        <v>241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ROW(Source!A94)</f>
        <v>94</v>
      </c>
      <c r="B284">
        <v>55748072</v>
      </c>
      <c r="C284">
        <v>55748062</v>
      </c>
      <c r="D284">
        <v>54768040</v>
      </c>
      <c r="E284">
        <v>1</v>
      </c>
      <c r="F284">
        <v>1</v>
      </c>
      <c r="G284">
        <v>1081</v>
      </c>
      <c r="H284">
        <v>2</v>
      </c>
      <c r="I284" t="s">
        <v>476</v>
      </c>
      <c r="J284" t="s">
        <v>477</v>
      </c>
      <c r="K284" t="s">
        <v>478</v>
      </c>
      <c r="L284">
        <v>1368</v>
      </c>
      <c r="N284">
        <v>1011</v>
      </c>
      <c r="O284" t="s">
        <v>479</v>
      </c>
      <c r="P284" t="s">
        <v>479</v>
      </c>
      <c r="Q284">
        <v>1</v>
      </c>
      <c r="X284">
        <v>0.53</v>
      </c>
      <c r="Y284">
        <v>0</v>
      </c>
      <c r="Z284">
        <v>7.11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49</v>
      </c>
      <c r="AG284">
        <v>0.63600000000000001</v>
      </c>
      <c r="AH284">
        <v>2</v>
      </c>
      <c r="AI284">
        <v>55748064</v>
      </c>
      <c r="AJ284">
        <v>242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ROW(Source!A94)</f>
        <v>94</v>
      </c>
      <c r="B285">
        <v>55748073</v>
      </c>
      <c r="C285">
        <v>55748062</v>
      </c>
      <c r="D285">
        <v>54738505</v>
      </c>
      <c r="E285">
        <v>1</v>
      </c>
      <c r="F285">
        <v>1</v>
      </c>
      <c r="G285">
        <v>1081</v>
      </c>
      <c r="H285">
        <v>3</v>
      </c>
      <c r="I285" t="s">
        <v>580</v>
      </c>
      <c r="J285" t="s">
        <v>581</v>
      </c>
      <c r="K285" t="s">
        <v>582</v>
      </c>
      <c r="L285">
        <v>1346</v>
      </c>
      <c r="N285">
        <v>1009</v>
      </c>
      <c r="O285" t="s">
        <v>503</v>
      </c>
      <c r="P285" t="s">
        <v>503</v>
      </c>
      <c r="Q285">
        <v>1</v>
      </c>
      <c r="X285">
        <v>0.56000000000000005</v>
      </c>
      <c r="Y285">
        <v>21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48</v>
      </c>
      <c r="AG285">
        <v>0.56000000000000005</v>
      </c>
      <c r="AH285">
        <v>2</v>
      </c>
      <c r="AI285">
        <v>55748065</v>
      </c>
      <c r="AJ285">
        <v>243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ROW(Source!A94)</f>
        <v>94</v>
      </c>
      <c r="B286">
        <v>55748074</v>
      </c>
      <c r="C286">
        <v>55748062</v>
      </c>
      <c r="D286">
        <v>54737299</v>
      </c>
      <c r="E286">
        <v>1</v>
      </c>
      <c r="F286">
        <v>1</v>
      </c>
      <c r="G286">
        <v>1081</v>
      </c>
      <c r="H286">
        <v>3</v>
      </c>
      <c r="I286" t="s">
        <v>583</v>
      </c>
      <c r="J286" t="s">
        <v>584</v>
      </c>
      <c r="K286" t="s">
        <v>585</v>
      </c>
      <c r="L286">
        <v>1339</v>
      </c>
      <c r="N286">
        <v>1007</v>
      </c>
      <c r="O286" t="s">
        <v>507</v>
      </c>
      <c r="P286" t="s">
        <v>507</v>
      </c>
      <c r="Q286">
        <v>1</v>
      </c>
      <c r="X286">
        <v>2.5999999999999999E-2</v>
      </c>
      <c r="Y286">
        <v>53.42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48</v>
      </c>
      <c r="AG286">
        <v>2.5999999999999999E-2</v>
      </c>
      <c r="AH286">
        <v>2</v>
      </c>
      <c r="AI286">
        <v>55748066</v>
      </c>
      <c r="AJ286">
        <v>244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ROW(Source!A94)</f>
        <v>94</v>
      </c>
      <c r="B287">
        <v>55748075</v>
      </c>
      <c r="C287">
        <v>55748062</v>
      </c>
      <c r="D287">
        <v>54739191</v>
      </c>
      <c r="E287">
        <v>1</v>
      </c>
      <c r="F287">
        <v>1</v>
      </c>
      <c r="G287">
        <v>1081</v>
      </c>
      <c r="H287">
        <v>3</v>
      </c>
      <c r="I287" t="s">
        <v>500</v>
      </c>
      <c r="J287" t="s">
        <v>501</v>
      </c>
      <c r="K287" t="s">
        <v>502</v>
      </c>
      <c r="L287">
        <v>1346</v>
      </c>
      <c r="N287">
        <v>1009</v>
      </c>
      <c r="O287" t="s">
        <v>503</v>
      </c>
      <c r="P287" t="s">
        <v>503</v>
      </c>
      <c r="Q287">
        <v>1</v>
      </c>
      <c r="X287">
        <v>5.0000000000000001E-3</v>
      </c>
      <c r="Y287">
        <v>6.25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48</v>
      </c>
      <c r="AG287">
        <v>5.0000000000000001E-3</v>
      </c>
      <c r="AH287">
        <v>2</v>
      </c>
      <c r="AI287">
        <v>55748067</v>
      </c>
      <c r="AJ287">
        <v>245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ROW(Source!A94)</f>
        <v>94</v>
      </c>
      <c r="B288">
        <v>55748076</v>
      </c>
      <c r="C288">
        <v>55748062</v>
      </c>
      <c r="D288">
        <v>54737565</v>
      </c>
      <c r="E288">
        <v>1</v>
      </c>
      <c r="F288">
        <v>1</v>
      </c>
      <c r="G288">
        <v>1081</v>
      </c>
      <c r="H288">
        <v>3</v>
      </c>
      <c r="I288" t="s">
        <v>504</v>
      </c>
      <c r="J288" t="s">
        <v>505</v>
      </c>
      <c r="K288" t="s">
        <v>506</v>
      </c>
      <c r="L288">
        <v>1339</v>
      </c>
      <c r="N288">
        <v>1007</v>
      </c>
      <c r="O288" t="s">
        <v>507</v>
      </c>
      <c r="P288" t="s">
        <v>507</v>
      </c>
      <c r="Q288">
        <v>1</v>
      </c>
      <c r="X288">
        <v>5.1999999999999998E-2</v>
      </c>
      <c r="Y288">
        <v>5.82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48</v>
      </c>
      <c r="AG288">
        <v>5.1999999999999998E-2</v>
      </c>
      <c r="AH288">
        <v>2</v>
      </c>
      <c r="AI288">
        <v>55748068</v>
      </c>
      <c r="AJ288">
        <v>246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ROW(Source!A94)</f>
        <v>94</v>
      </c>
      <c r="B289">
        <v>55748077</v>
      </c>
      <c r="C289">
        <v>55748062</v>
      </c>
      <c r="D289">
        <v>54717889</v>
      </c>
      <c r="E289">
        <v>1081</v>
      </c>
      <c r="F289">
        <v>1</v>
      </c>
      <c r="G289">
        <v>1081</v>
      </c>
      <c r="H289">
        <v>3</v>
      </c>
      <c r="I289" t="s">
        <v>674</v>
      </c>
      <c r="J289" t="s">
        <v>3</v>
      </c>
      <c r="K289" t="s">
        <v>675</v>
      </c>
      <c r="L289">
        <v>1354</v>
      </c>
      <c r="N289">
        <v>1010</v>
      </c>
      <c r="O289" t="s">
        <v>118</v>
      </c>
      <c r="P289" t="s">
        <v>118</v>
      </c>
      <c r="Q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48</v>
      </c>
      <c r="AG289">
        <v>1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ROW(Source!A95)</f>
        <v>95</v>
      </c>
      <c r="B290">
        <v>55748071</v>
      </c>
      <c r="C290">
        <v>55748062</v>
      </c>
      <c r="D290">
        <v>54702434</v>
      </c>
      <c r="E290">
        <v>1081</v>
      </c>
      <c r="F290">
        <v>1</v>
      </c>
      <c r="G290">
        <v>1081</v>
      </c>
      <c r="H290">
        <v>1</v>
      </c>
      <c r="I290" t="s">
        <v>473</v>
      </c>
      <c r="J290" t="s">
        <v>3</v>
      </c>
      <c r="K290" t="s">
        <v>474</v>
      </c>
      <c r="L290">
        <v>1191</v>
      </c>
      <c r="N290">
        <v>1013</v>
      </c>
      <c r="O290" t="s">
        <v>475</v>
      </c>
      <c r="P290" t="s">
        <v>475</v>
      </c>
      <c r="Q290">
        <v>1</v>
      </c>
      <c r="X290">
        <v>4.8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49</v>
      </c>
      <c r="AG290">
        <v>5.76</v>
      </c>
      <c r="AH290">
        <v>2</v>
      </c>
      <c r="AI290">
        <v>55748063</v>
      </c>
      <c r="AJ290">
        <v>249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ROW(Source!A95)</f>
        <v>95</v>
      </c>
      <c r="B291">
        <v>55748072</v>
      </c>
      <c r="C291">
        <v>55748062</v>
      </c>
      <c r="D291">
        <v>54768040</v>
      </c>
      <c r="E291">
        <v>1</v>
      </c>
      <c r="F291">
        <v>1</v>
      </c>
      <c r="G291">
        <v>1081</v>
      </c>
      <c r="H291">
        <v>2</v>
      </c>
      <c r="I291" t="s">
        <v>476</v>
      </c>
      <c r="J291" t="s">
        <v>477</v>
      </c>
      <c r="K291" t="s">
        <v>478</v>
      </c>
      <c r="L291">
        <v>1368</v>
      </c>
      <c r="N291">
        <v>1011</v>
      </c>
      <c r="O291" t="s">
        <v>479</v>
      </c>
      <c r="P291" t="s">
        <v>479</v>
      </c>
      <c r="Q291">
        <v>1</v>
      </c>
      <c r="X291">
        <v>0.53</v>
      </c>
      <c r="Y291">
        <v>0</v>
      </c>
      <c r="Z291">
        <v>7.11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49</v>
      </c>
      <c r="AG291">
        <v>0.63600000000000001</v>
      </c>
      <c r="AH291">
        <v>2</v>
      </c>
      <c r="AI291">
        <v>55748064</v>
      </c>
      <c r="AJ291">
        <v>250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ROW(Source!A95)</f>
        <v>95</v>
      </c>
      <c r="B292">
        <v>55748073</v>
      </c>
      <c r="C292">
        <v>55748062</v>
      </c>
      <c r="D292">
        <v>54738505</v>
      </c>
      <c r="E292">
        <v>1</v>
      </c>
      <c r="F292">
        <v>1</v>
      </c>
      <c r="G292">
        <v>1081</v>
      </c>
      <c r="H292">
        <v>3</v>
      </c>
      <c r="I292" t="s">
        <v>580</v>
      </c>
      <c r="J292" t="s">
        <v>581</v>
      </c>
      <c r="K292" t="s">
        <v>582</v>
      </c>
      <c r="L292">
        <v>1346</v>
      </c>
      <c r="N292">
        <v>1009</v>
      </c>
      <c r="O292" t="s">
        <v>503</v>
      </c>
      <c r="P292" t="s">
        <v>503</v>
      </c>
      <c r="Q292">
        <v>1</v>
      </c>
      <c r="X292">
        <v>0.56000000000000005</v>
      </c>
      <c r="Y292">
        <v>21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48</v>
      </c>
      <c r="AG292">
        <v>0.56000000000000005</v>
      </c>
      <c r="AH292">
        <v>2</v>
      </c>
      <c r="AI292">
        <v>55748065</v>
      </c>
      <c r="AJ292">
        <v>251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ROW(Source!A95)</f>
        <v>95</v>
      </c>
      <c r="B293">
        <v>55748074</v>
      </c>
      <c r="C293">
        <v>55748062</v>
      </c>
      <c r="D293">
        <v>54737299</v>
      </c>
      <c r="E293">
        <v>1</v>
      </c>
      <c r="F293">
        <v>1</v>
      </c>
      <c r="G293">
        <v>1081</v>
      </c>
      <c r="H293">
        <v>3</v>
      </c>
      <c r="I293" t="s">
        <v>583</v>
      </c>
      <c r="J293" t="s">
        <v>584</v>
      </c>
      <c r="K293" t="s">
        <v>585</v>
      </c>
      <c r="L293">
        <v>1339</v>
      </c>
      <c r="N293">
        <v>1007</v>
      </c>
      <c r="O293" t="s">
        <v>507</v>
      </c>
      <c r="P293" t="s">
        <v>507</v>
      </c>
      <c r="Q293">
        <v>1</v>
      </c>
      <c r="X293">
        <v>2.5999999999999999E-2</v>
      </c>
      <c r="Y293">
        <v>53.42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48</v>
      </c>
      <c r="AG293">
        <v>2.5999999999999999E-2</v>
      </c>
      <c r="AH293">
        <v>2</v>
      </c>
      <c r="AI293">
        <v>55748066</v>
      </c>
      <c r="AJ293">
        <v>252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ROW(Source!A95)</f>
        <v>95</v>
      </c>
      <c r="B294">
        <v>55748075</v>
      </c>
      <c r="C294">
        <v>55748062</v>
      </c>
      <c r="D294">
        <v>54739191</v>
      </c>
      <c r="E294">
        <v>1</v>
      </c>
      <c r="F294">
        <v>1</v>
      </c>
      <c r="G294">
        <v>1081</v>
      </c>
      <c r="H294">
        <v>3</v>
      </c>
      <c r="I294" t="s">
        <v>500</v>
      </c>
      <c r="J294" t="s">
        <v>501</v>
      </c>
      <c r="K294" t="s">
        <v>502</v>
      </c>
      <c r="L294">
        <v>1346</v>
      </c>
      <c r="N294">
        <v>1009</v>
      </c>
      <c r="O294" t="s">
        <v>503</v>
      </c>
      <c r="P294" t="s">
        <v>503</v>
      </c>
      <c r="Q294">
        <v>1</v>
      </c>
      <c r="X294">
        <v>5.0000000000000001E-3</v>
      </c>
      <c r="Y294">
        <v>6.25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48</v>
      </c>
      <c r="AG294">
        <v>5.0000000000000001E-3</v>
      </c>
      <c r="AH294">
        <v>2</v>
      </c>
      <c r="AI294">
        <v>55748067</v>
      </c>
      <c r="AJ294">
        <v>253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ROW(Source!A95)</f>
        <v>95</v>
      </c>
      <c r="B295">
        <v>55748076</v>
      </c>
      <c r="C295">
        <v>55748062</v>
      </c>
      <c r="D295">
        <v>54737565</v>
      </c>
      <c r="E295">
        <v>1</v>
      </c>
      <c r="F295">
        <v>1</v>
      </c>
      <c r="G295">
        <v>1081</v>
      </c>
      <c r="H295">
        <v>3</v>
      </c>
      <c r="I295" t="s">
        <v>504</v>
      </c>
      <c r="J295" t="s">
        <v>505</v>
      </c>
      <c r="K295" t="s">
        <v>506</v>
      </c>
      <c r="L295">
        <v>1339</v>
      </c>
      <c r="N295">
        <v>1007</v>
      </c>
      <c r="O295" t="s">
        <v>507</v>
      </c>
      <c r="P295" t="s">
        <v>507</v>
      </c>
      <c r="Q295">
        <v>1</v>
      </c>
      <c r="X295">
        <v>5.1999999999999998E-2</v>
      </c>
      <c r="Y295">
        <v>5.82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48</v>
      </c>
      <c r="AG295">
        <v>5.1999999999999998E-2</v>
      </c>
      <c r="AH295">
        <v>2</v>
      </c>
      <c r="AI295">
        <v>55748068</v>
      </c>
      <c r="AJ295">
        <v>254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ROW(Source!A95)</f>
        <v>95</v>
      </c>
      <c r="B296">
        <v>55748077</v>
      </c>
      <c r="C296">
        <v>55748062</v>
      </c>
      <c r="D296">
        <v>54717889</v>
      </c>
      <c r="E296">
        <v>1081</v>
      </c>
      <c r="F296">
        <v>1</v>
      </c>
      <c r="G296">
        <v>1081</v>
      </c>
      <c r="H296">
        <v>3</v>
      </c>
      <c r="I296" t="s">
        <v>674</v>
      </c>
      <c r="J296" t="s">
        <v>3</v>
      </c>
      <c r="K296" t="s">
        <v>675</v>
      </c>
      <c r="L296">
        <v>1354</v>
      </c>
      <c r="N296">
        <v>1010</v>
      </c>
      <c r="O296" t="s">
        <v>118</v>
      </c>
      <c r="P296" t="s">
        <v>118</v>
      </c>
      <c r="Q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48</v>
      </c>
      <c r="AG296">
        <v>1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ROW(Source!A100)</f>
        <v>100</v>
      </c>
      <c r="B297">
        <v>55748090</v>
      </c>
      <c r="C297">
        <v>55748080</v>
      </c>
      <c r="D297">
        <v>54702434</v>
      </c>
      <c r="E297">
        <v>1081</v>
      </c>
      <c r="F297">
        <v>1</v>
      </c>
      <c r="G297">
        <v>1081</v>
      </c>
      <c r="H297">
        <v>1</v>
      </c>
      <c r="I297" t="s">
        <v>473</v>
      </c>
      <c r="J297" t="s">
        <v>3</v>
      </c>
      <c r="K297" t="s">
        <v>474</v>
      </c>
      <c r="L297">
        <v>1191</v>
      </c>
      <c r="N297">
        <v>1013</v>
      </c>
      <c r="O297" t="s">
        <v>475</v>
      </c>
      <c r="P297" t="s">
        <v>475</v>
      </c>
      <c r="Q297">
        <v>1</v>
      </c>
      <c r="X297">
        <v>202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49</v>
      </c>
      <c r="AG297">
        <v>242.39999999999998</v>
      </c>
      <c r="AH297">
        <v>2</v>
      </c>
      <c r="AI297">
        <v>55748081</v>
      </c>
      <c r="AJ297">
        <v>257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ROW(Source!A100)</f>
        <v>100</v>
      </c>
      <c r="B298">
        <v>55748091</v>
      </c>
      <c r="C298">
        <v>55748080</v>
      </c>
      <c r="D298">
        <v>54767934</v>
      </c>
      <c r="E298">
        <v>1</v>
      </c>
      <c r="F298">
        <v>1</v>
      </c>
      <c r="G298">
        <v>1081</v>
      </c>
      <c r="H298">
        <v>2</v>
      </c>
      <c r="I298" t="s">
        <v>586</v>
      </c>
      <c r="J298" t="s">
        <v>587</v>
      </c>
      <c r="K298" t="s">
        <v>588</v>
      </c>
      <c r="L298">
        <v>1368</v>
      </c>
      <c r="N298">
        <v>1011</v>
      </c>
      <c r="O298" t="s">
        <v>479</v>
      </c>
      <c r="P298" t="s">
        <v>479</v>
      </c>
      <c r="Q298">
        <v>1</v>
      </c>
      <c r="X298">
        <v>11.8</v>
      </c>
      <c r="Y298">
        <v>0</v>
      </c>
      <c r="Z298">
        <v>48.07</v>
      </c>
      <c r="AA298">
        <v>12.62</v>
      </c>
      <c r="AB298">
        <v>0</v>
      </c>
      <c r="AC298">
        <v>0</v>
      </c>
      <c r="AD298">
        <v>1</v>
      </c>
      <c r="AE298">
        <v>0</v>
      </c>
      <c r="AF298" t="s">
        <v>49</v>
      </c>
      <c r="AG298">
        <v>14.16</v>
      </c>
      <c r="AH298">
        <v>2</v>
      </c>
      <c r="AI298">
        <v>55748082</v>
      </c>
      <c r="AJ298">
        <v>258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ROW(Source!A100)</f>
        <v>100</v>
      </c>
      <c r="B299">
        <v>55748092</v>
      </c>
      <c r="C299">
        <v>55748080</v>
      </c>
      <c r="D299">
        <v>54767971</v>
      </c>
      <c r="E299">
        <v>1</v>
      </c>
      <c r="F299">
        <v>1</v>
      </c>
      <c r="G299">
        <v>1081</v>
      </c>
      <c r="H299">
        <v>2</v>
      </c>
      <c r="I299" t="s">
        <v>589</v>
      </c>
      <c r="J299" t="s">
        <v>590</v>
      </c>
      <c r="K299" t="s">
        <v>591</v>
      </c>
      <c r="L299">
        <v>1368</v>
      </c>
      <c r="N299">
        <v>1011</v>
      </c>
      <c r="O299" t="s">
        <v>479</v>
      </c>
      <c r="P299" t="s">
        <v>479</v>
      </c>
      <c r="Q299">
        <v>1</v>
      </c>
      <c r="X299">
        <v>11</v>
      </c>
      <c r="Y299">
        <v>0</v>
      </c>
      <c r="Z299">
        <v>5.79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49</v>
      </c>
      <c r="AG299">
        <v>13.2</v>
      </c>
      <c r="AH299">
        <v>2</v>
      </c>
      <c r="AI299">
        <v>55748083</v>
      </c>
      <c r="AJ299">
        <v>259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ROW(Source!A100)</f>
        <v>100</v>
      </c>
      <c r="B300">
        <v>55748093</v>
      </c>
      <c r="C300">
        <v>55748080</v>
      </c>
      <c r="D300">
        <v>54768040</v>
      </c>
      <c r="E300">
        <v>1</v>
      </c>
      <c r="F300">
        <v>1</v>
      </c>
      <c r="G300">
        <v>1081</v>
      </c>
      <c r="H300">
        <v>2</v>
      </c>
      <c r="I300" t="s">
        <v>476</v>
      </c>
      <c r="J300" t="s">
        <v>477</v>
      </c>
      <c r="K300" t="s">
        <v>478</v>
      </c>
      <c r="L300">
        <v>1368</v>
      </c>
      <c r="N300">
        <v>1011</v>
      </c>
      <c r="O300" t="s">
        <v>479</v>
      </c>
      <c r="P300" t="s">
        <v>479</v>
      </c>
      <c r="Q300">
        <v>1</v>
      </c>
      <c r="X300">
        <v>27.7</v>
      </c>
      <c r="Y300">
        <v>0</v>
      </c>
      <c r="Z300">
        <v>7.11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49</v>
      </c>
      <c r="AG300">
        <v>33.239999999999995</v>
      </c>
      <c r="AH300">
        <v>2</v>
      </c>
      <c r="AI300">
        <v>55748084</v>
      </c>
      <c r="AJ300">
        <v>260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ROW(Source!A100)</f>
        <v>100</v>
      </c>
      <c r="B301">
        <v>55748094</v>
      </c>
      <c r="C301">
        <v>55748080</v>
      </c>
      <c r="D301">
        <v>54768339</v>
      </c>
      <c r="E301">
        <v>1</v>
      </c>
      <c r="F301">
        <v>1</v>
      </c>
      <c r="G301">
        <v>1081</v>
      </c>
      <c r="H301">
        <v>2</v>
      </c>
      <c r="I301" t="s">
        <v>483</v>
      </c>
      <c r="J301" t="s">
        <v>484</v>
      </c>
      <c r="K301" t="s">
        <v>485</v>
      </c>
      <c r="L301">
        <v>1368</v>
      </c>
      <c r="N301">
        <v>1011</v>
      </c>
      <c r="O301" t="s">
        <v>479</v>
      </c>
      <c r="P301" t="s">
        <v>479</v>
      </c>
      <c r="Q301">
        <v>1</v>
      </c>
      <c r="X301">
        <v>2.5499999999999998</v>
      </c>
      <c r="Y301">
        <v>0</v>
      </c>
      <c r="Z301">
        <v>83.1</v>
      </c>
      <c r="AA301">
        <v>12.62</v>
      </c>
      <c r="AB301">
        <v>0</v>
      </c>
      <c r="AC301">
        <v>0</v>
      </c>
      <c r="AD301">
        <v>1</v>
      </c>
      <c r="AE301">
        <v>0</v>
      </c>
      <c r="AF301" t="s">
        <v>49</v>
      </c>
      <c r="AG301">
        <v>3.0599999999999996</v>
      </c>
      <c r="AH301">
        <v>2</v>
      </c>
      <c r="AI301">
        <v>55748085</v>
      </c>
      <c r="AJ301">
        <v>261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ROW(Source!A100)</f>
        <v>100</v>
      </c>
      <c r="B302">
        <v>55748095</v>
      </c>
      <c r="C302">
        <v>55748080</v>
      </c>
      <c r="D302">
        <v>54767657</v>
      </c>
      <c r="E302">
        <v>1</v>
      </c>
      <c r="F302">
        <v>1</v>
      </c>
      <c r="G302">
        <v>1081</v>
      </c>
      <c r="H302">
        <v>2</v>
      </c>
      <c r="I302" t="s">
        <v>592</v>
      </c>
      <c r="J302" t="s">
        <v>593</v>
      </c>
      <c r="K302" t="s">
        <v>594</v>
      </c>
      <c r="L302">
        <v>1368</v>
      </c>
      <c r="N302">
        <v>1011</v>
      </c>
      <c r="O302" t="s">
        <v>479</v>
      </c>
      <c r="P302" t="s">
        <v>479</v>
      </c>
      <c r="Q302">
        <v>1</v>
      </c>
      <c r="X302">
        <v>1.88</v>
      </c>
      <c r="Y302">
        <v>0</v>
      </c>
      <c r="Z302">
        <v>3.18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49</v>
      </c>
      <c r="AG302">
        <v>2.2559999999999998</v>
      </c>
      <c r="AH302">
        <v>2</v>
      </c>
      <c r="AI302">
        <v>55748086</v>
      </c>
      <c r="AJ302">
        <v>262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ROW(Source!A100)</f>
        <v>100</v>
      </c>
      <c r="B303">
        <v>55748096</v>
      </c>
      <c r="C303">
        <v>55748080</v>
      </c>
      <c r="D303">
        <v>54737367</v>
      </c>
      <c r="E303">
        <v>1</v>
      </c>
      <c r="F303">
        <v>1</v>
      </c>
      <c r="G303">
        <v>1081</v>
      </c>
      <c r="H303">
        <v>3</v>
      </c>
      <c r="I303" t="s">
        <v>538</v>
      </c>
      <c r="J303" t="s">
        <v>539</v>
      </c>
      <c r="K303" t="s">
        <v>540</v>
      </c>
      <c r="L303">
        <v>1339</v>
      </c>
      <c r="N303">
        <v>1007</v>
      </c>
      <c r="O303" t="s">
        <v>507</v>
      </c>
      <c r="P303" t="s">
        <v>507</v>
      </c>
      <c r="Q303">
        <v>1</v>
      </c>
      <c r="X303">
        <v>20</v>
      </c>
      <c r="Y303">
        <v>7.07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48</v>
      </c>
      <c r="AG303">
        <v>20</v>
      </c>
      <c r="AH303">
        <v>2</v>
      </c>
      <c r="AI303">
        <v>55748087</v>
      </c>
      <c r="AJ303">
        <v>263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ROW(Source!A100)</f>
        <v>100</v>
      </c>
      <c r="B304">
        <v>55748097</v>
      </c>
      <c r="C304">
        <v>55748080</v>
      </c>
      <c r="D304">
        <v>54738430</v>
      </c>
      <c r="E304">
        <v>1</v>
      </c>
      <c r="F304">
        <v>1</v>
      </c>
      <c r="G304">
        <v>1081</v>
      </c>
      <c r="H304">
        <v>3</v>
      </c>
      <c r="I304" t="s">
        <v>562</v>
      </c>
      <c r="J304" t="s">
        <v>563</v>
      </c>
      <c r="K304" t="s">
        <v>564</v>
      </c>
      <c r="L304">
        <v>1348</v>
      </c>
      <c r="N304">
        <v>1009</v>
      </c>
      <c r="O304" t="s">
        <v>282</v>
      </c>
      <c r="P304" t="s">
        <v>282</v>
      </c>
      <c r="Q304">
        <v>1000</v>
      </c>
      <c r="X304">
        <v>8.8000000000000005E-3</v>
      </c>
      <c r="Y304">
        <v>7185.82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48</v>
      </c>
      <c r="AG304">
        <v>8.8000000000000005E-3</v>
      </c>
      <c r="AH304">
        <v>2</v>
      </c>
      <c r="AI304">
        <v>55748088</v>
      </c>
      <c r="AJ304">
        <v>264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ROW(Source!A100)</f>
        <v>100</v>
      </c>
      <c r="B305">
        <v>55748098</v>
      </c>
      <c r="C305">
        <v>55748080</v>
      </c>
      <c r="D305">
        <v>54695275</v>
      </c>
      <c r="E305">
        <v>1081</v>
      </c>
      <c r="F305">
        <v>1</v>
      </c>
      <c r="G305">
        <v>1081</v>
      </c>
      <c r="H305">
        <v>3</v>
      </c>
      <c r="I305" t="s">
        <v>680</v>
      </c>
      <c r="J305" t="s">
        <v>3</v>
      </c>
      <c r="K305" t="s">
        <v>681</v>
      </c>
      <c r="L305">
        <v>1301</v>
      </c>
      <c r="N305">
        <v>1003</v>
      </c>
      <c r="O305" t="s">
        <v>191</v>
      </c>
      <c r="P305" t="s">
        <v>191</v>
      </c>
      <c r="Q305">
        <v>1</v>
      </c>
      <c r="X305">
        <v>100.5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48</v>
      </c>
      <c r="AG305">
        <v>100.5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ROW(Source!A101)</f>
        <v>101</v>
      </c>
      <c r="B306">
        <v>55748090</v>
      </c>
      <c r="C306">
        <v>55748080</v>
      </c>
      <c r="D306">
        <v>54702434</v>
      </c>
      <c r="E306">
        <v>1081</v>
      </c>
      <c r="F306">
        <v>1</v>
      </c>
      <c r="G306">
        <v>1081</v>
      </c>
      <c r="H306">
        <v>1</v>
      </c>
      <c r="I306" t="s">
        <v>473</v>
      </c>
      <c r="J306" t="s">
        <v>3</v>
      </c>
      <c r="K306" t="s">
        <v>474</v>
      </c>
      <c r="L306">
        <v>1191</v>
      </c>
      <c r="N306">
        <v>1013</v>
      </c>
      <c r="O306" t="s">
        <v>475</v>
      </c>
      <c r="P306" t="s">
        <v>475</v>
      </c>
      <c r="Q306">
        <v>1</v>
      </c>
      <c r="X306">
        <v>202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49</v>
      </c>
      <c r="AG306">
        <v>242.39999999999998</v>
      </c>
      <c r="AH306">
        <v>2</v>
      </c>
      <c r="AI306">
        <v>55748081</v>
      </c>
      <c r="AJ306">
        <v>267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ROW(Source!A101)</f>
        <v>101</v>
      </c>
      <c r="B307">
        <v>55748091</v>
      </c>
      <c r="C307">
        <v>55748080</v>
      </c>
      <c r="D307">
        <v>54767934</v>
      </c>
      <c r="E307">
        <v>1</v>
      </c>
      <c r="F307">
        <v>1</v>
      </c>
      <c r="G307">
        <v>1081</v>
      </c>
      <c r="H307">
        <v>2</v>
      </c>
      <c r="I307" t="s">
        <v>586</v>
      </c>
      <c r="J307" t="s">
        <v>587</v>
      </c>
      <c r="K307" t="s">
        <v>588</v>
      </c>
      <c r="L307">
        <v>1368</v>
      </c>
      <c r="N307">
        <v>1011</v>
      </c>
      <c r="O307" t="s">
        <v>479</v>
      </c>
      <c r="P307" t="s">
        <v>479</v>
      </c>
      <c r="Q307">
        <v>1</v>
      </c>
      <c r="X307">
        <v>11.8</v>
      </c>
      <c r="Y307">
        <v>0</v>
      </c>
      <c r="Z307">
        <v>48.07</v>
      </c>
      <c r="AA307">
        <v>12.62</v>
      </c>
      <c r="AB307">
        <v>0</v>
      </c>
      <c r="AC307">
        <v>0</v>
      </c>
      <c r="AD307">
        <v>1</v>
      </c>
      <c r="AE307">
        <v>0</v>
      </c>
      <c r="AF307" t="s">
        <v>49</v>
      </c>
      <c r="AG307">
        <v>14.16</v>
      </c>
      <c r="AH307">
        <v>2</v>
      </c>
      <c r="AI307">
        <v>55748082</v>
      </c>
      <c r="AJ307">
        <v>268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ROW(Source!A101)</f>
        <v>101</v>
      </c>
      <c r="B308">
        <v>55748092</v>
      </c>
      <c r="C308">
        <v>55748080</v>
      </c>
      <c r="D308">
        <v>54767971</v>
      </c>
      <c r="E308">
        <v>1</v>
      </c>
      <c r="F308">
        <v>1</v>
      </c>
      <c r="G308">
        <v>1081</v>
      </c>
      <c r="H308">
        <v>2</v>
      </c>
      <c r="I308" t="s">
        <v>589</v>
      </c>
      <c r="J308" t="s">
        <v>590</v>
      </c>
      <c r="K308" t="s">
        <v>591</v>
      </c>
      <c r="L308">
        <v>1368</v>
      </c>
      <c r="N308">
        <v>1011</v>
      </c>
      <c r="O308" t="s">
        <v>479</v>
      </c>
      <c r="P308" t="s">
        <v>479</v>
      </c>
      <c r="Q308">
        <v>1</v>
      </c>
      <c r="X308">
        <v>11</v>
      </c>
      <c r="Y308">
        <v>0</v>
      </c>
      <c r="Z308">
        <v>5.79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49</v>
      </c>
      <c r="AG308">
        <v>13.2</v>
      </c>
      <c r="AH308">
        <v>2</v>
      </c>
      <c r="AI308">
        <v>55748083</v>
      </c>
      <c r="AJ308">
        <v>269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ROW(Source!A101)</f>
        <v>101</v>
      </c>
      <c r="B309">
        <v>55748093</v>
      </c>
      <c r="C309">
        <v>55748080</v>
      </c>
      <c r="D309">
        <v>54768040</v>
      </c>
      <c r="E309">
        <v>1</v>
      </c>
      <c r="F309">
        <v>1</v>
      </c>
      <c r="G309">
        <v>1081</v>
      </c>
      <c r="H309">
        <v>2</v>
      </c>
      <c r="I309" t="s">
        <v>476</v>
      </c>
      <c r="J309" t="s">
        <v>477</v>
      </c>
      <c r="K309" t="s">
        <v>478</v>
      </c>
      <c r="L309">
        <v>1368</v>
      </c>
      <c r="N309">
        <v>1011</v>
      </c>
      <c r="O309" t="s">
        <v>479</v>
      </c>
      <c r="P309" t="s">
        <v>479</v>
      </c>
      <c r="Q309">
        <v>1</v>
      </c>
      <c r="X309">
        <v>27.7</v>
      </c>
      <c r="Y309">
        <v>0</v>
      </c>
      <c r="Z309">
        <v>7.11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49</v>
      </c>
      <c r="AG309">
        <v>33.239999999999995</v>
      </c>
      <c r="AH309">
        <v>2</v>
      </c>
      <c r="AI309">
        <v>55748084</v>
      </c>
      <c r="AJ309">
        <v>270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ROW(Source!A101)</f>
        <v>101</v>
      </c>
      <c r="B310">
        <v>55748094</v>
      </c>
      <c r="C310">
        <v>55748080</v>
      </c>
      <c r="D310">
        <v>54768339</v>
      </c>
      <c r="E310">
        <v>1</v>
      </c>
      <c r="F310">
        <v>1</v>
      </c>
      <c r="G310">
        <v>1081</v>
      </c>
      <c r="H310">
        <v>2</v>
      </c>
      <c r="I310" t="s">
        <v>483</v>
      </c>
      <c r="J310" t="s">
        <v>484</v>
      </c>
      <c r="K310" t="s">
        <v>485</v>
      </c>
      <c r="L310">
        <v>1368</v>
      </c>
      <c r="N310">
        <v>1011</v>
      </c>
      <c r="O310" t="s">
        <v>479</v>
      </c>
      <c r="P310" t="s">
        <v>479</v>
      </c>
      <c r="Q310">
        <v>1</v>
      </c>
      <c r="X310">
        <v>2.5499999999999998</v>
      </c>
      <c r="Y310">
        <v>0</v>
      </c>
      <c r="Z310">
        <v>83.1</v>
      </c>
      <c r="AA310">
        <v>12.62</v>
      </c>
      <c r="AB310">
        <v>0</v>
      </c>
      <c r="AC310">
        <v>0</v>
      </c>
      <c r="AD310">
        <v>1</v>
      </c>
      <c r="AE310">
        <v>0</v>
      </c>
      <c r="AF310" t="s">
        <v>49</v>
      </c>
      <c r="AG310">
        <v>3.0599999999999996</v>
      </c>
      <c r="AH310">
        <v>2</v>
      </c>
      <c r="AI310">
        <v>55748085</v>
      </c>
      <c r="AJ310">
        <v>271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ROW(Source!A101)</f>
        <v>101</v>
      </c>
      <c r="B311">
        <v>55748095</v>
      </c>
      <c r="C311">
        <v>55748080</v>
      </c>
      <c r="D311">
        <v>54767657</v>
      </c>
      <c r="E311">
        <v>1</v>
      </c>
      <c r="F311">
        <v>1</v>
      </c>
      <c r="G311">
        <v>1081</v>
      </c>
      <c r="H311">
        <v>2</v>
      </c>
      <c r="I311" t="s">
        <v>592</v>
      </c>
      <c r="J311" t="s">
        <v>593</v>
      </c>
      <c r="K311" t="s">
        <v>594</v>
      </c>
      <c r="L311">
        <v>1368</v>
      </c>
      <c r="N311">
        <v>1011</v>
      </c>
      <c r="O311" t="s">
        <v>479</v>
      </c>
      <c r="P311" t="s">
        <v>479</v>
      </c>
      <c r="Q311">
        <v>1</v>
      </c>
      <c r="X311">
        <v>1.88</v>
      </c>
      <c r="Y311">
        <v>0</v>
      </c>
      <c r="Z311">
        <v>3.18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49</v>
      </c>
      <c r="AG311">
        <v>2.2559999999999998</v>
      </c>
      <c r="AH311">
        <v>2</v>
      </c>
      <c r="AI311">
        <v>55748086</v>
      </c>
      <c r="AJ311">
        <v>272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ROW(Source!A101)</f>
        <v>101</v>
      </c>
      <c r="B312">
        <v>55748096</v>
      </c>
      <c r="C312">
        <v>55748080</v>
      </c>
      <c r="D312">
        <v>54737367</v>
      </c>
      <c r="E312">
        <v>1</v>
      </c>
      <c r="F312">
        <v>1</v>
      </c>
      <c r="G312">
        <v>1081</v>
      </c>
      <c r="H312">
        <v>3</v>
      </c>
      <c r="I312" t="s">
        <v>538</v>
      </c>
      <c r="J312" t="s">
        <v>539</v>
      </c>
      <c r="K312" t="s">
        <v>540</v>
      </c>
      <c r="L312">
        <v>1339</v>
      </c>
      <c r="N312">
        <v>1007</v>
      </c>
      <c r="O312" t="s">
        <v>507</v>
      </c>
      <c r="P312" t="s">
        <v>507</v>
      </c>
      <c r="Q312">
        <v>1</v>
      </c>
      <c r="X312">
        <v>20</v>
      </c>
      <c r="Y312">
        <v>7.07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48</v>
      </c>
      <c r="AG312">
        <v>20</v>
      </c>
      <c r="AH312">
        <v>2</v>
      </c>
      <c r="AI312">
        <v>55748087</v>
      </c>
      <c r="AJ312">
        <v>273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ROW(Source!A101)</f>
        <v>101</v>
      </c>
      <c r="B313">
        <v>55748097</v>
      </c>
      <c r="C313">
        <v>55748080</v>
      </c>
      <c r="D313">
        <v>54738430</v>
      </c>
      <c r="E313">
        <v>1</v>
      </c>
      <c r="F313">
        <v>1</v>
      </c>
      <c r="G313">
        <v>1081</v>
      </c>
      <c r="H313">
        <v>3</v>
      </c>
      <c r="I313" t="s">
        <v>562</v>
      </c>
      <c r="J313" t="s">
        <v>563</v>
      </c>
      <c r="K313" t="s">
        <v>564</v>
      </c>
      <c r="L313">
        <v>1348</v>
      </c>
      <c r="N313">
        <v>1009</v>
      </c>
      <c r="O313" t="s">
        <v>282</v>
      </c>
      <c r="P313" t="s">
        <v>282</v>
      </c>
      <c r="Q313">
        <v>1000</v>
      </c>
      <c r="X313">
        <v>8.8000000000000005E-3</v>
      </c>
      <c r="Y313">
        <v>7185.82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48</v>
      </c>
      <c r="AG313">
        <v>8.8000000000000005E-3</v>
      </c>
      <c r="AH313">
        <v>2</v>
      </c>
      <c r="AI313">
        <v>55748088</v>
      </c>
      <c r="AJ313">
        <v>274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ROW(Source!A101)</f>
        <v>101</v>
      </c>
      <c r="B314">
        <v>55748098</v>
      </c>
      <c r="C314">
        <v>55748080</v>
      </c>
      <c r="D314">
        <v>54695275</v>
      </c>
      <c r="E314">
        <v>1081</v>
      </c>
      <c r="F314">
        <v>1</v>
      </c>
      <c r="G314">
        <v>1081</v>
      </c>
      <c r="H314">
        <v>3</v>
      </c>
      <c r="I314" t="s">
        <v>680</v>
      </c>
      <c r="J314" t="s">
        <v>3</v>
      </c>
      <c r="K314" t="s">
        <v>681</v>
      </c>
      <c r="L314">
        <v>1301</v>
      </c>
      <c r="N314">
        <v>1003</v>
      </c>
      <c r="O314" t="s">
        <v>191</v>
      </c>
      <c r="P314" t="s">
        <v>191</v>
      </c>
      <c r="Q314">
        <v>1</v>
      </c>
      <c r="X314">
        <v>100.5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48</v>
      </c>
      <c r="AG314">
        <v>100.5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ROW(Source!A106)</f>
        <v>106</v>
      </c>
      <c r="B315">
        <v>55748111</v>
      </c>
      <c r="C315">
        <v>55748100</v>
      </c>
      <c r="D315">
        <v>54702434</v>
      </c>
      <c r="E315">
        <v>1081</v>
      </c>
      <c r="F315">
        <v>1</v>
      </c>
      <c r="G315">
        <v>1081</v>
      </c>
      <c r="H315">
        <v>1</v>
      </c>
      <c r="I315" t="s">
        <v>473</v>
      </c>
      <c r="J315" t="s">
        <v>3</v>
      </c>
      <c r="K315" t="s">
        <v>474</v>
      </c>
      <c r="L315">
        <v>1191</v>
      </c>
      <c r="N315">
        <v>1013</v>
      </c>
      <c r="O315" t="s">
        <v>475</v>
      </c>
      <c r="P315" t="s">
        <v>475</v>
      </c>
      <c r="Q315">
        <v>1</v>
      </c>
      <c r="X315">
        <v>159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49</v>
      </c>
      <c r="AG315">
        <v>190.79999999999998</v>
      </c>
      <c r="AH315">
        <v>2</v>
      </c>
      <c r="AI315">
        <v>55748101</v>
      </c>
      <c r="AJ315">
        <v>277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ROW(Source!A106)</f>
        <v>106</v>
      </c>
      <c r="B316">
        <v>55748112</v>
      </c>
      <c r="C316">
        <v>55748100</v>
      </c>
      <c r="D316">
        <v>54767934</v>
      </c>
      <c r="E316">
        <v>1</v>
      </c>
      <c r="F316">
        <v>1</v>
      </c>
      <c r="G316">
        <v>1081</v>
      </c>
      <c r="H316">
        <v>2</v>
      </c>
      <c r="I316" t="s">
        <v>586</v>
      </c>
      <c r="J316" t="s">
        <v>587</v>
      </c>
      <c r="K316" t="s">
        <v>588</v>
      </c>
      <c r="L316">
        <v>1368</v>
      </c>
      <c r="N316">
        <v>1011</v>
      </c>
      <c r="O316" t="s">
        <v>479</v>
      </c>
      <c r="P316" t="s">
        <v>479</v>
      </c>
      <c r="Q316">
        <v>1</v>
      </c>
      <c r="X316">
        <v>9.4</v>
      </c>
      <c r="Y316">
        <v>0</v>
      </c>
      <c r="Z316">
        <v>48.07</v>
      </c>
      <c r="AA316">
        <v>12.62</v>
      </c>
      <c r="AB316">
        <v>0</v>
      </c>
      <c r="AC316">
        <v>0</v>
      </c>
      <c r="AD316">
        <v>1</v>
      </c>
      <c r="AE316">
        <v>0</v>
      </c>
      <c r="AF316" t="s">
        <v>49</v>
      </c>
      <c r="AG316">
        <v>11.28</v>
      </c>
      <c r="AH316">
        <v>2</v>
      </c>
      <c r="AI316">
        <v>55748102</v>
      </c>
      <c r="AJ316">
        <v>278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ROW(Source!A106)</f>
        <v>106</v>
      </c>
      <c r="B317">
        <v>55748113</v>
      </c>
      <c r="C317">
        <v>55748100</v>
      </c>
      <c r="D317">
        <v>54767971</v>
      </c>
      <c r="E317">
        <v>1</v>
      </c>
      <c r="F317">
        <v>1</v>
      </c>
      <c r="G317">
        <v>1081</v>
      </c>
      <c r="H317">
        <v>2</v>
      </c>
      <c r="I317" t="s">
        <v>589</v>
      </c>
      <c r="J317" t="s">
        <v>590</v>
      </c>
      <c r="K317" t="s">
        <v>591</v>
      </c>
      <c r="L317">
        <v>1368</v>
      </c>
      <c r="N317">
        <v>1011</v>
      </c>
      <c r="O317" t="s">
        <v>479</v>
      </c>
      <c r="P317" t="s">
        <v>479</v>
      </c>
      <c r="Q317">
        <v>1</v>
      </c>
      <c r="X317">
        <v>8.5</v>
      </c>
      <c r="Y317">
        <v>0</v>
      </c>
      <c r="Z317">
        <v>5.79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49</v>
      </c>
      <c r="AG317">
        <v>10.199999999999999</v>
      </c>
      <c r="AH317">
        <v>2</v>
      </c>
      <c r="AI317">
        <v>55748103</v>
      </c>
      <c r="AJ317">
        <v>279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ROW(Source!A106)</f>
        <v>106</v>
      </c>
      <c r="B318">
        <v>55748114</v>
      </c>
      <c r="C318">
        <v>55748100</v>
      </c>
      <c r="D318">
        <v>54768040</v>
      </c>
      <c r="E318">
        <v>1</v>
      </c>
      <c r="F318">
        <v>1</v>
      </c>
      <c r="G318">
        <v>1081</v>
      </c>
      <c r="H318">
        <v>2</v>
      </c>
      <c r="I318" t="s">
        <v>476</v>
      </c>
      <c r="J318" t="s">
        <v>477</v>
      </c>
      <c r="K318" t="s">
        <v>478</v>
      </c>
      <c r="L318">
        <v>1368</v>
      </c>
      <c r="N318">
        <v>1011</v>
      </c>
      <c r="O318" t="s">
        <v>479</v>
      </c>
      <c r="P318" t="s">
        <v>479</v>
      </c>
      <c r="Q318">
        <v>1</v>
      </c>
      <c r="X318">
        <v>25</v>
      </c>
      <c r="Y318">
        <v>0</v>
      </c>
      <c r="Z318">
        <v>7.11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49</v>
      </c>
      <c r="AG318">
        <v>30</v>
      </c>
      <c r="AH318">
        <v>2</v>
      </c>
      <c r="AI318">
        <v>55748104</v>
      </c>
      <c r="AJ318">
        <v>280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ROW(Source!A106)</f>
        <v>106</v>
      </c>
      <c r="B319">
        <v>55748115</v>
      </c>
      <c r="C319">
        <v>55748100</v>
      </c>
      <c r="D319">
        <v>54768339</v>
      </c>
      <c r="E319">
        <v>1</v>
      </c>
      <c r="F319">
        <v>1</v>
      </c>
      <c r="G319">
        <v>1081</v>
      </c>
      <c r="H319">
        <v>2</v>
      </c>
      <c r="I319" t="s">
        <v>483</v>
      </c>
      <c r="J319" t="s">
        <v>484</v>
      </c>
      <c r="K319" t="s">
        <v>485</v>
      </c>
      <c r="L319">
        <v>1368</v>
      </c>
      <c r="N319">
        <v>1011</v>
      </c>
      <c r="O319" t="s">
        <v>479</v>
      </c>
      <c r="P319" t="s">
        <v>479</v>
      </c>
      <c r="Q319">
        <v>1</v>
      </c>
      <c r="X319">
        <v>1.66</v>
      </c>
      <c r="Y319">
        <v>0</v>
      </c>
      <c r="Z319">
        <v>83.1</v>
      </c>
      <c r="AA319">
        <v>12.62</v>
      </c>
      <c r="AB319">
        <v>0</v>
      </c>
      <c r="AC319">
        <v>0</v>
      </c>
      <c r="AD319">
        <v>1</v>
      </c>
      <c r="AE319">
        <v>0</v>
      </c>
      <c r="AF319" t="s">
        <v>49</v>
      </c>
      <c r="AG319">
        <v>1.9919999999999998</v>
      </c>
      <c r="AH319">
        <v>2</v>
      </c>
      <c r="AI319">
        <v>55748105</v>
      </c>
      <c r="AJ319">
        <v>281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ROW(Source!A106)</f>
        <v>106</v>
      </c>
      <c r="B320">
        <v>55748116</v>
      </c>
      <c r="C320">
        <v>55748100</v>
      </c>
      <c r="D320">
        <v>54767657</v>
      </c>
      <c r="E320">
        <v>1</v>
      </c>
      <c r="F320">
        <v>1</v>
      </c>
      <c r="G320">
        <v>1081</v>
      </c>
      <c r="H320">
        <v>2</v>
      </c>
      <c r="I320" t="s">
        <v>592</v>
      </c>
      <c r="J320" t="s">
        <v>593</v>
      </c>
      <c r="K320" t="s">
        <v>594</v>
      </c>
      <c r="L320">
        <v>1368</v>
      </c>
      <c r="N320">
        <v>1011</v>
      </c>
      <c r="O320" t="s">
        <v>479</v>
      </c>
      <c r="P320" t="s">
        <v>479</v>
      </c>
      <c r="Q320">
        <v>1</v>
      </c>
      <c r="X320">
        <v>1.22</v>
      </c>
      <c r="Y320">
        <v>0</v>
      </c>
      <c r="Z320">
        <v>3.18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49</v>
      </c>
      <c r="AG320">
        <v>1.464</v>
      </c>
      <c r="AH320">
        <v>2</v>
      </c>
      <c r="AI320">
        <v>55748106</v>
      </c>
      <c r="AJ320">
        <v>282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ROW(Source!A106)</f>
        <v>106</v>
      </c>
      <c r="B321">
        <v>55748117</v>
      </c>
      <c r="C321">
        <v>55748100</v>
      </c>
      <c r="D321">
        <v>54737367</v>
      </c>
      <c r="E321">
        <v>1</v>
      </c>
      <c r="F321">
        <v>1</v>
      </c>
      <c r="G321">
        <v>1081</v>
      </c>
      <c r="H321">
        <v>3</v>
      </c>
      <c r="I321" t="s">
        <v>538</v>
      </c>
      <c r="J321" t="s">
        <v>539</v>
      </c>
      <c r="K321" t="s">
        <v>540</v>
      </c>
      <c r="L321">
        <v>1339</v>
      </c>
      <c r="N321">
        <v>1007</v>
      </c>
      <c r="O321" t="s">
        <v>507</v>
      </c>
      <c r="P321" t="s">
        <v>507</v>
      </c>
      <c r="Q321">
        <v>1</v>
      </c>
      <c r="X321">
        <v>10</v>
      </c>
      <c r="Y321">
        <v>7.07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48</v>
      </c>
      <c r="AG321">
        <v>10</v>
      </c>
      <c r="AH321">
        <v>2</v>
      </c>
      <c r="AI321">
        <v>55748107</v>
      </c>
      <c r="AJ321">
        <v>283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ROW(Source!A106)</f>
        <v>106</v>
      </c>
      <c r="B322">
        <v>55748118</v>
      </c>
      <c r="C322">
        <v>55748100</v>
      </c>
      <c r="D322">
        <v>54738430</v>
      </c>
      <c r="E322">
        <v>1</v>
      </c>
      <c r="F322">
        <v>1</v>
      </c>
      <c r="G322">
        <v>1081</v>
      </c>
      <c r="H322">
        <v>3</v>
      </c>
      <c r="I322" t="s">
        <v>562</v>
      </c>
      <c r="J322" t="s">
        <v>563</v>
      </c>
      <c r="K322" t="s">
        <v>564</v>
      </c>
      <c r="L322">
        <v>1348</v>
      </c>
      <c r="N322">
        <v>1009</v>
      </c>
      <c r="O322" t="s">
        <v>282</v>
      </c>
      <c r="P322" t="s">
        <v>282</v>
      </c>
      <c r="Q322">
        <v>1000</v>
      </c>
      <c r="X322">
        <v>7.7000000000000002E-3</v>
      </c>
      <c r="Y322">
        <v>7185.82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48</v>
      </c>
      <c r="AG322">
        <v>7.7000000000000002E-3</v>
      </c>
      <c r="AH322">
        <v>2</v>
      </c>
      <c r="AI322">
        <v>55748108</v>
      </c>
      <c r="AJ322">
        <v>284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ROW(Source!A106)</f>
        <v>106</v>
      </c>
      <c r="B323">
        <v>55748119</v>
      </c>
      <c r="C323">
        <v>55748100</v>
      </c>
      <c r="D323">
        <v>54695275</v>
      </c>
      <c r="E323">
        <v>1081</v>
      </c>
      <c r="F323">
        <v>1</v>
      </c>
      <c r="G323">
        <v>1081</v>
      </c>
      <c r="H323">
        <v>3</v>
      </c>
      <c r="I323" t="s">
        <v>680</v>
      </c>
      <c r="J323" t="s">
        <v>3</v>
      </c>
      <c r="K323" t="s">
        <v>681</v>
      </c>
      <c r="L323">
        <v>1301</v>
      </c>
      <c r="N323">
        <v>1003</v>
      </c>
      <c r="O323" t="s">
        <v>191</v>
      </c>
      <c r="P323" t="s">
        <v>191</v>
      </c>
      <c r="Q323">
        <v>1</v>
      </c>
      <c r="X323">
        <v>100.5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48</v>
      </c>
      <c r="AG323">
        <v>100.5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ROW(Source!A107)</f>
        <v>107</v>
      </c>
      <c r="B324">
        <v>55748111</v>
      </c>
      <c r="C324">
        <v>55748100</v>
      </c>
      <c r="D324">
        <v>54702434</v>
      </c>
      <c r="E324">
        <v>1081</v>
      </c>
      <c r="F324">
        <v>1</v>
      </c>
      <c r="G324">
        <v>1081</v>
      </c>
      <c r="H324">
        <v>1</v>
      </c>
      <c r="I324" t="s">
        <v>473</v>
      </c>
      <c r="J324" t="s">
        <v>3</v>
      </c>
      <c r="K324" t="s">
        <v>474</v>
      </c>
      <c r="L324">
        <v>1191</v>
      </c>
      <c r="N324">
        <v>1013</v>
      </c>
      <c r="O324" t="s">
        <v>475</v>
      </c>
      <c r="P324" t="s">
        <v>475</v>
      </c>
      <c r="Q324">
        <v>1</v>
      </c>
      <c r="X324">
        <v>159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 t="s">
        <v>49</v>
      </c>
      <c r="AG324">
        <v>190.79999999999998</v>
      </c>
      <c r="AH324">
        <v>2</v>
      </c>
      <c r="AI324">
        <v>55748101</v>
      </c>
      <c r="AJ324">
        <v>287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ROW(Source!A107)</f>
        <v>107</v>
      </c>
      <c r="B325">
        <v>55748112</v>
      </c>
      <c r="C325">
        <v>55748100</v>
      </c>
      <c r="D325">
        <v>54767934</v>
      </c>
      <c r="E325">
        <v>1</v>
      </c>
      <c r="F325">
        <v>1</v>
      </c>
      <c r="G325">
        <v>1081</v>
      </c>
      <c r="H325">
        <v>2</v>
      </c>
      <c r="I325" t="s">
        <v>586</v>
      </c>
      <c r="J325" t="s">
        <v>587</v>
      </c>
      <c r="K325" t="s">
        <v>588</v>
      </c>
      <c r="L325">
        <v>1368</v>
      </c>
      <c r="N325">
        <v>1011</v>
      </c>
      <c r="O325" t="s">
        <v>479</v>
      </c>
      <c r="P325" t="s">
        <v>479</v>
      </c>
      <c r="Q325">
        <v>1</v>
      </c>
      <c r="X325">
        <v>9.4</v>
      </c>
      <c r="Y325">
        <v>0</v>
      </c>
      <c r="Z325">
        <v>48.07</v>
      </c>
      <c r="AA325">
        <v>12.62</v>
      </c>
      <c r="AB325">
        <v>0</v>
      </c>
      <c r="AC325">
        <v>0</v>
      </c>
      <c r="AD325">
        <v>1</v>
      </c>
      <c r="AE325">
        <v>0</v>
      </c>
      <c r="AF325" t="s">
        <v>49</v>
      </c>
      <c r="AG325">
        <v>11.28</v>
      </c>
      <c r="AH325">
        <v>2</v>
      </c>
      <c r="AI325">
        <v>55748102</v>
      </c>
      <c r="AJ325">
        <v>288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ROW(Source!A107)</f>
        <v>107</v>
      </c>
      <c r="B326">
        <v>55748113</v>
      </c>
      <c r="C326">
        <v>55748100</v>
      </c>
      <c r="D326">
        <v>54767971</v>
      </c>
      <c r="E326">
        <v>1</v>
      </c>
      <c r="F326">
        <v>1</v>
      </c>
      <c r="G326">
        <v>1081</v>
      </c>
      <c r="H326">
        <v>2</v>
      </c>
      <c r="I326" t="s">
        <v>589</v>
      </c>
      <c r="J326" t="s">
        <v>590</v>
      </c>
      <c r="K326" t="s">
        <v>591</v>
      </c>
      <c r="L326">
        <v>1368</v>
      </c>
      <c r="N326">
        <v>1011</v>
      </c>
      <c r="O326" t="s">
        <v>479</v>
      </c>
      <c r="P326" t="s">
        <v>479</v>
      </c>
      <c r="Q326">
        <v>1</v>
      </c>
      <c r="X326">
        <v>8.5</v>
      </c>
      <c r="Y326">
        <v>0</v>
      </c>
      <c r="Z326">
        <v>5.79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49</v>
      </c>
      <c r="AG326">
        <v>10.199999999999999</v>
      </c>
      <c r="AH326">
        <v>2</v>
      </c>
      <c r="AI326">
        <v>55748103</v>
      </c>
      <c r="AJ326">
        <v>289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ROW(Source!A107)</f>
        <v>107</v>
      </c>
      <c r="B327">
        <v>55748114</v>
      </c>
      <c r="C327">
        <v>55748100</v>
      </c>
      <c r="D327">
        <v>54768040</v>
      </c>
      <c r="E327">
        <v>1</v>
      </c>
      <c r="F327">
        <v>1</v>
      </c>
      <c r="G327">
        <v>1081</v>
      </c>
      <c r="H327">
        <v>2</v>
      </c>
      <c r="I327" t="s">
        <v>476</v>
      </c>
      <c r="J327" t="s">
        <v>477</v>
      </c>
      <c r="K327" t="s">
        <v>478</v>
      </c>
      <c r="L327">
        <v>1368</v>
      </c>
      <c r="N327">
        <v>1011</v>
      </c>
      <c r="O327" t="s">
        <v>479</v>
      </c>
      <c r="P327" t="s">
        <v>479</v>
      </c>
      <c r="Q327">
        <v>1</v>
      </c>
      <c r="X327">
        <v>25</v>
      </c>
      <c r="Y327">
        <v>0</v>
      </c>
      <c r="Z327">
        <v>7.11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49</v>
      </c>
      <c r="AG327">
        <v>30</v>
      </c>
      <c r="AH327">
        <v>2</v>
      </c>
      <c r="AI327">
        <v>55748104</v>
      </c>
      <c r="AJ327">
        <v>290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ROW(Source!A107)</f>
        <v>107</v>
      </c>
      <c r="B328">
        <v>55748115</v>
      </c>
      <c r="C328">
        <v>55748100</v>
      </c>
      <c r="D328">
        <v>54768339</v>
      </c>
      <c r="E328">
        <v>1</v>
      </c>
      <c r="F328">
        <v>1</v>
      </c>
      <c r="G328">
        <v>1081</v>
      </c>
      <c r="H328">
        <v>2</v>
      </c>
      <c r="I328" t="s">
        <v>483</v>
      </c>
      <c r="J328" t="s">
        <v>484</v>
      </c>
      <c r="K328" t="s">
        <v>485</v>
      </c>
      <c r="L328">
        <v>1368</v>
      </c>
      <c r="N328">
        <v>1011</v>
      </c>
      <c r="O328" t="s">
        <v>479</v>
      </c>
      <c r="P328" t="s">
        <v>479</v>
      </c>
      <c r="Q328">
        <v>1</v>
      </c>
      <c r="X328">
        <v>1.66</v>
      </c>
      <c r="Y328">
        <v>0</v>
      </c>
      <c r="Z328">
        <v>83.1</v>
      </c>
      <c r="AA328">
        <v>12.62</v>
      </c>
      <c r="AB328">
        <v>0</v>
      </c>
      <c r="AC328">
        <v>0</v>
      </c>
      <c r="AD328">
        <v>1</v>
      </c>
      <c r="AE328">
        <v>0</v>
      </c>
      <c r="AF328" t="s">
        <v>49</v>
      </c>
      <c r="AG328">
        <v>1.9919999999999998</v>
      </c>
      <c r="AH328">
        <v>2</v>
      </c>
      <c r="AI328">
        <v>55748105</v>
      </c>
      <c r="AJ328">
        <v>291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ROW(Source!A107)</f>
        <v>107</v>
      </c>
      <c r="B329">
        <v>55748116</v>
      </c>
      <c r="C329">
        <v>55748100</v>
      </c>
      <c r="D329">
        <v>54767657</v>
      </c>
      <c r="E329">
        <v>1</v>
      </c>
      <c r="F329">
        <v>1</v>
      </c>
      <c r="G329">
        <v>1081</v>
      </c>
      <c r="H329">
        <v>2</v>
      </c>
      <c r="I329" t="s">
        <v>592</v>
      </c>
      <c r="J329" t="s">
        <v>593</v>
      </c>
      <c r="K329" t="s">
        <v>594</v>
      </c>
      <c r="L329">
        <v>1368</v>
      </c>
      <c r="N329">
        <v>1011</v>
      </c>
      <c r="O329" t="s">
        <v>479</v>
      </c>
      <c r="P329" t="s">
        <v>479</v>
      </c>
      <c r="Q329">
        <v>1</v>
      </c>
      <c r="X329">
        <v>1.22</v>
      </c>
      <c r="Y329">
        <v>0</v>
      </c>
      <c r="Z329">
        <v>3.18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49</v>
      </c>
      <c r="AG329">
        <v>1.464</v>
      </c>
      <c r="AH329">
        <v>2</v>
      </c>
      <c r="AI329">
        <v>55748106</v>
      </c>
      <c r="AJ329">
        <v>292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ROW(Source!A107)</f>
        <v>107</v>
      </c>
      <c r="B330">
        <v>55748117</v>
      </c>
      <c r="C330">
        <v>55748100</v>
      </c>
      <c r="D330">
        <v>54737367</v>
      </c>
      <c r="E330">
        <v>1</v>
      </c>
      <c r="F330">
        <v>1</v>
      </c>
      <c r="G330">
        <v>1081</v>
      </c>
      <c r="H330">
        <v>3</v>
      </c>
      <c r="I330" t="s">
        <v>538</v>
      </c>
      <c r="J330" t="s">
        <v>539</v>
      </c>
      <c r="K330" t="s">
        <v>540</v>
      </c>
      <c r="L330">
        <v>1339</v>
      </c>
      <c r="N330">
        <v>1007</v>
      </c>
      <c r="O330" t="s">
        <v>507</v>
      </c>
      <c r="P330" t="s">
        <v>507</v>
      </c>
      <c r="Q330">
        <v>1</v>
      </c>
      <c r="X330">
        <v>10</v>
      </c>
      <c r="Y330">
        <v>7.07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48</v>
      </c>
      <c r="AG330">
        <v>10</v>
      </c>
      <c r="AH330">
        <v>2</v>
      </c>
      <c r="AI330">
        <v>55748107</v>
      </c>
      <c r="AJ330">
        <v>293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ROW(Source!A107)</f>
        <v>107</v>
      </c>
      <c r="B331">
        <v>55748118</v>
      </c>
      <c r="C331">
        <v>55748100</v>
      </c>
      <c r="D331">
        <v>54738430</v>
      </c>
      <c r="E331">
        <v>1</v>
      </c>
      <c r="F331">
        <v>1</v>
      </c>
      <c r="G331">
        <v>1081</v>
      </c>
      <c r="H331">
        <v>3</v>
      </c>
      <c r="I331" t="s">
        <v>562</v>
      </c>
      <c r="J331" t="s">
        <v>563</v>
      </c>
      <c r="K331" t="s">
        <v>564</v>
      </c>
      <c r="L331">
        <v>1348</v>
      </c>
      <c r="N331">
        <v>1009</v>
      </c>
      <c r="O331" t="s">
        <v>282</v>
      </c>
      <c r="P331" t="s">
        <v>282</v>
      </c>
      <c r="Q331">
        <v>1000</v>
      </c>
      <c r="X331">
        <v>7.7000000000000002E-3</v>
      </c>
      <c r="Y331">
        <v>7185.82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48</v>
      </c>
      <c r="AG331">
        <v>7.7000000000000002E-3</v>
      </c>
      <c r="AH331">
        <v>2</v>
      </c>
      <c r="AI331">
        <v>55748108</v>
      </c>
      <c r="AJ331">
        <v>294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ROW(Source!A107)</f>
        <v>107</v>
      </c>
      <c r="B332">
        <v>55748119</v>
      </c>
      <c r="C332">
        <v>55748100</v>
      </c>
      <c r="D332">
        <v>54695275</v>
      </c>
      <c r="E332">
        <v>1081</v>
      </c>
      <c r="F332">
        <v>1</v>
      </c>
      <c r="G332">
        <v>1081</v>
      </c>
      <c r="H332">
        <v>3</v>
      </c>
      <c r="I332" t="s">
        <v>680</v>
      </c>
      <c r="J332" t="s">
        <v>3</v>
      </c>
      <c r="K332" t="s">
        <v>681</v>
      </c>
      <c r="L332">
        <v>1301</v>
      </c>
      <c r="N332">
        <v>1003</v>
      </c>
      <c r="O332" t="s">
        <v>191</v>
      </c>
      <c r="P332" t="s">
        <v>191</v>
      </c>
      <c r="Q332">
        <v>1</v>
      </c>
      <c r="X332">
        <v>100.5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48</v>
      </c>
      <c r="AG332">
        <v>100.5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ROW(Source!A116)</f>
        <v>116</v>
      </c>
      <c r="B333">
        <v>55748138</v>
      </c>
      <c r="C333">
        <v>55748122</v>
      </c>
      <c r="D333">
        <v>54702434</v>
      </c>
      <c r="E333">
        <v>1081</v>
      </c>
      <c r="F333">
        <v>1</v>
      </c>
      <c r="G333">
        <v>1081</v>
      </c>
      <c r="H333">
        <v>1</v>
      </c>
      <c r="I333" t="s">
        <v>473</v>
      </c>
      <c r="J333" t="s">
        <v>3</v>
      </c>
      <c r="K333" t="s">
        <v>474</v>
      </c>
      <c r="L333">
        <v>1191</v>
      </c>
      <c r="N333">
        <v>1013</v>
      </c>
      <c r="O333" t="s">
        <v>475</v>
      </c>
      <c r="P333" t="s">
        <v>475</v>
      </c>
      <c r="Q333">
        <v>1</v>
      </c>
      <c r="X333">
        <v>140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49</v>
      </c>
      <c r="AG333">
        <v>168</v>
      </c>
      <c r="AH333">
        <v>2</v>
      </c>
      <c r="AI333">
        <v>55748123</v>
      </c>
      <c r="AJ333">
        <v>297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ROW(Source!A116)</f>
        <v>116</v>
      </c>
      <c r="B334">
        <v>55748139</v>
      </c>
      <c r="C334">
        <v>55748122</v>
      </c>
      <c r="D334">
        <v>54767934</v>
      </c>
      <c r="E334">
        <v>1</v>
      </c>
      <c r="F334">
        <v>1</v>
      </c>
      <c r="G334">
        <v>1081</v>
      </c>
      <c r="H334">
        <v>2</v>
      </c>
      <c r="I334" t="s">
        <v>586</v>
      </c>
      <c r="J334" t="s">
        <v>587</v>
      </c>
      <c r="K334" t="s">
        <v>588</v>
      </c>
      <c r="L334">
        <v>1368</v>
      </c>
      <c r="N334">
        <v>1011</v>
      </c>
      <c r="O334" t="s">
        <v>479</v>
      </c>
      <c r="P334" t="s">
        <v>479</v>
      </c>
      <c r="Q334">
        <v>1</v>
      </c>
      <c r="X334">
        <v>7.5</v>
      </c>
      <c r="Y334">
        <v>0</v>
      </c>
      <c r="Z334">
        <v>48.07</v>
      </c>
      <c r="AA334">
        <v>12.62</v>
      </c>
      <c r="AB334">
        <v>0</v>
      </c>
      <c r="AC334">
        <v>0</v>
      </c>
      <c r="AD334">
        <v>1</v>
      </c>
      <c r="AE334">
        <v>0</v>
      </c>
      <c r="AF334" t="s">
        <v>49</v>
      </c>
      <c r="AG334">
        <v>9</v>
      </c>
      <c r="AH334">
        <v>2</v>
      </c>
      <c r="AI334">
        <v>55748124</v>
      </c>
      <c r="AJ334">
        <v>298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ROW(Source!A116)</f>
        <v>116</v>
      </c>
      <c r="B335">
        <v>55748140</v>
      </c>
      <c r="C335">
        <v>55748122</v>
      </c>
      <c r="D335">
        <v>54767971</v>
      </c>
      <c r="E335">
        <v>1</v>
      </c>
      <c r="F335">
        <v>1</v>
      </c>
      <c r="G335">
        <v>1081</v>
      </c>
      <c r="H335">
        <v>2</v>
      </c>
      <c r="I335" t="s">
        <v>589</v>
      </c>
      <c r="J335" t="s">
        <v>590</v>
      </c>
      <c r="K335" t="s">
        <v>591</v>
      </c>
      <c r="L335">
        <v>1368</v>
      </c>
      <c r="N335">
        <v>1011</v>
      </c>
      <c r="O335" t="s">
        <v>479</v>
      </c>
      <c r="P335" t="s">
        <v>479</v>
      </c>
      <c r="Q335">
        <v>1</v>
      </c>
      <c r="X335">
        <v>7</v>
      </c>
      <c r="Y335">
        <v>0</v>
      </c>
      <c r="Z335">
        <v>5.79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49</v>
      </c>
      <c r="AG335">
        <v>8.4</v>
      </c>
      <c r="AH335">
        <v>2</v>
      </c>
      <c r="AI335">
        <v>55748125</v>
      </c>
      <c r="AJ335">
        <v>299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ROW(Source!A116)</f>
        <v>116</v>
      </c>
      <c r="B336">
        <v>55748141</v>
      </c>
      <c r="C336">
        <v>55748122</v>
      </c>
      <c r="D336">
        <v>54768040</v>
      </c>
      <c r="E336">
        <v>1</v>
      </c>
      <c r="F336">
        <v>1</v>
      </c>
      <c r="G336">
        <v>1081</v>
      </c>
      <c r="H336">
        <v>2</v>
      </c>
      <c r="I336" t="s">
        <v>476</v>
      </c>
      <c r="J336" t="s">
        <v>477</v>
      </c>
      <c r="K336" t="s">
        <v>478</v>
      </c>
      <c r="L336">
        <v>1368</v>
      </c>
      <c r="N336">
        <v>1011</v>
      </c>
      <c r="O336" t="s">
        <v>479</v>
      </c>
      <c r="P336" t="s">
        <v>479</v>
      </c>
      <c r="Q336">
        <v>1</v>
      </c>
      <c r="X336">
        <v>9.3000000000000007</v>
      </c>
      <c r="Y336">
        <v>0</v>
      </c>
      <c r="Z336">
        <v>7.11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49</v>
      </c>
      <c r="AG336">
        <v>11.16</v>
      </c>
      <c r="AH336">
        <v>2</v>
      </c>
      <c r="AI336">
        <v>55748126</v>
      </c>
      <c r="AJ336">
        <v>300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ROW(Source!A116)</f>
        <v>116</v>
      </c>
      <c r="B337">
        <v>55748142</v>
      </c>
      <c r="C337">
        <v>55748122</v>
      </c>
      <c r="D337">
        <v>54768339</v>
      </c>
      <c r="E337">
        <v>1</v>
      </c>
      <c r="F337">
        <v>1</v>
      </c>
      <c r="G337">
        <v>1081</v>
      </c>
      <c r="H337">
        <v>2</v>
      </c>
      <c r="I337" t="s">
        <v>483</v>
      </c>
      <c r="J337" t="s">
        <v>484</v>
      </c>
      <c r="K337" t="s">
        <v>485</v>
      </c>
      <c r="L337">
        <v>1368</v>
      </c>
      <c r="N337">
        <v>1011</v>
      </c>
      <c r="O337" t="s">
        <v>479</v>
      </c>
      <c r="P337" t="s">
        <v>479</v>
      </c>
      <c r="Q337">
        <v>1</v>
      </c>
      <c r="X337">
        <v>0.72</v>
      </c>
      <c r="Y337">
        <v>0</v>
      </c>
      <c r="Z337">
        <v>83.1</v>
      </c>
      <c r="AA337">
        <v>12.62</v>
      </c>
      <c r="AB337">
        <v>0</v>
      </c>
      <c r="AC337">
        <v>0</v>
      </c>
      <c r="AD337">
        <v>1</v>
      </c>
      <c r="AE337">
        <v>0</v>
      </c>
      <c r="AF337" t="s">
        <v>49</v>
      </c>
      <c r="AG337">
        <v>0.86399999999999999</v>
      </c>
      <c r="AH337">
        <v>2</v>
      </c>
      <c r="AI337">
        <v>55748127</v>
      </c>
      <c r="AJ337">
        <v>301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ROW(Source!A116)</f>
        <v>116</v>
      </c>
      <c r="B338">
        <v>55748143</v>
      </c>
      <c r="C338">
        <v>55748122</v>
      </c>
      <c r="D338">
        <v>54767657</v>
      </c>
      <c r="E338">
        <v>1</v>
      </c>
      <c r="F338">
        <v>1</v>
      </c>
      <c r="G338">
        <v>1081</v>
      </c>
      <c r="H338">
        <v>2</v>
      </c>
      <c r="I338" t="s">
        <v>592</v>
      </c>
      <c r="J338" t="s">
        <v>593</v>
      </c>
      <c r="K338" t="s">
        <v>594</v>
      </c>
      <c r="L338">
        <v>1368</v>
      </c>
      <c r="N338">
        <v>1011</v>
      </c>
      <c r="O338" t="s">
        <v>479</v>
      </c>
      <c r="P338" t="s">
        <v>479</v>
      </c>
      <c r="Q338">
        <v>1</v>
      </c>
      <c r="X338">
        <v>0.53</v>
      </c>
      <c r="Y338">
        <v>0</v>
      </c>
      <c r="Z338">
        <v>3.18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49</v>
      </c>
      <c r="AG338">
        <v>0.63600000000000001</v>
      </c>
      <c r="AH338">
        <v>2</v>
      </c>
      <c r="AI338">
        <v>55748128</v>
      </c>
      <c r="AJ338">
        <v>302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ROW(Source!A116)</f>
        <v>116</v>
      </c>
      <c r="B339">
        <v>55748144</v>
      </c>
      <c r="C339">
        <v>55748122</v>
      </c>
      <c r="D339">
        <v>54737367</v>
      </c>
      <c r="E339">
        <v>1</v>
      </c>
      <c r="F339">
        <v>1</v>
      </c>
      <c r="G339">
        <v>1081</v>
      </c>
      <c r="H339">
        <v>3</v>
      </c>
      <c r="I339" t="s">
        <v>538</v>
      </c>
      <c r="J339" t="s">
        <v>539</v>
      </c>
      <c r="K339" t="s">
        <v>540</v>
      </c>
      <c r="L339">
        <v>1339</v>
      </c>
      <c r="N339">
        <v>1007</v>
      </c>
      <c r="O339" t="s">
        <v>507</v>
      </c>
      <c r="P339" t="s">
        <v>507</v>
      </c>
      <c r="Q339">
        <v>1</v>
      </c>
      <c r="X339">
        <v>3</v>
      </c>
      <c r="Y339">
        <v>7.07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48</v>
      </c>
      <c r="AG339">
        <v>3</v>
      </c>
      <c r="AH339">
        <v>2</v>
      </c>
      <c r="AI339">
        <v>55748129</v>
      </c>
      <c r="AJ339">
        <v>303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ROW(Source!A116)</f>
        <v>116</v>
      </c>
      <c r="B340">
        <v>55748145</v>
      </c>
      <c r="C340">
        <v>55748122</v>
      </c>
      <c r="D340">
        <v>54738430</v>
      </c>
      <c r="E340">
        <v>1</v>
      </c>
      <c r="F340">
        <v>1</v>
      </c>
      <c r="G340">
        <v>1081</v>
      </c>
      <c r="H340">
        <v>3</v>
      </c>
      <c r="I340" t="s">
        <v>562</v>
      </c>
      <c r="J340" t="s">
        <v>563</v>
      </c>
      <c r="K340" t="s">
        <v>564</v>
      </c>
      <c r="L340">
        <v>1348</v>
      </c>
      <c r="N340">
        <v>1009</v>
      </c>
      <c r="O340" t="s">
        <v>282</v>
      </c>
      <c r="P340" t="s">
        <v>282</v>
      </c>
      <c r="Q340">
        <v>1000</v>
      </c>
      <c r="X340">
        <v>1.6800000000000001E-3</v>
      </c>
      <c r="Y340">
        <v>7185.82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48</v>
      </c>
      <c r="AG340">
        <v>1.6800000000000001E-3</v>
      </c>
      <c r="AH340">
        <v>2</v>
      </c>
      <c r="AI340">
        <v>55748130</v>
      </c>
      <c r="AJ340">
        <v>304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ROW(Source!A116)</f>
        <v>116</v>
      </c>
      <c r="B341">
        <v>55748146</v>
      </c>
      <c r="C341">
        <v>55748122</v>
      </c>
      <c r="D341">
        <v>54738505</v>
      </c>
      <c r="E341">
        <v>1</v>
      </c>
      <c r="F341">
        <v>1</v>
      </c>
      <c r="G341">
        <v>1081</v>
      </c>
      <c r="H341">
        <v>3</v>
      </c>
      <c r="I341" t="s">
        <v>580</v>
      </c>
      <c r="J341" t="s">
        <v>581</v>
      </c>
      <c r="K341" t="s">
        <v>582</v>
      </c>
      <c r="L341">
        <v>1346</v>
      </c>
      <c r="N341">
        <v>1009</v>
      </c>
      <c r="O341" t="s">
        <v>503</v>
      </c>
      <c r="P341" t="s">
        <v>503</v>
      </c>
      <c r="Q341">
        <v>1</v>
      </c>
      <c r="X341">
        <v>0.81</v>
      </c>
      <c r="Y341">
        <v>21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48</v>
      </c>
      <c r="AG341">
        <v>0.81</v>
      </c>
      <c r="AH341">
        <v>2</v>
      </c>
      <c r="AI341">
        <v>55748131</v>
      </c>
      <c r="AJ341">
        <v>305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ROW(Source!A116)</f>
        <v>116</v>
      </c>
      <c r="B342">
        <v>55748147</v>
      </c>
      <c r="C342">
        <v>55748122</v>
      </c>
      <c r="D342">
        <v>54738703</v>
      </c>
      <c r="E342">
        <v>1</v>
      </c>
      <c r="F342">
        <v>1</v>
      </c>
      <c r="G342">
        <v>1081</v>
      </c>
      <c r="H342">
        <v>3</v>
      </c>
      <c r="I342" t="s">
        <v>595</v>
      </c>
      <c r="J342" t="s">
        <v>596</v>
      </c>
      <c r="K342" t="s">
        <v>597</v>
      </c>
      <c r="L342">
        <v>1355</v>
      </c>
      <c r="N342">
        <v>1010</v>
      </c>
      <c r="O342" t="s">
        <v>254</v>
      </c>
      <c r="P342" t="s">
        <v>254</v>
      </c>
      <c r="Q342">
        <v>100</v>
      </c>
      <c r="X342">
        <v>0.72</v>
      </c>
      <c r="Y342">
        <v>496.79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48</v>
      </c>
      <c r="AG342">
        <v>0.72</v>
      </c>
      <c r="AH342">
        <v>2</v>
      </c>
      <c r="AI342">
        <v>55748132</v>
      </c>
      <c r="AJ342">
        <v>306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ROW(Source!A116)</f>
        <v>116</v>
      </c>
      <c r="B343">
        <v>55748148</v>
      </c>
      <c r="C343">
        <v>55748122</v>
      </c>
      <c r="D343">
        <v>54738704</v>
      </c>
      <c r="E343">
        <v>1</v>
      </c>
      <c r="F343">
        <v>1</v>
      </c>
      <c r="G343">
        <v>1081</v>
      </c>
      <c r="H343">
        <v>3</v>
      </c>
      <c r="I343" t="s">
        <v>598</v>
      </c>
      <c r="J343" t="s">
        <v>599</v>
      </c>
      <c r="K343" t="s">
        <v>600</v>
      </c>
      <c r="L343">
        <v>1355</v>
      </c>
      <c r="N343">
        <v>1010</v>
      </c>
      <c r="O343" t="s">
        <v>254</v>
      </c>
      <c r="P343" t="s">
        <v>254</v>
      </c>
      <c r="Q343">
        <v>100</v>
      </c>
      <c r="X343">
        <v>0.72</v>
      </c>
      <c r="Y343">
        <v>243.75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48</v>
      </c>
      <c r="AG343">
        <v>0.72</v>
      </c>
      <c r="AH343">
        <v>2</v>
      </c>
      <c r="AI343">
        <v>55748133</v>
      </c>
      <c r="AJ343">
        <v>307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ROW(Source!A116)</f>
        <v>116</v>
      </c>
      <c r="B344">
        <v>55748149</v>
      </c>
      <c r="C344">
        <v>55748122</v>
      </c>
      <c r="D344">
        <v>54737299</v>
      </c>
      <c r="E344">
        <v>1</v>
      </c>
      <c r="F344">
        <v>1</v>
      </c>
      <c r="G344">
        <v>1081</v>
      </c>
      <c r="H344">
        <v>3</v>
      </c>
      <c r="I344" t="s">
        <v>583</v>
      </c>
      <c r="J344" t="s">
        <v>584</v>
      </c>
      <c r="K344" t="s">
        <v>585</v>
      </c>
      <c r="L344">
        <v>1339</v>
      </c>
      <c r="N344">
        <v>1007</v>
      </c>
      <c r="O344" t="s">
        <v>507</v>
      </c>
      <c r="P344" t="s">
        <v>507</v>
      </c>
      <c r="Q344">
        <v>1</v>
      </c>
      <c r="X344">
        <v>0.54</v>
      </c>
      <c r="Y344">
        <v>53.42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48</v>
      </c>
      <c r="AG344">
        <v>0.54</v>
      </c>
      <c r="AH344">
        <v>2</v>
      </c>
      <c r="AI344">
        <v>55748134</v>
      </c>
      <c r="AJ344">
        <v>308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ROW(Source!A116)</f>
        <v>116</v>
      </c>
      <c r="B345">
        <v>55748150</v>
      </c>
      <c r="C345">
        <v>55748122</v>
      </c>
      <c r="D345">
        <v>54737565</v>
      </c>
      <c r="E345">
        <v>1</v>
      </c>
      <c r="F345">
        <v>1</v>
      </c>
      <c r="G345">
        <v>1081</v>
      </c>
      <c r="H345">
        <v>3</v>
      </c>
      <c r="I345" t="s">
        <v>504</v>
      </c>
      <c r="J345" t="s">
        <v>505</v>
      </c>
      <c r="K345" t="s">
        <v>506</v>
      </c>
      <c r="L345">
        <v>1339</v>
      </c>
      <c r="N345">
        <v>1007</v>
      </c>
      <c r="O345" t="s">
        <v>507</v>
      </c>
      <c r="P345" t="s">
        <v>507</v>
      </c>
      <c r="Q345">
        <v>1</v>
      </c>
      <c r="X345">
        <v>0.81</v>
      </c>
      <c r="Y345">
        <v>5.82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48</v>
      </c>
      <c r="AG345">
        <v>0.81</v>
      </c>
      <c r="AH345">
        <v>2</v>
      </c>
      <c r="AI345">
        <v>55748135</v>
      </c>
      <c r="AJ345">
        <v>309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ROW(Source!A116)</f>
        <v>116</v>
      </c>
      <c r="B346">
        <v>55748151</v>
      </c>
      <c r="C346">
        <v>55748122</v>
      </c>
      <c r="D346">
        <v>54759954</v>
      </c>
      <c r="E346">
        <v>1</v>
      </c>
      <c r="F346">
        <v>1</v>
      </c>
      <c r="G346">
        <v>1081</v>
      </c>
      <c r="H346">
        <v>3</v>
      </c>
      <c r="I346" t="s">
        <v>601</v>
      </c>
      <c r="J346" t="s">
        <v>602</v>
      </c>
      <c r="K346" t="s">
        <v>603</v>
      </c>
      <c r="L346">
        <v>1354</v>
      </c>
      <c r="N346">
        <v>1010</v>
      </c>
      <c r="O346" t="s">
        <v>118</v>
      </c>
      <c r="P346" t="s">
        <v>118</v>
      </c>
      <c r="Q346">
        <v>1</v>
      </c>
      <c r="X346">
        <v>72</v>
      </c>
      <c r="Y346">
        <v>14.28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48</v>
      </c>
      <c r="AG346">
        <v>72</v>
      </c>
      <c r="AH346">
        <v>2</v>
      </c>
      <c r="AI346">
        <v>55748136</v>
      </c>
      <c r="AJ346">
        <v>311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ROW(Source!A116)</f>
        <v>116</v>
      </c>
      <c r="B347">
        <v>55748152</v>
      </c>
      <c r="C347">
        <v>55748122</v>
      </c>
      <c r="D347">
        <v>54695275</v>
      </c>
      <c r="E347">
        <v>1081</v>
      </c>
      <c r="F347">
        <v>1</v>
      </c>
      <c r="G347">
        <v>1081</v>
      </c>
      <c r="H347">
        <v>3</v>
      </c>
      <c r="I347" t="s">
        <v>680</v>
      </c>
      <c r="J347" t="s">
        <v>3</v>
      </c>
      <c r="K347" t="s">
        <v>681</v>
      </c>
      <c r="L347">
        <v>1301</v>
      </c>
      <c r="N347">
        <v>1003</v>
      </c>
      <c r="O347" t="s">
        <v>191</v>
      </c>
      <c r="P347" t="s">
        <v>191</v>
      </c>
      <c r="Q347">
        <v>1</v>
      </c>
      <c r="X347">
        <v>100.5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48</v>
      </c>
      <c r="AG347">
        <v>100.5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ROW(Source!A117)</f>
        <v>117</v>
      </c>
      <c r="B348">
        <v>55748138</v>
      </c>
      <c r="C348">
        <v>55748122</v>
      </c>
      <c r="D348">
        <v>54702434</v>
      </c>
      <c r="E348">
        <v>1081</v>
      </c>
      <c r="F348">
        <v>1</v>
      </c>
      <c r="G348">
        <v>1081</v>
      </c>
      <c r="H348">
        <v>1</v>
      </c>
      <c r="I348" t="s">
        <v>473</v>
      </c>
      <c r="J348" t="s">
        <v>3</v>
      </c>
      <c r="K348" t="s">
        <v>474</v>
      </c>
      <c r="L348">
        <v>1191</v>
      </c>
      <c r="N348">
        <v>1013</v>
      </c>
      <c r="O348" t="s">
        <v>475</v>
      </c>
      <c r="P348" t="s">
        <v>475</v>
      </c>
      <c r="Q348">
        <v>1</v>
      </c>
      <c r="X348">
        <v>140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49</v>
      </c>
      <c r="AG348">
        <v>168</v>
      </c>
      <c r="AH348">
        <v>2</v>
      </c>
      <c r="AI348">
        <v>55748123</v>
      </c>
      <c r="AJ348">
        <v>312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ROW(Source!A117)</f>
        <v>117</v>
      </c>
      <c r="B349">
        <v>55748139</v>
      </c>
      <c r="C349">
        <v>55748122</v>
      </c>
      <c r="D349">
        <v>54767934</v>
      </c>
      <c r="E349">
        <v>1</v>
      </c>
      <c r="F349">
        <v>1</v>
      </c>
      <c r="G349">
        <v>1081</v>
      </c>
      <c r="H349">
        <v>2</v>
      </c>
      <c r="I349" t="s">
        <v>586</v>
      </c>
      <c r="J349" t="s">
        <v>587</v>
      </c>
      <c r="K349" t="s">
        <v>588</v>
      </c>
      <c r="L349">
        <v>1368</v>
      </c>
      <c r="N349">
        <v>1011</v>
      </c>
      <c r="O349" t="s">
        <v>479</v>
      </c>
      <c r="P349" t="s">
        <v>479</v>
      </c>
      <c r="Q349">
        <v>1</v>
      </c>
      <c r="X349">
        <v>7.5</v>
      </c>
      <c r="Y349">
        <v>0</v>
      </c>
      <c r="Z349">
        <v>48.07</v>
      </c>
      <c r="AA349">
        <v>12.62</v>
      </c>
      <c r="AB349">
        <v>0</v>
      </c>
      <c r="AC349">
        <v>0</v>
      </c>
      <c r="AD349">
        <v>1</v>
      </c>
      <c r="AE349">
        <v>0</v>
      </c>
      <c r="AF349" t="s">
        <v>49</v>
      </c>
      <c r="AG349">
        <v>9</v>
      </c>
      <c r="AH349">
        <v>2</v>
      </c>
      <c r="AI349">
        <v>55748124</v>
      </c>
      <c r="AJ349">
        <v>313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ROW(Source!A117)</f>
        <v>117</v>
      </c>
      <c r="B350">
        <v>55748140</v>
      </c>
      <c r="C350">
        <v>55748122</v>
      </c>
      <c r="D350">
        <v>54767971</v>
      </c>
      <c r="E350">
        <v>1</v>
      </c>
      <c r="F350">
        <v>1</v>
      </c>
      <c r="G350">
        <v>1081</v>
      </c>
      <c r="H350">
        <v>2</v>
      </c>
      <c r="I350" t="s">
        <v>589</v>
      </c>
      <c r="J350" t="s">
        <v>590</v>
      </c>
      <c r="K350" t="s">
        <v>591</v>
      </c>
      <c r="L350">
        <v>1368</v>
      </c>
      <c r="N350">
        <v>1011</v>
      </c>
      <c r="O350" t="s">
        <v>479</v>
      </c>
      <c r="P350" t="s">
        <v>479</v>
      </c>
      <c r="Q350">
        <v>1</v>
      </c>
      <c r="X350">
        <v>7</v>
      </c>
      <c r="Y350">
        <v>0</v>
      </c>
      <c r="Z350">
        <v>5.79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49</v>
      </c>
      <c r="AG350">
        <v>8.4</v>
      </c>
      <c r="AH350">
        <v>2</v>
      </c>
      <c r="AI350">
        <v>55748125</v>
      </c>
      <c r="AJ350">
        <v>314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ROW(Source!A117)</f>
        <v>117</v>
      </c>
      <c r="B351">
        <v>55748141</v>
      </c>
      <c r="C351">
        <v>55748122</v>
      </c>
      <c r="D351">
        <v>54768040</v>
      </c>
      <c r="E351">
        <v>1</v>
      </c>
      <c r="F351">
        <v>1</v>
      </c>
      <c r="G351">
        <v>1081</v>
      </c>
      <c r="H351">
        <v>2</v>
      </c>
      <c r="I351" t="s">
        <v>476</v>
      </c>
      <c r="J351" t="s">
        <v>477</v>
      </c>
      <c r="K351" t="s">
        <v>478</v>
      </c>
      <c r="L351">
        <v>1368</v>
      </c>
      <c r="N351">
        <v>1011</v>
      </c>
      <c r="O351" t="s">
        <v>479</v>
      </c>
      <c r="P351" t="s">
        <v>479</v>
      </c>
      <c r="Q351">
        <v>1</v>
      </c>
      <c r="X351">
        <v>9.3000000000000007</v>
      </c>
      <c r="Y351">
        <v>0</v>
      </c>
      <c r="Z351">
        <v>7.11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49</v>
      </c>
      <c r="AG351">
        <v>11.16</v>
      </c>
      <c r="AH351">
        <v>2</v>
      </c>
      <c r="AI351">
        <v>55748126</v>
      </c>
      <c r="AJ351">
        <v>315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ROW(Source!A117)</f>
        <v>117</v>
      </c>
      <c r="B352">
        <v>55748142</v>
      </c>
      <c r="C352">
        <v>55748122</v>
      </c>
      <c r="D352">
        <v>54768339</v>
      </c>
      <c r="E352">
        <v>1</v>
      </c>
      <c r="F352">
        <v>1</v>
      </c>
      <c r="G352">
        <v>1081</v>
      </c>
      <c r="H352">
        <v>2</v>
      </c>
      <c r="I352" t="s">
        <v>483</v>
      </c>
      <c r="J352" t="s">
        <v>484</v>
      </c>
      <c r="K352" t="s">
        <v>485</v>
      </c>
      <c r="L352">
        <v>1368</v>
      </c>
      <c r="N352">
        <v>1011</v>
      </c>
      <c r="O352" t="s">
        <v>479</v>
      </c>
      <c r="P352" t="s">
        <v>479</v>
      </c>
      <c r="Q352">
        <v>1</v>
      </c>
      <c r="X352">
        <v>0.72</v>
      </c>
      <c r="Y352">
        <v>0</v>
      </c>
      <c r="Z352">
        <v>83.1</v>
      </c>
      <c r="AA352">
        <v>12.62</v>
      </c>
      <c r="AB352">
        <v>0</v>
      </c>
      <c r="AC352">
        <v>0</v>
      </c>
      <c r="AD352">
        <v>1</v>
      </c>
      <c r="AE352">
        <v>0</v>
      </c>
      <c r="AF352" t="s">
        <v>49</v>
      </c>
      <c r="AG352">
        <v>0.86399999999999999</v>
      </c>
      <c r="AH352">
        <v>2</v>
      </c>
      <c r="AI352">
        <v>55748127</v>
      </c>
      <c r="AJ352">
        <v>316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ROW(Source!A117)</f>
        <v>117</v>
      </c>
      <c r="B353">
        <v>55748143</v>
      </c>
      <c r="C353">
        <v>55748122</v>
      </c>
      <c r="D353">
        <v>54767657</v>
      </c>
      <c r="E353">
        <v>1</v>
      </c>
      <c r="F353">
        <v>1</v>
      </c>
      <c r="G353">
        <v>1081</v>
      </c>
      <c r="H353">
        <v>2</v>
      </c>
      <c r="I353" t="s">
        <v>592</v>
      </c>
      <c r="J353" t="s">
        <v>593</v>
      </c>
      <c r="K353" t="s">
        <v>594</v>
      </c>
      <c r="L353">
        <v>1368</v>
      </c>
      <c r="N353">
        <v>1011</v>
      </c>
      <c r="O353" t="s">
        <v>479</v>
      </c>
      <c r="P353" t="s">
        <v>479</v>
      </c>
      <c r="Q353">
        <v>1</v>
      </c>
      <c r="X353">
        <v>0.53</v>
      </c>
      <c r="Y353">
        <v>0</v>
      </c>
      <c r="Z353">
        <v>3.18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49</v>
      </c>
      <c r="AG353">
        <v>0.63600000000000001</v>
      </c>
      <c r="AH353">
        <v>2</v>
      </c>
      <c r="AI353">
        <v>55748128</v>
      </c>
      <c r="AJ353">
        <v>317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ROW(Source!A117)</f>
        <v>117</v>
      </c>
      <c r="B354">
        <v>55748144</v>
      </c>
      <c r="C354">
        <v>55748122</v>
      </c>
      <c r="D354">
        <v>54737367</v>
      </c>
      <c r="E354">
        <v>1</v>
      </c>
      <c r="F354">
        <v>1</v>
      </c>
      <c r="G354">
        <v>1081</v>
      </c>
      <c r="H354">
        <v>3</v>
      </c>
      <c r="I354" t="s">
        <v>538</v>
      </c>
      <c r="J354" t="s">
        <v>539</v>
      </c>
      <c r="K354" t="s">
        <v>540</v>
      </c>
      <c r="L354">
        <v>1339</v>
      </c>
      <c r="N354">
        <v>1007</v>
      </c>
      <c r="O354" t="s">
        <v>507</v>
      </c>
      <c r="P354" t="s">
        <v>507</v>
      </c>
      <c r="Q354">
        <v>1</v>
      </c>
      <c r="X354">
        <v>3</v>
      </c>
      <c r="Y354">
        <v>7.07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48</v>
      </c>
      <c r="AG354">
        <v>3</v>
      </c>
      <c r="AH354">
        <v>2</v>
      </c>
      <c r="AI354">
        <v>55748129</v>
      </c>
      <c r="AJ354">
        <v>318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ROW(Source!A117)</f>
        <v>117</v>
      </c>
      <c r="B355">
        <v>55748145</v>
      </c>
      <c r="C355">
        <v>55748122</v>
      </c>
      <c r="D355">
        <v>54738430</v>
      </c>
      <c r="E355">
        <v>1</v>
      </c>
      <c r="F355">
        <v>1</v>
      </c>
      <c r="G355">
        <v>1081</v>
      </c>
      <c r="H355">
        <v>3</v>
      </c>
      <c r="I355" t="s">
        <v>562</v>
      </c>
      <c r="J355" t="s">
        <v>563</v>
      </c>
      <c r="K355" t="s">
        <v>564</v>
      </c>
      <c r="L355">
        <v>1348</v>
      </c>
      <c r="N355">
        <v>1009</v>
      </c>
      <c r="O355" t="s">
        <v>282</v>
      </c>
      <c r="P355" t="s">
        <v>282</v>
      </c>
      <c r="Q355">
        <v>1000</v>
      </c>
      <c r="X355">
        <v>1.6800000000000001E-3</v>
      </c>
      <c r="Y355">
        <v>7185.82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48</v>
      </c>
      <c r="AG355">
        <v>1.6800000000000001E-3</v>
      </c>
      <c r="AH355">
        <v>2</v>
      </c>
      <c r="AI355">
        <v>55748130</v>
      </c>
      <c r="AJ355">
        <v>319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ROW(Source!A117)</f>
        <v>117</v>
      </c>
      <c r="B356">
        <v>55748146</v>
      </c>
      <c r="C356">
        <v>55748122</v>
      </c>
      <c r="D356">
        <v>54738505</v>
      </c>
      <c r="E356">
        <v>1</v>
      </c>
      <c r="F356">
        <v>1</v>
      </c>
      <c r="G356">
        <v>1081</v>
      </c>
      <c r="H356">
        <v>3</v>
      </c>
      <c r="I356" t="s">
        <v>580</v>
      </c>
      <c r="J356" t="s">
        <v>581</v>
      </c>
      <c r="K356" t="s">
        <v>582</v>
      </c>
      <c r="L356">
        <v>1346</v>
      </c>
      <c r="N356">
        <v>1009</v>
      </c>
      <c r="O356" t="s">
        <v>503</v>
      </c>
      <c r="P356" t="s">
        <v>503</v>
      </c>
      <c r="Q356">
        <v>1</v>
      </c>
      <c r="X356">
        <v>0.81</v>
      </c>
      <c r="Y356">
        <v>21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48</v>
      </c>
      <c r="AG356">
        <v>0.81</v>
      </c>
      <c r="AH356">
        <v>2</v>
      </c>
      <c r="AI356">
        <v>55748131</v>
      </c>
      <c r="AJ356">
        <v>320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ROW(Source!A117)</f>
        <v>117</v>
      </c>
      <c r="B357">
        <v>55748147</v>
      </c>
      <c r="C357">
        <v>55748122</v>
      </c>
      <c r="D357">
        <v>54738703</v>
      </c>
      <c r="E357">
        <v>1</v>
      </c>
      <c r="F357">
        <v>1</v>
      </c>
      <c r="G357">
        <v>1081</v>
      </c>
      <c r="H357">
        <v>3</v>
      </c>
      <c r="I357" t="s">
        <v>595</v>
      </c>
      <c r="J357" t="s">
        <v>596</v>
      </c>
      <c r="K357" t="s">
        <v>597</v>
      </c>
      <c r="L357">
        <v>1355</v>
      </c>
      <c r="N357">
        <v>1010</v>
      </c>
      <c r="O357" t="s">
        <v>254</v>
      </c>
      <c r="P357" t="s">
        <v>254</v>
      </c>
      <c r="Q357">
        <v>100</v>
      </c>
      <c r="X357">
        <v>0.72</v>
      </c>
      <c r="Y357">
        <v>496.79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48</v>
      </c>
      <c r="AG357">
        <v>0.72</v>
      </c>
      <c r="AH357">
        <v>2</v>
      </c>
      <c r="AI357">
        <v>55748132</v>
      </c>
      <c r="AJ357">
        <v>321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ROW(Source!A117)</f>
        <v>117</v>
      </c>
      <c r="B358">
        <v>55748148</v>
      </c>
      <c r="C358">
        <v>55748122</v>
      </c>
      <c r="D358">
        <v>54738704</v>
      </c>
      <c r="E358">
        <v>1</v>
      </c>
      <c r="F358">
        <v>1</v>
      </c>
      <c r="G358">
        <v>1081</v>
      </c>
      <c r="H358">
        <v>3</v>
      </c>
      <c r="I358" t="s">
        <v>598</v>
      </c>
      <c r="J358" t="s">
        <v>599</v>
      </c>
      <c r="K358" t="s">
        <v>600</v>
      </c>
      <c r="L358">
        <v>1355</v>
      </c>
      <c r="N358">
        <v>1010</v>
      </c>
      <c r="O358" t="s">
        <v>254</v>
      </c>
      <c r="P358" t="s">
        <v>254</v>
      </c>
      <c r="Q358">
        <v>100</v>
      </c>
      <c r="X358">
        <v>0.72</v>
      </c>
      <c r="Y358">
        <v>243.75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48</v>
      </c>
      <c r="AG358">
        <v>0.72</v>
      </c>
      <c r="AH358">
        <v>2</v>
      </c>
      <c r="AI358">
        <v>55748133</v>
      </c>
      <c r="AJ358">
        <v>322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ROW(Source!A117)</f>
        <v>117</v>
      </c>
      <c r="B359">
        <v>55748149</v>
      </c>
      <c r="C359">
        <v>55748122</v>
      </c>
      <c r="D359">
        <v>54737299</v>
      </c>
      <c r="E359">
        <v>1</v>
      </c>
      <c r="F359">
        <v>1</v>
      </c>
      <c r="G359">
        <v>1081</v>
      </c>
      <c r="H359">
        <v>3</v>
      </c>
      <c r="I359" t="s">
        <v>583</v>
      </c>
      <c r="J359" t="s">
        <v>584</v>
      </c>
      <c r="K359" t="s">
        <v>585</v>
      </c>
      <c r="L359">
        <v>1339</v>
      </c>
      <c r="N359">
        <v>1007</v>
      </c>
      <c r="O359" t="s">
        <v>507</v>
      </c>
      <c r="P359" t="s">
        <v>507</v>
      </c>
      <c r="Q359">
        <v>1</v>
      </c>
      <c r="X359">
        <v>0.54</v>
      </c>
      <c r="Y359">
        <v>53.42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48</v>
      </c>
      <c r="AG359">
        <v>0.54</v>
      </c>
      <c r="AH359">
        <v>2</v>
      </c>
      <c r="AI359">
        <v>55748134</v>
      </c>
      <c r="AJ359">
        <v>323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ROW(Source!A117)</f>
        <v>117</v>
      </c>
      <c r="B360">
        <v>55748150</v>
      </c>
      <c r="C360">
        <v>55748122</v>
      </c>
      <c r="D360">
        <v>54737565</v>
      </c>
      <c r="E360">
        <v>1</v>
      </c>
      <c r="F360">
        <v>1</v>
      </c>
      <c r="G360">
        <v>1081</v>
      </c>
      <c r="H360">
        <v>3</v>
      </c>
      <c r="I360" t="s">
        <v>504</v>
      </c>
      <c r="J360" t="s">
        <v>505</v>
      </c>
      <c r="K360" t="s">
        <v>506</v>
      </c>
      <c r="L360">
        <v>1339</v>
      </c>
      <c r="N360">
        <v>1007</v>
      </c>
      <c r="O360" t="s">
        <v>507</v>
      </c>
      <c r="P360" t="s">
        <v>507</v>
      </c>
      <c r="Q360">
        <v>1</v>
      </c>
      <c r="X360">
        <v>0.81</v>
      </c>
      <c r="Y360">
        <v>5.82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48</v>
      </c>
      <c r="AG360">
        <v>0.81</v>
      </c>
      <c r="AH360">
        <v>2</v>
      </c>
      <c r="AI360">
        <v>55748135</v>
      </c>
      <c r="AJ360">
        <v>324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ROW(Source!A117)</f>
        <v>117</v>
      </c>
      <c r="B361">
        <v>55748151</v>
      </c>
      <c r="C361">
        <v>55748122</v>
      </c>
      <c r="D361">
        <v>54759954</v>
      </c>
      <c r="E361">
        <v>1</v>
      </c>
      <c r="F361">
        <v>1</v>
      </c>
      <c r="G361">
        <v>1081</v>
      </c>
      <c r="H361">
        <v>3</v>
      </c>
      <c r="I361" t="s">
        <v>601</v>
      </c>
      <c r="J361" t="s">
        <v>602</v>
      </c>
      <c r="K361" t="s">
        <v>603</v>
      </c>
      <c r="L361">
        <v>1354</v>
      </c>
      <c r="N361">
        <v>1010</v>
      </c>
      <c r="O361" t="s">
        <v>118</v>
      </c>
      <c r="P361" t="s">
        <v>118</v>
      </c>
      <c r="Q361">
        <v>1</v>
      </c>
      <c r="X361">
        <v>72</v>
      </c>
      <c r="Y361">
        <v>14.28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48</v>
      </c>
      <c r="AG361">
        <v>72</v>
      </c>
      <c r="AH361">
        <v>2</v>
      </c>
      <c r="AI361">
        <v>55748136</v>
      </c>
      <c r="AJ361">
        <v>326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ROW(Source!A117)</f>
        <v>117</v>
      </c>
      <c r="B362">
        <v>55748152</v>
      </c>
      <c r="C362">
        <v>55748122</v>
      </c>
      <c r="D362">
        <v>54695275</v>
      </c>
      <c r="E362">
        <v>1081</v>
      </c>
      <c r="F362">
        <v>1</v>
      </c>
      <c r="G362">
        <v>1081</v>
      </c>
      <c r="H362">
        <v>3</v>
      </c>
      <c r="I362" t="s">
        <v>680</v>
      </c>
      <c r="J362" t="s">
        <v>3</v>
      </c>
      <c r="K362" t="s">
        <v>681</v>
      </c>
      <c r="L362">
        <v>1301</v>
      </c>
      <c r="N362">
        <v>1003</v>
      </c>
      <c r="O362" t="s">
        <v>191</v>
      </c>
      <c r="P362" t="s">
        <v>191</v>
      </c>
      <c r="Q362">
        <v>1</v>
      </c>
      <c r="X362">
        <v>100.5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48</v>
      </c>
      <c r="AG362">
        <v>100.5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ROW(Source!A120)</f>
        <v>120</v>
      </c>
      <c r="B363">
        <v>55748171</v>
      </c>
      <c r="C363">
        <v>55748154</v>
      </c>
      <c r="D363">
        <v>54702434</v>
      </c>
      <c r="E363">
        <v>1081</v>
      </c>
      <c r="F363">
        <v>1</v>
      </c>
      <c r="G363">
        <v>1081</v>
      </c>
      <c r="H363">
        <v>1</v>
      </c>
      <c r="I363" t="s">
        <v>473</v>
      </c>
      <c r="J363" t="s">
        <v>3</v>
      </c>
      <c r="K363" t="s">
        <v>474</v>
      </c>
      <c r="L363">
        <v>1191</v>
      </c>
      <c r="N363">
        <v>1013</v>
      </c>
      <c r="O363" t="s">
        <v>475</v>
      </c>
      <c r="P363" t="s">
        <v>475</v>
      </c>
      <c r="Q363">
        <v>1</v>
      </c>
      <c r="X363">
        <v>1730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 t="s">
        <v>3</v>
      </c>
      <c r="AG363">
        <v>1730</v>
      </c>
      <c r="AH363">
        <v>2</v>
      </c>
      <c r="AI363">
        <v>55748155</v>
      </c>
      <c r="AJ363">
        <v>327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ROW(Source!A120)</f>
        <v>120</v>
      </c>
      <c r="B364">
        <v>55748172</v>
      </c>
      <c r="C364">
        <v>55748154</v>
      </c>
      <c r="D364">
        <v>54767934</v>
      </c>
      <c r="E364">
        <v>1</v>
      </c>
      <c r="F364">
        <v>1</v>
      </c>
      <c r="G364">
        <v>1081</v>
      </c>
      <c r="H364">
        <v>2</v>
      </c>
      <c r="I364" t="s">
        <v>586</v>
      </c>
      <c r="J364" t="s">
        <v>587</v>
      </c>
      <c r="K364" t="s">
        <v>588</v>
      </c>
      <c r="L364">
        <v>1368</v>
      </c>
      <c r="N364">
        <v>1011</v>
      </c>
      <c r="O364" t="s">
        <v>479</v>
      </c>
      <c r="P364" t="s">
        <v>479</v>
      </c>
      <c r="Q364">
        <v>1</v>
      </c>
      <c r="X364">
        <v>13.5</v>
      </c>
      <c r="Y364">
        <v>0</v>
      </c>
      <c r="Z364">
        <v>48.07</v>
      </c>
      <c r="AA364">
        <v>12.62</v>
      </c>
      <c r="AB364">
        <v>0</v>
      </c>
      <c r="AC364">
        <v>0</v>
      </c>
      <c r="AD364">
        <v>1</v>
      </c>
      <c r="AE364">
        <v>0</v>
      </c>
      <c r="AF364" t="s">
        <v>3</v>
      </c>
      <c r="AG364">
        <v>13.5</v>
      </c>
      <c r="AH364">
        <v>2</v>
      </c>
      <c r="AI364">
        <v>55748156</v>
      </c>
      <c r="AJ364">
        <v>328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ROW(Source!A120)</f>
        <v>120</v>
      </c>
      <c r="B365">
        <v>55748173</v>
      </c>
      <c r="C365">
        <v>55748154</v>
      </c>
      <c r="D365">
        <v>54767971</v>
      </c>
      <c r="E365">
        <v>1</v>
      </c>
      <c r="F365">
        <v>1</v>
      </c>
      <c r="G365">
        <v>1081</v>
      </c>
      <c r="H365">
        <v>2</v>
      </c>
      <c r="I365" t="s">
        <v>589</v>
      </c>
      <c r="J365" t="s">
        <v>590</v>
      </c>
      <c r="K365" t="s">
        <v>591</v>
      </c>
      <c r="L365">
        <v>1368</v>
      </c>
      <c r="N365">
        <v>1011</v>
      </c>
      <c r="O365" t="s">
        <v>479</v>
      </c>
      <c r="P365" t="s">
        <v>479</v>
      </c>
      <c r="Q365">
        <v>1</v>
      </c>
      <c r="X365">
        <v>110</v>
      </c>
      <c r="Y365">
        <v>0</v>
      </c>
      <c r="Z365">
        <v>5.79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</v>
      </c>
      <c r="AG365">
        <v>110</v>
      </c>
      <c r="AH365">
        <v>2</v>
      </c>
      <c r="AI365">
        <v>55748157</v>
      </c>
      <c r="AJ365">
        <v>329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ROW(Source!A120)</f>
        <v>120</v>
      </c>
      <c r="B366">
        <v>55748174</v>
      </c>
      <c r="C366">
        <v>55748154</v>
      </c>
      <c r="D366">
        <v>54768040</v>
      </c>
      <c r="E366">
        <v>1</v>
      </c>
      <c r="F366">
        <v>1</v>
      </c>
      <c r="G366">
        <v>1081</v>
      </c>
      <c r="H366">
        <v>2</v>
      </c>
      <c r="I366" t="s">
        <v>476</v>
      </c>
      <c r="J366" t="s">
        <v>477</v>
      </c>
      <c r="K366" t="s">
        <v>478</v>
      </c>
      <c r="L366">
        <v>1368</v>
      </c>
      <c r="N366">
        <v>1011</v>
      </c>
      <c r="O366" t="s">
        <v>479</v>
      </c>
      <c r="P366" t="s">
        <v>479</v>
      </c>
      <c r="Q366">
        <v>1</v>
      </c>
      <c r="X366">
        <v>114</v>
      </c>
      <c r="Y366">
        <v>0</v>
      </c>
      <c r="Z366">
        <v>7.11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114</v>
      </c>
      <c r="AH366">
        <v>2</v>
      </c>
      <c r="AI366">
        <v>55748158</v>
      </c>
      <c r="AJ366">
        <v>330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ROW(Source!A120)</f>
        <v>120</v>
      </c>
      <c r="B367">
        <v>55748175</v>
      </c>
      <c r="C367">
        <v>55748154</v>
      </c>
      <c r="D367">
        <v>54768339</v>
      </c>
      <c r="E367">
        <v>1</v>
      </c>
      <c r="F367">
        <v>1</v>
      </c>
      <c r="G367">
        <v>1081</v>
      </c>
      <c r="H367">
        <v>2</v>
      </c>
      <c r="I367" t="s">
        <v>483</v>
      </c>
      <c r="J367" t="s">
        <v>484</v>
      </c>
      <c r="K367" t="s">
        <v>485</v>
      </c>
      <c r="L367">
        <v>1368</v>
      </c>
      <c r="N367">
        <v>1011</v>
      </c>
      <c r="O367" t="s">
        <v>479</v>
      </c>
      <c r="P367" t="s">
        <v>479</v>
      </c>
      <c r="Q367">
        <v>1</v>
      </c>
      <c r="X367">
        <v>5.36</v>
      </c>
      <c r="Y367">
        <v>0</v>
      </c>
      <c r="Z367">
        <v>83.1</v>
      </c>
      <c r="AA367">
        <v>12.62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5.36</v>
      </c>
      <c r="AH367">
        <v>2</v>
      </c>
      <c r="AI367">
        <v>55748159</v>
      </c>
      <c r="AJ367">
        <v>331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ROW(Source!A120)</f>
        <v>120</v>
      </c>
      <c r="B368">
        <v>55748176</v>
      </c>
      <c r="C368">
        <v>55748154</v>
      </c>
      <c r="D368">
        <v>54767657</v>
      </c>
      <c r="E368">
        <v>1</v>
      </c>
      <c r="F368">
        <v>1</v>
      </c>
      <c r="G368">
        <v>1081</v>
      </c>
      <c r="H368">
        <v>2</v>
      </c>
      <c r="I368" t="s">
        <v>592</v>
      </c>
      <c r="J368" t="s">
        <v>593</v>
      </c>
      <c r="K368" t="s">
        <v>594</v>
      </c>
      <c r="L368">
        <v>1368</v>
      </c>
      <c r="N368">
        <v>1011</v>
      </c>
      <c r="O368" t="s">
        <v>479</v>
      </c>
      <c r="P368" t="s">
        <v>479</v>
      </c>
      <c r="Q368">
        <v>1</v>
      </c>
      <c r="X368">
        <v>4</v>
      </c>
      <c r="Y368">
        <v>0</v>
      </c>
      <c r="Z368">
        <v>3.18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4</v>
      </c>
      <c r="AH368">
        <v>2</v>
      </c>
      <c r="AI368">
        <v>55748160</v>
      </c>
      <c r="AJ368">
        <v>332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ROW(Source!A120)</f>
        <v>120</v>
      </c>
      <c r="B369">
        <v>55748177</v>
      </c>
      <c r="C369">
        <v>55748154</v>
      </c>
      <c r="D369">
        <v>54737367</v>
      </c>
      <c r="E369">
        <v>1</v>
      </c>
      <c r="F369">
        <v>1</v>
      </c>
      <c r="G369">
        <v>1081</v>
      </c>
      <c r="H369">
        <v>3</v>
      </c>
      <c r="I369" t="s">
        <v>538</v>
      </c>
      <c r="J369" t="s">
        <v>539</v>
      </c>
      <c r="K369" t="s">
        <v>540</v>
      </c>
      <c r="L369">
        <v>1339</v>
      </c>
      <c r="N369">
        <v>1007</v>
      </c>
      <c r="O369" t="s">
        <v>507</v>
      </c>
      <c r="P369" t="s">
        <v>507</v>
      </c>
      <c r="Q369">
        <v>1</v>
      </c>
      <c r="X369">
        <v>30</v>
      </c>
      <c r="Y369">
        <v>7.07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3</v>
      </c>
      <c r="AG369">
        <v>30</v>
      </c>
      <c r="AH369">
        <v>2</v>
      </c>
      <c r="AI369">
        <v>55748161</v>
      </c>
      <c r="AJ369">
        <v>333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ROW(Source!A120)</f>
        <v>120</v>
      </c>
      <c r="B370">
        <v>55748178</v>
      </c>
      <c r="C370">
        <v>55748154</v>
      </c>
      <c r="D370">
        <v>54738430</v>
      </c>
      <c r="E370">
        <v>1</v>
      </c>
      <c r="F370">
        <v>1</v>
      </c>
      <c r="G370">
        <v>1081</v>
      </c>
      <c r="H370">
        <v>3</v>
      </c>
      <c r="I370" t="s">
        <v>562</v>
      </c>
      <c r="J370" t="s">
        <v>563</v>
      </c>
      <c r="K370" t="s">
        <v>564</v>
      </c>
      <c r="L370">
        <v>1348</v>
      </c>
      <c r="N370">
        <v>1009</v>
      </c>
      <c r="O370" t="s">
        <v>282</v>
      </c>
      <c r="P370" t="s">
        <v>282</v>
      </c>
      <c r="Q370">
        <v>1000</v>
      </c>
      <c r="X370">
        <v>2.3599999999999999E-2</v>
      </c>
      <c r="Y370">
        <v>7185.82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3</v>
      </c>
      <c r="AG370">
        <v>2.3599999999999999E-2</v>
      </c>
      <c r="AH370">
        <v>2</v>
      </c>
      <c r="AI370">
        <v>55748162</v>
      </c>
      <c r="AJ370">
        <v>334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ROW(Source!A120)</f>
        <v>120</v>
      </c>
      <c r="B371">
        <v>55748179</v>
      </c>
      <c r="C371">
        <v>55748154</v>
      </c>
      <c r="D371">
        <v>54738505</v>
      </c>
      <c r="E371">
        <v>1</v>
      </c>
      <c r="F371">
        <v>1</v>
      </c>
      <c r="G371">
        <v>1081</v>
      </c>
      <c r="H371">
        <v>3</v>
      </c>
      <c r="I371" t="s">
        <v>580</v>
      </c>
      <c r="J371" t="s">
        <v>581</v>
      </c>
      <c r="K371" t="s">
        <v>582</v>
      </c>
      <c r="L371">
        <v>1346</v>
      </c>
      <c r="N371">
        <v>1009</v>
      </c>
      <c r="O371" t="s">
        <v>503</v>
      </c>
      <c r="P371" t="s">
        <v>503</v>
      </c>
      <c r="Q371">
        <v>1</v>
      </c>
      <c r="X371">
        <v>11.6</v>
      </c>
      <c r="Y371">
        <v>21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3</v>
      </c>
      <c r="AG371">
        <v>11.6</v>
      </c>
      <c r="AH371">
        <v>2</v>
      </c>
      <c r="AI371">
        <v>55748163</v>
      </c>
      <c r="AJ371">
        <v>335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ROW(Source!A120)</f>
        <v>120</v>
      </c>
      <c r="B372">
        <v>55748180</v>
      </c>
      <c r="C372">
        <v>55748154</v>
      </c>
      <c r="D372">
        <v>54738703</v>
      </c>
      <c r="E372">
        <v>1</v>
      </c>
      <c r="F372">
        <v>1</v>
      </c>
      <c r="G372">
        <v>1081</v>
      </c>
      <c r="H372">
        <v>3</v>
      </c>
      <c r="I372" t="s">
        <v>595</v>
      </c>
      <c r="J372" t="s">
        <v>596</v>
      </c>
      <c r="K372" t="s">
        <v>597</v>
      </c>
      <c r="L372">
        <v>1355</v>
      </c>
      <c r="N372">
        <v>1010</v>
      </c>
      <c r="O372" t="s">
        <v>254</v>
      </c>
      <c r="P372" t="s">
        <v>254</v>
      </c>
      <c r="Q372">
        <v>100</v>
      </c>
      <c r="X372">
        <v>3.6</v>
      </c>
      <c r="Y372">
        <v>496.79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</v>
      </c>
      <c r="AG372">
        <v>3.6</v>
      </c>
      <c r="AH372">
        <v>2</v>
      </c>
      <c r="AI372">
        <v>55748164</v>
      </c>
      <c r="AJ372">
        <v>336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ROW(Source!A120)</f>
        <v>120</v>
      </c>
      <c r="B373">
        <v>55748181</v>
      </c>
      <c r="C373">
        <v>55748154</v>
      </c>
      <c r="D373">
        <v>54738704</v>
      </c>
      <c r="E373">
        <v>1</v>
      </c>
      <c r="F373">
        <v>1</v>
      </c>
      <c r="G373">
        <v>1081</v>
      </c>
      <c r="H373">
        <v>3</v>
      </c>
      <c r="I373" t="s">
        <v>598</v>
      </c>
      <c r="J373" t="s">
        <v>599</v>
      </c>
      <c r="K373" t="s">
        <v>600</v>
      </c>
      <c r="L373">
        <v>1355</v>
      </c>
      <c r="N373">
        <v>1010</v>
      </c>
      <c r="O373" t="s">
        <v>254</v>
      </c>
      <c r="P373" t="s">
        <v>254</v>
      </c>
      <c r="Q373">
        <v>100</v>
      </c>
      <c r="X373">
        <v>3.6</v>
      </c>
      <c r="Y373">
        <v>243.75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3.6</v>
      </c>
      <c r="AH373">
        <v>2</v>
      </c>
      <c r="AI373">
        <v>55748165</v>
      </c>
      <c r="AJ373">
        <v>337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ROW(Source!A120)</f>
        <v>120</v>
      </c>
      <c r="B374">
        <v>55748182</v>
      </c>
      <c r="C374">
        <v>55748154</v>
      </c>
      <c r="D374">
        <v>54737299</v>
      </c>
      <c r="E374">
        <v>1</v>
      </c>
      <c r="F374">
        <v>1</v>
      </c>
      <c r="G374">
        <v>1081</v>
      </c>
      <c r="H374">
        <v>3</v>
      </c>
      <c r="I374" t="s">
        <v>583</v>
      </c>
      <c r="J374" t="s">
        <v>584</v>
      </c>
      <c r="K374" t="s">
        <v>585</v>
      </c>
      <c r="L374">
        <v>1339</v>
      </c>
      <c r="N374">
        <v>1007</v>
      </c>
      <c r="O374" t="s">
        <v>507</v>
      </c>
      <c r="P374" t="s">
        <v>507</v>
      </c>
      <c r="Q374">
        <v>1</v>
      </c>
      <c r="X374">
        <v>9</v>
      </c>
      <c r="Y374">
        <v>53.42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9</v>
      </c>
      <c r="AH374">
        <v>2</v>
      </c>
      <c r="AI374">
        <v>55748166</v>
      </c>
      <c r="AJ374">
        <v>338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ROW(Source!A120)</f>
        <v>120</v>
      </c>
      <c r="B375">
        <v>55748183</v>
      </c>
      <c r="C375">
        <v>55748154</v>
      </c>
      <c r="D375">
        <v>54737565</v>
      </c>
      <c r="E375">
        <v>1</v>
      </c>
      <c r="F375">
        <v>1</v>
      </c>
      <c r="G375">
        <v>1081</v>
      </c>
      <c r="H375">
        <v>3</v>
      </c>
      <c r="I375" t="s">
        <v>504</v>
      </c>
      <c r="J375" t="s">
        <v>505</v>
      </c>
      <c r="K375" t="s">
        <v>506</v>
      </c>
      <c r="L375">
        <v>1339</v>
      </c>
      <c r="N375">
        <v>1007</v>
      </c>
      <c r="O375" t="s">
        <v>507</v>
      </c>
      <c r="P375" t="s">
        <v>507</v>
      </c>
      <c r="Q375">
        <v>1</v>
      </c>
      <c r="X375">
        <v>11.6</v>
      </c>
      <c r="Y375">
        <v>5.82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11.6</v>
      </c>
      <c r="AH375">
        <v>2</v>
      </c>
      <c r="AI375">
        <v>55748167</v>
      </c>
      <c r="AJ375">
        <v>339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ROW(Source!A120)</f>
        <v>120</v>
      </c>
      <c r="B376">
        <v>55748184</v>
      </c>
      <c r="C376">
        <v>55748154</v>
      </c>
      <c r="D376">
        <v>54759954</v>
      </c>
      <c r="E376">
        <v>1</v>
      </c>
      <c r="F376">
        <v>1</v>
      </c>
      <c r="G376">
        <v>1081</v>
      </c>
      <c r="H376">
        <v>3</v>
      </c>
      <c r="I376" t="s">
        <v>601</v>
      </c>
      <c r="J376" t="s">
        <v>602</v>
      </c>
      <c r="K376" t="s">
        <v>603</v>
      </c>
      <c r="L376">
        <v>1354</v>
      </c>
      <c r="N376">
        <v>1010</v>
      </c>
      <c r="O376" t="s">
        <v>118</v>
      </c>
      <c r="P376" t="s">
        <v>118</v>
      </c>
      <c r="Q376">
        <v>1</v>
      </c>
      <c r="X376">
        <v>360</v>
      </c>
      <c r="Y376">
        <v>14.28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3</v>
      </c>
      <c r="AG376">
        <v>360</v>
      </c>
      <c r="AH376">
        <v>2</v>
      </c>
      <c r="AI376">
        <v>55748168</v>
      </c>
      <c r="AJ376">
        <v>342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ROW(Source!A120)</f>
        <v>120</v>
      </c>
      <c r="B377">
        <v>55748185</v>
      </c>
      <c r="C377">
        <v>55748154</v>
      </c>
      <c r="D377">
        <v>54695275</v>
      </c>
      <c r="E377">
        <v>1081</v>
      </c>
      <c r="F377">
        <v>1</v>
      </c>
      <c r="G377">
        <v>1081</v>
      </c>
      <c r="H377">
        <v>3</v>
      </c>
      <c r="I377" t="s">
        <v>680</v>
      </c>
      <c r="J377" t="s">
        <v>3</v>
      </c>
      <c r="K377" t="s">
        <v>682</v>
      </c>
      <c r="L377">
        <v>1301</v>
      </c>
      <c r="N377">
        <v>1003</v>
      </c>
      <c r="O377" t="s">
        <v>191</v>
      </c>
      <c r="P377" t="s">
        <v>191</v>
      </c>
      <c r="Q377">
        <v>1</v>
      </c>
      <c r="X377">
        <v>1000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3</v>
      </c>
      <c r="AG377">
        <v>1000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ROW(Source!A121)</f>
        <v>121</v>
      </c>
      <c r="B378">
        <v>55748171</v>
      </c>
      <c r="C378">
        <v>55748154</v>
      </c>
      <c r="D378">
        <v>54702434</v>
      </c>
      <c r="E378">
        <v>1081</v>
      </c>
      <c r="F378">
        <v>1</v>
      </c>
      <c r="G378">
        <v>1081</v>
      </c>
      <c r="H378">
        <v>1</v>
      </c>
      <c r="I378" t="s">
        <v>473</v>
      </c>
      <c r="J378" t="s">
        <v>3</v>
      </c>
      <c r="K378" t="s">
        <v>474</v>
      </c>
      <c r="L378">
        <v>1191</v>
      </c>
      <c r="N378">
        <v>1013</v>
      </c>
      <c r="O378" t="s">
        <v>475</v>
      </c>
      <c r="P378" t="s">
        <v>475</v>
      </c>
      <c r="Q378">
        <v>1</v>
      </c>
      <c r="X378">
        <v>1730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3</v>
      </c>
      <c r="AG378">
        <v>1730</v>
      </c>
      <c r="AH378">
        <v>2</v>
      </c>
      <c r="AI378">
        <v>55748155</v>
      </c>
      <c r="AJ378">
        <v>343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ROW(Source!A121)</f>
        <v>121</v>
      </c>
      <c r="B379">
        <v>55748172</v>
      </c>
      <c r="C379">
        <v>55748154</v>
      </c>
      <c r="D379">
        <v>54767934</v>
      </c>
      <c r="E379">
        <v>1</v>
      </c>
      <c r="F379">
        <v>1</v>
      </c>
      <c r="G379">
        <v>1081</v>
      </c>
      <c r="H379">
        <v>2</v>
      </c>
      <c r="I379" t="s">
        <v>586</v>
      </c>
      <c r="J379" t="s">
        <v>587</v>
      </c>
      <c r="K379" t="s">
        <v>588</v>
      </c>
      <c r="L379">
        <v>1368</v>
      </c>
      <c r="N379">
        <v>1011</v>
      </c>
      <c r="O379" t="s">
        <v>479</v>
      </c>
      <c r="P379" t="s">
        <v>479</v>
      </c>
      <c r="Q379">
        <v>1</v>
      </c>
      <c r="X379">
        <v>13.5</v>
      </c>
      <c r="Y379">
        <v>0</v>
      </c>
      <c r="Z379">
        <v>48.07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13.5</v>
      </c>
      <c r="AH379">
        <v>2</v>
      </c>
      <c r="AI379">
        <v>55748156</v>
      </c>
      <c r="AJ379">
        <v>344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ROW(Source!A121)</f>
        <v>121</v>
      </c>
      <c r="B380">
        <v>55748173</v>
      </c>
      <c r="C380">
        <v>55748154</v>
      </c>
      <c r="D380">
        <v>54767971</v>
      </c>
      <c r="E380">
        <v>1</v>
      </c>
      <c r="F380">
        <v>1</v>
      </c>
      <c r="G380">
        <v>1081</v>
      </c>
      <c r="H380">
        <v>2</v>
      </c>
      <c r="I380" t="s">
        <v>589</v>
      </c>
      <c r="J380" t="s">
        <v>590</v>
      </c>
      <c r="K380" t="s">
        <v>591</v>
      </c>
      <c r="L380">
        <v>1368</v>
      </c>
      <c r="N380">
        <v>1011</v>
      </c>
      <c r="O380" t="s">
        <v>479</v>
      </c>
      <c r="P380" t="s">
        <v>479</v>
      </c>
      <c r="Q380">
        <v>1</v>
      </c>
      <c r="X380">
        <v>110</v>
      </c>
      <c r="Y380">
        <v>0</v>
      </c>
      <c r="Z380">
        <v>5.79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</v>
      </c>
      <c r="AG380">
        <v>110</v>
      </c>
      <c r="AH380">
        <v>2</v>
      </c>
      <c r="AI380">
        <v>55748157</v>
      </c>
      <c r="AJ380">
        <v>345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ROW(Source!A121)</f>
        <v>121</v>
      </c>
      <c r="B381">
        <v>55748174</v>
      </c>
      <c r="C381">
        <v>55748154</v>
      </c>
      <c r="D381">
        <v>54768040</v>
      </c>
      <c r="E381">
        <v>1</v>
      </c>
      <c r="F381">
        <v>1</v>
      </c>
      <c r="G381">
        <v>1081</v>
      </c>
      <c r="H381">
        <v>2</v>
      </c>
      <c r="I381" t="s">
        <v>476</v>
      </c>
      <c r="J381" t="s">
        <v>477</v>
      </c>
      <c r="K381" t="s">
        <v>478</v>
      </c>
      <c r="L381">
        <v>1368</v>
      </c>
      <c r="N381">
        <v>1011</v>
      </c>
      <c r="O381" t="s">
        <v>479</v>
      </c>
      <c r="P381" t="s">
        <v>479</v>
      </c>
      <c r="Q381">
        <v>1</v>
      </c>
      <c r="X381">
        <v>114</v>
      </c>
      <c r="Y381">
        <v>0</v>
      </c>
      <c r="Z381">
        <v>7.11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</v>
      </c>
      <c r="AG381">
        <v>114</v>
      </c>
      <c r="AH381">
        <v>2</v>
      </c>
      <c r="AI381">
        <v>55748158</v>
      </c>
      <c r="AJ381">
        <v>346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ROW(Source!A121)</f>
        <v>121</v>
      </c>
      <c r="B382">
        <v>55748175</v>
      </c>
      <c r="C382">
        <v>55748154</v>
      </c>
      <c r="D382">
        <v>54768339</v>
      </c>
      <c r="E382">
        <v>1</v>
      </c>
      <c r="F382">
        <v>1</v>
      </c>
      <c r="G382">
        <v>1081</v>
      </c>
      <c r="H382">
        <v>2</v>
      </c>
      <c r="I382" t="s">
        <v>483</v>
      </c>
      <c r="J382" t="s">
        <v>484</v>
      </c>
      <c r="K382" t="s">
        <v>485</v>
      </c>
      <c r="L382">
        <v>1368</v>
      </c>
      <c r="N382">
        <v>1011</v>
      </c>
      <c r="O382" t="s">
        <v>479</v>
      </c>
      <c r="P382" t="s">
        <v>479</v>
      </c>
      <c r="Q382">
        <v>1</v>
      </c>
      <c r="X382">
        <v>5.36</v>
      </c>
      <c r="Y382">
        <v>0</v>
      </c>
      <c r="Z382">
        <v>83.1</v>
      </c>
      <c r="AA382">
        <v>12.62</v>
      </c>
      <c r="AB382">
        <v>0</v>
      </c>
      <c r="AC382">
        <v>0</v>
      </c>
      <c r="AD382">
        <v>1</v>
      </c>
      <c r="AE382">
        <v>0</v>
      </c>
      <c r="AF382" t="s">
        <v>3</v>
      </c>
      <c r="AG382">
        <v>5.36</v>
      </c>
      <c r="AH382">
        <v>2</v>
      </c>
      <c r="AI382">
        <v>55748159</v>
      </c>
      <c r="AJ382">
        <v>347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ROW(Source!A121)</f>
        <v>121</v>
      </c>
      <c r="B383">
        <v>55748176</v>
      </c>
      <c r="C383">
        <v>55748154</v>
      </c>
      <c r="D383">
        <v>54767657</v>
      </c>
      <c r="E383">
        <v>1</v>
      </c>
      <c r="F383">
        <v>1</v>
      </c>
      <c r="G383">
        <v>1081</v>
      </c>
      <c r="H383">
        <v>2</v>
      </c>
      <c r="I383" t="s">
        <v>592</v>
      </c>
      <c r="J383" t="s">
        <v>593</v>
      </c>
      <c r="K383" t="s">
        <v>594</v>
      </c>
      <c r="L383">
        <v>1368</v>
      </c>
      <c r="N383">
        <v>1011</v>
      </c>
      <c r="O383" t="s">
        <v>479</v>
      </c>
      <c r="P383" t="s">
        <v>479</v>
      </c>
      <c r="Q383">
        <v>1</v>
      </c>
      <c r="X383">
        <v>4</v>
      </c>
      <c r="Y383">
        <v>0</v>
      </c>
      <c r="Z383">
        <v>3.18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</v>
      </c>
      <c r="AG383">
        <v>4</v>
      </c>
      <c r="AH383">
        <v>2</v>
      </c>
      <c r="AI383">
        <v>55748160</v>
      </c>
      <c r="AJ383">
        <v>348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ROW(Source!A121)</f>
        <v>121</v>
      </c>
      <c r="B384">
        <v>55748177</v>
      </c>
      <c r="C384">
        <v>55748154</v>
      </c>
      <c r="D384">
        <v>54737367</v>
      </c>
      <c r="E384">
        <v>1</v>
      </c>
      <c r="F384">
        <v>1</v>
      </c>
      <c r="G384">
        <v>1081</v>
      </c>
      <c r="H384">
        <v>3</v>
      </c>
      <c r="I384" t="s">
        <v>538</v>
      </c>
      <c r="J384" t="s">
        <v>539</v>
      </c>
      <c r="K384" t="s">
        <v>540</v>
      </c>
      <c r="L384">
        <v>1339</v>
      </c>
      <c r="N384">
        <v>1007</v>
      </c>
      <c r="O384" t="s">
        <v>507</v>
      </c>
      <c r="P384" t="s">
        <v>507</v>
      </c>
      <c r="Q384">
        <v>1</v>
      </c>
      <c r="X384">
        <v>30</v>
      </c>
      <c r="Y384">
        <v>7.07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</v>
      </c>
      <c r="AG384">
        <v>30</v>
      </c>
      <c r="AH384">
        <v>2</v>
      </c>
      <c r="AI384">
        <v>55748161</v>
      </c>
      <c r="AJ384">
        <v>349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ROW(Source!A121)</f>
        <v>121</v>
      </c>
      <c r="B385">
        <v>55748178</v>
      </c>
      <c r="C385">
        <v>55748154</v>
      </c>
      <c r="D385">
        <v>54738430</v>
      </c>
      <c r="E385">
        <v>1</v>
      </c>
      <c r="F385">
        <v>1</v>
      </c>
      <c r="G385">
        <v>1081</v>
      </c>
      <c r="H385">
        <v>3</v>
      </c>
      <c r="I385" t="s">
        <v>562</v>
      </c>
      <c r="J385" t="s">
        <v>563</v>
      </c>
      <c r="K385" t="s">
        <v>564</v>
      </c>
      <c r="L385">
        <v>1348</v>
      </c>
      <c r="N385">
        <v>1009</v>
      </c>
      <c r="O385" t="s">
        <v>282</v>
      </c>
      <c r="P385" t="s">
        <v>282</v>
      </c>
      <c r="Q385">
        <v>1000</v>
      </c>
      <c r="X385">
        <v>2.3599999999999999E-2</v>
      </c>
      <c r="Y385">
        <v>7185.82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3</v>
      </c>
      <c r="AG385">
        <v>2.3599999999999999E-2</v>
      </c>
      <c r="AH385">
        <v>2</v>
      </c>
      <c r="AI385">
        <v>55748162</v>
      </c>
      <c r="AJ385">
        <v>350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ROW(Source!A121)</f>
        <v>121</v>
      </c>
      <c r="B386">
        <v>55748179</v>
      </c>
      <c r="C386">
        <v>55748154</v>
      </c>
      <c r="D386">
        <v>54738505</v>
      </c>
      <c r="E386">
        <v>1</v>
      </c>
      <c r="F386">
        <v>1</v>
      </c>
      <c r="G386">
        <v>1081</v>
      </c>
      <c r="H386">
        <v>3</v>
      </c>
      <c r="I386" t="s">
        <v>580</v>
      </c>
      <c r="J386" t="s">
        <v>581</v>
      </c>
      <c r="K386" t="s">
        <v>582</v>
      </c>
      <c r="L386">
        <v>1346</v>
      </c>
      <c r="N386">
        <v>1009</v>
      </c>
      <c r="O386" t="s">
        <v>503</v>
      </c>
      <c r="P386" t="s">
        <v>503</v>
      </c>
      <c r="Q386">
        <v>1</v>
      </c>
      <c r="X386">
        <v>11.6</v>
      </c>
      <c r="Y386">
        <v>21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3</v>
      </c>
      <c r="AG386">
        <v>11.6</v>
      </c>
      <c r="AH386">
        <v>2</v>
      </c>
      <c r="AI386">
        <v>55748163</v>
      </c>
      <c r="AJ386">
        <v>351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ROW(Source!A121)</f>
        <v>121</v>
      </c>
      <c r="B387">
        <v>55748180</v>
      </c>
      <c r="C387">
        <v>55748154</v>
      </c>
      <c r="D387">
        <v>54738703</v>
      </c>
      <c r="E387">
        <v>1</v>
      </c>
      <c r="F387">
        <v>1</v>
      </c>
      <c r="G387">
        <v>1081</v>
      </c>
      <c r="H387">
        <v>3</v>
      </c>
      <c r="I387" t="s">
        <v>595</v>
      </c>
      <c r="J387" t="s">
        <v>596</v>
      </c>
      <c r="K387" t="s">
        <v>597</v>
      </c>
      <c r="L387">
        <v>1355</v>
      </c>
      <c r="N387">
        <v>1010</v>
      </c>
      <c r="O387" t="s">
        <v>254</v>
      </c>
      <c r="P387" t="s">
        <v>254</v>
      </c>
      <c r="Q387">
        <v>100</v>
      </c>
      <c r="X387">
        <v>3.6</v>
      </c>
      <c r="Y387">
        <v>496.79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3.6</v>
      </c>
      <c r="AH387">
        <v>2</v>
      </c>
      <c r="AI387">
        <v>55748164</v>
      </c>
      <c r="AJ387">
        <v>352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ROW(Source!A121)</f>
        <v>121</v>
      </c>
      <c r="B388">
        <v>55748181</v>
      </c>
      <c r="C388">
        <v>55748154</v>
      </c>
      <c r="D388">
        <v>54738704</v>
      </c>
      <c r="E388">
        <v>1</v>
      </c>
      <c r="F388">
        <v>1</v>
      </c>
      <c r="G388">
        <v>1081</v>
      </c>
      <c r="H388">
        <v>3</v>
      </c>
      <c r="I388" t="s">
        <v>598</v>
      </c>
      <c r="J388" t="s">
        <v>599</v>
      </c>
      <c r="K388" t="s">
        <v>600</v>
      </c>
      <c r="L388">
        <v>1355</v>
      </c>
      <c r="N388">
        <v>1010</v>
      </c>
      <c r="O388" t="s">
        <v>254</v>
      </c>
      <c r="P388" t="s">
        <v>254</v>
      </c>
      <c r="Q388">
        <v>100</v>
      </c>
      <c r="X388">
        <v>3.6</v>
      </c>
      <c r="Y388">
        <v>243.75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3.6</v>
      </c>
      <c r="AH388">
        <v>2</v>
      </c>
      <c r="AI388">
        <v>55748165</v>
      </c>
      <c r="AJ388">
        <v>353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ROW(Source!A121)</f>
        <v>121</v>
      </c>
      <c r="B389">
        <v>55748182</v>
      </c>
      <c r="C389">
        <v>55748154</v>
      </c>
      <c r="D389">
        <v>54737299</v>
      </c>
      <c r="E389">
        <v>1</v>
      </c>
      <c r="F389">
        <v>1</v>
      </c>
      <c r="G389">
        <v>1081</v>
      </c>
      <c r="H389">
        <v>3</v>
      </c>
      <c r="I389" t="s">
        <v>583</v>
      </c>
      <c r="J389" t="s">
        <v>584</v>
      </c>
      <c r="K389" t="s">
        <v>585</v>
      </c>
      <c r="L389">
        <v>1339</v>
      </c>
      <c r="N389">
        <v>1007</v>
      </c>
      <c r="O389" t="s">
        <v>507</v>
      </c>
      <c r="P389" t="s">
        <v>507</v>
      </c>
      <c r="Q389">
        <v>1</v>
      </c>
      <c r="X389">
        <v>9</v>
      </c>
      <c r="Y389">
        <v>53.42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9</v>
      </c>
      <c r="AH389">
        <v>2</v>
      </c>
      <c r="AI389">
        <v>55748166</v>
      </c>
      <c r="AJ389">
        <v>354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ROW(Source!A121)</f>
        <v>121</v>
      </c>
      <c r="B390">
        <v>55748183</v>
      </c>
      <c r="C390">
        <v>55748154</v>
      </c>
      <c r="D390">
        <v>54737565</v>
      </c>
      <c r="E390">
        <v>1</v>
      </c>
      <c r="F390">
        <v>1</v>
      </c>
      <c r="G390">
        <v>1081</v>
      </c>
      <c r="H390">
        <v>3</v>
      </c>
      <c r="I390" t="s">
        <v>504</v>
      </c>
      <c r="J390" t="s">
        <v>505</v>
      </c>
      <c r="K390" t="s">
        <v>506</v>
      </c>
      <c r="L390">
        <v>1339</v>
      </c>
      <c r="N390">
        <v>1007</v>
      </c>
      <c r="O390" t="s">
        <v>507</v>
      </c>
      <c r="P390" t="s">
        <v>507</v>
      </c>
      <c r="Q390">
        <v>1</v>
      </c>
      <c r="X390">
        <v>11.6</v>
      </c>
      <c r="Y390">
        <v>5.82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11.6</v>
      </c>
      <c r="AH390">
        <v>2</v>
      </c>
      <c r="AI390">
        <v>55748167</v>
      </c>
      <c r="AJ390">
        <v>355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ROW(Source!A121)</f>
        <v>121</v>
      </c>
      <c r="B391">
        <v>55748184</v>
      </c>
      <c r="C391">
        <v>55748154</v>
      </c>
      <c r="D391">
        <v>54759954</v>
      </c>
      <c r="E391">
        <v>1</v>
      </c>
      <c r="F391">
        <v>1</v>
      </c>
      <c r="G391">
        <v>1081</v>
      </c>
      <c r="H391">
        <v>3</v>
      </c>
      <c r="I391" t="s">
        <v>601</v>
      </c>
      <c r="J391" t="s">
        <v>602</v>
      </c>
      <c r="K391" t="s">
        <v>603</v>
      </c>
      <c r="L391">
        <v>1354</v>
      </c>
      <c r="N391">
        <v>1010</v>
      </c>
      <c r="O391" t="s">
        <v>118</v>
      </c>
      <c r="P391" t="s">
        <v>118</v>
      </c>
      <c r="Q391">
        <v>1</v>
      </c>
      <c r="X391">
        <v>360</v>
      </c>
      <c r="Y391">
        <v>14.28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</v>
      </c>
      <c r="AG391">
        <v>360</v>
      </c>
      <c r="AH391">
        <v>2</v>
      </c>
      <c r="AI391">
        <v>55748168</v>
      </c>
      <c r="AJ391">
        <v>358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ROW(Source!A121)</f>
        <v>121</v>
      </c>
      <c r="B392">
        <v>55748185</v>
      </c>
      <c r="C392">
        <v>55748154</v>
      </c>
      <c r="D392">
        <v>54695275</v>
      </c>
      <c r="E392">
        <v>1081</v>
      </c>
      <c r="F392">
        <v>1</v>
      </c>
      <c r="G392">
        <v>1081</v>
      </c>
      <c r="H392">
        <v>3</v>
      </c>
      <c r="I392" t="s">
        <v>680</v>
      </c>
      <c r="J392" t="s">
        <v>3</v>
      </c>
      <c r="K392" t="s">
        <v>682</v>
      </c>
      <c r="L392">
        <v>1301</v>
      </c>
      <c r="N392">
        <v>1003</v>
      </c>
      <c r="O392" t="s">
        <v>191</v>
      </c>
      <c r="P392" t="s">
        <v>191</v>
      </c>
      <c r="Q392">
        <v>1</v>
      </c>
      <c r="X392">
        <v>1000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3</v>
      </c>
      <c r="AG392">
        <v>1000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ROW(Source!A126)</f>
        <v>126</v>
      </c>
      <c r="B393">
        <v>55748205</v>
      </c>
      <c r="C393">
        <v>55748188</v>
      </c>
      <c r="D393">
        <v>54702434</v>
      </c>
      <c r="E393">
        <v>1081</v>
      </c>
      <c r="F393">
        <v>1</v>
      </c>
      <c r="G393">
        <v>1081</v>
      </c>
      <c r="H393">
        <v>1</v>
      </c>
      <c r="I393" t="s">
        <v>473</v>
      </c>
      <c r="J393" t="s">
        <v>3</v>
      </c>
      <c r="K393" t="s">
        <v>474</v>
      </c>
      <c r="L393">
        <v>1191</v>
      </c>
      <c r="N393">
        <v>1013</v>
      </c>
      <c r="O393" t="s">
        <v>475</v>
      </c>
      <c r="P393" t="s">
        <v>475</v>
      </c>
      <c r="Q393">
        <v>1</v>
      </c>
      <c r="X393">
        <v>139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49</v>
      </c>
      <c r="AG393">
        <v>166.79999999999998</v>
      </c>
      <c r="AH393">
        <v>2</v>
      </c>
      <c r="AI393">
        <v>55748189</v>
      </c>
      <c r="AJ393">
        <v>359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ROW(Source!A126)</f>
        <v>126</v>
      </c>
      <c r="B394">
        <v>55748206</v>
      </c>
      <c r="C394">
        <v>55748188</v>
      </c>
      <c r="D394">
        <v>54767934</v>
      </c>
      <c r="E394">
        <v>1</v>
      </c>
      <c r="F394">
        <v>1</v>
      </c>
      <c r="G394">
        <v>1081</v>
      </c>
      <c r="H394">
        <v>2</v>
      </c>
      <c r="I394" t="s">
        <v>586</v>
      </c>
      <c r="J394" t="s">
        <v>587</v>
      </c>
      <c r="K394" t="s">
        <v>588</v>
      </c>
      <c r="L394">
        <v>1368</v>
      </c>
      <c r="N394">
        <v>1011</v>
      </c>
      <c r="O394" t="s">
        <v>479</v>
      </c>
      <c r="P394" t="s">
        <v>479</v>
      </c>
      <c r="Q394">
        <v>1</v>
      </c>
      <c r="X394">
        <v>7.5</v>
      </c>
      <c r="Y394">
        <v>0</v>
      </c>
      <c r="Z394">
        <v>48.07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49</v>
      </c>
      <c r="AG394">
        <v>9</v>
      </c>
      <c r="AH394">
        <v>2</v>
      </c>
      <c r="AI394">
        <v>55748190</v>
      </c>
      <c r="AJ394">
        <v>360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ROW(Source!A126)</f>
        <v>126</v>
      </c>
      <c r="B395">
        <v>55748207</v>
      </c>
      <c r="C395">
        <v>55748188</v>
      </c>
      <c r="D395">
        <v>54767971</v>
      </c>
      <c r="E395">
        <v>1</v>
      </c>
      <c r="F395">
        <v>1</v>
      </c>
      <c r="G395">
        <v>1081</v>
      </c>
      <c r="H395">
        <v>2</v>
      </c>
      <c r="I395" t="s">
        <v>589</v>
      </c>
      <c r="J395" t="s">
        <v>590</v>
      </c>
      <c r="K395" t="s">
        <v>591</v>
      </c>
      <c r="L395">
        <v>1368</v>
      </c>
      <c r="N395">
        <v>1011</v>
      </c>
      <c r="O395" t="s">
        <v>479</v>
      </c>
      <c r="P395" t="s">
        <v>479</v>
      </c>
      <c r="Q395">
        <v>1</v>
      </c>
      <c r="X395">
        <v>7</v>
      </c>
      <c r="Y395">
        <v>0</v>
      </c>
      <c r="Z395">
        <v>5.79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49</v>
      </c>
      <c r="AG395">
        <v>8.4</v>
      </c>
      <c r="AH395">
        <v>2</v>
      </c>
      <c r="AI395">
        <v>55748191</v>
      </c>
      <c r="AJ395">
        <v>361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ROW(Source!A126)</f>
        <v>126</v>
      </c>
      <c r="B396">
        <v>55748208</v>
      </c>
      <c r="C396">
        <v>55748188</v>
      </c>
      <c r="D396">
        <v>54768040</v>
      </c>
      <c r="E396">
        <v>1</v>
      </c>
      <c r="F396">
        <v>1</v>
      </c>
      <c r="G396">
        <v>1081</v>
      </c>
      <c r="H396">
        <v>2</v>
      </c>
      <c r="I396" t="s">
        <v>476</v>
      </c>
      <c r="J396" t="s">
        <v>477</v>
      </c>
      <c r="K396" t="s">
        <v>478</v>
      </c>
      <c r="L396">
        <v>1368</v>
      </c>
      <c r="N396">
        <v>1011</v>
      </c>
      <c r="O396" t="s">
        <v>479</v>
      </c>
      <c r="P396" t="s">
        <v>479</v>
      </c>
      <c r="Q396">
        <v>1</v>
      </c>
      <c r="X396">
        <v>9.32</v>
      </c>
      <c r="Y396">
        <v>0</v>
      </c>
      <c r="Z396">
        <v>7.11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49</v>
      </c>
      <c r="AG396">
        <v>11.183999999999999</v>
      </c>
      <c r="AH396">
        <v>2</v>
      </c>
      <c r="AI396">
        <v>55748192</v>
      </c>
      <c r="AJ396">
        <v>362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ROW(Source!A126)</f>
        <v>126</v>
      </c>
      <c r="B397">
        <v>55748209</v>
      </c>
      <c r="C397">
        <v>55748188</v>
      </c>
      <c r="D397">
        <v>54768339</v>
      </c>
      <c r="E397">
        <v>1</v>
      </c>
      <c r="F397">
        <v>1</v>
      </c>
      <c r="G397">
        <v>1081</v>
      </c>
      <c r="H397">
        <v>2</v>
      </c>
      <c r="I397" t="s">
        <v>483</v>
      </c>
      <c r="J397" t="s">
        <v>484</v>
      </c>
      <c r="K397" t="s">
        <v>485</v>
      </c>
      <c r="L397">
        <v>1368</v>
      </c>
      <c r="N397">
        <v>1011</v>
      </c>
      <c r="O397" t="s">
        <v>479</v>
      </c>
      <c r="P397" t="s">
        <v>479</v>
      </c>
      <c r="Q397">
        <v>1</v>
      </c>
      <c r="X397">
        <v>0.54</v>
      </c>
      <c r="Y397">
        <v>0</v>
      </c>
      <c r="Z397">
        <v>83.1</v>
      </c>
      <c r="AA397">
        <v>12.62</v>
      </c>
      <c r="AB397">
        <v>0</v>
      </c>
      <c r="AC397">
        <v>0</v>
      </c>
      <c r="AD397">
        <v>1</v>
      </c>
      <c r="AE397">
        <v>0</v>
      </c>
      <c r="AF397" t="s">
        <v>49</v>
      </c>
      <c r="AG397">
        <v>0.64800000000000002</v>
      </c>
      <c r="AH397">
        <v>2</v>
      </c>
      <c r="AI397">
        <v>55748193</v>
      </c>
      <c r="AJ397">
        <v>363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ROW(Source!A126)</f>
        <v>126</v>
      </c>
      <c r="B398">
        <v>55748210</v>
      </c>
      <c r="C398">
        <v>55748188</v>
      </c>
      <c r="D398">
        <v>54767657</v>
      </c>
      <c r="E398">
        <v>1</v>
      </c>
      <c r="F398">
        <v>1</v>
      </c>
      <c r="G398">
        <v>1081</v>
      </c>
      <c r="H398">
        <v>2</v>
      </c>
      <c r="I398" t="s">
        <v>592</v>
      </c>
      <c r="J398" t="s">
        <v>593</v>
      </c>
      <c r="K398" t="s">
        <v>594</v>
      </c>
      <c r="L398">
        <v>1368</v>
      </c>
      <c r="N398">
        <v>1011</v>
      </c>
      <c r="O398" t="s">
        <v>479</v>
      </c>
      <c r="P398" t="s">
        <v>479</v>
      </c>
      <c r="Q398">
        <v>1</v>
      </c>
      <c r="X398">
        <v>0.4</v>
      </c>
      <c r="Y398">
        <v>0</v>
      </c>
      <c r="Z398">
        <v>3.18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49</v>
      </c>
      <c r="AG398">
        <v>0.48</v>
      </c>
      <c r="AH398">
        <v>2</v>
      </c>
      <c r="AI398">
        <v>55748194</v>
      </c>
      <c r="AJ398">
        <v>364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ROW(Source!A126)</f>
        <v>126</v>
      </c>
      <c r="B399">
        <v>55748211</v>
      </c>
      <c r="C399">
        <v>55748188</v>
      </c>
      <c r="D399">
        <v>54737367</v>
      </c>
      <c r="E399">
        <v>1</v>
      </c>
      <c r="F399">
        <v>1</v>
      </c>
      <c r="G399">
        <v>1081</v>
      </c>
      <c r="H399">
        <v>3</v>
      </c>
      <c r="I399" t="s">
        <v>538</v>
      </c>
      <c r="J399" t="s">
        <v>539</v>
      </c>
      <c r="K399" t="s">
        <v>540</v>
      </c>
      <c r="L399">
        <v>1339</v>
      </c>
      <c r="N399">
        <v>1007</v>
      </c>
      <c r="O399" t="s">
        <v>507</v>
      </c>
      <c r="P399" t="s">
        <v>507</v>
      </c>
      <c r="Q399">
        <v>1</v>
      </c>
      <c r="X399">
        <v>3</v>
      </c>
      <c r="Y399">
        <v>7.07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48</v>
      </c>
      <c r="AG399">
        <v>3</v>
      </c>
      <c r="AH399">
        <v>2</v>
      </c>
      <c r="AI399">
        <v>55748195</v>
      </c>
      <c r="AJ399">
        <v>365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ROW(Source!A126)</f>
        <v>126</v>
      </c>
      <c r="B400">
        <v>55748212</v>
      </c>
      <c r="C400">
        <v>55748188</v>
      </c>
      <c r="D400">
        <v>54738430</v>
      </c>
      <c r="E400">
        <v>1</v>
      </c>
      <c r="F400">
        <v>1</v>
      </c>
      <c r="G400">
        <v>1081</v>
      </c>
      <c r="H400">
        <v>3</v>
      </c>
      <c r="I400" t="s">
        <v>562</v>
      </c>
      <c r="J400" t="s">
        <v>563</v>
      </c>
      <c r="K400" t="s">
        <v>564</v>
      </c>
      <c r="L400">
        <v>1348</v>
      </c>
      <c r="N400">
        <v>1009</v>
      </c>
      <c r="O400" t="s">
        <v>282</v>
      </c>
      <c r="P400" t="s">
        <v>282</v>
      </c>
      <c r="Q400">
        <v>1000</v>
      </c>
      <c r="X400">
        <v>1.56E-3</v>
      </c>
      <c r="Y400">
        <v>7185.82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48</v>
      </c>
      <c r="AG400">
        <v>1.56E-3</v>
      </c>
      <c r="AH400">
        <v>2</v>
      </c>
      <c r="AI400">
        <v>55748196</v>
      </c>
      <c r="AJ400">
        <v>366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ROW(Source!A126)</f>
        <v>126</v>
      </c>
      <c r="B401">
        <v>55748213</v>
      </c>
      <c r="C401">
        <v>55748188</v>
      </c>
      <c r="D401">
        <v>54738505</v>
      </c>
      <c r="E401">
        <v>1</v>
      </c>
      <c r="F401">
        <v>1</v>
      </c>
      <c r="G401">
        <v>1081</v>
      </c>
      <c r="H401">
        <v>3</v>
      </c>
      <c r="I401" t="s">
        <v>580</v>
      </c>
      <c r="J401" t="s">
        <v>581</v>
      </c>
      <c r="K401" t="s">
        <v>582</v>
      </c>
      <c r="L401">
        <v>1346</v>
      </c>
      <c r="N401">
        <v>1009</v>
      </c>
      <c r="O401" t="s">
        <v>503</v>
      </c>
      <c r="P401" t="s">
        <v>503</v>
      </c>
      <c r="Q401">
        <v>1</v>
      </c>
      <c r="X401">
        <v>0.76</v>
      </c>
      <c r="Y401">
        <v>21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48</v>
      </c>
      <c r="AG401">
        <v>0.76</v>
      </c>
      <c r="AH401">
        <v>2</v>
      </c>
      <c r="AI401">
        <v>55748197</v>
      </c>
      <c r="AJ401">
        <v>367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ROW(Source!A126)</f>
        <v>126</v>
      </c>
      <c r="B402">
        <v>55748214</v>
      </c>
      <c r="C402">
        <v>55748188</v>
      </c>
      <c r="D402">
        <v>54738703</v>
      </c>
      <c r="E402">
        <v>1</v>
      </c>
      <c r="F402">
        <v>1</v>
      </c>
      <c r="G402">
        <v>1081</v>
      </c>
      <c r="H402">
        <v>3</v>
      </c>
      <c r="I402" t="s">
        <v>595</v>
      </c>
      <c r="J402" t="s">
        <v>596</v>
      </c>
      <c r="K402" t="s">
        <v>597</v>
      </c>
      <c r="L402">
        <v>1355</v>
      </c>
      <c r="N402">
        <v>1010</v>
      </c>
      <c r="O402" t="s">
        <v>254</v>
      </c>
      <c r="P402" t="s">
        <v>254</v>
      </c>
      <c r="Q402">
        <v>100</v>
      </c>
      <c r="X402">
        <v>0.36</v>
      </c>
      <c r="Y402">
        <v>496.79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48</v>
      </c>
      <c r="AG402">
        <v>0.36</v>
      </c>
      <c r="AH402">
        <v>2</v>
      </c>
      <c r="AI402">
        <v>55748198</v>
      </c>
      <c r="AJ402">
        <v>368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ROW(Source!A126)</f>
        <v>126</v>
      </c>
      <c r="B403">
        <v>55748215</v>
      </c>
      <c r="C403">
        <v>55748188</v>
      </c>
      <c r="D403">
        <v>54738704</v>
      </c>
      <c r="E403">
        <v>1</v>
      </c>
      <c r="F403">
        <v>1</v>
      </c>
      <c r="G403">
        <v>1081</v>
      </c>
      <c r="H403">
        <v>3</v>
      </c>
      <c r="I403" t="s">
        <v>598</v>
      </c>
      <c r="J403" t="s">
        <v>599</v>
      </c>
      <c r="K403" t="s">
        <v>600</v>
      </c>
      <c r="L403">
        <v>1355</v>
      </c>
      <c r="N403">
        <v>1010</v>
      </c>
      <c r="O403" t="s">
        <v>254</v>
      </c>
      <c r="P403" t="s">
        <v>254</v>
      </c>
      <c r="Q403">
        <v>100</v>
      </c>
      <c r="X403">
        <v>0.36</v>
      </c>
      <c r="Y403">
        <v>243.75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48</v>
      </c>
      <c r="AG403">
        <v>0.36</v>
      </c>
      <c r="AH403">
        <v>2</v>
      </c>
      <c r="AI403">
        <v>55748199</v>
      </c>
      <c r="AJ403">
        <v>369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ROW(Source!A126)</f>
        <v>126</v>
      </c>
      <c r="B404">
        <v>55748216</v>
      </c>
      <c r="C404">
        <v>55748188</v>
      </c>
      <c r="D404">
        <v>54737299</v>
      </c>
      <c r="E404">
        <v>1</v>
      </c>
      <c r="F404">
        <v>1</v>
      </c>
      <c r="G404">
        <v>1081</v>
      </c>
      <c r="H404">
        <v>3</v>
      </c>
      <c r="I404" t="s">
        <v>583</v>
      </c>
      <c r="J404" t="s">
        <v>584</v>
      </c>
      <c r="K404" t="s">
        <v>585</v>
      </c>
      <c r="L404">
        <v>1339</v>
      </c>
      <c r="N404">
        <v>1007</v>
      </c>
      <c r="O404" t="s">
        <v>507</v>
      </c>
      <c r="P404" t="s">
        <v>507</v>
      </c>
      <c r="Q404">
        <v>1</v>
      </c>
      <c r="X404">
        <v>0.59</v>
      </c>
      <c r="Y404">
        <v>53.42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48</v>
      </c>
      <c r="AG404">
        <v>0.59</v>
      </c>
      <c r="AH404">
        <v>2</v>
      </c>
      <c r="AI404">
        <v>55748200</v>
      </c>
      <c r="AJ404">
        <v>370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ROW(Source!A126)</f>
        <v>126</v>
      </c>
      <c r="B405">
        <v>55748217</v>
      </c>
      <c r="C405">
        <v>55748188</v>
      </c>
      <c r="D405">
        <v>54737565</v>
      </c>
      <c r="E405">
        <v>1</v>
      </c>
      <c r="F405">
        <v>1</v>
      </c>
      <c r="G405">
        <v>1081</v>
      </c>
      <c r="H405">
        <v>3</v>
      </c>
      <c r="I405" t="s">
        <v>504</v>
      </c>
      <c r="J405" t="s">
        <v>505</v>
      </c>
      <c r="K405" t="s">
        <v>506</v>
      </c>
      <c r="L405">
        <v>1339</v>
      </c>
      <c r="N405">
        <v>1007</v>
      </c>
      <c r="O405" t="s">
        <v>507</v>
      </c>
      <c r="P405" t="s">
        <v>507</v>
      </c>
      <c r="Q405">
        <v>1</v>
      </c>
      <c r="X405">
        <v>0.76</v>
      </c>
      <c r="Y405">
        <v>5.82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48</v>
      </c>
      <c r="AG405">
        <v>0.76</v>
      </c>
      <c r="AH405">
        <v>2</v>
      </c>
      <c r="AI405">
        <v>55748201</v>
      </c>
      <c r="AJ405">
        <v>371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ROW(Source!A126)</f>
        <v>126</v>
      </c>
      <c r="B406">
        <v>55748218</v>
      </c>
      <c r="C406">
        <v>55748188</v>
      </c>
      <c r="D406">
        <v>54759954</v>
      </c>
      <c r="E406">
        <v>1</v>
      </c>
      <c r="F406">
        <v>1</v>
      </c>
      <c r="G406">
        <v>1081</v>
      </c>
      <c r="H406">
        <v>3</v>
      </c>
      <c r="I406" t="s">
        <v>601</v>
      </c>
      <c r="J406" t="s">
        <v>602</v>
      </c>
      <c r="K406" t="s">
        <v>603</v>
      </c>
      <c r="L406">
        <v>1354</v>
      </c>
      <c r="N406">
        <v>1010</v>
      </c>
      <c r="O406" t="s">
        <v>118</v>
      </c>
      <c r="P406" t="s">
        <v>118</v>
      </c>
      <c r="Q406">
        <v>1</v>
      </c>
      <c r="X406">
        <v>36</v>
      </c>
      <c r="Y406">
        <v>14.28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48</v>
      </c>
      <c r="AG406">
        <v>36</v>
      </c>
      <c r="AH406">
        <v>2</v>
      </c>
      <c r="AI406">
        <v>55748202</v>
      </c>
      <c r="AJ406">
        <v>374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ROW(Source!A126)</f>
        <v>126</v>
      </c>
      <c r="B407">
        <v>55748219</v>
      </c>
      <c r="C407">
        <v>55748188</v>
      </c>
      <c r="D407">
        <v>54695275</v>
      </c>
      <c r="E407">
        <v>1081</v>
      </c>
      <c r="F407">
        <v>1</v>
      </c>
      <c r="G407">
        <v>1081</v>
      </c>
      <c r="H407">
        <v>3</v>
      </c>
      <c r="I407" t="s">
        <v>680</v>
      </c>
      <c r="J407" t="s">
        <v>3</v>
      </c>
      <c r="K407" t="s">
        <v>681</v>
      </c>
      <c r="L407">
        <v>1301</v>
      </c>
      <c r="N407">
        <v>1003</v>
      </c>
      <c r="O407" t="s">
        <v>191</v>
      </c>
      <c r="P407" t="s">
        <v>191</v>
      </c>
      <c r="Q407">
        <v>1</v>
      </c>
      <c r="X407">
        <v>100.5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48</v>
      </c>
      <c r="AG407">
        <v>100.5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ROW(Source!A127)</f>
        <v>127</v>
      </c>
      <c r="B408">
        <v>55748205</v>
      </c>
      <c r="C408">
        <v>55748188</v>
      </c>
      <c r="D408">
        <v>54702434</v>
      </c>
      <c r="E408">
        <v>1081</v>
      </c>
      <c r="F408">
        <v>1</v>
      </c>
      <c r="G408">
        <v>1081</v>
      </c>
      <c r="H408">
        <v>1</v>
      </c>
      <c r="I408" t="s">
        <v>473</v>
      </c>
      <c r="J408" t="s">
        <v>3</v>
      </c>
      <c r="K408" t="s">
        <v>474</v>
      </c>
      <c r="L408">
        <v>1191</v>
      </c>
      <c r="N408">
        <v>1013</v>
      </c>
      <c r="O408" t="s">
        <v>475</v>
      </c>
      <c r="P408" t="s">
        <v>475</v>
      </c>
      <c r="Q408">
        <v>1</v>
      </c>
      <c r="X408">
        <v>139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1</v>
      </c>
      <c r="AF408" t="s">
        <v>49</v>
      </c>
      <c r="AG408">
        <v>166.79999999999998</v>
      </c>
      <c r="AH408">
        <v>2</v>
      </c>
      <c r="AI408">
        <v>55748189</v>
      </c>
      <c r="AJ408">
        <v>375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ROW(Source!A127)</f>
        <v>127</v>
      </c>
      <c r="B409">
        <v>55748206</v>
      </c>
      <c r="C409">
        <v>55748188</v>
      </c>
      <c r="D409">
        <v>54767934</v>
      </c>
      <c r="E409">
        <v>1</v>
      </c>
      <c r="F409">
        <v>1</v>
      </c>
      <c r="G409">
        <v>1081</v>
      </c>
      <c r="H409">
        <v>2</v>
      </c>
      <c r="I409" t="s">
        <v>586</v>
      </c>
      <c r="J409" t="s">
        <v>587</v>
      </c>
      <c r="K409" t="s">
        <v>588</v>
      </c>
      <c r="L409">
        <v>1368</v>
      </c>
      <c r="N409">
        <v>1011</v>
      </c>
      <c r="O409" t="s">
        <v>479</v>
      </c>
      <c r="P409" t="s">
        <v>479</v>
      </c>
      <c r="Q409">
        <v>1</v>
      </c>
      <c r="X409">
        <v>7.5</v>
      </c>
      <c r="Y409">
        <v>0</v>
      </c>
      <c r="Z409">
        <v>48.07</v>
      </c>
      <c r="AA409">
        <v>12.62</v>
      </c>
      <c r="AB409">
        <v>0</v>
      </c>
      <c r="AC409">
        <v>0</v>
      </c>
      <c r="AD409">
        <v>1</v>
      </c>
      <c r="AE409">
        <v>0</v>
      </c>
      <c r="AF409" t="s">
        <v>49</v>
      </c>
      <c r="AG409">
        <v>9</v>
      </c>
      <c r="AH409">
        <v>2</v>
      </c>
      <c r="AI409">
        <v>55748190</v>
      </c>
      <c r="AJ409">
        <v>376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ROW(Source!A127)</f>
        <v>127</v>
      </c>
      <c r="B410">
        <v>55748207</v>
      </c>
      <c r="C410">
        <v>55748188</v>
      </c>
      <c r="D410">
        <v>54767971</v>
      </c>
      <c r="E410">
        <v>1</v>
      </c>
      <c r="F410">
        <v>1</v>
      </c>
      <c r="G410">
        <v>1081</v>
      </c>
      <c r="H410">
        <v>2</v>
      </c>
      <c r="I410" t="s">
        <v>589</v>
      </c>
      <c r="J410" t="s">
        <v>590</v>
      </c>
      <c r="K410" t="s">
        <v>591</v>
      </c>
      <c r="L410">
        <v>1368</v>
      </c>
      <c r="N410">
        <v>1011</v>
      </c>
      <c r="O410" t="s">
        <v>479</v>
      </c>
      <c r="P410" t="s">
        <v>479</v>
      </c>
      <c r="Q410">
        <v>1</v>
      </c>
      <c r="X410">
        <v>7</v>
      </c>
      <c r="Y410">
        <v>0</v>
      </c>
      <c r="Z410">
        <v>5.79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49</v>
      </c>
      <c r="AG410">
        <v>8.4</v>
      </c>
      <c r="AH410">
        <v>2</v>
      </c>
      <c r="AI410">
        <v>55748191</v>
      </c>
      <c r="AJ410">
        <v>377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ROW(Source!A127)</f>
        <v>127</v>
      </c>
      <c r="B411">
        <v>55748208</v>
      </c>
      <c r="C411">
        <v>55748188</v>
      </c>
      <c r="D411">
        <v>54768040</v>
      </c>
      <c r="E411">
        <v>1</v>
      </c>
      <c r="F411">
        <v>1</v>
      </c>
      <c r="G411">
        <v>1081</v>
      </c>
      <c r="H411">
        <v>2</v>
      </c>
      <c r="I411" t="s">
        <v>476</v>
      </c>
      <c r="J411" t="s">
        <v>477</v>
      </c>
      <c r="K411" t="s">
        <v>478</v>
      </c>
      <c r="L411">
        <v>1368</v>
      </c>
      <c r="N411">
        <v>1011</v>
      </c>
      <c r="O411" t="s">
        <v>479</v>
      </c>
      <c r="P411" t="s">
        <v>479</v>
      </c>
      <c r="Q411">
        <v>1</v>
      </c>
      <c r="X411">
        <v>9.32</v>
      </c>
      <c r="Y411">
        <v>0</v>
      </c>
      <c r="Z411">
        <v>7.11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49</v>
      </c>
      <c r="AG411">
        <v>11.183999999999999</v>
      </c>
      <c r="AH411">
        <v>2</v>
      </c>
      <c r="AI411">
        <v>55748192</v>
      </c>
      <c r="AJ411">
        <v>378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ROW(Source!A127)</f>
        <v>127</v>
      </c>
      <c r="B412">
        <v>55748209</v>
      </c>
      <c r="C412">
        <v>55748188</v>
      </c>
      <c r="D412">
        <v>54768339</v>
      </c>
      <c r="E412">
        <v>1</v>
      </c>
      <c r="F412">
        <v>1</v>
      </c>
      <c r="G412">
        <v>1081</v>
      </c>
      <c r="H412">
        <v>2</v>
      </c>
      <c r="I412" t="s">
        <v>483</v>
      </c>
      <c r="J412" t="s">
        <v>484</v>
      </c>
      <c r="K412" t="s">
        <v>485</v>
      </c>
      <c r="L412">
        <v>1368</v>
      </c>
      <c r="N412">
        <v>1011</v>
      </c>
      <c r="O412" t="s">
        <v>479</v>
      </c>
      <c r="P412" t="s">
        <v>479</v>
      </c>
      <c r="Q412">
        <v>1</v>
      </c>
      <c r="X412">
        <v>0.54</v>
      </c>
      <c r="Y412">
        <v>0</v>
      </c>
      <c r="Z412">
        <v>83.1</v>
      </c>
      <c r="AA412">
        <v>12.62</v>
      </c>
      <c r="AB412">
        <v>0</v>
      </c>
      <c r="AC412">
        <v>0</v>
      </c>
      <c r="AD412">
        <v>1</v>
      </c>
      <c r="AE412">
        <v>0</v>
      </c>
      <c r="AF412" t="s">
        <v>49</v>
      </c>
      <c r="AG412">
        <v>0.64800000000000002</v>
      </c>
      <c r="AH412">
        <v>2</v>
      </c>
      <c r="AI412">
        <v>55748193</v>
      </c>
      <c r="AJ412">
        <v>379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ROW(Source!A127)</f>
        <v>127</v>
      </c>
      <c r="B413">
        <v>55748210</v>
      </c>
      <c r="C413">
        <v>55748188</v>
      </c>
      <c r="D413">
        <v>54767657</v>
      </c>
      <c r="E413">
        <v>1</v>
      </c>
      <c r="F413">
        <v>1</v>
      </c>
      <c r="G413">
        <v>1081</v>
      </c>
      <c r="H413">
        <v>2</v>
      </c>
      <c r="I413" t="s">
        <v>592</v>
      </c>
      <c r="J413" t="s">
        <v>593</v>
      </c>
      <c r="K413" t="s">
        <v>594</v>
      </c>
      <c r="L413">
        <v>1368</v>
      </c>
      <c r="N413">
        <v>1011</v>
      </c>
      <c r="O413" t="s">
        <v>479</v>
      </c>
      <c r="P413" t="s">
        <v>479</v>
      </c>
      <c r="Q413">
        <v>1</v>
      </c>
      <c r="X413">
        <v>0.4</v>
      </c>
      <c r="Y413">
        <v>0</v>
      </c>
      <c r="Z413">
        <v>3.18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49</v>
      </c>
      <c r="AG413">
        <v>0.48</v>
      </c>
      <c r="AH413">
        <v>2</v>
      </c>
      <c r="AI413">
        <v>55748194</v>
      </c>
      <c r="AJ413">
        <v>380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ROW(Source!A127)</f>
        <v>127</v>
      </c>
      <c r="B414">
        <v>55748211</v>
      </c>
      <c r="C414">
        <v>55748188</v>
      </c>
      <c r="D414">
        <v>54737367</v>
      </c>
      <c r="E414">
        <v>1</v>
      </c>
      <c r="F414">
        <v>1</v>
      </c>
      <c r="G414">
        <v>1081</v>
      </c>
      <c r="H414">
        <v>3</v>
      </c>
      <c r="I414" t="s">
        <v>538</v>
      </c>
      <c r="J414" t="s">
        <v>539</v>
      </c>
      <c r="K414" t="s">
        <v>540</v>
      </c>
      <c r="L414">
        <v>1339</v>
      </c>
      <c r="N414">
        <v>1007</v>
      </c>
      <c r="O414" t="s">
        <v>507</v>
      </c>
      <c r="P414" t="s">
        <v>507</v>
      </c>
      <c r="Q414">
        <v>1</v>
      </c>
      <c r="X414">
        <v>3</v>
      </c>
      <c r="Y414">
        <v>7.07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48</v>
      </c>
      <c r="AG414">
        <v>3</v>
      </c>
      <c r="AH414">
        <v>2</v>
      </c>
      <c r="AI414">
        <v>55748195</v>
      </c>
      <c r="AJ414">
        <v>381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ROW(Source!A127)</f>
        <v>127</v>
      </c>
      <c r="B415">
        <v>55748212</v>
      </c>
      <c r="C415">
        <v>55748188</v>
      </c>
      <c r="D415">
        <v>54738430</v>
      </c>
      <c r="E415">
        <v>1</v>
      </c>
      <c r="F415">
        <v>1</v>
      </c>
      <c r="G415">
        <v>1081</v>
      </c>
      <c r="H415">
        <v>3</v>
      </c>
      <c r="I415" t="s">
        <v>562</v>
      </c>
      <c r="J415" t="s">
        <v>563</v>
      </c>
      <c r="K415" t="s">
        <v>564</v>
      </c>
      <c r="L415">
        <v>1348</v>
      </c>
      <c r="N415">
        <v>1009</v>
      </c>
      <c r="O415" t="s">
        <v>282</v>
      </c>
      <c r="P415" t="s">
        <v>282</v>
      </c>
      <c r="Q415">
        <v>1000</v>
      </c>
      <c r="X415">
        <v>1.56E-3</v>
      </c>
      <c r="Y415">
        <v>7185.82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48</v>
      </c>
      <c r="AG415">
        <v>1.56E-3</v>
      </c>
      <c r="AH415">
        <v>2</v>
      </c>
      <c r="AI415">
        <v>55748196</v>
      </c>
      <c r="AJ415">
        <v>382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ROW(Source!A127)</f>
        <v>127</v>
      </c>
      <c r="B416">
        <v>55748213</v>
      </c>
      <c r="C416">
        <v>55748188</v>
      </c>
      <c r="D416">
        <v>54738505</v>
      </c>
      <c r="E416">
        <v>1</v>
      </c>
      <c r="F416">
        <v>1</v>
      </c>
      <c r="G416">
        <v>1081</v>
      </c>
      <c r="H416">
        <v>3</v>
      </c>
      <c r="I416" t="s">
        <v>580</v>
      </c>
      <c r="J416" t="s">
        <v>581</v>
      </c>
      <c r="K416" t="s">
        <v>582</v>
      </c>
      <c r="L416">
        <v>1346</v>
      </c>
      <c r="N416">
        <v>1009</v>
      </c>
      <c r="O416" t="s">
        <v>503</v>
      </c>
      <c r="P416" t="s">
        <v>503</v>
      </c>
      <c r="Q416">
        <v>1</v>
      </c>
      <c r="X416">
        <v>0.76</v>
      </c>
      <c r="Y416">
        <v>21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48</v>
      </c>
      <c r="AG416">
        <v>0.76</v>
      </c>
      <c r="AH416">
        <v>2</v>
      </c>
      <c r="AI416">
        <v>55748197</v>
      </c>
      <c r="AJ416">
        <v>383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ROW(Source!A127)</f>
        <v>127</v>
      </c>
      <c r="B417">
        <v>55748214</v>
      </c>
      <c r="C417">
        <v>55748188</v>
      </c>
      <c r="D417">
        <v>54738703</v>
      </c>
      <c r="E417">
        <v>1</v>
      </c>
      <c r="F417">
        <v>1</v>
      </c>
      <c r="G417">
        <v>1081</v>
      </c>
      <c r="H417">
        <v>3</v>
      </c>
      <c r="I417" t="s">
        <v>595</v>
      </c>
      <c r="J417" t="s">
        <v>596</v>
      </c>
      <c r="K417" t="s">
        <v>597</v>
      </c>
      <c r="L417">
        <v>1355</v>
      </c>
      <c r="N417">
        <v>1010</v>
      </c>
      <c r="O417" t="s">
        <v>254</v>
      </c>
      <c r="P417" t="s">
        <v>254</v>
      </c>
      <c r="Q417">
        <v>100</v>
      </c>
      <c r="X417">
        <v>0.36</v>
      </c>
      <c r="Y417">
        <v>496.79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48</v>
      </c>
      <c r="AG417">
        <v>0.36</v>
      </c>
      <c r="AH417">
        <v>2</v>
      </c>
      <c r="AI417">
        <v>55748198</v>
      </c>
      <c r="AJ417">
        <v>384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ROW(Source!A127)</f>
        <v>127</v>
      </c>
      <c r="B418">
        <v>55748215</v>
      </c>
      <c r="C418">
        <v>55748188</v>
      </c>
      <c r="D418">
        <v>54738704</v>
      </c>
      <c r="E418">
        <v>1</v>
      </c>
      <c r="F418">
        <v>1</v>
      </c>
      <c r="G418">
        <v>1081</v>
      </c>
      <c r="H418">
        <v>3</v>
      </c>
      <c r="I418" t="s">
        <v>598</v>
      </c>
      <c r="J418" t="s">
        <v>599</v>
      </c>
      <c r="K418" t="s">
        <v>600</v>
      </c>
      <c r="L418">
        <v>1355</v>
      </c>
      <c r="N418">
        <v>1010</v>
      </c>
      <c r="O418" t="s">
        <v>254</v>
      </c>
      <c r="P418" t="s">
        <v>254</v>
      </c>
      <c r="Q418">
        <v>100</v>
      </c>
      <c r="X418">
        <v>0.36</v>
      </c>
      <c r="Y418">
        <v>243.75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48</v>
      </c>
      <c r="AG418">
        <v>0.36</v>
      </c>
      <c r="AH418">
        <v>2</v>
      </c>
      <c r="AI418">
        <v>55748199</v>
      </c>
      <c r="AJ418">
        <v>385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ROW(Source!A127)</f>
        <v>127</v>
      </c>
      <c r="B419">
        <v>55748216</v>
      </c>
      <c r="C419">
        <v>55748188</v>
      </c>
      <c r="D419">
        <v>54737299</v>
      </c>
      <c r="E419">
        <v>1</v>
      </c>
      <c r="F419">
        <v>1</v>
      </c>
      <c r="G419">
        <v>1081</v>
      </c>
      <c r="H419">
        <v>3</v>
      </c>
      <c r="I419" t="s">
        <v>583</v>
      </c>
      <c r="J419" t="s">
        <v>584</v>
      </c>
      <c r="K419" t="s">
        <v>585</v>
      </c>
      <c r="L419">
        <v>1339</v>
      </c>
      <c r="N419">
        <v>1007</v>
      </c>
      <c r="O419" t="s">
        <v>507</v>
      </c>
      <c r="P419" t="s">
        <v>507</v>
      </c>
      <c r="Q419">
        <v>1</v>
      </c>
      <c r="X419">
        <v>0.59</v>
      </c>
      <c r="Y419">
        <v>53.42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48</v>
      </c>
      <c r="AG419">
        <v>0.59</v>
      </c>
      <c r="AH419">
        <v>2</v>
      </c>
      <c r="AI419">
        <v>55748200</v>
      </c>
      <c r="AJ419">
        <v>386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ROW(Source!A127)</f>
        <v>127</v>
      </c>
      <c r="B420">
        <v>55748217</v>
      </c>
      <c r="C420">
        <v>55748188</v>
      </c>
      <c r="D420">
        <v>54737565</v>
      </c>
      <c r="E420">
        <v>1</v>
      </c>
      <c r="F420">
        <v>1</v>
      </c>
      <c r="G420">
        <v>1081</v>
      </c>
      <c r="H420">
        <v>3</v>
      </c>
      <c r="I420" t="s">
        <v>504</v>
      </c>
      <c r="J420" t="s">
        <v>505</v>
      </c>
      <c r="K420" t="s">
        <v>506</v>
      </c>
      <c r="L420">
        <v>1339</v>
      </c>
      <c r="N420">
        <v>1007</v>
      </c>
      <c r="O420" t="s">
        <v>507</v>
      </c>
      <c r="P420" t="s">
        <v>507</v>
      </c>
      <c r="Q420">
        <v>1</v>
      </c>
      <c r="X420">
        <v>0.76</v>
      </c>
      <c r="Y420">
        <v>5.82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48</v>
      </c>
      <c r="AG420">
        <v>0.76</v>
      </c>
      <c r="AH420">
        <v>2</v>
      </c>
      <c r="AI420">
        <v>55748201</v>
      </c>
      <c r="AJ420">
        <v>387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ROW(Source!A127)</f>
        <v>127</v>
      </c>
      <c r="B421">
        <v>55748218</v>
      </c>
      <c r="C421">
        <v>55748188</v>
      </c>
      <c r="D421">
        <v>54759954</v>
      </c>
      <c r="E421">
        <v>1</v>
      </c>
      <c r="F421">
        <v>1</v>
      </c>
      <c r="G421">
        <v>1081</v>
      </c>
      <c r="H421">
        <v>3</v>
      </c>
      <c r="I421" t="s">
        <v>601</v>
      </c>
      <c r="J421" t="s">
        <v>602</v>
      </c>
      <c r="K421" t="s">
        <v>603</v>
      </c>
      <c r="L421">
        <v>1354</v>
      </c>
      <c r="N421">
        <v>1010</v>
      </c>
      <c r="O421" t="s">
        <v>118</v>
      </c>
      <c r="P421" t="s">
        <v>118</v>
      </c>
      <c r="Q421">
        <v>1</v>
      </c>
      <c r="X421">
        <v>36</v>
      </c>
      <c r="Y421">
        <v>14.28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48</v>
      </c>
      <c r="AG421">
        <v>36</v>
      </c>
      <c r="AH421">
        <v>2</v>
      </c>
      <c r="AI421">
        <v>55748202</v>
      </c>
      <c r="AJ421">
        <v>390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ROW(Source!A127)</f>
        <v>127</v>
      </c>
      <c r="B422">
        <v>55748219</v>
      </c>
      <c r="C422">
        <v>55748188</v>
      </c>
      <c r="D422">
        <v>54695275</v>
      </c>
      <c r="E422">
        <v>1081</v>
      </c>
      <c r="F422">
        <v>1</v>
      </c>
      <c r="G422">
        <v>1081</v>
      </c>
      <c r="H422">
        <v>3</v>
      </c>
      <c r="I422" t="s">
        <v>680</v>
      </c>
      <c r="J422" t="s">
        <v>3</v>
      </c>
      <c r="K422" t="s">
        <v>681</v>
      </c>
      <c r="L422">
        <v>1301</v>
      </c>
      <c r="N422">
        <v>1003</v>
      </c>
      <c r="O422" t="s">
        <v>191</v>
      </c>
      <c r="P422" t="s">
        <v>191</v>
      </c>
      <c r="Q422">
        <v>1</v>
      </c>
      <c r="X422">
        <v>100.5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48</v>
      </c>
      <c r="AG422">
        <v>100.5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ROW(Source!A140)</f>
        <v>140</v>
      </c>
      <c r="B423">
        <v>55748232</v>
      </c>
      <c r="C423">
        <v>55748227</v>
      </c>
      <c r="D423">
        <v>54702434</v>
      </c>
      <c r="E423">
        <v>1081</v>
      </c>
      <c r="F423">
        <v>1</v>
      </c>
      <c r="G423">
        <v>1081</v>
      </c>
      <c r="H423">
        <v>1</v>
      </c>
      <c r="I423" t="s">
        <v>473</v>
      </c>
      <c r="J423" t="s">
        <v>3</v>
      </c>
      <c r="K423" t="s">
        <v>474</v>
      </c>
      <c r="L423">
        <v>1191</v>
      </c>
      <c r="N423">
        <v>1013</v>
      </c>
      <c r="O423" t="s">
        <v>475</v>
      </c>
      <c r="P423" t="s">
        <v>475</v>
      </c>
      <c r="Q423">
        <v>1</v>
      </c>
      <c r="X423">
        <v>13.4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 t="s">
        <v>98</v>
      </c>
      <c r="AG423">
        <v>18.491999999999997</v>
      </c>
      <c r="AH423">
        <v>2</v>
      </c>
      <c r="AI423">
        <v>55748228</v>
      </c>
      <c r="AJ423">
        <v>391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ROW(Source!A140)</f>
        <v>140</v>
      </c>
      <c r="B424">
        <v>55748233</v>
      </c>
      <c r="C424">
        <v>55748227</v>
      </c>
      <c r="D424">
        <v>54768339</v>
      </c>
      <c r="E424">
        <v>1</v>
      </c>
      <c r="F424">
        <v>1</v>
      </c>
      <c r="G424">
        <v>1081</v>
      </c>
      <c r="H424">
        <v>2</v>
      </c>
      <c r="I424" t="s">
        <v>483</v>
      </c>
      <c r="J424" t="s">
        <v>484</v>
      </c>
      <c r="K424" t="s">
        <v>485</v>
      </c>
      <c r="L424">
        <v>1368</v>
      </c>
      <c r="N424">
        <v>1011</v>
      </c>
      <c r="O424" t="s">
        <v>479</v>
      </c>
      <c r="P424" t="s">
        <v>479</v>
      </c>
      <c r="Q424">
        <v>1</v>
      </c>
      <c r="X424">
        <v>0.03</v>
      </c>
      <c r="Y424">
        <v>0</v>
      </c>
      <c r="Z424">
        <v>83.1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97</v>
      </c>
      <c r="AG424">
        <v>4.4999999999999998E-2</v>
      </c>
      <c r="AH424">
        <v>2</v>
      </c>
      <c r="AI424">
        <v>55748229</v>
      </c>
      <c r="AJ424">
        <v>392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ROW(Source!A140)</f>
        <v>140</v>
      </c>
      <c r="B425">
        <v>55748234</v>
      </c>
      <c r="C425">
        <v>55748227</v>
      </c>
      <c r="D425">
        <v>54725926</v>
      </c>
      <c r="E425">
        <v>1081</v>
      </c>
      <c r="F425">
        <v>1</v>
      </c>
      <c r="G425">
        <v>1081</v>
      </c>
      <c r="H425">
        <v>3</v>
      </c>
      <c r="I425" t="s">
        <v>683</v>
      </c>
      <c r="J425" t="s">
        <v>3</v>
      </c>
      <c r="K425" t="s">
        <v>684</v>
      </c>
      <c r="L425">
        <v>1354</v>
      </c>
      <c r="N425">
        <v>1010</v>
      </c>
      <c r="O425" t="s">
        <v>118</v>
      </c>
      <c r="P425" t="s">
        <v>118</v>
      </c>
      <c r="Q425">
        <v>1</v>
      </c>
      <c r="X425">
        <v>100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38</v>
      </c>
      <c r="AG425">
        <v>100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ROW(Source!A141)</f>
        <v>141</v>
      </c>
      <c r="B426">
        <v>55748232</v>
      </c>
      <c r="C426">
        <v>55748227</v>
      </c>
      <c r="D426">
        <v>54702434</v>
      </c>
      <c r="E426">
        <v>1081</v>
      </c>
      <c r="F426">
        <v>1</v>
      </c>
      <c r="G426">
        <v>1081</v>
      </c>
      <c r="H426">
        <v>1</v>
      </c>
      <c r="I426" t="s">
        <v>473</v>
      </c>
      <c r="J426" t="s">
        <v>3</v>
      </c>
      <c r="K426" t="s">
        <v>474</v>
      </c>
      <c r="L426">
        <v>1191</v>
      </c>
      <c r="N426">
        <v>1013</v>
      </c>
      <c r="O426" t="s">
        <v>475</v>
      </c>
      <c r="P426" t="s">
        <v>475</v>
      </c>
      <c r="Q426">
        <v>1</v>
      </c>
      <c r="X426">
        <v>13.4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1</v>
      </c>
      <c r="AF426" t="s">
        <v>98</v>
      </c>
      <c r="AG426">
        <v>18.491999999999997</v>
      </c>
      <c r="AH426">
        <v>2</v>
      </c>
      <c r="AI426">
        <v>55748228</v>
      </c>
      <c r="AJ426">
        <v>395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ROW(Source!A141)</f>
        <v>141</v>
      </c>
      <c r="B427">
        <v>55748233</v>
      </c>
      <c r="C427">
        <v>55748227</v>
      </c>
      <c r="D427">
        <v>54768339</v>
      </c>
      <c r="E427">
        <v>1</v>
      </c>
      <c r="F427">
        <v>1</v>
      </c>
      <c r="G427">
        <v>1081</v>
      </c>
      <c r="H427">
        <v>2</v>
      </c>
      <c r="I427" t="s">
        <v>483</v>
      </c>
      <c r="J427" t="s">
        <v>484</v>
      </c>
      <c r="K427" t="s">
        <v>485</v>
      </c>
      <c r="L427">
        <v>1368</v>
      </c>
      <c r="N427">
        <v>1011</v>
      </c>
      <c r="O427" t="s">
        <v>479</v>
      </c>
      <c r="P427" t="s">
        <v>479</v>
      </c>
      <c r="Q427">
        <v>1</v>
      </c>
      <c r="X427">
        <v>0.03</v>
      </c>
      <c r="Y427">
        <v>0</v>
      </c>
      <c r="Z427">
        <v>83.1</v>
      </c>
      <c r="AA427">
        <v>12.62</v>
      </c>
      <c r="AB427">
        <v>0</v>
      </c>
      <c r="AC427">
        <v>0</v>
      </c>
      <c r="AD427">
        <v>1</v>
      </c>
      <c r="AE427">
        <v>0</v>
      </c>
      <c r="AF427" t="s">
        <v>97</v>
      </c>
      <c r="AG427">
        <v>4.4999999999999998E-2</v>
      </c>
      <c r="AH427">
        <v>2</v>
      </c>
      <c r="AI427">
        <v>55748229</v>
      </c>
      <c r="AJ427">
        <v>396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ROW(Source!A141)</f>
        <v>141</v>
      </c>
      <c r="B428">
        <v>55748234</v>
      </c>
      <c r="C428">
        <v>55748227</v>
      </c>
      <c r="D428">
        <v>54725926</v>
      </c>
      <c r="E428">
        <v>1081</v>
      </c>
      <c r="F428">
        <v>1</v>
      </c>
      <c r="G428">
        <v>1081</v>
      </c>
      <c r="H428">
        <v>3</v>
      </c>
      <c r="I428" t="s">
        <v>683</v>
      </c>
      <c r="J428" t="s">
        <v>3</v>
      </c>
      <c r="K428" t="s">
        <v>684</v>
      </c>
      <c r="L428">
        <v>1354</v>
      </c>
      <c r="N428">
        <v>1010</v>
      </c>
      <c r="O428" t="s">
        <v>118</v>
      </c>
      <c r="P428" t="s">
        <v>118</v>
      </c>
      <c r="Q428">
        <v>1</v>
      </c>
      <c r="X428">
        <v>100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38</v>
      </c>
      <c r="AG428">
        <v>100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ROW(Source!A146)</f>
        <v>146</v>
      </c>
      <c r="B429">
        <v>57263911</v>
      </c>
      <c r="C429">
        <v>57263910</v>
      </c>
      <c r="D429">
        <v>54702434</v>
      </c>
      <c r="E429">
        <v>1081</v>
      </c>
      <c r="F429">
        <v>1</v>
      </c>
      <c r="G429">
        <v>1081</v>
      </c>
      <c r="H429">
        <v>1</v>
      </c>
      <c r="I429" t="s">
        <v>473</v>
      </c>
      <c r="J429" t="s">
        <v>3</v>
      </c>
      <c r="K429" t="s">
        <v>474</v>
      </c>
      <c r="L429">
        <v>1191</v>
      </c>
      <c r="N429">
        <v>1013</v>
      </c>
      <c r="O429" t="s">
        <v>475</v>
      </c>
      <c r="P429" t="s">
        <v>475</v>
      </c>
      <c r="Q429">
        <v>1</v>
      </c>
      <c r="X429">
        <v>13.4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40</v>
      </c>
      <c r="AG429">
        <v>18.491999999999997</v>
      </c>
      <c r="AH429">
        <v>2</v>
      </c>
      <c r="AI429">
        <v>57263911</v>
      </c>
      <c r="AJ429">
        <v>399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ROW(Source!A146)</f>
        <v>146</v>
      </c>
      <c r="B430">
        <v>57263912</v>
      </c>
      <c r="C430">
        <v>57263910</v>
      </c>
      <c r="D430">
        <v>54768339</v>
      </c>
      <c r="E430">
        <v>1</v>
      </c>
      <c r="F430">
        <v>1</v>
      </c>
      <c r="G430">
        <v>1081</v>
      </c>
      <c r="H430">
        <v>2</v>
      </c>
      <c r="I430" t="s">
        <v>483</v>
      </c>
      <c r="J430" t="s">
        <v>484</v>
      </c>
      <c r="K430" t="s">
        <v>485</v>
      </c>
      <c r="L430">
        <v>1368</v>
      </c>
      <c r="N430">
        <v>1011</v>
      </c>
      <c r="O430" t="s">
        <v>479</v>
      </c>
      <c r="P430" t="s">
        <v>479</v>
      </c>
      <c r="Q430">
        <v>1</v>
      </c>
      <c r="X430">
        <v>0.03</v>
      </c>
      <c r="Y430">
        <v>0</v>
      </c>
      <c r="Z430">
        <v>83.1</v>
      </c>
      <c r="AA430">
        <v>12.62</v>
      </c>
      <c r="AB430">
        <v>0</v>
      </c>
      <c r="AC430">
        <v>0</v>
      </c>
      <c r="AD430">
        <v>1</v>
      </c>
      <c r="AE430">
        <v>0</v>
      </c>
      <c r="AF430" t="s">
        <v>39</v>
      </c>
      <c r="AG430">
        <v>4.4999999999999998E-2</v>
      </c>
      <c r="AH430">
        <v>2</v>
      </c>
      <c r="AI430">
        <v>57263912</v>
      </c>
      <c r="AJ430">
        <v>400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ROW(Source!A146)</f>
        <v>146</v>
      </c>
      <c r="B431">
        <v>57263913</v>
      </c>
      <c r="C431">
        <v>57263910</v>
      </c>
      <c r="D431">
        <v>54725926</v>
      </c>
      <c r="E431">
        <v>1081</v>
      </c>
      <c r="F431">
        <v>1</v>
      </c>
      <c r="G431">
        <v>1081</v>
      </c>
      <c r="H431">
        <v>3</v>
      </c>
      <c r="I431" t="s">
        <v>683</v>
      </c>
      <c r="J431" t="s">
        <v>3</v>
      </c>
      <c r="K431" t="s">
        <v>684</v>
      </c>
      <c r="L431">
        <v>1354</v>
      </c>
      <c r="N431">
        <v>1010</v>
      </c>
      <c r="O431" t="s">
        <v>118</v>
      </c>
      <c r="P431" t="s">
        <v>118</v>
      </c>
      <c r="Q431">
        <v>1</v>
      </c>
      <c r="X431">
        <v>100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38</v>
      </c>
      <c r="AG431">
        <v>100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ROW(Source!A147)</f>
        <v>147</v>
      </c>
      <c r="B432">
        <v>57263911</v>
      </c>
      <c r="C432">
        <v>57263910</v>
      </c>
      <c r="D432">
        <v>54702434</v>
      </c>
      <c r="E432">
        <v>1081</v>
      </c>
      <c r="F432">
        <v>1</v>
      </c>
      <c r="G432">
        <v>1081</v>
      </c>
      <c r="H432">
        <v>1</v>
      </c>
      <c r="I432" t="s">
        <v>473</v>
      </c>
      <c r="J432" t="s">
        <v>3</v>
      </c>
      <c r="K432" t="s">
        <v>474</v>
      </c>
      <c r="L432">
        <v>1191</v>
      </c>
      <c r="N432">
        <v>1013</v>
      </c>
      <c r="O432" t="s">
        <v>475</v>
      </c>
      <c r="P432" t="s">
        <v>475</v>
      </c>
      <c r="Q432">
        <v>1</v>
      </c>
      <c r="X432">
        <v>13.4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 t="s">
        <v>40</v>
      </c>
      <c r="AG432">
        <v>18.491999999999997</v>
      </c>
      <c r="AH432">
        <v>2</v>
      </c>
      <c r="AI432">
        <v>57263911</v>
      </c>
      <c r="AJ432">
        <v>403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ROW(Source!A147)</f>
        <v>147</v>
      </c>
      <c r="B433">
        <v>57263912</v>
      </c>
      <c r="C433">
        <v>57263910</v>
      </c>
      <c r="D433">
        <v>54768339</v>
      </c>
      <c r="E433">
        <v>1</v>
      </c>
      <c r="F433">
        <v>1</v>
      </c>
      <c r="G433">
        <v>1081</v>
      </c>
      <c r="H433">
        <v>2</v>
      </c>
      <c r="I433" t="s">
        <v>483</v>
      </c>
      <c r="J433" t="s">
        <v>484</v>
      </c>
      <c r="K433" t="s">
        <v>485</v>
      </c>
      <c r="L433">
        <v>1368</v>
      </c>
      <c r="N433">
        <v>1011</v>
      </c>
      <c r="O433" t="s">
        <v>479</v>
      </c>
      <c r="P433" t="s">
        <v>479</v>
      </c>
      <c r="Q433">
        <v>1</v>
      </c>
      <c r="X433">
        <v>0.03</v>
      </c>
      <c r="Y433">
        <v>0</v>
      </c>
      <c r="Z433">
        <v>83.1</v>
      </c>
      <c r="AA433">
        <v>12.62</v>
      </c>
      <c r="AB433">
        <v>0</v>
      </c>
      <c r="AC433">
        <v>0</v>
      </c>
      <c r="AD433">
        <v>1</v>
      </c>
      <c r="AE433">
        <v>0</v>
      </c>
      <c r="AF433" t="s">
        <v>39</v>
      </c>
      <c r="AG433">
        <v>4.4999999999999998E-2</v>
      </c>
      <c r="AH433">
        <v>2</v>
      </c>
      <c r="AI433">
        <v>57263912</v>
      </c>
      <c r="AJ433">
        <v>404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ROW(Source!A147)</f>
        <v>147</v>
      </c>
      <c r="B434">
        <v>57263913</v>
      </c>
      <c r="C434">
        <v>57263910</v>
      </c>
      <c r="D434">
        <v>54725926</v>
      </c>
      <c r="E434">
        <v>1081</v>
      </c>
      <c r="F434">
        <v>1</v>
      </c>
      <c r="G434">
        <v>1081</v>
      </c>
      <c r="H434">
        <v>3</v>
      </c>
      <c r="I434" t="s">
        <v>683</v>
      </c>
      <c r="J434" t="s">
        <v>3</v>
      </c>
      <c r="K434" t="s">
        <v>684</v>
      </c>
      <c r="L434">
        <v>1354</v>
      </c>
      <c r="N434">
        <v>1010</v>
      </c>
      <c r="O434" t="s">
        <v>118</v>
      </c>
      <c r="P434" t="s">
        <v>118</v>
      </c>
      <c r="Q434">
        <v>1</v>
      </c>
      <c r="X434">
        <v>100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38</v>
      </c>
      <c r="AG434">
        <v>100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ROW(Source!A152)</f>
        <v>152</v>
      </c>
      <c r="B435">
        <v>57263926</v>
      </c>
      <c r="C435">
        <v>55748238</v>
      </c>
      <c r="D435">
        <v>54702434</v>
      </c>
      <c r="E435">
        <v>1081</v>
      </c>
      <c r="F435">
        <v>1</v>
      </c>
      <c r="G435">
        <v>1081</v>
      </c>
      <c r="H435">
        <v>1</v>
      </c>
      <c r="I435" t="s">
        <v>473</v>
      </c>
      <c r="J435" t="s">
        <v>3</v>
      </c>
      <c r="K435" t="s">
        <v>474</v>
      </c>
      <c r="L435">
        <v>1191</v>
      </c>
      <c r="N435">
        <v>1013</v>
      </c>
      <c r="O435" t="s">
        <v>475</v>
      </c>
      <c r="P435" t="s">
        <v>475</v>
      </c>
      <c r="Q435">
        <v>1</v>
      </c>
      <c r="X435">
        <v>5.31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1</v>
      </c>
      <c r="AF435" t="s">
        <v>40</v>
      </c>
      <c r="AG435">
        <v>7.3277999999999981</v>
      </c>
      <c r="AH435">
        <v>2</v>
      </c>
      <c r="AI435">
        <v>57263926</v>
      </c>
      <c r="AJ435">
        <v>407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ROW(Source!A152)</f>
        <v>152</v>
      </c>
      <c r="B436">
        <v>57263927</v>
      </c>
      <c r="C436">
        <v>55748238</v>
      </c>
      <c r="D436">
        <v>54767939</v>
      </c>
      <c r="E436">
        <v>1</v>
      </c>
      <c r="F436">
        <v>1</v>
      </c>
      <c r="G436">
        <v>1081</v>
      </c>
      <c r="H436">
        <v>2</v>
      </c>
      <c r="I436" t="s">
        <v>604</v>
      </c>
      <c r="J436" t="s">
        <v>605</v>
      </c>
      <c r="K436" t="s">
        <v>606</v>
      </c>
      <c r="L436">
        <v>1368</v>
      </c>
      <c r="N436">
        <v>1011</v>
      </c>
      <c r="O436" t="s">
        <v>479</v>
      </c>
      <c r="P436" t="s">
        <v>479</v>
      </c>
      <c r="Q436">
        <v>1</v>
      </c>
      <c r="X436">
        <v>1.1200000000000001</v>
      </c>
      <c r="Y436">
        <v>0</v>
      </c>
      <c r="Z436">
        <v>10.4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39</v>
      </c>
      <c r="AG436">
        <v>1.6800000000000002</v>
      </c>
      <c r="AH436">
        <v>2</v>
      </c>
      <c r="AI436">
        <v>57263927</v>
      </c>
      <c r="AJ436">
        <v>408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ROW(Source!A152)</f>
        <v>152</v>
      </c>
      <c r="B437">
        <v>57263928</v>
      </c>
      <c r="C437">
        <v>55748238</v>
      </c>
      <c r="D437">
        <v>54768339</v>
      </c>
      <c r="E437">
        <v>1</v>
      </c>
      <c r="F437">
        <v>1</v>
      </c>
      <c r="G437">
        <v>1081</v>
      </c>
      <c r="H437">
        <v>2</v>
      </c>
      <c r="I437" t="s">
        <v>483</v>
      </c>
      <c r="J437" t="s">
        <v>484</v>
      </c>
      <c r="K437" t="s">
        <v>485</v>
      </c>
      <c r="L437">
        <v>1368</v>
      </c>
      <c r="N437">
        <v>1011</v>
      </c>
      <c r="O437" t="s">
        <v>479</v>
      </c>
      <c r="P437" t="s">
        <v>479</v>
      </c>
      <c r="Q437">
        <v>1</v>
      </c>
      <c r="X437">
        <v>0.01</v>
      </c>
      <c r="Y437">
        <v>0</v>
      </c>
      <c r="Z437">
        <v>83.1</v>
      </c>
      <c r="AA437">
        <v>12.62</v>
      </c>
      <c r="AB437">
        <v>0</v>
      </c>
      <c r="AC437">
        <v>0</v>
      </c>
      <c r="AD437">
        <v>1</v>
      </c>
      <c r="AE437">
        <v>0</v>
      </c>
      <c r="AF437" t="s">
        <v>39</v>
      </c>
      <c r="AG437">
        <v>1.4999999999999999E-2</v>
      </c>
      <c r="AH437">
        <v>2</v>
      </c>
      <c r="AI437">
        <v>57263928</v>
      </c>
      <c r="AJ437">
        <v>409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ROW(Source!A152)</f>
        <v>152</v>
      </c>
      <c r="B438">
        <v>57263929</v>
      </c>
      <c r="C438">
        <v>55748238</v>
      </c>
      <c r="D438">
        <v>54767643</v>
      </c>
      <c r="E438">
        <v>1</v>
      </c>
      <c r="F438">
        <v>1</v>
      </c>
      <c r="G438">
        <v>1081</v>
      </c>
      <c r="H438">
        <v>2</v>
      </c>
      <c r="I438" t="s">
        <v>607</v>
      </c>
      <c r="J438" t="s">
        <v>608</v>
      </c>
      <c r="K438" t="s">
        <v>609</v>
      </c>
      <c r="L438">
        <v>1368</v>
      </c>
      <c r="N438">
        <v>1011</v>
      </c>
      <c r="O438" t="s">
        <v>479</v>
      </c>
      <c r="P438" t="s">
        <v>479</v>
      </c>
      <c r="Q438">
        <v>1</v>
      </c>
      <c r="X438">
        <v>0.01</v>
      </c>
      <c r="Y438">
        <v>0</v>
      </c>
      <c r="Z438">
        <v>114.83</v>
      </c>
      <c r="AA438">
        <v>12.62</v>
      </c>
      <c r="AB438">
        <v>0</v>
      </c>
      <c r="AC438">
        <v>0</v>
      </c>
      <c r="AD438">
        <v>1</v>
      </c>
      <c r="AE438">
        <v>0</v>
      </c>
      <c r="AF438" t="s">
        <v>39</v>
      </c>
      <c r="AG438">
        <v>1.4999999999999999E-2</v>
      </c>
      <c r="AH438">
        <v>2</v>
      </c>
      <c r="AI438">
        <v>57263929</v>
      </c>
      <c r="AJ438">
        <v>410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ROW(Source!A152)</f>
        <v>152</v>
      </c>
      <c r="B439">
        <v>57263930</v>
      </c>
      <c r="C439">
        <v>55748238</v>
      </c>
      <c r="D439">
        <v>54767655</v>
      </c>
      <c r="E439">
        <v>1</v>
      </c>
      <c r="F439">
        <v>1</v>
      </c>
      <c r="G439">
        <v>1081</v>
      </c>
      <c r="H439">
        <v>2</v>
      </c>
      <c r="I439" t="s">
        <v>610</v>
      </c>
      <c r="J439" t="s">
        <v>611</v>
      </c>
      <c r="K439" t="s">
        <v>612</v>
      </c>
      <c r="L439">
        <v>1368</v>
      </c>
      <c r="N439">
        <v>1011</v>
      </c>
      <c r="O439" t="s">
        <v>479</v>
      </c>
      <c r="P439" t="s">
        <v>479</v>
      </c>
      <c r="Q439">
        <v>1</v>
      </c>
      <c r="X439">
        <v>0.01</v>
      </c>
      <c r="Y439">
        <v>0</v>
      </c>
      <c r="Z439">
        <v>0.77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39</v>
      </c>
      <c r="AG439">
        <v>1.4999999999999999E-2</v>
      </c>
      <c r="AH439">
        <v>2</v>
      </c>
      <c r="AI439">
        <v>57263930</v>
      </c>
      <c r="AJ439">
        <v>411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ROW(Source!A152)</f>
        <v>152</v>
      </c>
      <c r="B440">
        <v>57263931</v>
      </c>
      <c r="C440">
        <v>55748238</v>
      </c>
      <c r="D440">
        <v>54737642</v>
      </c>
      <c r="E440">
        <v>1</v>
      </c>
      <c r="F440">
        <v>1</v>
      </c>
      <c r="G440">
        <v>1081</v>
      </c>
      <c r="H440">
        <v>3</v>
      </c>
      <c r="I440" t="s">
        <v>613</v>
      </c>
      <c r="J440" t="s">
        <v>614</v>
      </c>
      <c r="K440" t="s">
        <v>615</v>
      </c>
      <c r="L440">
        <v>1348</v>
      </c>
      <c r="N440">
        <v>1009</v>
      </c>
      <c r="O440" t="s">
        <v>282</v>
      </c>
      <c r="P440" t="s">
        <v>282</v>
      </c>
      <c r="Q440">
        <v>1000</v>
      </c>
      <c r="X440">
        <v>1.5E-3</v>
      </c>
      <c r="Y440">
        <v>6290.61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38</v>
      </c>
      <c r="AG440">
        <v>1.5E-3</v>
      </c>
      <c r="AH440">
        <v>2</v>
      </c>
      <c r="AI440">
        <v>57263931</v>
      </c>
      <c r="AJ440">
        <v>413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ROW(Source!A152)</f>
        <v>152</v>
      </c>
      <c r="B441">
        <v>57263932</v>
      </c>
      <c r="C441">
        <v>55748238</v>
      </c>
      <c r="D441">
        <v>54707280</v>
      </c>
      <c r="E441">
        <v>1081</v>
      </c>
      <c r="F441">
        <v>1</v>
      </c>
      <c r="G441">
        <v>1081</v>
      </c>
      <c r="H441">
        <v>3</v>
      </c>
      <c r="I441" t="s">
        <v>685</v>
      </c>
      <c r="J441" t="s">
        <v>3</v>
      </c>
      <c r="K441" t="s">
        <v>686</v>
      </c>
      <c r="L441">
        <v>1348</v>
      </c>
      <c r="N441">
        <v>1009</v>
      </c>
      <c r="O441" t="s">
        <v>282</v>
      </c>
      <c r="P441" t="s">
        <v>282</v>
      </c>
      <c r="Q441">
        <v>1000</v>
      </c>
      <c r="X441">
        <v>8.9999999999999993E-3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38</v>
      </c>
      <c r="AG441">
        <v>8.9999999999999993E-3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ROW(Source!A153)</f>
        <v>153</v>
      </c>
      <c r="B442">
        <v>57263926</v>
      </c>
      <c r="C442">
        <v>55748238</v>
      </c>
      <c r="D442">
        <v>54702434</v>
      </c>
      <c r="E442">
        <v>1081</v>
      </c>
      <c r="F442">
        <v>1</v>
      </c>
      <c r="G442">
        <v>1081</v>
      </c>
      <c r="H442">
        <v>1</v>
      </c>
      <c r="I442" t="s">
        <v>473</v>
      </c>
      <c r="J442" t="s">
        <v>3</v>
      </c>
      <c r="K442" t="s">
        <v>474</v>
      </c>
      <c r="L442">
        <v>1191</v>
      </c>
      <c r="N442">
        <v>1013</v>
      </c>
      <c r="O442" t="s">
        <v>475</v>
      </c>
      <c r="P442" t="s">
        <v>475</v>
      </c>
      <c r="Q442">
        <v>1</v>
      </c>
      <c r="X442">
        <v>5.31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1</v>
      </c>
      <c r="AF442" t="s">
        <v>40</v>
      </c>
      <c r="AG442">
        <v>7.3277999999999981</v>
      </c>
      <c r="AH442">
        <v>2</v>
      </c>
      <c r="AI442">
        <v>57263926</v>
      </c>
      <c r="AJ442">
        <v>414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ROW(Source!A153)</f>
        <v>153</v>
      </c>
      <c r="B443">
        <v>57263927</v>
      </c>
      <c r="C443">
        <v>55748238</v>
      </c>
      <c r="D443">
        <v>54767939</v>
      </c>
      <c r="E443">
        <v>1</v>
      </c>
      <c r="F443">
        <v>1</v>
      </c>
      <c r="G443">
        <v>1081</v>
      </c>
      <c r="H443">
        <v>2</v>
      </c>
      <c r="I443" t="s">
        <v>604</v>
      </c>
      <c r="J443" t="s">
        <v>605</v>
      </c>
      <c r="K443" t="s">
        <v>606</v>
      </c>
      <c r="L443">
        <v>1368</v>
      </c>
      <c r="N443">
        <v>1011</v>
      </c>
      <c r="O443" t="s">
        <v>479</v>
      </c>
      <c r="P443" t="s">
        <v>479</v>
      </c>
      <c r="Q443">
        <v>1</v>
      </c>
      <c r="X443">
        <v>1.1200000000000001</v>
      </c>
      <c r="Y443">
        <v>0</v>
      </c>
      <c r="Z443">
        <v>10.4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39</v>
      </c>
      <c r="AG443">
        <v>1.6800000000000002</v>
      </c>
      <c r="AH443">
        <v>2</v>
      </c>
      <c r="AI443">
        <v>57263927</v>
      </c>
      <c r="AJ443">
        <v>415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ROW(Source!A153)</f>
        <v>153</v>
      </c>
      <c r="B444">
        <v>57263928</v>
      </c>
      <c r="C444">
        <v>55748238</v>
      </c>
      <c r="D444">
        <v>54768339</v>
      </c>
      <c r="E444">
        <v>1</v>
      </c>
      <c r="F444">
        <v>1</v>
      </c>
      <c r="G444">
        <v>1081</v>
      </c>
      <c r="H444">
        <v>2</v>
      </c>
      <c r="I444" t="s">
        <v>483</v>
      </c>
      <c r="J444" t="s">
        <v>484</v>
      </c>
      <c r="K444" t="s">
        <v>485</v>
      </c>
      <c r="L444">
        <v>1368</v>
      </c>
      <c r="N444">
        <v>1011</v>
      </c>
      <c r="O444" t="s">
        <v>479</v>
      </c>
      <c r="P444" t="s">
        <v>479</v>
      </c>
      <c r="Q444">
        <v>1</v>
      </c>
      <c r="X444">
        <v>0.01</v>
      </c>
      <c r="Y444">
        <v>0</v>
      </c>
      <c r="Z444">
        <v>83.1</v>
      </c>
      <c r="AA444">
        <v>12.62</v>
      </c>
      <c r="AB444">
        <v>0</v>
      </c>
      <c r="AC444">
        <v>0</v>
      </c>
      <c r="AD444">
        <v>1</v>
      </c>
      <c r="AE444">
        <v>0</v>
      </c>
      <c r="AF444" t="s">
        <v>39</v>
      </c>
      <c r="AG444">
        <v>1.4999999999999999E-2</v>
      </c>
      <c r="AH444">
        <v>2</v>
      </c>
      <c r="AI444">
        <v>57263928</v>
      </c>
      <c r="AJ444">
        <v>416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ROW(Source!A153)</f>
        <v>153</v>
      </c>
      <c r="B445">
        <v>57263929</v>
      </c>
      <c r="C445">
        <v>55748238</v>
      </c>
      <c r="D445">
        <v>54767643</v>
      </c>
      <c r="E445">
        <v>1</v>
      </c>
      <c r="F445">
        <v>1</v>
      </c>
      <c r="G445">
        <v>1081</v>
      </c>
      <c r="H445">
        <v>2</v>
      </c>
      <c r="I445" t="s">
        <v>607</v>
      </c>
      <c r="J445" t="s">
        <v>608</v>
      </c>
      <c r="K445" t="s">
        <v>609</v>
      </c>
      <c r="L445">
        <v>1368</v>
      </c>
      <c r="N445">
        <v>1011</v>
      </c>
      <c r="O445" t="s">
        <v>479</v>
      </c>
      <c r="P445" t="s">
        <v>479</v>
      </c>
      <c r="Q445">
        <v>1</v>
      </c>
      <c r="X445">
        <v>0.01</v>
      </c>
      <c r="Y445">
        <v>0</v>
      </c>
      <c r="Z445">
        <v>114.83</v>
      </c>
      <c r="AA445">
        <v>12.62</v>
      </c>
      <c r="AB445">
        <v>0</v>
      </c>
      <c r="AC445">
        <v>0</v>
      </c>
      <c r="AD445">
        <v>1</v>
      </c>
      <c r="AE445">
        <v>0</v>
      </c>
      <c r="AF445" t="s">
        <v>39</v>
      </c>
      <c r="AG445">
        <v>1.4999999999999999E-2</v>
      </c>
      <c r="AH445">
        <v>2</v>
      </c>
      <c r="AI445">
        <v>57263929</v>
      </c>
      <c r="AJ445">
        <v>417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ROW(Source!A153)</f>
        <v>153</v>
      </c>
      <c r="B446">
        <v>57263930</v>
      </c>
      <c r="C446">
        <v>55748238</v>
      </c>
      <c r="D446">
        <v>54767655</v>
      </c>
      <c r="E446">
        <v>1</v>
      </c>
      <c r="F446">
        <v>1</v>
      </c>
      <c r="G446">
        <v>1081</v>
      </c>
      <c r="H446">
        <v>2</v>
      </c>
      <c r="I446" t="s">
        <v>610</v>
      </c>
      <c r="J446" t="s">
        <v>611</v>
      </c>
      <c r="K446" t="s">
        <v>612</v>
      </c>
      <c r="L446">
        <v>1368</v>
      </c>
      <c r="N446">
        <v>1011</v>
      </c>
      <c r="O446" t="s">
        <v>479</v>
      </c>
      <c r="P446" t="s">
        <v>479</v>
      </c>
      <c r="Q446">
        <v>1</v>
      </c>
      <c r="X446">
        <v>0.01</v>
      </c>
      <c r="Y446">
        <v>0</v>
      </c>
      <c r="Z446">
        <v>0.77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39</v>
      </c>
      <c r="AG446">
        <v>1.4999999999999999E-2</v>
      </c>
      <c r="AH446">
        <v>2</v>
      </c>
      <c r="AI446">
        <v>57263930</v>
      </c>
      <c r="AJ446">
        <v>418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ROW(Source!A153)</f>
        <v>153</v>
      </c>
      <c r="B447">
        <v>57263931</v>
      </c>
      <c r="C447">
        <v>55748238</v>
      </c>
      <c r="D447">
        <v>54737642</v>
      </c>
      <c r="E447">
        <v>1</v>
      </c>
      <c r="F447">
        <v>1</v>
      </c>
      <c r="G447">
        <v>1081</v>
      </c>
      <c r="H447">
        <v>3</v>
      </c>
      <c r="I447" t="s">
        <v>613</v>
      </c>
      <c r="J447" t="s">
        <v>614</v>
      </c>
      <c r="K447" t="s">
        <v>615</v>
      </c>
      <c r="L447">
        <v>1348</v>
      </c>
      <c r="N447">
        <v>1009</v>
      </c>
      <c r="O447" t="s">
        <v>282</v>
      </c>
      <c r="P447" t="s">
        <v>282</v>
      </c>
      <c r="Q447">
        <v>1000</v>
      </c>
      <c r="X447">
        <v>1.5E-3</v>
      </c>
      <c r="Y447">
        <v>6290.61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38</v>
      </c>
      <c r="AG447">
        <v>1.5E-3</v>
      </c>
      <c r="AH447">
        <v>2</v>
      </c>
      <c r="AI447">
        <v>57263931</v>
      </c>
      <c r="AJ447">
        <v>420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ROW(Source!A153)</f>
        <v>153</v>
      </c>
      <c r="B448">
        <v>57263932</v>
      </c>
      <c r="C448">
        <v>55748238</v>
      </c>
      <c r="D448">
        <v>54707280</v>
      </c>
      <c r="E448">
        <v>1081</v>
      </c>
      <c r="F448">
        <v>1</v>
      </c>
      <c r="G448">
        <v>1081</v>
      </c>
      <c r="H448">
        <v>3</v>
      </c>
      <c r="I448" t="s">
        <v>685</v>
      </c>
      <c r="J448" t="s">
        <v>3</v>
      </c>
      <c r="K448" t="s">
        <v>686</v>
      </c>
      <c r="L448">
        <v>1348</v>
      </c>
      <c r="N448">
        <v>1009</v>
      </c>
      <c r="O448" t="s">
        <v>282</v>
      </c>
      <c r="P448" t="s">
        <v>282</v>
      </c>
      <c r="Q448">
        <v>1000</v>
      </c>
      <c r="X448">
        <v>8.9999999999999993E-3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38</v>
      </c>
      <c r="AG448">
        <v>8.9999999999999993E-3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ROW(Source!A156)</f>
        <v>156</v>
      </c>
      <c r="B449">
        <v>57263934</v>
      </c>
      <c r="C449">
        <v>55748254</v>
      </c>
      <c r="D449">
        <v>54702434</v>
      </c>
      <c r="E449">
        <v>1081</v>
      </c>
      <c r="F449">
        <v>1</v>
      </c>
      <c r="G449">
        <v>1081</v>
      </c>
      <c r="H449">
        <v>1</v>
      </c>
      <c r="I449" t="s">
        <v>473</v>
      </c>
      <c r="J449" t="s">
        <v>3</v>
      </c>
      <c r="K449" t="s">
        <v>474</v>
      </c>
      <c r="L449">
        <v>1191</v>
      </c>
      <c r="N449">
        <v>1013</v>
      </c>
      <c r="O449" t="s">
        <v>475</v>
      </c>
      <c r="P449" t="s">
        <v>475</v>
      </c>
      <c r="Q449">
        <v>1</v>
      </c>
      <c r="X449">
        <v>2.13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40</v>
      </c>
      <c r="AG449">
        <v>2.9393999999999991</v>
      </c>
      <c r="AH449">
        <v>2</v>
      </c>
      <c r="AI449">
        <v>57263934</v>
      </c>
      <c r="AJ449">
        <v>421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ROW(Source!A156)</f>
        <v>156</v>
      </c>
      <c r="B450">
        <v>57263935</v>
      </c>
      <c r="C450">
        <v>55748254</v>
      </c>
      <c r="D450">
        <v>54768339</v>
      </c>
      <c r="E450">
        <v>1</v>
      </c>
      <c r="F450">
        <v>1</v>
      </c>
      <c r="G450">
        <v>1081</v>
      </c>
      <c r="H450">
        <v>2</v>
      </c>
      <c r="I450" t="s">
        <v>483</v>
      </c>
      <c r="J450" t="s">
        <v>484</v>
      </c>
      <c r="K450" t="s">
        <v>485</v>
      </c>
      <c r="L450">
        <v>1368</v>
      </c>
      <c r="N450">
        <v>1011</v>
      </c>
      <c r="O450" t="s">
        <v>479</v>
      </c>
      <c r="P450" t="s">
        <v>479</v>
      </c>
      <c r="Q450">
        <v>1</v>
      </c>
      <c r="X450">
        <v>0.01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39</v>
      </c>
      <c r="AG450">
        <v>1.4999999999999999E-2</v>
      </c>
      <c r="AH450">
        <v>2</v>
      </c>
      <c r="AI450">
        <v>57263935</v>
      </c>
      <c r="AJ450">
        <v>422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ROW(Source!A156)</f>
        <v>156</v>
      </c>
      <c r="B451">
        <v>57263936</v>
      </c>
      <c r="C451">
        <v>55748254</v>
      </c>
      <c r="D451">
        <v>54767643</v>
      </c>
      <c r="E451">
        <v>1</v>
      </c>
      <c r="F451">
        <v>1</v>
      </c>
      <c r="G451">
        <v>1081</v>
      </c>
      <c r="H451">
        <v>2</v>
      </c>
      <c r="I451" t="s">
        <v>607</v>
      </c>
      <c r="J451" t="s">
        <v>608</v>
      </c>
      <c r="K451" t="s">
        <v>609</v>
      </c>
      <c r="L451">
        <v>1368</v>
      </c>
      <c r="N451">
        <v>1011</v>
      </c>
      <c r="O451" t="s">
        <v>479</v>
      </c>
      <c r="P451" t="s">
        <v>479</v>
      </c>
      <c r="Q451">
        <v>1</v>
      </c>
      <c r="X451">
        <v>0.01</v>
      </c>
      <c r="Y451">
        <v>0</v>
      </c>
      <c r="Z451">
        <v>114.83</v>
      </c>
      <c r="AA451">
        <v>12.62</v>
      </c>
      <c r="AB451">
        <v>0</v>
      </c>
      <c r="AC451">
        <v>0</v>
      </c>
      <c r="AD451">
        <v>1</v>
      </c>
      <c r="AE451">
        <v>0</v>
      </c>
      <c r="AF451" t="s">
        <v>39</v>
      </c>
      <c r="AG451">
        <v>1.4999999999999999E-2</v>
      </c>
      <c r="AH451">
        <v>2</v>
      </c>
      <c r="AI451">
        <v>57263936</v>
      </c>
      <c r="AJ451">
        <v>423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ROW(Source!A156)</f>
        <v>156</v>
      </c>
      <c r="B452">
        <v>57263937</v>
      </c>
      <c r="C452">
        <v>55748254</v>
      </c>
      <c r="D452">
        <v>54738440</v>
      </c>
      <c r="E452">
        <v>1</v>
      </c>
      <c r="F452">
        <v>1</v>
      </c>
      <c r="G452">
        <v>1081</v>
      </c>
      <c r="H452">
        <v>3</v>
      </c>
      <c r="I452" t="s">
        <v>556</v>
      </c>
      <c r="J452" t="s">
        <v>557</v>
      </c>
      <c r="K452" t="s">
        <v>558</v>
      </c>
      <c r="L452">
        <v>1346</v>
      </c>
      <c r="N452">
        <v>1009</v>
      </c>
      <c r="O452" t="s">
        <v>503</v>
      </c>
      <c r="P452" t="s">
        <v>503</v>
      </c>
      <c r="Q452">
        <v>1</v>
      </c>
      <c r="X452">
        <v>9</v>
      </c>
      <c r="Y452">
        <v>29.89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38</v>
      </c>
      <c r="AG452">
        <v>9</v>
      </c>
      <c r="AH452">
        <v>2</v>
      </c>
      <c r="AI452">
        <v>57263937</v>
      </c>
      <c r="AJ452">
        <v>424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ROW(Source!A156)</f>
        <v>156</v>
      </c>
      <c r="B453">
        <v>57263938</v>
      </c>
      <c r="C453">
        <v>55748254</v>
      </c>
      <c r="D453">
        <v>54737965</v>
      </c>
      <c r="E453">
        <v>1</v>
      </c>
      <c r="F453">
        <v>1</v>
      </c>
      <c r="G453">
        <v>1081</v>
      </c>
      <c r="H453">
        <v>3</v>
      </c>
      <c r="I453" t="s">
        <v>577</v>
      </c>
      <c r="J453" t="s">
        <v>578</v>
      </c>
      <c r="K453" t="s">
        <v>579</v>
      </c>
      <c r="L453">
        <v>1348</v>
      </c>
      <c r="N453">
        <v>1009</v>
      </c>
      <c r="O453" t="s">
        <v>282</v>
      </c>
      <c r="P453" t="s">
        <v>282</v>
      </c>
      <c r="Q453">
        <v>1000</v>
      </c>
      <c r="X453">
        <v>1.48E-3</v>
      </c>
      <c r="Y453">
        <v>12521.99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38</v>
      </c>
      <c r="AG453">
        <v>1.48E-3</v>
      </c>
      <c r="AH453">
        <v>2</v>
      </c>
      <c r="AI453">
        <v>57263938</v>
      </c>
      <c r="AJ453">
        <v>425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ROW(Source!A157)</f>
        <v>157</v>
      </c>
      <c r="B454">
        <v>57263934</v>
      </c>
      <c r="C454">
        <v>55748254</v>
      </c>
      <c r="D454">
        <v>54702434</v>
      </c>
      <c r="E454">
        <v>1081</v>
      </c>
      <c r="F454">
        <v>1</v>
      </c>
      <c r="G454">
        <v>1081</v>
      </c>
      <c r="H454">
        <v>1</v>
      </c>
      <c r="I454" t="s">
        <v>473</v>
      </c>
      <c r="J454" t="s">
        <v>3</v>
      </c>
      <c r="K454" t="s">
        <v>474</v>
      </c>
      <c r="L454">
        <v>1191</v>
      </c>
      <c r="N454">
        <v>1013</v>
      </c>
      <c r="O454" t="s">
        <v>475</v>
      </c>
      <c r="P454" t="s">
        <v>475</v>
      </c>
      <c r="Q454">
        <v>1</v>
      </c>
      <c r="X454">
        <v>2.13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 t="s">
        <v>40</v>
      </c>
      <c r="AG454">
        <v>2.9393999999999991</v>
      </c>
      <c r="AH454">
        <v>2</v>
      </c>
      <c r="AI454">
        <v>57263934</v>
      </c>
      <c r="AJ454">
        <v>426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ROW(Source!A157)</f>
        <v>157</v>
      </c>
      <c r="B455">
        <v>57263935</v>
      </c>
      <c r="C455">
        <v>55748254</v>
      </c>
      <c r="D455">
        <v>54768339</v>
      </c>
      <c r="E455">
        <v>1</v>
      </c>
      <c r="F455">
        <v>1</v>
      </c>
      <c r="G455">
        <v>1081</v>
      </c>
      <c r="H455">
        <v>2</v>
      </c>
      <c r="I455" t="s">
        <v>483</v>
      </c>
      <c r="J455" t="s">
        <v>484</v>
      </c>
      <c r="K455" t="s">
        <v>485</v>
      </c>
      <c r="L455">
        <v>1368</v>
      </c>
      <c r="N455">
        <v>1011</v>
      </c>
      <c r="O455" t="s">
        <v>479</v>
      </c>
      <c r="P455" t="s">
        <v>479</v>
      </c>
      <c r="Q455">
        <v>1</v>
      </c>
      <c r="X455">
        <v>0.01</v>
      </c>
      <c r="Y455">
        <v>0</v>
      </c>
      <c r="Z455">
        <v>83.1</v>
      </c>
      <c r="AA455">
        <v>12.62</v>
      </c>
      <c r="AB455">
        <v>0</v>
      </c>
      <c r="AC455">
        <v>0</v>
      </c>
      <c r="AD455">
        <v>1</v>
      </c>
      <c r="AE455">
        <v>0</v>
      </c>
      <c r="AF455" t="s">
        <v>39</v>
      </c>
      <c r="AG455">
        <v>1.4999999999999999E-2</v>
      </c>
      <c r="AH455">
        <v>2</v>
      </c>
      <c r="AI455">
        <v>57263935</v>
      </c>
      <c r="AJ455">
        <v>427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ROW(Source!A157)</f>
        <v>157</v>
      </c>
      <c r="B456">
        <v>57263936</v>
      </c>
      <c r="C456">
        <v>55748254</v>
      </c>
      <c r="D456">
        <v>54767643</v>
      </c>
      <c r="E456">
        <v>1</v>
      </c>
      <c r="F456">
        <v>1</v>
      </c>
      <c r="G456">
        <v>1081</v>
      </c>
      <c r="H456">
        <v>2</v>
      </c>
      <c r="I456" t="s">
        <v>607</v>
      </c>
      <c r="J456" t="s">
        <v>608</v>
      </c>
      <c r="K456" t="s">
        <v>609</v>
      </c>
      <c r="L456">
        <v>1368</v>
      </c>
      <c r="N456">
        <v>1011</v>
      </c>
      <c r="O456" t="s">
        <v>479</v>
      </c>
      <c r="P456" t="s">
        <v>479</v>
      </c>
      <c r="Q456">
        <v>1</v>
      </c>
      <c r="X456">
        <v>0.01</v>
      </c>
      <c r="Y456">
        <v>0</v>
      </c>
      <c r="Z456">
        <v>114.83</v>
      </c>
      <c r="AA456">
        <v>12.62</v>
      </c>
      <c r="AB456">
        <v>0</v>
      </c>
      <c r="AC456">
        <v>0</v>
      </c>
      <c r="AD456">
        <v>1</v>
      </c>
      <c r="AE456">
        <v>0</v>
      </c>
      <c r="AF456" t="s">
        <v>39</v>
      </c>
      <c r="AG456">
        <v>1.4999999999999999E-2</v>
      </c>
      <c r="AH456">
        <v>2</v>
      </c>
      <c r="AI456">
        <v>57263936</v>
      </c>
      <c r="AJ456">
        <v>428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ROW(Source!A157)</f>
        <v>157</v>
      </c>
      <c r="B457">
        <v>57263937</v>
      </c>
      <c r="C457">
        <v>55748254</v>
      </c>
      <c r="D457">
        <v>54738440</v>
      </c>
      <c r="E457">
        <v>1</v>
      </c>
      <c r="F457">
        <v>1</v>
      </c>
      <c r="G457">
        <v>1081</v>
      </c>
      <c r="H457">
        <v>3</v>
      </c>
      <c r="I457" t="s">
        <v>556</v>
      </c>
      <c r="J457" t="s">
        <v>557</v>
      </c>
      <c r="K457" t="s">
        <v>558</v>
      </c>
      <c r="L457">
        <v>1346</v>
      </c>
      <c r="N457">
        <v>1009</v>
      </c>
      <c r="O457" t="s">
        <v>503</v>
      </c>
      <c r="P457" t="s">
        <v>503</v>
      </c>
      <c r="Q457">
        <v>1</v>
      </c>
      <c r="X457">
        <v>9</v>
      </c>
      <c r="Y457">
        <v>29.89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38</v>
      </c>
      <c r="AG457">
        <v>9</v>
      </c>
      <c r="AH457">
        <v>2</v>
      </c>
      <c r="AI457">
        <v>57263937</v>
      </c>
      <c r="AJ457">
        <v>429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ROW(Source!A157)</f>
        <v>157</v>
      </c>
      <c r="B458">
        <v>57263938</v>
      </c>
      <c r="C458">
        <v>55748254</v>
      </c>
      <c r="D458">
        <v>54737965</v>
      </c>
      <c r="E458">
        <v>1</v>
      </c>
      <c r="F458">
        <v>1</v>
      </c>
      <c r="G458">
        <v>1081</v>
      </c>
      <c r="H458">
        <v>3</v>
      </c>
      <c r="I458" t="s">
        <v>577</v>
      </c>
      <c r="J458" t="s">
        <v>578</v>
      </c>
      <c r="K458" t="s">
        <v>579</v>
      </c>
      <c r="L458">
        <v>1348</v>
      </c>
      <c r="N458">
        <v>1009</v>
      </c>
      <c r="O458" t="s">
        <v>282</v>
      </c>
      <c r="P458" t="s">
        <v>282</v>
      </c>
      <c r="Q458">
        <v>1000</v>
      </c>
      <c r="X458">
        <v>1.48E-3</v>
      </c>
      <c r="Y458">
        <v>12521.99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38</v>
      </c>
      <c r="AG458">
        <v>1.48E-3</v>
      </c>
      <c r="AH458">
        <v>2</v>
      </c>
      <c r="AI458">
        <v>57263938</v>
      </c>
      <c r="AJ458">
        <v>430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ROW(Source!A158)</f>
        <v>158</v>
      </c>
      <c r="B459">
        <v>55748274</v>
      </c>
      <c r="C459">
        <v>55748265</v>
      </c>
      <c r="D459">
        <v>54702434</v>
      </c>
      <c r="E459">
        <v>1081</v>
      </c>
      <c r="F459">
        <v>1</v>
      </c>
      <c r="G459">
        <v>1081</v>
      </c>
      <c r="H459">
        <v>1</v>
      </c>
      <c r="I459" t="s">
        <v>473</v>
      </c>
      <c r="J459" t="s">
        <v>3</v>
      </c>
      <c r="K459" t="s">
        <v>474</v>
      </c>
      <c r="L459">
        <v>1191</v>
      </c>
      <c r="N459">
        <v>1013</v>
      </c>
      <c r="O459" t="s">
        <v>475</v>
      </c>
      <c r="P459" t="s">
        <v>475</v>
      </c>
      <c r="Q459">
        <v>1</v>
      </c>
      <c r="X459">
        <v>8.5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 t="s">
        <v>49</v>
      </c>
      <c r="AG459">
        <v>10.199999999999999</v>
      </c>
      <c r="AH459">
        <v>2</v>
      </c>
      <c r="AI459">
        <v>55748266</v>
      </c>
      <c r="AJ459">
        <v>431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ROW(Source!A158)</f>
        <v>158</v>
      </c>
      <c r="B460">
        <v>55748275</v>
      </c>
      <c r="C460">
        <v>55748265</v>
      </c>
      <c r="D460">
        <v>54768040</v>
      </c>
      <c r="E460">
        <v>1</v>
      </c>
      <c r="F460">
        <v>1</v>
      </c>
      <c r="G460">
        <v>1081</v>
      </c>
      <c r="H460">
        <v>2</v>
      </c>
      <c r="I460" t="s">
        <v>476</v>
      </c>
      <c r="J460" t="s">
        <v>477</v>
      </c>
      <c r="K460" t="s">
        <v>478</v>
      </c>
      <c r="L460">
        <v>1368</v>
      </c>
      <c r="N460">
        <v>1011</v>
      </c>
      <c r="O460" t="s">
        <v>479</v>
      </c>
      <c r="P460" t="s">
        <v>479</v>
      </c>
      <c r="Q460">
        <v>1</v>
      </c>
      <c r="X460">
        <v>1.3</v>
      </c>
      <c r="Y460">
        <v>0</v>
      </c>
      <c r="Z460">
        <v>7.11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49</v>
      </c>
      <c r="AG460">
        <v>1.56</v>
      </c>
      <c r="AH460">
        <v>2</v>
      </c>
      <c r="AI460">
        <v>55748267</v>
      </c>
      <c r="AJ460">
        <v>432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ROW(Source!A158)</f>
        <v>158</v>
      </c>
      <c r="B461">
        <v>55748276</v>
      </c>
      <c r="C461">
        <v>55748265</v>
      </c>
      <c r="D461">
        <v>54768339</v>
      </c>
      <c r="E461">
        <v>1</v>
      </c>
      <c r="F461">
        <v>1</v>
      </c>
      <c r="G461">
        <v>1081</v>
      </c>
      <c r="H461">
        <v>2</v>
      </c>
      <c r="I461" t="s">
        <v>483</v>
      </c>
      <c r="J461" t="s">
        <v>484</v>
      </c>
      <c r="K461" t="s">
        <v>485</v>
      </c>
      <c r="L461">
        <v>1368</v>
      </c>
      <c r="N461">
        <v>1011</v>
      </c>
      <c r="O461" t="s">
        <v>479</v>
      </c>
      <c r="P461" t="s">
        <v>479</v>
      </c>
      <c r="Q461">
        <v>1</v>
      </c>
      <c r="X461">
        <v>0.03</v>
      </c>
      <c r="Y461">
        <v>0</v>
      </c>
      <c r="Z461">
        <v>83.1</v>
      </c>
      <c r="AA461">
        <v>12.62</v>
      </c>
      <c r="AB461">
        <v>0</v>
      </c>
      <c r="AC461">
        <v>0</v>
      </c>
      <c r="AD461">
        <v>1</v>
      </c>
      <c r="AE461">
        <v>0</v>
      </c>
      <c r="AF461" t="s">
        <v>49</v>
      </c>
      <c r="AG461">
        <v>3.5999999999999997E-2</v>
      </c>
      <c r="AH461">
        <v>2</v>
      </c>
      <c r="AI461">
        <v>55748268</v>
      </c>
      <c r="AJ461">
        <v>433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ROW(Source!A158)</f>
        <v>158</v>
      </c>
      <c r="B462">
        <v>55748277</v>
      </c>
      <c r="C462">
        <v>55748265</v>
      </c>
      <c r="D462">
        <v>54738518</v>
      </c>
      <c r="E462">
        <v>1</v>
      </c>
      <c r="F462">
        <v>1</v>
      </c>
      <c r="G462">
        <v>1081</v>
      </c>
      <c r="H462">
        <v>3</v>
      </c>
      <c r="I462" t="s">
        <v>493</v>
      </c>
      <c r="J462" t="s">
        <v>494</v>
      </c>
      <c r="K462" t="s">
        <v>495</v>
      </c>
      <c r="L462">
        <v>1348</v>
      </c>
      <c r="N462">
        <v>1009</v>
      </c>
      <c r="O462" t="s">
        <v>282</v>
      </c>
      <c r="P462" t="s">
        <v>282</v>
      </c>
      <c r="Q462">
        <v>1000</v>
      </c>
      <c r="X462">
        <v>4.4000000000000002E-4</v>
      </c>
      <c r="Y462">
        <v>9112.49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48</v>
      </c>
      <c r="AG462">
        <v>4.4000000000000002E-4</v>
      </c>
      <c r="AH462">
        <v>2</v>
      </c>
      <c r="AI462">
        <v>55748269</v>
      </c>
      <c r="AJ462">
        <v>434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ROW(Source!A158)</f>
        <v>158</v>
      </c>
      <c r="B463">
        <v>55748278</v>
      </c>
      <c r="C463">
        <v>55748265</v>
      </c>
      <c r="D463">
        <v>54739191</v>
      </c>
      <c r="E463">
        <v>1</v>
      </c>
      <c r="F463">
        <v>1</v>
      </c>
      <c r="G463">
        <v>1081</v>
      </c>
      <c r="H463">
        <v>3</v>
      </c>
      <c r="I463" t="s">
        <v>500</v>
      </c>
      <c r="J463" t="s">
        <v>501</v>
      </c>
      <c r="K463" t="s">
        <v>502</v>
      </c>
      <c r="L463">
        <v>1346</v>
      </c>
      <c r="N463">
        <v>1009</v>
      </c>
      <c r="O463" t="s">
        <v>503</v>
      </c>
      <c r="P463" t="s">
        <v>503</v>
      </c>
      <c r="Q463">
        <v>1</v>
      </c>
      <c r="X463">
        <v>1.0999999999999999E-2</v>
      </c>
      <c r="Y463">
        <v>6.25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48</v>
      </c>
      <c r="AG463">
        <v>1.0999999999999999E-2</v>
      </c>
      <c r="AH463">
        <v>2</v>
      </c>
      <c r="AI463">
        <v>55748270</v>
      </c>
      <c r="AJ463">
        <v>435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ROW(Source!A158)</f>
        <v>158</v>
      </c>
      <c r="B464">
        <v>55748279</v>
      </c>
      <c r="C464">
        <v>55748265</v>
      </c>
      <c r="D464">
        <v>54737565</v>
      </c>
      <c r="E464">
        <v>1</v>
      </c>
      <c r="F464">
        <v>1</v>
      </c>
      <c r="G464">
        <v>1081</v>
      </c>
      <c r="H464">
        <v>3</v>
      </c>
      <c r="I464" t="s">
        <v>504</v>
      </c>
      <c r="J464" t="s">
        <v>505</v>
      </c>
      <c r="K464" t="s">
        <v>506</v>
      </c>
      <c r="L464">
        <v>1339</v>
      </c>
      <c r="N464">
        <v>1007</v>
      </c>
      <c r="O464" t="s">
        <v>507</v>
      </c>
      <c r="P464" t="s">
        <v>507</v>
      </c>
      <c r="Q464">
        <v>1</v>
      </c>
      <c r="X464">
        <v>4.3999999999999997E-2</v>
      </c>
      <c r="Y464">
        <v>5.82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48</v>
      </c>
      <c r="AG464">
        <v>4.3999999999999997E-2</v>
      </c>
      <c r="AH464">
        <v>2</v>
      </c>
      <c r="AI464">
        <v>55748271</v>
      </c>
      <c r="AJ464">
        <v>436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ROW(Source!A158)</f>
        <v>158</v>
      </c>
      <c r="B465">
        <v>55748280</v>
      </c>
      <c r="C465">
        <v>55748265</v>
      </c>
      <c r="D465">
        <v>54717889</v>
      </c>
      <c r="E465">
        <v>1081</v>
      </c>
      <c r="F465">
        <v>1</v>
      </c>
      <c r="G465">
        <v>1081</v>
      </c>
      <c r="H465">
        <v>3</v>
      </c>
      <c r="I465" t="s">
        <v>674</v>
      </c>
      <c r="J465" t="s">
        <v>3</v>
      </c>
      <c r="K465" t="s">
        <v>675</v>
      </c>
      <c r="L465">
        <v>1354</v>
      </c>
      <c r="N465">
        <v>1010</v>
      </c>
      <c r="O465" t="s">
        <v>118</v>
      </c>
      <c r="P465" t="s">
        <v>118</v>
      </c>
      <c r="Q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48</v>
      </c>
      <c r="AG465">
        <v>1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ROW(Source!A159)</f>
        <v>159</v>
      </c>
      <c r="B466">
        <v>55748274</v>
      </c>
      <c r="C466">
        <v>55748265</v>
      </c>
      <c r="D466">
        <v>54702434</v>
      </c>
      <c r="E466">
        <v>1081</v>
      </c>
      <c r="F466">
        <v>1</v>
      </c>
      <c r="G466">
        <v>1081</v>
      </c>
      <c r="H466">
        <v>1</v>
      </c>
      <c r="I466" t="s">
        <v>473</v>
      </c>
      <c r="J466" t="s">
        <v>3</v>
      </c>
      <c r="K466" t="s">
        <v>474</v>
      </c>
      <c r="L466">
        <v>1191</v>
      </c>
      <c r="N466">
        <v>1013</v>
      </c>
      <c r="O466" t="s">
        <v>475</v>
      </c>
      <c r="P466" t="s">
        <v>475</v>
      </c>
      <c r="Q466">
        <v>1</v>
      </c>
      <c r="X466">
        <v>8.5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 t="s">
        <v>49</v>
      </c>
      <c r="AG466">
        <v>10.199999999999999</v>
      </c>
      <c r="AH466">
        <v>2</v>
      </c>
      <c r="AI466">
        <v>55748266</v>
      </c>
      <c r="AJ466">
        <v>438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ROW(Source!A159)</f>
        <v>159</v>
      </c>
      <c r="B467">
        <v>55748275</v>
      </c>
      <c r="C467">
        <v>55748265</v>
      </c>
      <c r="D467">
        <v>54768040</v>
      </c>
      <c r="E467">
        <v>1</v>
      </c>
      <c r="F467">
        <v>1</v>
      </c>
      <c r="G467">
        <v>1081</v>
      </c>
      <c r="H467">
        <v>2</v>
      </c>
      <c r="I467" t="s">
        <v>476</v>
      </c>
      <c r="J467" t="s">
        <v>477</v>
      </c>
      <c r="K467" t="s">
        <v>478</v>
      </c>
      <c r="L467">
        <v>1368</v>
      </c>
      <c r="N467">
        <v>1011</v>
      </c>
      <c r="O467" t="s">
        <v>479</v>
      </c>
      <c r="P467" t="s">
        <v>479</v>
      </c>
      <c r="Q467">
        <v>1</v>
      </c>
      <c r="X467">
        <v>1.3</v>
      </c>
      <c r="Y467">
        <v>0</v>
      </c>
      <c r="Z467">
        <v>7.11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49</v>
      </c>
      <c r="AG467">
        <v>1.56</v>
      </c>
      <c r="AH467">
        <v>2</v>
      </c>
      <c r="AI467">
        <v>55748267</v>
      </c>
      <c r="AJ467">
        <v>439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ROW(Source!A159)</f>
        <v>159</v>
      </c>
      <c r="B468">
        <v>55748276</v>
      </c>
      <c r="C468">
        <v>55748265</v>
      </c>
      <c r="D468">
        <v>54768339</v>
      </c>
      <c r="E468">
        <v>1</v>
      </c>
      <c r="F468">
        <v>1</v>
      </c>
      <c r="G468">
        <v>1081</v>
      </c>
      <c r="H468">
        <v>2</v>
      </c>
      <c r="I468" t="s">
        <v>483</v>
      </c>
      <c r="J468" t="s">
        <v>484</v>
      </c>
      <c r="K468" t="s">
        <v>485</v>
      </c>
      <c r="L468">
        <v>1368</v>
      </c>
      <c r="N468">
        <v>1011</v>
      </c>
      <c r="O468" t="s">
        <v>479</v>
      </c>
      <c r="P468" t="s">
        <v>479</v>
      </c>
      <c r="Q468">
        <v>1</v>
      </c>
      <c r="X468">
        <v>0.03</v>
      </c>
      <c r="Y468">
        <v>0</v>
      </c>
      <c r="Z468">
        <v>83.1</v>
      </c>
      <c r="AA468">
        <v>12.62</v>
      </c>
      <c r="AB468">
        <v>0</v>
      </c>
      <c r="AC468">
        <v>0</v>
      </c>
      <c r="AD468">
        <v>1</v>
      </c>
      <c r="AE468">
        <v>0</v>
      </c>
      <c r="AF468" t="s">
        <v>49</v>
      </c>
      <c r="AG468">
        <v>3.5999999999999997E-2</v>
      </c>
      <c r="AH468">
        <v>2</v>
      </c>
      <c r="AI468">
        <v>55748268</v>
      </c>
      <c r="AJ468">
        <v>440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ROW(Source!A159)</f>
        <v>159</v>
      </c>
      <c r="B469">
        <v>55748277</v>
      </c>
      <c r="C469">
        <v>55748265</v>
      </c>
      <c r="D469">
        <v>54738518</v>
      </c>
      <c r="E469">
        <v>1</v>
      </c>
      <c r="F469">
        <v>1</v>
      </c>
      <c r="G469">
        <v>1081</v>
      </c>
      <c r="H469">
        <v>3</v>
      </c>
      <c r="I469" t="s">
        <v>493</v>
      </c>
      <c r="J469" t="s">
        <v>494</v>
      </c>
      <c r="K469" t="s">
        <v>495</v>
      </c>
      <c r="L469">
        <v>1348</v>
      </c>
      <c r="N469">
        <v>1009</v>
      </c>
      <c r="O469" t="s">
        <v>282</v>
      </c>
      <c r="P469" t="s">
        <v>282</v>
      </c>
      <c r="Q469">
        <v>1000</v>
      </c>
      <c r="X469">
        <v>4.4000000000000002E-4</v>
      </c>
      <c r="Y469">
        <v>9112.49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48</v>
      </c>
      <c r="AG469">
        <v>4.4000000000000002E-4</v>
      </c>
      <c r="AH469">
        <v>2</v>
      </c>
      <c r="AI469">
        <v>55748269</v>
      </c>
      <c r="AJ469">
        <v>441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ROW(Source!A159)</f>
        <v>159</v>
      </c>
      <c r="B470">
        <v>55748278</v>
      </c>
      <c r="C470">
        <v>55748265</v>
      </c>
      <c r="D470">
        <v>54739191</v>
      </c>
      <c r="E470">
        <v>1</v>
      </c>
      <c r="F470">
        <v>1</v>
      </c>
      <c r="G470">
        <v>1081</v>
      </c>
      <c r="H470">
        <v>3</v>
      </c>
      <c r="I470" t="s">
        <v>500</v>
      </c>
      <c r="J470" t="s">
        <v>501</v>
      </c>
      <c r="K470" t="s">
        <v>502</v>
      </c>
      <c r="L470">
        <v>1346</v>
      </c>
      <c r="N470">
        <v>1009</v>
      </c>
      <c r="O470" t="s">
        <v>503</v>
      </c>
      <c r="P470" t="s">
        <v>503</v>
      </c>
      <c r="Q470">
        <v>1</v>
      </c>
      <c r="X470">
        <v>1.0999999999999999E-2</v>
      </c>
      <c r="Y470">
        <v>6.25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48</v>
      </c>
      <c r="AG470">
        <v>1.0999999999999999E-2</v>
      </c>
      <c r="AH470">
        <v>2</v>
      </c>
      <c r="AI470">
        <v>55748270</v>
      </c>
      <c r="AJ470">
        <v>442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ROW(Source!A159)</f>
        <v>159</v>
      </c>
      <c r="B471">
        <v>55748279</v>
      </c>
      <c r="C471">
        <v>55748265</v>
      </c>
      <c r="D471">
        <v>54737565</v>
      </c>
      <c r="E471">
        <v>1</v>
      </c>
      <c r="F471">
        <v>1</v>
      </c>
      <c r="G471">
        <v>1081</v>
      </c>
      <c r="H471">
        <v>3</v>
      </c>
      <c r="I471" t="s">
        <v>504</v>
      </c>
      <c r="J471" t="s">
        <v>505</v>
      </c>
      <c r="K471" t="s">
        <v>506</v>
      </c>
      <c r="L471">
        <v>1339</v>
      </c>
      <c r="N471">
        <v>1007</v>
      </c>
      <c r="O471" t="s">
        <v>507</v>
      </c>
      <c r="P471" t="s">
        <v>507</v>
      </c>
      <c r="Q471">
        <v>1</v>
      </c>
      <c r="X471">
        <v>4.3999999999999997E-2</v>
      </c>
      <c r="Y471">
        <v>5.82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48</v>
      </c>
      <c r="AG471">
        <v>4.3999999999999997E-2</v>
      </c>
      <c r="AH471">
        <v>2</v>
      </c>
      <c r="AI471">
        <v>55748271</v>
      </c>
      <c r="AJ471">
        <v>443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ROW(Source!A159)</f>
        <v>159</v>
      </c>
      <c r="B472">
        <v>55748280</v>
      </c>
      <c r="C472">
        <v>55748265</v>
      </c>
      <c r="D472">
        <v>54717889</v>
      </c>
      <c r="E472">
        <v>1081</v>
      </c>
      <c r="F472">
        <v>1</v>
      </c>
      <c r="G472">
        <v>1081</v>
      </c>
      <c r="H472">
        <v>3</v>
      </c>
      <c r="I472" t="s">
        <v>674</v>
      </c>
      <c r="J472" t="s">
        <v>3</v>
      </c>
      <c r="K472" t="s">
        <v>675</v>
      </c>
      <c r="L472">
        <v>1354</v>
      </c>
      <c r="N472">
        <v>1010</v>
      </c>
      <c r="O472" t="s">
        <v>118</v>
      </c>
      <c r="P472" t="s">
        <v>118</v>
      </c>
      <c r="Q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48</v>
      </c>
      <c r="AG472">
        <v>1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ROW(Source!A162)</f>
        <v>162</v>
      </c>
      <c r="B473">
        <v>57261072</v>
      </c>
      <c r="C473">
        <v>57261071</v>
      </c>
      <c r="D473">
        <v>54702434</v>
      </c>
      <c r="E473">
        <v>1081</v>
      </c>
      <c r="F473">
        <v>1</v>
      </c>
      <c r="G473">
        <v>1081</v>
      </c>
      <c r="H473">
        <v>1</v>
      </c>
      <c r="I473" t="s">
        <v>473</v>
      </c>
      <c r="J473" t="s">
        <v>3</v>
      </c>
      <c r="K473" t="s">
        <v>474</v>
      </c>
      <c r="L473">
        <v>1191</v>
      </c>
      <c r="N473">
        <v>1013</v>
      </c>
      <c r="O473" t="s">
        <v>475</v>
      </c>
      <c r="P473" t="s">
        <v>475</v>
      </c>
      <c r="Q473">
        <v>1</v>
      </c>
      <c r="X473">
        <v>5.4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 t="s">
        <v>49</v>
      </c>
      <c r="AG473">
        <v>6.48</v>
      </c>
      <c r="AH473">
        <v>2</v>
      </c>
      <c r="AI473">
        <v>57261072</v>
      </c>
      <c r="AJ473">
        <v>445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ROW(Source!A162)</f>
        <v>162</v>
      </c>
      <c r="B474">
        <v>57261073</v>
      </c>
      <c r="C474">
        <v>57261071</v>
      </c>
      <c r="D474">
        <v>54768040</v>
      </c>
      <c r="E474">
        <v>1</v>
      </c>
      <c r="F474">
        <v>1</v>
      </c>
      <c r="G474">
        <v>1081</v>
      </c>
      <c r="H474">
        <v>2</v>
      </c>
      <c r="I474" t="s">
        <v>476</v>
      </c>
      <c r="J474" t="s">
        <v>477</v>
      </c>
      <c r="K474" t="s">
        <v>478</v>
      </c>
      <c r="L474">
        <v>1368</v>
      </c>
      <c r="N474">
        <v>1011</v>
      </c>
      <c r="O474" t="s">
        <v>479</v>
      </c>
      <c r="P474" t="s">
        <v>479</v>
      </c>
      <c r="Q474">
        <v>1</v>
      </c>
      <c r="X474">
        <v>0.9</v>
      </c>
      <c r="Y474">
        <v>0</v>
      </c>
      <c r="Z474">
        <v>7.11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49</v>
      </c>
      <c r="AG474">
        <v>1.08</v>
      </c>
      <c r="AH474">
        <v>2</v>
      </c>
      <c r="AI474">
        <v>57261073</v>
      </c>
      <c r="AJ474">
        <v>446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ROW(Source!A162)</f>
        <v>162</v>
      </c>
      <c r="B475">
        <v>57261074</v>
      </c>
      <c r="C475">
        <v>57261071</v>
      </c>
      <c r="D475">
        <v>54768339</v>
      </c>
      <c r="E475">
        <v>1</v>
      </c>
      <c r="F475">
        <v>1</v>
      </c>
      <c r="G475">
        <v>1081</v>
      </c>
      <c r="H475">
        <v>2</v>
      </c>
      <c r="I475" t="s">
        <v>483</v>
      </c>
      <c r="J475" t="s">
        <v>484</v>
      </c>
      <c r="K475" t="s">
        <v>485</v>
      </c>
      <c r="L475">
        <v>1368</v>
      </c>
      <c r="N475">
        <v>1011</v>
      </c>
      <c r="O475" t="s">
        <v>479</v>
      </c>
      <c r="P475" t="s">
        <v>479</v>
      </c>
      <c r="Q475">
        <v>1</v>
      </c>
      <c r="X475">
        <v>0.02</v>
      </c>
      <c r="Y475">
        <v>0</v>
      </c>
      <c r="Z475">
        <v>83.1</v>
      </c>
      <c r="AA475">
        <v>12.62</v>
      </c>
      <c r="AB475">
        <v>0</v>
      </c>
      <c r="AC475">
        <v>0</v>
      </c>
      <c r="AD475">
        <v>1</v>
      </c>
      <c r="AE475">
        <v>0</v>
      </c>
      <c r="AF475" t="s">
        <v>49</v>
      </c>
      <c r="AG475">
        <v>2.4E-2</v>
      </c>
      <c r="AH475">
        <v>2</v>
      </c>
      <c r="AI475">
        <v>57261074</v>
      </c>
      <c r="AJ475">
        <v>447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ROW(Source!A162)</f>
        <v>162</v>
      </c>
      <c r="B476">
        <v>57261075</v>
      </c>
      <c r="C476">
        <v>57261071</v>
      </c>
      <c r="D476">
        <v>54738518</v>
      </c>
      <c r="E476">
        <v>1</v>
      </c>
      <c r="F476">
        <v>1</v>
      </c>
      <c r="G476">
        <v>1081</v>
      </c>
      <c r="H476">
        <v>3</v>
      </c>
      <c r="I476" t="s">
        <v>493</v>
      </c>
      <c r="J476" t="s">
        <v>494</v>
      </c>
      <c r="K476" t="s">
        <v>495</v>
      </c>
      <c r="L476">
        <v>1348</v>
      </c>
      <c r="N476">
        <v>1009</v>
      </c>
      <c r="O476" t="s">
        <v>282</v>
      </c>
      <c r="P476" t="s">
        <v>282</v>
      </c>
      <c r="Q476">
        <v>1000</v>
      </c>
      <c r="X476">
        <v>4.4000000000000002E-4</v>
      </c>
      <c r="Y476">
        <v>9112.49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48</v>
      </c>
      <c r="AG476">
        <v>4.4000000000000002E-4</v>
      </c>
      <c r="AH476">
        <v>2</v>
      </c>
      <c r="AI476">
        <v>57261075</v>
      </c>
      <c r="AJ476">
        <v>448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ROW(Source!A162)</f>
        <v>162</v>
      </c>
      <c r="B477">
        <v>57261076</v>
      </c>
      <c r="C477">
        <v>57261071</v>
      </c>
      <c r="D477">
        <v>54739191</v>
      </c>
      <c r="E477">
        <v>1</v>
      </c>
      <c r="F477">
        <v>1</v>
      </c>
      <c r="G477">
        <v>1081</v>
      </c>
      <c r="H477">
        <v>3</v>
      </c>
      <c r="I477" t="s">
        <v>500</v>
      </c>
      <c r="J477" t="s">
        <v>501</v>
      </c>
      <c r="K477" t="s">
        <v>502</v>
      </c>
      <c r="L477">
        <v>1346</v>
      </c>
      <c r="N477">
        <v>1009</v>
      </c>
      <c r="O477" t="s">
        <v>503</v>
      </c>
      <c r="P477" t="s">
        <v>503</v>
      </c>
      <c r="Q477">
        <v>1</v>
      </c>
      <c r="X477">
        <v>1.0999999999999999E-2</v>
      </c>
      <c r="Y477">
        <v>6.25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48</v>
      </c>
      <c r="AG477">
        <v>1.0999999999999999E-2</v>
      </c>
      <c r="AH477">
        <v>2</v>
      </c>
      <c r="AI477">
        <v>57261076</v>
      </c>
      <c r="AJ477">
        <v>449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ROW(Source!A162)</f>
        <v>162</v>
      </c>
      <c r="B478">
        <v>57261077</v>
      </c>
      <c r="C478">
        <v>57261071</v>
      </c>
      <c r="D478">
        <v>54737565</v>
      </c>
      <c r="E478">
        <v>1</v>
      </c>
      <c r="F478">
        <v>1</v>
      </c>
      <c r="G478">
        <v>1081</v>
      </c>
      <c r="H478">
        <v>3</v>
      </c>
      <c r="I478" t="s">
        <v>504</v>
      </c>
      <c r="J478" t="s">
        <v>505</v>
      </c>
      <c r="K478" t="s">
        <v>506</v>
      </c>
      <c r="L478">
        <v>1339</v>
      </c>
      <c r="N478">
        <v>1007</v>
      </c>
      <c r="O478" t="s">
        <v>507</v>
      </c>
      <c r="P478" t="s">
        <v>507</v>
      </c>
      <c r="Q478">
        <v>1</v>
      </c>
      <c r="X478">
        <v>4.3999999999999997E-2</v>
      </c>
      <c r="Y478">
        <v>5.82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48</v>
      </c>
      <c r="AG478">
        <v>4.3999999999999997E-2</v>
      </c>
      <c r="AH478">
        <v>2</v>
      </c>
      <c r="AI478">
        <v>57261077</v>
      </c>
      <c r="AJ478">
        <v>450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ROW(Source!A162)</f>
        <v>162</v>
      </c>
      <c r="B479">
        <v>57261078</v>
      </c>
      <c r="C479">
        <v>57261071</v>
      </c>
      <c r="D479">
        <v>54717890</v>
      </c>
      <c r="E479">
        <v>1081</v>
      </c>
      <c r="F479">
        <v>1</v>
      </c>
      <c r="G479">
        <v>1081</v>
      </c>
      <c r="H479">
        <v>3</v>
      </c>
      <c r="I479" t="s">
        <v>674</v>
      </c>
      <c r="J479" t="s">
        <v>3</v>
      </c>
      <c r="K479" t="s">
        <v>675</v>
      </c>
      <c r="L479">
        <v>1354</v>
      </c>
      <c r="N479">
        <v>1010</v>
      </c>
      <c r="O479" t="s">
        <v>118</v>
      </c>
      <c r="P479" t="s">
        <v>118</v>
      </c>
      <c r="Q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48</v>
      </c>
      <c r="AG479">
        <v>1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ROW(Source!A163)</f>
        <v>163</v>
      </c>
      <c r="B480">
        <v>57261072</v>
      </c>
      <c r="C480">
        <v>57261071</v>
      </c>
      <c r="D480">
        <v>54702434</v>
      </c>
      <c r="E480">
        <v>1081</v>
      </c>
      <c r="F480">
        <v>1</v>
      </c>
      <c r="G480">
        <v>1081</v>
      </c>
      <c r="H480">
        <v>1</v>
      </c>
      <c r="I480" t="s">
        <v>473</v>
      </c>
      <c r="J480" t="s">
        <v>3</v>
      </c>
      <c r="K480" t="s">
        <v>474</v>
      </c>
      <c r="L480">
        <v>1191</v>
      </c>
      <c r="N480">
        <v>1013</v>
      </c>
      <c r="O480" t="s">
        <v>475</v>
      </c>
      <c r="P480" t="s">
        <v>475</v>
      </c>
      <c r="Q480">
        <v>1</v>
      </c>
      <c r="X480">
        <v>5.4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 t="s">
        <v>49</v>
      </c>
      <c r="AG480">
        <v>6.48</v>
      </c>
      <c r="AH480">
        <v>2</v>
      </c>
      <c r="AI480">
        <v>57261072</v>
      </c>
      <c r="AJ480">
        <v>451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ROW(Source!A163)</f>
        <v>163</v>
      </c>
      <c r="B481">
        <v>57261073</v>
      </c>
      <c r="C481">
        <v>57261071</v>
      </c>
      <c r="D481">
        <v>54768040</v>
      </c>
      <c r="E481">
        <v>1</v>
      </c>
      <c r="F481">
        <v>1</v>
      </c>
      <c r="G481">
        <v>1081</v>
      </c>
      <c r="H481">
        <v>2</v>
      </c>
      <c r="I481" t="s">
        <v>476</v>
      </c>
      <c r="J481" t="s">
        <v>477</v>
      </c>
      <c r="K481" t="s">
        <v>478</v>
      </c>
      <c r="L481">
        <v>1368</v>
      </c>
      <c r="N481">
        <v>1011</v>
      </c>
      <c r="O481" t="s">
        <v>479</v>
      </c>
      <c r="P481" t="s">
        <v>479</v>
      </c>
      <c r="Q481">
        <v>1</v>
      </c>
      <c r="X481">
        <v>0.9</v>
      </c>
      <c r="Y481">
        <v>0</v>
      </c>
      <c r="Z481">
        <v>7.11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49</v>
      </c>
      <c r="AG481">
        <v>1.08</v>
      </c>
      <c r="AH481">
        <v>2</v>
      </c>
      <c r="AI481">
        <v>57261073</v>
      </c>
      <c r="AJ481">
        <v>452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ROW(Source!A163)</f>
        <v>163</v>
      </c>
      <c r="B482">
        <v>57261074</v>
      </c>
      <c r="C482">
        <v>57261071</v>
      </c>
      <c r="D482">
        <v>54768339</v>
      </c>
      <c r="E482">
        <v>1</v>
      </c>
      <c r="F482">
        <v>1</v>
      </c>
      <c r="G482">
        <v>1081</v>
      </c>
      <c r="H482">
        <v>2</v>
      </c>
      <c r="I482" t="s">
        <v>483</v>
      </c>
      <c r="J482" t="s">
        <v>484</v>
      </c>
      <c r="K482" t="s">
        <v>485</v>
      </c>
      <c r="L482">
        <v>1368</v>
      </c>
      <c r="N482">
        <v>1011</v>
      </c>
      <c r="O482" t="s">
        <v>479</v>
      </c>
      <c r="P482" t="s">
        <v>479</v>
      </c>
      <c r="Q482">
        <v>1</v>
      </c>
      <c r="X482">
        <v>0.02</v>
      </c>
      <c r="Y482">
        <v>0</v>
      </c>
      <c r="Z482">
        <v>83.1</v>
      </c>
      <c r="AA482">
        <v>12.62</v>
      </c>
      <c r="AB482">
        <v>0</v>
      </c>
      <c r="AC482">
        <v>0</v>
      </c>
      <c r="AD482">
        <v>1</v>
      </c>
      <c r="AE482">
        <v>0</v>
      </c>
      <c r="AF482" t="s">
        <v>49</v>
      </c>
      <c r="AG482">
        <v>2.4E-2</v>
      </c>
      <c r="AH482">
        <v>2</v>
      </c>
      <c r="AI482">
        <v>57261074</v>
      </c>
      <c r="AJ482">
        <v>453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ROW(Source!A163)</f>
        <v>163</v>
      </c>
      <c r="B483">
        <v>57261075</v>
      </c>
      <c r="C483">
        <v>57261071</v>
      </c>
      <c r="D483">
        <v>54738518</v>
      </c>
      <c r="E483">
        <v>1</v>
      </c>
      <c r="F483">
        <v>1</v>
      </c>
      <c r="G483">
        <v>1081</v>
      </c>
      <c r="H483">
        <v>3</v>
      </c>
      <c r="I483" t="s">
        <v>493</v>
      </c>
      <c r="J483" t="s">
        <v>494</v>
      </c>
      <c r="K483" t="s">
        <v>495</v>
      </c>
      <c r="L483">
        <v>1348</v>
      </c>
      <c r="N483">
        <v>1009</v>
      </c>
      <c r="O483" t="s">
        <v>282</v>
      </c>
      <c r="P483" t="s">
        <v>282</v>
      </c>
      <c r="Q483">
        <v>1000</v>
      </c>
      <c r="X483">
        <v>4.4000000000000002E-4</v>
      </c>
      <c r="Y483">
        <v>9112.49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48</v>
      </c>
      <c r="AG483">
        <v>4.4000000000000002E-4</v>
      </c>
      <c r="AH483">
        <v>2</v>
      </c>
      <c r="AI483">
        <v>57261075</v>
      </c>
      <c r="AJ483">
        <v>454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ROW(Source!A163)</f>
        <v>163</v>
      </c>
      <c r="B484">
        <v>57261076</v>
      </c>
      <c r="C484">
        <v>57261071</v>
      </c>
      <c r="D484">
        <v>54739191</v>
      </c>
      <c r="E484">
        <v>1</v>
      </c>
      <c r="F484">
        <v>1</v>
      </c>
      <c r="G484">
        <v>1081</v>
      </c>
      <c r="H484">
        <v>3</v>
      </c>
      <c r="I484" t="s">
        <v>500</v>
      </c>
      <c r="J484" t="s">
        <v>501</v>
      </c>
      <c r="K484" t="s">
        <v>502</v>
      </c>
      <c r="L484">
        <v>1346</v>
      </c>
      <c r="N484">
        <v>1009</v>
      </c>
      <c r="O484" t="s">
        <v>503</v>
      </c>
      <c r="P484" t="s">
        <v>503</v>
      </c>
      <c r="Q484">
        <v>1</v>
      </c>
      <c r="X484">
        <v>1.0999999999999999E-2</v>
      </c>
      <c r="Y484">
        <v>6.25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48</v>
      </c>
      <c r="AG484">
        <v>1.0999999999999999E-2</v>
      </c>
      <c r="AH484">
        <v>2</v>
      </c>
      <c r="AI484">
        <v>57261076</v>
      </c>
      <c r="AJ484">
        <v>455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ROW(Source!A163)</f>
        <v>163</v>
      </c>
      <c r="B485">
        <v>57261077</v>
      </c>
      <c r="C485">
        <v>57261071</v>
      </c>
      <c r="D485">
        <v>54737565</v>
      </c>
      <c r="E485">
        <v>1</v>
      </c>
      <c r="F485">
        <v>1</v>
      </c>
      <c r="G485">
        <v>1081</v>
      </c>
      <c r="H485">
        <v>3</v>
      </c>
      <c r="I485" t="s">
        <v>504</v>
      </c>
      <c r="J485" t="s">
        <v>505</v>
      </c>
      <c r="K485" t="s">
        <v>506</v>
      </c>
      <c r="L485">
        <v>1339</v>
      </c>
      <c r="N485">
        <v>1007</v>
      </c>
      <c r="O485" t="s">
        <v>507</v>
      </c>
      <c r="P485" t="s">
        <v>507</v>
      </c>
      <c r="Q485">
        <v>1</v>
      </c>
      <c r="X485">
        <v>4.3999999999999997E-2</v>
      </c>
      <c r="Y485">
        <v>5.82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48</v>
      </c>
      <c r="AG485">
        <v>4.3999999999999997E-2</v>
      </c>
      <c r="AH485">
        <v>2</v>
      </c>
      <c r="AI485">
        <v>57261077</v>
      </c>
      <c r="AJ485">
        <v>456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ROW(Source!A163)</f>
        <v>163</v>
      </c>
      <c r="B486">
        <v>57261078</v>
      </c>
      <c r="C486">
        <v>57261071</v>
      </c>
      <c r="D486">
        <v>54717890</v>
      </c>
      <c r="E486">
        <v>1081</v>
      </c>
      <c r="F486">
        <v>1</v>
      </c>
      <c r="G486">
        <v>1081</v>
      </c>
      <c r="H486">
        <v>3</v>
      </c>
      <c r="I486" t="s">
        <v>674</v>
      </c>
      <c r="J486" t="s">
        <v>3</v>
      </c>
      <c r="K486" t="s">
        <v>675</v>
      </c>
      <c r="L486">
        <v>1354</v>
      </c>
      <c r="N486">
        <v>1010</v>
      </c>
      <c r="O486" t="s">
        <v>118</v>
      </c>
      <c r="P486" t="s">
        <v>118</v>
      </c>
      <c r="Q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48</v>
      </c>
      <c r="AG486">
        <v>1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ROW(Source!A201)</f>
        <v>201</v>
      </c>
      <c r="B487">
        <v>55748297</v>
      </c>
      <c r="C487">
        <v>55748282</v>
      </c>
      <c r="D487">
        <v>54702434</v>
      </c>
      <c r="E487">
        <v>1081</v>
      </c>
      <c r="F487">
        <v>1</v>
      </c>
      <c r="G487">
        <v>1081</v>
      </c>
      <c r="H487">
        <v>1</v>
      </c>
      <c r="I487" t="s">
        <v>473</v>
      </c>
      <c r="J487" t="s">
        <v>3</v>
      </c>
      <c r="K487" t="s">
        <v>474</v>
      </c>
      <c r="L487">
        <v>1191</v>
      </c>
      <c r="N487">
        <v>1013</v>
      </c>
      <c r="O487" t="s">
        <v>475</v>
      </c>
      <c r="P487" t="s">
        <v>475</v>
      </c>
      <c r="Q487">
        <v>1</v>
      </c>
      <c r="X487">
        <v>55.11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49</v>
      </c>
      <c r="AG487">
        <v>66.131999999999991</v>
      </c>
      <c r="AH487">
        <v>2</v>
      </c>
      <c r="AI487">
        <v>55748283</v>
      </c>
      <c r="AJ487">
        <v>457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ROW(Source!A201)</f>
        <v>201</v>
      </c>
      <c r="B488">
        <v>55748298</v>
      </c>
      <c r="C488">
        <v>55748282</v>
      </c>
      <c r="D488">
        <v>54768339</v>
      </c>
      <c r="E488">
        <v>1</v>
      </c>
      <c r="F488">
        <v>1</v>
      </c>
      <c r="G488">
        <v>1081</v>
      </c>
      <c r="H488">
        <v>2</v>
      </c>
      <c r="I488" t="s">
        <v>483</v>
      </c>
      <c r="J488" t="s">
        <v>484</v>
      </c>
      <c r="K488" t="s">
        <v>485</v>
      </c>
      <c r="L488">
        <v>1368</v>
      </c>
      <c r="N488">
        <v>1011</v>
      </c>
      <c r="O488" t="s">
        <v>479</v>
      </c>
      <c r="P488" t="s">
        <v>479</v>
      </c>
      <c r="Q488">
        <v>1</v>
      </c>
      <c r="X488">
        <v>0.12</v>
      </c>
      <c r="Y488">
        <v>0</v>
      </c>
      <c r="Z488">
        <v>83.1</v>
      </c>
      <c r="AA488">
        <v>12.62</v>
      </c>
      <c r="AB488">
        <v>0</v>
      </c>
      <c r="AC488">
        <v>0</v>
      </c>
      <c r="AD488">
        <v>1</v>
      </c>
      <c r="AE488">
        <v>0</v>
      </c>
      <c r="AF488" t="s">
        <v>49</v>
      </c>
      <c r="AG488">
        <v>0.14399999999999999</v>
      </c>
      <c r="AH488">
        <v>2</v>
      </c>
      <c r="AI488">
        <v>55748284</v>
      </c>
      <c r="AJ488">
        <v>458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ROW(Source!A201)</f>
        <v>201</v>
      </c>
      <c r="B489">
        <v>55748299</v>
      </c>
      <c r="C489">
        <v>55748282</v>
      </c>
      <c r="D489">
        <v>54768426</v>
      </c>
      <c r="E489">
        <v>1</v>
      </c>
      <c r="F489">
        <v>1</v>
      </c>
      <c r="G489">
        <v>1081</v>
      </c>
      <c r="H489">
        <v>2</v>
      </c>
      <c r="I489" t="s">
        <v>616</v>
      </c>
      <c r="J489" t="s">
        <v>617</v>
      </c>
      <c r="K489" t="s">
        <v>618</v>
      </c>
      <c r="L489">
        <v>1368</v>
      </c>
      <c r="N489">
        <v>1011</v>
      </c>
      <c r="O489" t="s">
        <v>479</v>
      </c>
      <c r="P489" t="s">
        <v>479</v>
      </c>
      <c r="Q489">
        <v>1</v>
      </c>
      <c r="X489">
        <v>0.33</v>
      </c>
      <c r="Y489">
        <v>0</v>
      </c>
      <c r="Z489">
        <v>0.47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49</v>
      </c>
      <c r="AG489">
        <v>0.39600000000000002</v>
      </c>
      <c r="AH489">
        <v>2</v>
      </c>
      <c r="AI489">
        <v>55748285</v>
      </c>
      <c r="AJ489">
        <v>459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ROW(Source!A201)</f>
        <v>201</v>
      </c>
      <c r="B490">
        <v>55748300</v>
      </c>
      <c r="C490">
        <v>55748282</v>
      </c>
      <c r="D490">
        <v>54739078</v>
      </c>
      <c r="E490">
        <v>1</v>
      </c>
      <c r="F490">
        <v>1</v>
      </c>
      <c r="G490">
        <v>1081</v>
      </c>
      <c r="H490">
        <v>3</v>
      </c>
      <c r="I490" t="s">
        <v>541</v>
      </c>
      <c r="J490" t="s">
        <v>542</v>
      </c>
      <c r="K490" t="s">
        <v>543</v>
      </c>
      <c r="L490">
        <v>1346</v>
      </c>
      <c r="N490">
        <v>1009</v>
      </c>
      <c r="O490" t="s">
        <v>503</v>
      </c>
      <c r="P490" t="s">
        <v>503</v>
      </c>
      <c r="Q490">
        <v>1</v>
      </c>
      <c r="X490">
        <v>0.50900000000000001</v>
      </c>
      <c r="Y490">
        <v>37.979999999999997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48</v>
      </c>
      <c r="AG490">
        <v>0.50900000000000001</v>
      </c>
      <c r="AH490">
        <v>2</v>
      </c>
      <c r="AI490">
        <v>55748286</v>
      </c>
      <c r="AJ490">
        <v>460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ROW(Source!A201)</f>
        <v>201</v>
      </c>
      <c r="B491">
        <v>55748301</v>
      </c>
      <c r="C491">
        <v>55748282</v>
      </c>
      <c r="D491">
        <v>54744157</v>
      </c>
      <c r="E491">
        <v>1</v>
      </c>
      <c r="F491">
        <v>1</v>
      </c>
      <c r="G491">
        <v>1081</v>
      </c>
      <c r="H491">
        <v>3</v>
      </c>
      <c r="I491" t="s">
        <v>619</v>
      </c>
      <c r="J491" t="s">
        <v>620</v>
      </c>
      <c r="K491" t="s">
        <v>621</v>
      </c>
      <c r="L491">
        <v>1346</v>
      </c>
      <c r="N491">
        <v>1009</v>
      </c>
      <c r="O491" t="s">
        <v>503</v>
      </c>
      <c r="P491" t="s">
        <v>503</v>
      </c>
      <c r="Q491">
        <v>1</v>
      </c>
      <c r="X491">
        <v>1.575</v>
      </c>
      <c r="Y491">
        <v>78.569999999999993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48</v>
      </c>
      <c r="AG491">
        <v>1.575</v>
      </c>
      <c r="AH491">
        <v>2</v>
      </c>
      <c r="AI491">
        <v>55748287</v>
      </c>
      <c r="AJ491">
        <v>461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ROW(Source!A201)</f>
        <v>201</v>
      </c>
      <c r="B492">
        <v>55748302</v>
      </c>
      <c r="C492">
        <v>55748282</v>
      </c>
      <c r="D492">
        <v>54753962</v>
      </c>
      <c r="E492">
        <v>1</v>
      </c>
      <c r="F492">
        <v>1</v>
      </c>
      <c r="G492">
        <v>1081</v>
      </c>
      <c r="H492">
        <v>3</v>
      </c>
      <c r="I492" t="s">
        <v>622</v>
      </c>
      <c r="J492" t="s">
        <v>623</v>
      </c>
      <c r="K492" t="s">
        <v>624</v>
      </c>
      <c r="L492">
        <v>1354</v>
      </c>
      <c r="N492">
        <v>1010</v>
      </c>
      <c r="O492" t="s">
        <v>118</v>
      </c>
      <c r="P492" t="s">
        <v>118</v>
      </c>
      <c r="Q492">
        <v>1</v>
      </c>
      <c r="X492">
        <v>100</v>
      </c>
      <c r="Y492">
        <v>4.59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48</v>
      </c>
      <c r="AG492">
        <v>100</v>
      </c>
      <c r="AH492">
        <v>2</v>
      </c>
      <c r="AI492">
        <v>55748288</v>
      </c>
      <c r="AJ492">
        <v>462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ROW(Source!A201)</f>
        <v>201</v>
      </c>
      <c r="B493">
        <v>55748303</v>
      </c>
      <c r="C493">
        <v>55748282</v>
      </c>
      <c r="D493">
        <v>54753963</v>
      </c>
      <c r="E493">
        <v>1</v>
      </c>
      <c r="F493">
        <v>1</v>
      </c>
      <c r="G493">
        <v>1081</v>
      </c>
      <c r="H493">
        <v>3</v>
      </c>
      <c r="I493" t="s">
        <v>625</v>
      </c>
      <c r="J493" t="s">
        <v>626</v>
      </c>
      <c r="K493" t="s">
        <v>627</v>
      </c>
      <c r="L493">
        <v>1354</v>
      </c>
      <c r="N493">
        <v>1010</v>
      </c>
      <c r="O493" t="s">
        <v>118</v>
      </c>
      <c r="P493" t="s">
        <v>118</v>
      </c>
      <c r="Q493">
        <v>1</v>
      </c>
      <c r="X493">
        <v>102</v>
      </c>
      <c r="Y493">
        <v>4.59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48</v>
      </c>
      <c r="AG493">
        <v>102</v>
      </c>
      <c r="AH493">
        <v>2</v>
      </c>
      <c r="AI493">
        <v>55748289</v>
      </c>
      <c r="AJ493">
        <v>463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ROW(Source!A201)</f>
        <v>201</v>
      </c>
      <c r="B494">
        <v>55748304</v>
      </c>
      <c r="C494">
        <v>55748282</v>
      </c>
      <c r="D494">
        <v>54753964</v>
      </c>
      <c r="E494">
        <v>1</v>
      </c>
      <c r="F494">
        <v>1</v>
      </c>
      <c r="G494">
        <v>1081</v>
      </c>
      <c r="H494">
        <v>3</v>
      </c>
      <c r="I494" t="s">
        <v>628</v>
      </c>
      <c r="J494" t="s">
        <v>629</v>
      </c>
      <c r="K494" t="s">
        <v>630</v>
      </c>
      <c r="L494">
        <v>1354</v>
      </c>
      <c r="N494">
        <v>1010</v>
      </c>
      <c r="O494" t="s">
        <v>118</v>
      </c>
      <c r="P494" t="s">
        <v>118</v>
      </c>
      <c r="Q494">
        <v>1</v>
      </c>
      <c r="X494">
        <v>204</v>
      </c>
      <c r="Y494">
        <v>4.59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48</v>
      </c>
      <c r="AG494">
        <v>204</v>
      </c>
      <c r="AH494">
        <v>2</v>
      </c>
      <c r="AI494">
        <v>55748290</v>
      </c>
      <c r="AJ494">
        <v>464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ROW(Source!A201)</f>
        <v>201</v>
      </c>
      <c r="B495">
        <v>55748305</v>
      </c>
      <c r="C495">
        <v>55748282</v>
      </c>
      <c r="D495">
        <v>54753965</v>
      </c>
      <c r="E495">
        <v>1</v>
      </c>
      <c r="F495">
        <v>1</v>
      </c>
      <c r="G495">
        <v>1081</v>
      </c>
      <c r="H495">
        <v>3</v>
      </c>
      <c r="I495" t="s">
        <v>631</v>
      </c>
      <c r="J495" t="s">
        <v>632</v>
      </c>
      <c r="K495" t="s">
        <v>633</v>
      </c>
      <c r="L495">
        <v>1354</v>
      </c>
      <c r="N495">
        <v>1010</v>
      </c>
      <c r="O495" t="s">
        <v>118</v>
      </c>
      <c r="P495" t="s">
        <v>118</v>
      </c>
      <c r="Q495">
        <v>1</v>
      </c>
      <c r="X495">
        <v>102</v>
      </c>
      <c r="Y495">
        <v>2.81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48</v>
      </c>
      <c r="AG495">
        <v>102</v>
      </c>
      <c r="AH495">
        <v>2</v>
      </c>
      <c r="AI495">
        <v>55748291</v>
      </c>
      <c r="AJ495">
        <v>465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ROW(Source!A201)</f>
        <v>201</v>
      </c>
      <c r="B496">
        <v>55748306</v>
      </c>
      <c r="C496">
        <v>55748282</v>
      </c>
      <c r="D496">
        <v>54756500</v>
      </c>
      <c r="E496">
        <v>1</v>
      </c>
      <c r="F496">
        <v>1</v>
      </c>
      <c r="G496">
        <v>1081</v>
      </c>
      <c r="H496">
        <v>3</v>
      </c>
      <c r="I496" t="s">
        <v>634</v>
      </c>
      <c r="J496" t="s">
        <v>635</v>
      </c>
      <c r="K496" t="s">
        <v>636</v>
      </c>
      <c r="L496">
        <v>1354</v>
      </c>
      <c r="N496">
        <v>1010</v>
      </c>
      <c r="O496" t="s">
        <v>118</v>
      </c>
      <c r="P496" t="s">
        <v>118</v>
      </c>
      <c r="Q496">
        <v>1</v>
      </c>
      <c r="X496">
        <v>100</v>
      </c>
      <c r="Y496">
        <v>5.01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48</v>
      </c>
      <c r="AG496">
        <v>100</v>
      </c>
      <c r="AH496">
        <v>2</v>
      </c>
      <c r="AI496">
        <v>55748292</v>
      </c>
      <c r="AJ496">
        <v>467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ROW(Source!A201)</f>
        <v>201</v>
      </c>
      <c r="B497">
        <v>55748307</v>
      </c>
      <c r="C497">
        <v>55748282</v>
      </c>
      <c r="D497">
        <v>54697354</v>
      </c>
      <c r="E497">
        <v>1081</v>
      </c>
      <c r="F497">
        <v>1</v>
      </c>
      <c r="G497">
        <v>1081</v>
      </c>
      <c r="H497">
        <v>3</v>
      </c>
      <c r="I497" t="s">
        <v>687</v>
      </c>
      <c r="J497" t="s">
        <v>3</v>
      </c>
      <c r="K497" t="s">
        <v>688</v>
      </c>
      <c r="L497">
        <v>1301</v>
      </c>
      <c r="N497">
        <v>1003</v>
      </c>
      <c r="O497" t="s">
        <v>191</v>
      </c>
      <c r="P497" t="s">
        <v>191</v>
      </c>
      <c r="Q497">
        <v>1</v>
      </c>
      <c r="X497">
        <v>77.52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48</v>
      </c>
      <c r="AG497">
        <v>77.52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ROW(Source!A201)</f>
        <v>201</v>
      </c>
      <c r="B498">
        <v>55748308</v>
      </c>
      <c r="C498">
        <v>55748282</v>
      </c>
      <c r="D498">
        <v>54718984</v>
      </c>
      <c r="E498">
        <v>1081</v>
      </c>
      <c r="F498">
        <v>1</v>
      </c>
      <c r="G498">
        <v>1081</v>
      </c>
      <c r="H498">
        <v>3</v>
      </c>
      <c r="I498" t="s">
        <v>689</v>
      </c>
      <c r="J498" t="s">
        <v>3</v>
      </c>
      <c r="K498" t="s">
        <v>690</v>
      </c>
      <c r="L498">
        <v>1354</v>
      </c>
      <c r="N498">
        <v>1010</v>
      </c>
      <c r="O498" t="s">
        <v>118</v>
      </c>
      <c r="P498" t="s">
        <v>118</v>
      </c>
      <c r="Q498">
        <v>1</v>
      </c>
      <c r="X498">
        <v>100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48</v>
      </c>
      <c r="AG498">
        <v>100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ROW(Source!A201)</f>
        <v>201</v>
      </c>
      <c r="B499">
        <v>55748309</v>
      </c>
      <c r="C499">
        <v>55748282</v>
      </c>
      <c r="D499">
        <v>54718984</v>
      </c>
      <c r="E499">
        <v>1081</v>
      </c>
      <c r="F499">
        <v>1</v>
      </c>
      <c r="G499">
        <v>1081</v>
      </c>
      <c r="H499">
        <v>3</v>
      </c>
      <c r="I499" t="s">
        <v>689</v>
      </c>
      <c r="J499" t="s">
        <v>3</v>
      </c>
      <c r="K499" t="s">
        <v>691</v>
      </c>
      <c r="L499">
        <v>1354</v>
      </c>
      <c r="N499">
        <v>1010</v>
      </c>
      <c r="O499" t="s">
        <v>118</v>
      </c>
      <c r="P499" t="s">
        <v>118</v>
      </c>
      <c r="Q499">
        <v>1</v>
      </c>
      <c r="X499">
        <v>100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48</v>
      </c>
      <c r="AG499">
        <v>100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ROW(Source!A201)</f>
        <v>201</v>
      </c>
      <c r="B500">
        <v>55748310</v>
      </c>
      <c r="C500">
        <v>55748282</v>
      </c>
      <c r="D500">
        <v>54719682</v>
      </c>
      <c r="E500">
        <v>1081</v>
      </c>
      <c r="F500">
        <v>1</v>
      </c>
      <c r="G500">
        <v>1081</v>
      </c>
      <c r="H500">
        <v>3</v>
      </c>
      <c r="I500" t="s">
        <v>692</v>
      </c>
      <c r="J500" t="s">
        <v>3</v>
      </c>
      <c r="K500" t="s">
        <v>693</v>
      </c>
      <c r="L500">
        <v>1354</v>
      </c>
      <c r="N500">
        <v>1010</v>
      </c>
      <c r="O500" t="s">
        <v>118</v>
      </c>
      <c r="P500" t="s">
        <v>118</v>
      </c>
      <c r="Q500">
        <v>1</v>
      </c>
      <c r="X500">
        <v>100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48</v>
      </c>
      <c r="AG500">
        <v>100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ROW(Source!A202)</f>
        <v>202</v>
      </c>
      <c r="B501">
        <v>55748297</v>
      </c>
      <c r="C501">
        <v>55748282</v>
      </c>
      <c r="D501">
        <v>54702434</v>
      </c>
      <c r="E501">
        <v>1081</v>
      </c>
      <c r="F501">
        <v>1</v>
      </c>
      <c r="G501">
        <v>1081</v>
      </c>
      <c r="H501">
        <v>1</v>
      </c>
      <c r="I501" t="s">
        <v>473</v>
      </c>
      <c r="J501" t="s">
        <v>3</v>
      </c>
      <c r="K501" t="s">
        <v>474</v>
      </c>
      <c r="L501">
        <v>1191</v>
      </c>
      <c r="N501">
        <v>1013</v>
      </c>
      <c r="O501" t="s">
        <v>475</v>
      </c>
      <c r="P501" t="s">
        <v>475</v>
      </c>
      <c r="Q501">
        <v>1</v>
      </c>
      <c r="X501">
        <v>55.11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 t="s">
        <v>49</v>
      </c>
      <c r="AG501">
        <v>66.131999999999991</v>
      </c>
      <c r="AH501">
        <v>2</v>
      </c>
      <c r="AI501">
        <v>55748283</v>
      </c>
      <c r="AJ501">
        <v>468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ROW(Source!A202)</f>
        <v>202</v>
      </c>
      <c r="B502">
        <v>55748298</v>
      </c>
      <c r="C502">
        <v>55748282</v>
      </c>
      <c r="D502">
        <v>54768339</v>
      </c>
      <c r="E502">
        <v>1</v>
      </c>
      <c r="F502">
        <v>1</v>
      </c>
      <c r="G502">
        <v>1081</v>
      </c>
      <c r="H502">
        <v>2</v>
      </c>
      <c r="I502" t="s">
        <v>483</v>
      </c>
      <c r="J502" t="s">
        <v>484</v>
      </c>
      <c r="K502" t="s">
        <v>485</v>
      </c>
      <c r="L502">
        <v>1368</v>
      </c>
      <c r="N502">
        <v>1011</v>
      </c>
      <c r="O502" t="s">
        <v>479</v>
      </c>
      <c r="P502" t="s">
        <v>479</v>
      </c>
      <c r="Q502">
        <v>1</v>
      </c>
      <c r="X502">
        <v>0.12</v>
      </c>
      <c r="Y502">
        <v>0</v>
      </c>
      <c r="Z502">
        <v>83.1</v>
      </c>
      <c r="AA502">
        <v>12.62</v>
      </c>
      <c r="AB502">
        <v>0</v>
      </c>
      <c r="AC502">
        <v>0</v>
      </c>
      <c r="AD502">
        <v>1</v>
      </c>
      <c r="AE502">
        <v>0</v>
      </c>
      <c r="AF502" t="s">
        <v>49</v>
      </c>
      <c r="AG502">
        <v>0.14399999999999999</v>
      </c>
      <c r="AH502">
        <v>2</v>
      </c>
      <c r="AI502">
        <v>55748284</v>
      </c>
      <c r="AJ502">
        <v>469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ROW(Source!A202)</f>
        <v>202</v>
      </c>
      <c r="B503">
        <v>55748299</v>
      </c>
      <c r="C503">
        <v>55748282</v>
      </c>
      <c r="D503">
        <v>54768426</v>
      </c>
      <c r="E503">
        <v>1</v>
      </c>
      <c r="F503">
        <v>1</v>
      </c>
      <c r="G503">
        <v>1081</v>
      </c>
      <c r="H503">
        <v>2</v>
      </c>
      <c r="I503" t="s">
        <v>616</v>
      </c>
      <c r="J503" t="s">
        <v>617</v>
      </c>
      <c r="K503" t="s">
        <v>618</v>
      </c>
      <c r="L503">
        <v>1368</v>
      </c>
      <c r="N503">
        <v>1011</v>
      </c>
      <c r="O503" t="s">
        <v>479</v>
      </c>
      <c r="P503" t="s">
        <v>479</v>
      </c>
      <c r="Q503">
        <v>1</v>
      </c>
      <c r="X503">
        <v>0.33</v>
      </c>
      <c r="Y503">
        <v>0</v>
      </c>
      <c r="Z503">
        <v>0.47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49</v>
      </c>
      <c r="AG503">
        <v>0.39600000000000002</v>
      </c>
      <c r="AH503">
        <v>2</v>
      </c>
      <c r="AI503">
        <v>55748285</v>
      </c>
      <c r="AJ503">
        <v>470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ROW(Source!A202)</f>
        <v>202</v>
      </c>
      <c r="B504">
        <v>55748300</v>
      </c>
      <c r="C504">
        <v>55748282</v>
      </c>
      <c r="D504">
        <v>54739078</v>
      </c>
      <c r="E504">
        <v>1</v>
      </c>
      <c r="F504">
        <v>1</v>
      </c>
      <c r="G504">
        <v>1081</v>
      </c>
      <c r="H504">
        <v>3</v>
      </c>
      <c r="I504" t="s">
        <v>541</v>
      </c>
      <c r="J504" t="s">
        <v>542</v>
      </c>
      <c r="K504" t="s">
        <v>543</v>
      </c>
      <c r="L504">
        <v>1346</v>
      </c>
      <c r="N504">
        <v>1009</v>
      </c>
      <c r="O504" t="s">
        <v>503</v>
      </c>
      <c r="P504" t="s">
        <v>503</v>
      </c>
      <c r="Q504">
        <v>1</v>
      </c>
      <c r="X504">
        <v>0.50900000000000001</v>
      </c>
      <c r="Y504">
        <v>37.979999999999997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48</v>
      </c>
      <c r="AG504">
        <v>0.50900000000000001</v>
      </c>
      <c r="AH504">
        <v>2</v>
      </c>
      <c r="AI504">
        <v>55748286</v>
      </c>
      <c r="AJ504">
        <v>471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ROW(Source!A202)</f>
        <v>202</v>
      </c>
      <c r="B505">
        <v>55748301</v>
      </c>
      <c r="C505">
        <v>55748282</v>
      </c>
      <c r="D505">
        <v>54744157</v>
      </c>
      <c r="E505">
        <v>1</v>
      </c>
      <c r="F505">
        <v>1</v>
      </c>
      <c r="G505">
        <v>1081</v>
      </c>
      <c r="H505">
        <v>3</v>
      </c>
      <c r="I505" t="s">
        <v>619</v>
      </c>
      <c r="J505" t="s">
        <v>620</v>
      </c>
      <c r="K505" t="s">
        <v>621</v>
      </c>
      <c r="L505">
        <v>1346</v>
      </c>
      <c r="N505">
        <v>1009</v>
      </c>
      <c r="O505" t="s">
        <v>503</v>
      </c>
      <c r="P505" t="s">
        <v>503</v>
      </c>
      <c r="Q505">
        <v>1</v>
      </c>
      <c r="X505">
        <v>1.575</v>
      </c>
      <c r="Y505">
        <v>78.569999999999993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48</v>
      </c>
      <c r="AG505">
        <v>1.575</v>
      </c>
      <c r="AH505">
        <v>2</v>
      </c>
      <c r="AI505">
        <v>55748287</v>
      </c>
      <c r="AJ505">
        <v>472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ROW(Source!A202)</f>
        <v>202</v>
      </c>
      <c r="B506">
        <v>55748302</v>
      </c>
      <c r="C506">
        <v>55748282</v>
      </c>
      <c r="D506">
        <v>54753962</v>
      </c>
      <c r="E506">
        <v>1</v>
      </c>
      <c r="F506">
        <v>1</v>
      </c>
      <c r="G506">
        <v>1081</v>
      </c>
      <c r="H506">
        <v>3</v>
      </c>
      <c r="I506" t="s">
        <v>622</v>
      </c>
      <c r="J506" t="s">
        <v>623</v>
      </c>
      <c r="K506" t="s">
        <v>624</v>
      </c>
      <c r="L506">
        <v>1354</v>
      </c>
      <c r="N506">
        <v>1010</v>
      </c>
      <c r="O506" t="s">
        <v>118</v>
      </c>
      <c r="P506" t="s">
        <v>118</v>
      </c>
      <c r="Q506">
        <v>1</v>
      </c>
      <c r="X506">
        <v>100</v>
      </c>
      <c r="Y506">
        <v>4.59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48</v>
      </c>
      <c r="AG506">
        <v>100</v>
      </c>
      <c r="AH506">
        <v>2</v>
      </c>
      <c r="AI506">
        <v>55748288</v>
      </c>
      <c r="AJ506">
        <v>473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ROW(Source!A202)</f>
        <v>202</v>
      </c>
      <c r="B507">
        <v>55748303</v>
      </c>
      <c r="C507">
        <v>55748282</v>
      </c>
      <c r="D507">
        <v>54753963</v>
      </c>
      <c r="E507">
        <v>1</v>
      </c>
      <c r="F507">
        <v>1</v>
      </c>
      <c r="G507">
        <v>1081</v>
      </c>
      <c r="H507">
        <v>3</v>
      </c>
      <c r="I507" t="s">
        <v>625</v>
      </c>
      <c r="J507" t="s">
        <v>626</v>
      </c>
      <c r="K507" t="s">
        <v>627</v>
      </c>
      <c r="L507">
        <v>1354</v>
      </c>
      <c r="N507">
        <v>1010</v>
      </c>
      <c r="O507" t="s">
        <v>118</v>
      </c>
      <c r="P507" t="s">
        <v>118</v>
      </c>
      <c r="Q507">
        <v>1</v>
      </c>
      <c r="X507">
        <v>102</v>
      </c>
      <c r="Y507">
        <v>4.59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48</v>
      </c>
      <c r="AG507">
        <v>102</v>
      </c>
      <c r="AH507">
        <v>2</v>
      </c>
      <c r="AI507">
        <v>55748289</v>
      </c>
      <c r="AJ507">
        <v>474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ROW(Source!A202)</f>
        <v>202</v>
      </c>
      <c r="B508">
        <v>55748304</v>
      </c>
      <c r="C508">
        <v>55748282</v>
      </c>
      <c r="D508">
        <v>54753964</v>
      </c>
      <c r="E508">
        <v>1</v>
      </c>
      <c r="F508">
        <v>1</v>
      </c>
      <c r="G508">
        <v>1081</v>
      </c>
      <c r="H508">
        <v>3</v>
      </c>
      <c r="I508" t="s">
        <v>628</v>
      </c>
      <c r="J508" t="s">
        <v>629</v>
      </c>
      <c r="K508" t="s">
        <v>630</v>
      </c>
      <c r="L508">
        <v>1354</v>
      </c>
      <c r="N508">
        <v>1010</v>
      </c>
      <c r="O508" t="s">
        <v>118</v>
      </c>
      <c r="P508" t="s">
        <v>118</v>
      </c>
      <c r="Q508">
        <v>1</v>
      </c>
      <c r="X508">
        <v>204</v>
      </c>
      <c r="Y508">
        <v>4.59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48</v>
      </c>
      <c r="AG508">
        <v>204</v>
      </c>
      <c r="AH508">
        <v>2</v>
      </c>
      <c r="AI508">
        <v>55748290</v>
      </c>
      <c r="AJ508">
        <v>475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ROW(Source!A202)</f>
        <v>202</v>
      </c>
      <c r="B509">
        <v>55748305</v>
      </c>
      <c r="C509">
        <v>55748282</v>
      </c>
      <c r="D509">
        <v>54753965</v>
      </c>
      <c r="E509">
        <v>1</v>
      </c>
      <c r="F509">
        <v>1</v>
      </c>
      <c r="G509">
        <v>1081</v>
      </c>
      <c r="H509">
        <v>3</v>
      </c>
      <c r="I509" t="s">
        <v>631</v>
      </c>
      <c r="J509" t="s">
        <v>632</v>
      </c>
      <c r="K509" t="s">
        <v>633</v>
      </c>
      <c r="L509">
        <v>1354</v>
      </c>
      <c r="N509">
        <v>1010</v>
      </c>
      <c r="O509" t="s">
        <v>118</v>
      </c>
      <c r="P509" t="s">
        <v>118</v>
      </c>
      <c r="Q509">
        <v>1</v>
      </c>
      <c r="X509">
        <v>102</v>
      </c>
      <c r="Y509">
        <v>2.81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48</v>
      </c>
      <c r="AG509">
        <v>102</v>
      </c>
      <c r="AH509">
        <v>2</v>
      </c>
      <c r="AI509">
        <v>55748291</v>
      </c>
      <c r="AJ509">
        <v>476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ROW(Source!A202)</f>
        <v>202</v>
      </c>
      <c r="B510">
        <v>55748306</v>
      </c>
      <c r="C510">
        <v>55748282</v>
      </c>
      <c r="D510">
        <v>54756500</v>
      </c>
      <c r="E510">
        <v>1</v>
      </c>
      <c r="F510">
        <v>1</v>
      </c>
      <c r="G510">
        <v>1081</v>
      </c>
      <c r="H510">
        <v>3</v>
      </c>
      <c r="I510" t="s">
        <v>634</v>
      </c>
      <c r="J510" t="s">
        <v>635</v>
      </c>
      <c r="K510" t="s">
        <v>636</v>
      </c>
      <c r="L510">
        <v>1354</v>
      </c>
      <c r="N510">
        <v>1010</v>
      </c>
      <c r="O510" t="s">
        <v>118</v>
      </c>
      <c r="P510" t="s">
        <v>118</v>
      </c>
      <c r="Q510">
        <v>1</v>
      </c>
      <c r="X510">
        <v>100</v>
      </c>
      <c r="Y510">
        <v>5.01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48</v>
      </c>
      <c r="AG510">
        <v>100</v>
      </c>
      <c r="AH510">
        <v>2</v>
      </c>
      <c r="AI510">
        <v>55748292</v>
      </c>
      <c r="AJ510">
        <v>478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ROW(Source!A202)</f>
        <v>202</v>
      </c>
      <c r="B511">
        <v>55748307</v>
      </c>
      <c r="C511">
        <v>55748282</v>
      </c>
      <c r="D511">
        <v>54697354</v>
      </c>
      <c r="E511">
        <v>1081</v>
      </c>
      <c r="F511">
        <v>1</v>
      </c>
      <c r="G511">
        <v>1081</v>
      </c>
      <c r="H511">
        <v>3</v>
      </c>
      <c r="I511" t="s">
        <v>687</v>
      </c>
      <c r="J511" t="s">
        <v>3</v>
      </c>
      <c r="K511" t="s">
        <v>688</v>
      </c>
      <c r="L511">
        <v>1301</v>
      </c>
      <c r="N511">
        <v>1003</v>
      </c>
      <c r="O511" t="s">
        <v>191</v>
      </c>
      <c r="P511" t="s">
        <v>191</v>
      </c>
      <c r="Q511">
        <v>1</v>
      </c>
      <c r="X511">
        <v>77.52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48</v>
      </c>
      <c r="AG511">
        <v>77.52</v>
      </c>
      <c r="AH511">
        <v>3</v>
      </c>
      <c r="AI511">
        <v>-1</v>
      </c>
      <c r="AJ511" t="s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ROW(Source!A202)</f>
        <v>202</v>
      </c>
      <c r="B512">
        <v>55748308</v>
      </c>
      <c r="C512">
        <v>55748282</v>
      </c>
      <c r="D512">
        <v>54718984</v>
      </c>
      <c r="E512">
        <v>1081</v>
      </c>
      <c r="F512">
        <v>1</v>
      </c>
      <c r="G512">
        <v>1081</v>
      </c>
      <c r="H512">
        <v>3</v>
      </c>
      <c r="I512" t="s">
        <v>689</v>
      </c>
      <c r="J512" t="s">
        <v>3</v>
      </c>
      <c r="K512" t="s">
        <v>690</v>
      </c>
      <c r="L512">
        <v>1354</v>
      </c>
      <c r="N512">
        <v>1010</v>
      </c>
      <c r="O512" t="s">
        <v>118</v>
      </c>
      <c r="P512" t="s">
        <v>118</v>
      </c>
      <c r="Q512">
        <v>1</v>
      </c>
      <c r="X512">
        <v>100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48</v>
      </c>
      <c r="AG512">
        <v>100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ROW(Source!A202)</f>
        <v>202</v>
      </c>
      <c r="B513">
        <v>55748309</v>
      </c>
      <c r="C513">
        <v>55748282</v>
      </c>
      <c r="D513">
        <v>54718984</v>
      </c>
      <c r="E513">
        <v>1081</v>
      </c>
      <c r="F513">
        <v>1</v>
      </c>
      <c r="G513">
        <v>1081</v>
      </c>
      <c r="H513">
        <v>3</v>
      </c>
      <c r="I513" t="s">
        <v>689</v>
      </c>
      <c r="J513" t="s">
        <v>3</v>
      </c>
      <c r="K513" t="s">
        <v>691</v>
      </c>
      <c r="L513">
        <v>1354</v>
      </c>
      <c r="N513">
        <v>1010</v>
      </c>
      <c r="O513" t="s">
        <v>118</v>
      </c>
      <c r="P513" t="s">
        <v>118</v>
      </c>
      <c r="Q513">
        <v>1</v>
      </c>
      <c r="X513">
        <v>100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48</v>
      </c>
      <c r="AG513">
        <v>100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ROW(Source!A202)</f>
        <v>202</v>
      </c>
      <c r="B514">
        <v>55748310</v>
      </c>
      <c r="C514">
        <v>55748282</v>
      </c>
      <c r="D514">
        <v>54719682</v>
      </c>
      <c r="E514">
        <v>1081</v>
      </c>
      <c r="F514">
        <v>1</v>
      </c>
      <c r="G514">
        <v>1081</v>
      </c>
      <c r="H514">
        <v>3</v>
      </c>
      <c r="I514" t="s">
        <v>692</v>
      </c>
      <c r="J514" t="s">
        <v>3</v>
      </c>
      <c r="K514" t="s">
        <v>693</v>
      </c>
      <c r="L514">
        <v>1354</v>
      </c>
      <c r="N514">
        <v>1010</v>
      </c>
      <c r="O514" t="s">
        <v>118</v>
      </c>
      <c r="P514" t="s">
        <v>118</v>
      </c>
      <c r="Q514">
        <v>1</v>
      </c>
      <c r="X514">
        <v>100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48</v>
      </c>
      <c r="AG514">
        <v>100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ROW(Source!A207)</f>
        <v>207</v>
      </c>
      <c r="B515">
        <v>55748323</v>
      </c>
      <c r="C515">
        <v>55748315</v>
      </c>
      <c r="D515">
        <v>54702434</v>
      </c>
      <c r="E515">
        <v>1081</v>
      </c>
      <c r="F515">
        <v>1</v>
      </c>
      <c r="G515">
        <v>1081</v>
      </c>
      <c r="H515">
        <v>1</v>
      </c>
      <c r="I515" t="s">
        <v>473</v>
      </c>
      <c r="J515" t="s">
        <v>3</v>
      </c>
      <c r="K515" t="s">
        <v>474</v>
      </c>
      <c r="L515">
        <v>1191</v>
      </c>
      <c r="N515">
        <v>1013</v>
      </c>
      <c r="O515" t="s">
        <v>475</v>
      </c>
      <c r="P515" t="s">
        <v>475</v>
      </c>
      <c r="Q515">
        <v>1</v>
      </c>
      <c r="X515">
        <v>6.9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49</v>
      </c>
      <c r="AG515">
        <v>8.2799999999999994</v>
      </c>
      <c r="AH515">
        <v>2</v>
      </c>
      <c r="AI515">
        <v>55748316</v>
      </c>
      <c r="AJ515">
        <v>479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ROW(Source!A207)</f>
        <v>207</v>
      </c>
      <c r="B516">
        <v>55748324</v>
      </c>
      <c r="C516">
        <v>55748315</v>
      </c>
      <c r="D516">
        <v>54768040</v>
      </c>
      <c r="E516">
        <v>1</v>
      </c>
      <c r="F516">
        <v>1</v>
      </c>
      <c r="G516">
        <v>1081</v>
      </c>
      <c r="H516">
        <v>2</v>
      </c>
      <c r="I516" t="s">
        <v>476</v>
      </c>
      <c r="J516" t="s">
        <v>477</v>
      </c>
      <c r="K516" t="s">
        <v>478</v>
      </c>
      <c r="L516">
        <v>1368</v>
      </c>
      <c r="N516">
        <v>1011</v>
      </c>
      <c r="O516" t="s">
        <v>479</v>
      </c>
      <c r="P516" t="s">
        <v>479</v>
      </c>
      <c r="Q516">
        <v>1</v>
      </c>
      <c r="X516">
        <v>0.6</v>
      </c>
      <c r="Y516">
        <v>0</v>
      </c>
      <c r="Z516">
        <v>7.11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49</v>
      </c>
      <c r="AG516">
        <v>0.72</v>
      </c>
      <c r="AH516">
        <v>2</v>
      </c>
      <c r="AI516">
        <v>55748317</v>
      </c>
      <c r="AJ516">
        <v>480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ROW(Source!A207)</f>
        <v>207</v>
      </c>
      <c r="B517">
        <v>55748325</v>
      </c>
      <c r="C517">
        <v>55748315</v>
      </c>
      <c r="D517">
        <v>54738518</v>
      </c>
      <c r="E517">
        <v>1</v>
      </c>
      <c r="F517">
        <v>1</v>
      </c>
      <c r="G517">
        <v>1081</v>
      </c>
      <c r="H517">
        <v>3</v>
      </c>
      <c r="I517" t="s">
        <v>493</v>
      </c>
      <c r="J517" t="s">
        <v>494</v>
      </c>
      <c r="K517" t="s">
        <v>495</v>
      </c>
      <c r="L517">
        <v>1348</v>
      </c>
      <c r="N517">
        <v>1009</v>
      </c>
      <c r="O517" t="s">
        <v>282</v>
      </c>
      <c r="P517" t="s">
        <v>282</v>
      </c>
      <c r="Q517">
        <v>1000</v>
      </c>
      <c r="X517">
        <v>3.8000000000000002E-4</v>
      </c>
      <c r="Y517">
        <v>9112.49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48</v>
      </c>
      <c r="AG517">
        <v>3.8000000000000002E-4</v>
      </c>
      <c r="AH517">
        <v>2</v>
      </c>
      <c r="AI517">
        <v>55748318</v>
      </c>
      <c r="AJ517">
        <v>481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ROW(Source!A207)</f>
        <v>207</v>
      </c>
      <c r="B518">
        <v>55748326</v>
      </c>
      <c r="C518">
        <v>55748315</v>
      </c>
      <c r="D518">
        <v>54739191</v>
      </c>
      <c r="E518">
        <v>1</v>
      </c>
      <c r="F518">
        <v>1</v>
      </c>
      <c r="G518">
        <v>1081</v>
      </c>
      <c r="H518">
        <v>3</v>
      </c>
      <c r="I518" t="s">
        <v>500</v>
      </c>
      <c r="J518" t="s">
        <v>501</v>
      </c>
      <c r="K518" t="s">
        <v>502</v>
      </c>
      <c r="L518">
        <v>1346</v>
      </c>
      <c r="N518">
        <v>1009</v>
      </c>
      <c r="O518" t="s">
        <v>503</v>
      </c>
      <c r="P518" t="s">
        <v>503</v>
      </c>
      <c r="Q518">
        <v>1</v>
      </c>
      <c r="X518">
        <v>6.0000000000000001E-3</v>
      </c>
      <c r="Y518">
        <v>6.25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48</v>
      </c>
      <c r="AG518">
        <v>6.0000000000000001E-3</v>
      </c>
      <c r="AH518">
        <v>2</v>
      </c>
      <c r="AI518">
        <v>55748319</v>
      </c>
      <c r="AJ518">
        <v>482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ROW(Source!A207)</f>
        <v>207</v>
      </c>
      <c r="B519">
        <v>55748327</v>
      </c>
      <c r="C519">
        <v>55748315</v>
      </c>
      <c r="D519">
        <v>54737565</v>
      </c>
      <c r="E519">
        <v>1</v>
      </c>
      <c r="F519">
        <v>1</v>
      </c>
      <c r="G519">
        <v>1081</v>
      </c>
      <c r="H519">
        <v>3</v>
      </c>
      <c r="I519" t="s">
        <v>504</v>
      </c>
      <c r="J519" t="s">
        <v>505</v>
      </c>
      <c r="K519" t="s">
        <v>506</v>
      </c>
      <c r="L519">
        <v>1339</v>
      </c>
      <c r="N519">
        <v>1007</v>
      </c>
      <c r="O519" t="s">
        <v>507</v>
      </c>
      <c r="P519" t="s">
        <v>507</v>
      </c>
      <c r="Q519">
        <v>1</v>
      </c>
      <c r="X519">
        <v>1.4999999999999999E-2</v>
      </c>
      <c r="Y519">
        <v>5.82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48</v>
      </c>
      <c r="AG519">
        <v>1.4999999999999999E-2</v>
      </c>
      <c r="AH519">
        <v>2</v>
      </c>
      <c r="AI519">
        <v>55748320</v>
      </c>
      <c r="AJ519">
        <v>483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ROW(Source!A207)</f>
        <v>207</v>
      </c>
      <c r="B520">
        <v>55748328</v>
      </c>
      <c r="C520">
        <v>55748315</v>
      </c>
      <c r="D520">
        <v>54717889</v>
      </c>
      <c r="E520">
        <v>1081</v>
      </c>
      <c r="F520">
        <v>1</v>
      </c>
      <c r="G520">
        <v>1081</v>
      </c>
      <c r="H520">
        <v>3</v>
      </c>
      <c r="I520" t="s">
        <v>674</v>
      </c>
      <c r="J520" t="s">
        <v>3</v>
      </c>
      <c r="K520" t="s">
        <v>675</v>
      </c>
      <c r="L520">
        <v>1354</v>
      </c>
      <c r="N520">
        <v>1010</v>
      </c>
      <c r="O520" t="s">
        <v>118</v>
      </c>
      <c r="P520" t="s">
        <v>118</v>
      </c>
      <c r="Q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48</v>
      </c>
      <c r="AG520">
        <v>1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ROW(Source!A208)</f>
        <v>208</v>
      </c>
      <c r="B521">
        <v>55748323</v>
      </c>
      <c r="C521">
        <v>55748315</v>
      </c>
      <c r="D521">
        <v>54702434</v>
      </c>
      <c r="E521">
        <v>1081</v>
      </c>
      <c r="F521">
        <v>1</v>
      </c>
      <c r="G521">
        <v>1081</v>
      </c>
      <c r="H521">
        <v>1</v>
      </c>
      <c r="I521" t="s">
        <v>473</v>
      </c>
      <c r="J521" t="s">
        <v>3</v>
      </c>
      <c r="K521" t="s">
        <v>474</v>
      </c>
      <c r="L521">
        <v>1191</v>
      </c>
      <c r="N521">
        <v>1013</v>
      </c>
      <c r="O521" t="s">
        <v>475</v>
      </c>
      <c r="P521" t="s">
        <v>475</v>
      </c>
      <c r="Q521">
        <v>1</v>
      </c>
      <c r="X521">
        <v>6.9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49</v>
      </c>
      <c r="AG521">
        <v>8.2799999999999994</v>
      </c>
      <c r="AH521">
        <v>2</v>
      </c>
      <c r="AI521">
        <v>55748316</v>
      </c>
      <c r="AJ521">
        <v>486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ROW(Source!A208)</f>
        <v>208</v>
      </c>
      <c r="B522">
        <v>55748324</v>
      </c>
      <c r="C522">
        <v>55748315</v>
      </c>
      <c r="D522">
        <v>54768040</v>
      </c>
      <c r="E522">
        <v>1</v>
      </c>
      <c r="F522">
        <v>1</v>
      </c>
      <c r="G522">
        <v>1081</v>
      </c>
      <c r="H522">
        <v>2</v>
      </c>
      <c r="I522" t="s">
        <v>476</v>
      </c>
      <c r="J522" t="s">
        <v>477</v>
      </c>
      <c r="K522" t="s">
        <v>478</v>
      </c>
      <c r="L522">
        <v>1368</v>
      </c>
      <c r="N522">
        <v>1011</v>
      </c>
      <c r="O522" t="s">
        <v>479</v>
      </c>
      <c r="P522" t="s">
        <v>479</v>
      </c>
      <c r="Q522">
        <v>1</v>
      </c>
      <c r="X522">
        <v>0.6</v>
      </c>
      <c r="Y522">
        <v>0</v>
      </c>
      <c r="Z522">
        <v>7.11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49</v>
      </c>
      <c r="AG522">
        <v>0.72</v>
      </c>
      <c r="AH522">
        <v>2</v>
      </c>
      <c r="AI522">
        <v>55748317</v>
      </c>
      <c r="AJ522">
        <v>487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ROW(Source!A208)</f>
        <v>208</v>
      </c>
      <c r="B523">
        <v>55748325</v>
      </c>
      <c r="C523">
        <v>55748315</v>
      </c>
      <c r="D523">
        <v>54738518</v>
      </c>
      <c r="E523">
        <v>1</v>
      </c>
      <c r="F523">
        <v>1</v>
      </c>
      <c r="G523">
        <v>1081</v>
      </c>
      <c r="H523">
        <v>3</v>
      </c>
      <c r="I523" t="s">
        <v>493</v>
      </c>
      <c r="J523" t="s">
        <v>494</v>
      </c>
      <c r="K523" t="s">
        <v>495</v>
      </c>
      <c r="L523">
        <v>1348</v>
      </c>
      <c r="N523">
        <v>1009</v>
      </c>
      <c r="O523" t="s">
        <v>282</v>
      </c>
      <c r="P523" t="s">
        <v>282</v>
      </c>
      <c r="Q523">
        <v>1000</v>
      </c>
      <c r="X523">
        <v>3.8000000000000002E-4</v>
      </c>
      <c r="Y523">
        <v>9112.49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48</v>
      </c>
      <c r="AG523">
        <v>3.8000000000000002E-4</v>
      </c>
      <c r="AH523">
        <v>2</v>
      </c>
      <c r="AI523">
        <v>55748318</v>
      </c>
      <c r="AJ523">
        <v>488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ROW(Source!A208)</f>
        <v>208</v>
      </c>
      <c r="B524">
        <v>55748326</v>
      </c>
      <c r="C524">
        <v>55748315</v>
      </c>
      <c r="D524">
        <v>54739191</v>
      </c>
      <c r="E524">
        <v>1</v>
      </c>
      <c r="F524">
        <v>1</v>
      </c>
      <c r="G524">
        <v>1081</v>
      </c>
      <c r="H524">
        <v>3</v>
      </c>
      <c r="I524" t="s">
        <v>500</v>
      </c>
      <c r="J524" t="s">
        <v>501</v>
      </c>
      <c r="K524" t="s">
        <v>502</v>
      </c>
      <c r="L524">
        <v>1346</v>
      </c>
      <c r="N524">
        <v>1009</v>
      </c>
      <c r="O524" t="s">
        <v>503</v>
      </c>
      <c r="P524" t="s">
        <v>503</v>
      </c>
      <c r="Q524">
        <v>1</v>
      </c>
      <c r="X524">
        <v>6.0000000000000001E-3</v>
      </c>
      <c r="Y524">
        <v>6.25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48</v>
      </c>
      <c r="AG524">
        <v>6.0000000000000001E-3</v>
      </c>
      <c r="AH524">
        <v>2</v>
      </c>
      <c r="AI524">
        <v>55748319</v>
      </c>
      <c r="AJ524">
        <v>489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ROW(Source!A208)</f>
        <v>208</v>
      </c>
      <c r="B525">
        <v>55748327</v>
      </c>
      <c r="C525">
        <v>55748315</v>
      </c>
      <c r="D525">
        <v>54737565</v>
      </c>
      <c r="E525">
        <v>1</v>
      </c>
      <c r="F525">
        <v>1</v>
      </c>
      <c r="G525">
        <v>1081</v>
      </c>
      <c r="H525">
        <v>3</v>
      </c>
      <c r="I525" t="s">
        <v>504</v>
      </c>
      <c r="J525" t="s">
        <v>505</v>
      </c>
      <c r="K525" t="s">
        <v>506</v>
      </c>
      <c r="L525">
        <v>1339</v>
      </c>
      <c r="N525">
        <v>1007</v>
      </c>
      <c r="O525" t="s">
        <v>507</v>
      </c>
      <c r="P525" t="s">
        <v>507</v>
      </c>
      <c r="Q525">
        <v>1</v>
      </c>
      <c r="X525">
        <v>1.4999999999999999E-2</v>
      </c>
      <c r="Y525">
        <v>5.82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48</v>
      </c>
      <c r="AG525">
        <v>1.4999999999999999E-2</v>
      </c>
      <c r="AH525">
        <v>2</v>
      </c>
      <c r="AI525">
        <v>55748320</v>
      </c>
      <c r="AJ525">
        <v>490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ROW(Source!A208)</f>
        <v>208</v>
      </c>
      <c r="B526">
        <v>55748328</v>
      </c>
      <c r="C526">
        <v>55748315</v>
      </c>
      <c r="D526">
        <v>54717889</v>
      </c>
      <c r="E526">
        <v>1081</v>
      </c>
      <c r="F526">
        <v>1</v>
      </c>
      <c r="G526">
        <v>1081</v>
      </c>
      <c r="H526">
        <v>3</v>
      </c>
      <c r="I526" t="s">
        <v>674</v>
      </c>
      <c r="J526" t="s">
        <v>3</v>
      </c>
      <c r="K526" t="s">
        <v>675</v>
      </c>
      <c r="L526">
        <v>1354</v>
      </c>
      <c r="N526">
        <v>1010</v>
      </c>
      <c r="O526" t="s">
        <v>118</v>
      </c>
      <c r="P526" t="s">
        <v>118</v>
      </c>
      <c r="Q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48</v>
      </c>
      <c r="AG526">
        <v>1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ROW(Source!A213)</f>
        <v>213</v>
      </c>
      <c r="B527">
        <v>55748340</v>
      </c>
      <c r="C527">
        <v>55748331</v>
      </c>
      <c r="D527">
        <v>54702434</v>
      </c>
      <c r="E527">
        <v>1081</v>
      </c>
      <c r="F527">
        <v>1</v>
      </c>
      <c r="G527">
        <v>1081</v>
      </c>
      <c r="H527">
        <v>1</v>
      </c>
      <c r="I527" t="s">
        <v>473</v>
      </c>
      <c r="J527" t="s">
        <v>3</v>
      </c>
      <c r="K527" t="s">
        <v>474</v>
      </c>
      <c r="L527">
        <v>1191</v>
      </c>
      <c r="N527">
        <v>1013</v>
      </c>
      <c r="O527" t="s">
        <v>475</v>
      </c>
      <c r="P527" t="s">
        <v>475</v>
      </c>
      <c r="Q527">
        <v>1</v>
      </c>
      <c r="X527">
        <v>60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49</v>
      </c>
      <c r="AG527">
        <v>72</v>
      </c>
      <c r="AH527">
        <v>2</v>
      </c>
      <c r="AI527">
        <v>55748332</v>
      </c>
      <c r="AJ527">
        <v>493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ROW(Source!A213)</f>
        <v>213</v>
      </c>
      <c r="B528">
        <v>55748341</v>
      </c>
      <c r="C528">
        <v>55748331</v>
      </c>
      <c r="D528">
        <v>54768040</v>
      </c>
      <c r="E528">
        <v>1</v>
      </c>
      <c r="F528">
        <v>1</v>
      </c>
      <c r="G528">
        <v>1081</v>
      </c>
      <c r="H528">
        <v>2</v>
      </c>
      <c r="I528" t="s">
        <v>476</v>
      </c>
      <c r="J528" t="s">
        <v>477</v>
      </c>
      <c r="K528" t="s">
        <v>478</v>
      </c>
      <c r="L528">
        <v>1368</v>
      </c>
      <c r="N528">
        <v>1011</v>
      </c>
      <c r="O528" t="s">
        <v>479</v>
      </c>
      <c r="P528" t="s">
        <v>479</v>
      </c>
      <c r="Q528">
        <v>1</v>
      </c>
      <c r="X528">
        <v>47.2</v>
      </c>
      <c r="Y528">
        <v>0</v>
      </c>
      <c r="Z528">
        <v>7.11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49</v>
      </c>
      <c r="AG528">
        <v>56.64</v>
      </c>
      <c r="AH528">
        <v>2</v>
      </c>
      <c r="AI528">
        <v>55748333</v>
      </c>
      <c r="AJ528">
        <v>494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ROW(Source!A213)</f>
        <v>213</v>
      </c>
      <c r="B529">
        <v>55748342</v>
      </c>
      <c r="C529">
        <v>55748331</v>
      </c>
      <c r="D529">
        <v>54768339</v>
      </c>
      <c r="E529">
        <v>1</v>
      </c>
      <c r="F529">
        <v>1</v>
      </c>
      <c r="G529">
        <v>1081</v>
      </c>
      <c r="H529">
        <v>2</v>
      </c>
      <c r="I529" t="s">
        <v>483</v>
      </c>
      <c r="J529" t="s">
        <v>484</v>
      </c>
      <c r="K529" t="s">
        <v>485</v>
      </c>
      <c r="L529">
        <v>1368</v>
      </c>
      <c r="N529">
        <v>1011</v>
      </c>
      <c r="O529" t="s">
        <v>479</v>
      </c>
      <c r="P529" t="s">
        <v>479</v>
      </c>
      <c r="Q529">
        <v>1</v>
      </c>
      <c r="X529">
        <v>0.01</v>
      </c>
      <c r="Y529">
        <v>0</v>
      </c>
      <c r="Z529">
        <v>83.1</v>
      </c>
      <c r="AA529">
        <v>12.62</v>
      </c>
      <c r="AB529">
        <v>0</v>
      </c>
      <c r="AC529">
        <v>0</v>
      </c>
      <c r="AD529">
        <v>1</v>
      </c>
      <c r="AE529">
        <v>0</v>
      </c>
      <c r="AF529" t="s">
        <v>49</v>
      </c>
      <c r="AG529">
        <v>1.2E-2</v>
      </c>
      <c r="AH529">
        <v>2</v>
      </c>
      <c r="AI529">
        <v>55748334</v>
      </c>
      <c r="AJ529">
        <v>495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ROW(Source!A213)</f>
        <v>213</v>
      </c>
      <c r="B530">
        <v>55748343</v>
      </c>
      <c r="C530">
        <v>55748331</v>
      </c>
      <c r="D530">
        <v>54737969</v>
      </c>
      <c r="E530">
        <v>1</v>
      </c>
      <c r="F530">
        <v>1</v>
      </c>
      <c r="G530">
        <v>1081</v>
      </c>
      <c r="H530">
        <v>3</v>
      </c>
      <c r="I530" t="s">
        <v>511</v>
      </c>
      <c r="J530" t="s">
        <v>512</v>
      </c>
      <c r="K530" t="s">
        <v>513</v>
      </c>
      <c r="L530">
        <v>1348</v>
      </c>
      <c r="N530">
        <v>1009</v>
      </c>
      <c r="O530" t="s">
        <v>282</v>
      </c>
      <c r="P530" t="s">
        <v>282</v>
      </c>
      <c r="Q530">
        <v>1000</v>
      </c>
      <c r="X530">
        <v>3.0000000000000001E-3</v>
      </c>
      <c r="Y530">
        <v>23114.43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48</v>
      </c>
      <c r="AG530">
        <v>3.0000000000000001E-3</v>
      </c>
      <c r="AH530">
        <v>2</v>
      </c>
      <c r="AI530">
        <v>55748335</v>
      </c>
      <c r="AJ530">
        <v>496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ROW(Source!A213)</f>
        <v>213</v>
      </c>
      <c r="B531">
        <v>55748344</v>
      </c>
      <c r="C531">
        <v>55748331</v>
      </c>
      <c r="D531">
        <v>54738430</v>
      </c>
      <c r="E531">
        <v>1</v>
      </c>
      <c r="F531">
        <v>1</v>
      </c>
      <c r="G531">
        <v>1081</v>
      </c>
      <c r="H531">
        <v>3</v>
      </c>
      <c r="I531" t="s">
        <v>562</v>
      </c>
      <c r="J531" t="s">
        <v>563</v>
      </c>
      <c r="K531" t="s">
        <v>564</v>
      </c>
      <c r="L531">
        <v>1348</v>
      </c>
      <c r="N531">
        <v>1009</v>
      </c>
      <c r="O531" t="s">
        <v>282</v>
      </c>
      <c r="P531" t="s">
        <v>282</v>
      </c>
      <c r="Q531">
        <v>1000</v>
      </c>
      <c r="X531">
        <v>0.01</v>
      </c>
      <c r="Y531">
        <v>7185.82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48</v>
      </c>
      <c r="AG531">
        <v>0.01</v>
      </c>
      <c r="AH531">
        <v>2</v>
      </c>
      <c r="AI531">
        <v>55748336</v>
      </c>
      <c r="AJ531">
        <v>497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ROW(Source!A213)</f>
        <v>213</v>
      </c>
      <c r="B532">
        <v>55748345</v>
      </c>
      <c r="C532">
        <v>55748331</v>
      </c>
      <c r="D532">
        <v>54753866</v>
      </c>
      <c r="E532">
        <v>1</v>
      </c>
      <c r="F532">
        <v>1</v>
      </c>
      <c r="G532">
        <v>1081</v>
      </c>
      <c r="H532">
        <v>3</v>
      </c>
      <c r="I532" t="s">
        <v>637</v>
      </c>
      <c r="J532" t="s">
        <v>638</v>
      </c>
      <c r="K532" t="s">
        <v>639</v>
      </c>
      <c r="L532">
        <v>1354</v>
      </c>
      <c r="N532">
        <v>1010</v>
      </c>
      <c r="O532" t="s">
        <v>118</v>
      </c>
      <c r="P532" t="s">
        <v>118</v>
      </c>
      <c r="Q532">
        <v>1</v>
      </c>
      <c r="X532">
        <v>100</v>
      </c>
      <c r="Y532">
        <v>11.13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48</v>
      </c>
      <c r="AG532">
        <v>100</v>
      </c>
      <c r="AH532">
        <v>2</v>
      </c>
      <c r="AI532">
        <v>55748337</v>
      </c>
      <c r="AJ532">
        <v>498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ROW(Source!A213)</f>
        <v>213</v>
      </c>
      <c r="B533">
        <v>55748346</v>
      </c>
      <c r="C533">
        <v>55748331</v>
      </c>
      <c r="D533">
        <v>54758173</v>
      </c>
      <c r="E533">
        <v>1</v>
      </c>
      <c r="F533">
        <v>1</v>
      </c>
      <c r="G533">
        <v>1081</v>
      </c>
      <c r="H533">
        <v>3</v>
      </c>
      <c r="I533" t="s">
        <v>640</v>
      </c>
      <c r="J533" t="s">
        <v>641</v>
      </c>
      <c r="K533" t="s">
        <v>642</v>
      </c>
      <c r="L533">
        <v>1354</v>
      </c>
      <c r="N533">
        <v>1010</v>
      </c>
      <c r="O533" t="s">
        <v>118</v>
      </c>
      <c r="P533" t="s">
        <v>118</v>
      </c>
      <c r="Q533">
        <v>1</v>
      </c>
      <c r="X533">
        <v>100</v>
      </c>
      <c r="Y533">
        <v>22.08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48</v>
      </c>
      <c r="AG533">
        <v>100</v>
      </c>
      <c r="AH533">
        <v>2</v>
      </c>
      <c r="AI533">
        <v>55748338</v>
      </c>
      <c r="AJ533">
        <v>500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ROW(Source!A213)</f>
        <v>213</v>
      </c>
      <c r="B534">
        <v>55748347</v>
      </c>
      <c r="C534">
        <v>55748331</v>
      </c>
      <c r="D534">
        <v>54718656</v>
      </c>
      <c r="E534">
        <v>1081</v>
      </c>
      <c r="F534">
        <v>1</v>
      </c>
      <c r="G534">
        <v>1081</v>
      </c>
      <c r="H534">
        <v>3</v>
      </c>
      <c r="I534" t="s">
        <v>694</v>
      </c>
      <c r="J534" t="s">
        <v>3</v>
      </c>
      <c r="K534" t="s">
        <v>695</v>
      </c>
      <c r="L534">
        <v>1354</v>
      </c>
      <c r="N534">
        <v>1010</v>
      </c>
      <c r="O534" t="s">
        <v>118</v>
      </c>
      <c r="P534" t="s">
        <v>118</v>
      </c>
      <c r="Q534">
        <v>1</v>
      </c>
      <c r="X534">
        <v>100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48</v>
      </c>
      <c r="AG534">
        <v>100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ROW(Source!A214)</f>
        <v>214</v>
      </c>
      <c r="B535">
        <v>55748340</v>
      </c>
      <c r="C535">
        <v>55748331</v>
      </c>
      <c r="D535">
        <v>54702434</v>
      </c>
      <c r="E535">
        <v>1081</v>
      </c>
      <c r="F535">
        <v>1</v>
      </c>
      <c r="G535">
        <v>1081</v>
      </c>
      <c r="H535">
        <v>1</v>
      </c>
      <c r="I535" t="s">
        <v>473</v>
      </c>
      <c r="J535" t="s">
        <v>3</v>
      </c>
      <c r="K535" t="s">
        <v>474</v>
      </c>
      <c r="L535">
        <v>1191</v>
      </c>
      <c r="N535">
        <v>1013</v>
      </c>
      <c r="O535" t="s">
        <v>475</v>
      </c>
      <c r="P535" t="s">
        <v>475</v>
      </c>
      <c r="Q535">
        <v>1</v>
      </c>
      <c r="X535">
        <v>60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 t="s">
        <v>49</v>
      </c>
      <c r="AG535">
        <v>72</v>
      </c>
      <c r="AH535">
        <v>2</v>
      </c>
      <c r="AI535">
        <v>55748332</v>
      </c>
      <c r="AJ535">
        <v>501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ROW(Source!A214)</f>
        <v>214</v>
      </c>
      <c r="B536">
        <v>55748341</v>
      </c>
      <c r="C536">
        <v>55748331</v>
      </c>
      <c r="D536">
        <v>54768040</v>
      </c>
      <c r="E536">
        <v>1</v>
      </c>
      <c r="F536">
        <v>1</v>
      </c>
      <c r="G536">
        <v>1081</v>
      </c>
      <c r="H536">
        <v>2</v>
      </c>
      <c r="I536" t="s">
        <v>476</v>
      </c>
      <c r="J536" t="s">
        <v>477</v>
      </c>
      <c r="K536" t="s">
        <v>478</v>
      </c>
      <c r="L536">
        <v>1368</v>
      </c>
      <c r="N536">
        <v>1011</v>
      </c>
      <c r="O536" t="s">
        <v>479</v>
      </c>
      <c r="P536" t="s">
        <v>479</v>
      </c>
      <c r="Q536">
        <v>1</v>
      </c>
      <c r="X536">
        <v>47.2</v>
      </c>
      <c r="Y536">
        <v>0</v>
      </c>
      <c r="Z536">
        <v>7.11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49</v>
      </c>
      <c r="AG536">
        <v>56.64</v>
      </c>
      <c r="AH536">
        <v>2</v>
      </c>
      <c r="AI536">
        <v>55748333</v>
      </c>
      <c r="AJ536">
        <v>502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ROW(Source!A214)</f>
        <v>214</v>
      </c>
      <c r="B537">
        <v>55748342</v>
      </c>
      <c r="C537">
        <v>55748331</v>
      </c>
      <c r="D537">
        <v>54768339</v>
      </c>
      <c r="E537">
        <v>1</v>
      </c>
      <c r="F537">
        <v>1</v>
      </c>
      <c r="G537">
        <v>1081</v>
      </c>
      <c r="H537">
        <v>2</v>
      </c>
      <c r="I537" t="s">
        <v>483</v>
      </c>
      <c r="J537" t="s">
        <v>484</v>
      </c>
      <c r="K537" t="s">
        <v>485</v>
      </c>
      <c r="L537">
        <v>1368</v>
      </c>
      <c r="N537">
        <v>1011</v>
      </c>
      <c r="O537" t="s">
        <v>479</v>
      </c>
      <c r="P537" t="s">
        <v>479</v>
      </c>
      <c r="Q537">
        <v>1</v>
      </c>
      <c r="X537">
        <v>0.01</v>
      </c>
      <c r="Y537">
        <v>0</v>
      </c>
      <c r="Z537">
        <v>83.1</v>
      </c>
      <c r="AA537">
        <v>12.62</v>
      </c>
      <c r="AB537">
        <v>0</v>
      </c>
      <c r="AC537">
        <v>0</v>
      </c>
      <c r="AD537">
        <v>1</v>
      </c>
      <c r="AE537">
        <v>0</v>
      </c>
      <c r="AF537" t="s">
        <v>49</v>
      </c>
      <c r="AG537">
        <v>1.2E-2</v>
      </c>
      <c r="AH537">
        <v>2</v>
      </c>
      <c r="AI537">
        <v>55748334</v>
      </c>
      <c r="AJ537">
        <v>503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ROW(Source!A214)</f>
        <v>214</v>
      </c>
      <c r="B538">
        <v>55748343</v>
      </c>
      <c r="C538">
        <v>55748331</v>
      </c>
      <c r="D538">
        <v>54737969</v>
      </c>
      <c r="E538">
        <v>1</v>
      </c>
      <c r="F538">
        <v>1</v>
      </c>
      <c r="G538">
        <v>1081</v>
      </c>
      <c r="H538">
        <v>3</v>
      </c>
      <c r="I538" t="s">
        <v>511</v>
      </c>
      <c r="J538" t="s">
        <v>512</v>
      </c>
      <c r="K538" t="s">
        <v>513</v>
      </c>
      <c r="L538">
        <v>1348</v>
      </c>
      <c r="N538">
        <v>1009</v>
      </c>
      <c r="O538" t="s">
        <v>282</v>
      </c>
      <c r="P538" t="s">
        <v>282</v>
      </c>
      <c r="Q538">
        <v>1000</v>
      </c>
      <c r="X538">
        <v>3.0000000000000001E-3</v>
      </c>
      <c r="Y538">
        <v>23114.43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48</v>
      </c>
      <c r="AG538">
        <v>3.0000000000000001E-3</v>
      </c>
      <c r="AH538">
        <v>2</v>
      </c>
      <c r="AI538">
        <v>55748335</v>
      </c>
      <c r="AJ538">
        <v>504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ROW(Source!A214)</f>
        <v>214</v>
      </c>
      <c r="B539">
        <v>55748344</v>
      </c>
      <c r="C539">
        <v>55748331</v>
      </c>
      <c r="D539">
        <v>54738430</v>
      </c>
      <c r="E539">
        <v>1</v>
      </c>
      <c r="F539">
        <v>1</v>
      </c>
      <c r="G539">
        <v>1081</v>
      </c>
      <c r="H539">
        <v>3</v>
      </c>
      <c r="I539" t="s">
        <v>562</v>
      </c>
      <c r="J539" t="s">
        <v>563</v>
      </c>
      <c r="K539" t="s">
        <v>564</v>
      </c>
      <c r="L539">
        <v>1348</v>
      </c>
      <c r="N539">
        <v>1009</v>
      </c>
      <c r="O539" t="s">
        <v>282</v>
      </c>
      <c r="P539" t="s">
        <v>282</v>
      </c>
      <c r="Q539">
        <v>1000</v>
      </c>
      <c r="X539">
        <v>0.01</v>
      </c>
      <c r="Y539">
        <v>7185.82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48</v>
      </c>
      <c r="AG539">
        <v>0.01</v>
      </c>
      <c r="AH539">
        <v>2</v>
      </c>
      <c r="AI539">
        <v>55748336</v>
      </c>
      <c r="AJ539">
        <v>505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ROW(Source!A214)</f>
        <v>214</v>
      </c>
      <c r="B540">
        <v>55748345</v>
      </c>
      <c r="C540">
        <v>55748331</v>
      </c>
      <c r="D540">
        <v>54753866</v>
      </c>
      <c r="E540">
        <v>1</v>
      </c>
      <c r="F540">
        <v>1</v>
      </c>
      <c r="G540">
        <v>1081</v>
      </c>
      <c r="H540">
        <v>3</v>
      </c>
      <c r="I540" t="s">
        <v>637</v>
      </c>
      <c r="J540" t="s">
        <v>638</v>
      </c>
      <c r="K540" t="s">
        <v>639</v>
      </c>
      <c r="L540">
        <v>1354</v>
      </c>
      <c r="N540">
        <v>1010</v>
      </c>
      <c r="O540" t="s">
        <v>118</v>
      </c>
      <c r="P540" t="s">
        <v>118</v>
      </c>
      <c r="Q540">
        <v>1</v>
      </c>
      <c r="X540">
        <v>100</v>
      </c>
      <c r="Y540">
        <v>11.13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48</v>
      </c>
      <c r="AG540">
        <v>100</v>
      </c>
      <c r="AH540">
        <v>2</v>
      </c>
      <c r="AI540">
        <v>55748337</v>
      </c>
      <c r="AJ540">
        <v>506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ROW(Source!A214)</f>
        <v>214</v>
      </c>
      <c r="B541">
        <v>55748346</v>
      </c>
      <c r="C541">
        <v>55748331</v>
      </c>
      <c r="D541">
        <v>54758173</v>
      </c>
      <c r="E541">
        <v>1</v>
      </c>
      <c r="F541">
        <v>1</v>
      </c>
      <c r="G541">
        <v>1081</v>
      </c>
      <c r="H541">
        <v>3</v>
      </c>
      <c r="I541" t="s">
        <v>640</v>
      </c>
      <c r="J541" t="s">
        <v>641</v>
      </c>
      <c r="K541" t="s">
        <v>642</v>
      </c>
      <c r="L541">
        <v>1354</v>
      </c>
      <c r="N541">
        <v>1010</v>
      </c>
      <c r="O541" t="s">
        <v>118</v>
      </c>
      <c r="P541" t="s">
        <v>118</v>
      </c>
      <c r="Q541">
        <v>1</v>
      </c>
      <c r="X541">
        <v>100</v>
      </c>
      <c r="Y541">
        <v>22.08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48</v>
      </c>
      <c r="AG541">
        <v>100</v>
      </c>
      <c r="AH541">
        <v>2</v>
      </c>
      <c r="AI541">
        <v>55748338</v>
      </c>
      <c r="AJ541">
        <v>508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ROW(Source!A214)</f>
        <v>214</v>
      </c>
      <c r="B542">
        <v>55748347</v>
      </c>
      <c r="C542">
        <v>55748331</v>
      </c>
      <c r="D542">
        <v>54718656</v>
      </c>
      <c r="E542">
        <v>1081</v>
      </c>
      <c r="F542">
        <v>1</v>
      </c>
      <c r="G542">
        <v>1081</v>
      </c>
      <c r="H542">
        <v>3</v>
      </c>
      <c r="I542" t="s">
        <v>694</v>
      </c>
      <c r="J542" t="s">
        <v>3</v>
      </c>
      <c r="K542" t="s">
        <v>695</v>
      </c>
      <c r="L542">
        <v>1354</v>
      </c>
      <c r="N542">
        <v>1010</v>
      </c>
      <c r="O542" t="s">
        <v>118</v>
      </c>
      <c r="P542" t="s">
        <v>118</v>
      </c>
      <c r="Q542">
        <v>1</v>
      </c>
      <c r="X542">
        <v>100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48</v>
      </c>
      <c r="AG542">
        <v>100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ROW(Source!A217)</f>
        <v>217</v>
      </c>
      <c r="B543">
        <v>55748358</v>
      </c>
      <c r="C543">
        <v>55748349</v>
      </c>
      <c r="D543">
        <v>54702434</v>
      </c>
      <c r="E543">
        <v>1081</v>
      </c>
      <c r="F543">
        <v>1</v>
      </c>
      <c r="G543">
        <v>1081</v>
      </c>
      <c r="H543">
        <v>1</v>
      </c>
      <c r="I543" t="s">
        <v>473</v>
      </c>
      <c r="J543" t="s">
        <v>3</v>
      </c>
      <c r="K543" t="s">
        <v>474</v>
      </c>
      <c r="L543">
        <v>1191</v>
      </c>
      <c r="N543">
        <v>1013</v>
      </c>
      <c r="O543" t="s">
        <v>475</v>
      </c>
      <c r="P543" t="s">
        <v>475</v>
      </c>
      <c r="Q543">
        <v>1</v>
      </c>
      <c r="X543">
        <v>1.59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1</v>
      </c>
      <c r="AF543" t="s">
        <v>98</v>
      </c>
      <c r="AG543">
        <v>2.1941999999999999</v>
      </c>
      <c r="AH543">
        <v>2</v>
      </c>
      <c r="AI543">
        <v>55748350</v>
      </c>
      <c r="AJ543">
        <v>509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ROW(Source!A217)</f>
        <v>217</v>
      </c>
      <c r="B544">
        <v>55748359</v>
      </c>
      <c r="C544">
        <v>55748349</v>
      </c>
      <c r="D544">
        <v>54768339</v>
      </c>
      <c r="E544">
        <v>1</v>
      </c>
      <c r="F544">
        <v>1</v>
      </c>
      <c r="G544">
        <v>1081</v>
      </c>
      <c r="H544">
        <v>2</v>
      </c>
      <c r="I544" t="s">
        <v>483</v>
      </c>
      <c r="J544" t="s">
        <v>484</v>
      </c>
      <c r="K544" t="s">
        <v>485</v>
      </c>
      <c r="L544">
        <v>1368</v>
      </c>
      <c r="N544">
        <v>1011</v>
      </c>
      <c r="O544" t="s">
        <v>479</v>
      </c>
      <c r="P544" t="s">
        <v>479</v>
      </c>
      <c r="Q544">
        <v>1</v>
      </c>
      <c r="X544">
        <v>0.06</v>
      </c>
      <c r="Y544">
        <v>0</v>
      </c>
      <c r="Z544">
        <v>83.1</v>
      </c>
      <c r="AA544">
        <v>12.62</v>
      </c>
      <c r="AB544">
        <v>0</v>
      </c>
      <c r="AC544">
        <v>0</v>
      </c>
      <c r="AD544">
        <v>1</v>
      </c>
      <c r="AE544">
        <v>0</v>
      </c>
      <c r="AF544" t="s">
        <v>97</v>
      </c>
      <c r="AG544">
        <v>0.09</v>
      </c>
      <c r="AH544">
        <v>2</v>
      </c>
      <c r="AI544">
        <v>55748351</v>
      </c>
      <c r="AJ544">
        <v>510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ROW(Source!A217)</f>
        <v>217</v>
      </c>
      <c r="B545">
        <v>55748360</v>
      </c>
      <c r="C545">
        <v>55748349</v>
      </c>
      <c r="D545">
        <v>54767573</v>
      </c>
      <c r="E545">
        <v>1</v>
      </c>
      <c r="F545">
        <v>1</v>
      </c>
      <c r="G545">
        <v>1081</v>
      </c>
      <c r="H545">
        <v>2</v>
      </c>
      <c r="I545" t="s">
        <v>508</v>
      </c>
      <c r="J545" t="s">
        <v>509</v>
      </c>
      <c r="K545" t="s">
        <v>510</v>
      </c>
      <c r="L545">
        <v>1368</v>
      </c>
      <c r="N545">
        <v>1011</v>
      </c>
      <c r="O545" t="s">
        <v>479</v>
      </c>
      <c r="P545" t="s">
        <v>479</v>
      </c>
      <c r="Q545">
        <v>1</v>
      </c>
      <c r="X545">
        <v>0.02</v>
      </c>
      <c r="Y545">
        <v>0</v>
      </c>
      <c r="Z545">
        <v>179.17</v>
      </c>
      <c r="AA545">
        <v>16.93</v>
      </c>
      <c r="AB545">
        <v>0</v>
      </c>
      <c r="AC545">
        <v>0</v>
      </c>
      <c r="AD545">
        <v>1</v>
      </c>
      <c r="AE545">
        <v>0</v>
      </c>
      <c r="AF545" t="s">
        <v>97</v>
      </c>
      <c r="AG545">
        <v>0.03</v>
      </c>
      <c r="AH545">
        <v>2</v>
      </c>
      <c r="AI545">
        <v>55748352</v>
      </c>
      <c r="AJ545">
        <v>511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ROW(Source!A217)</f>
        <v>217</v>
      </c>
      <c r="B546">
        <v>55748361</v>
      </c>
      <c r="C546">
        <v>55748349</v>
      </c>
      <c r="D546">
        <v>54739078</v>
      </c>
      <c r="E546">
        <v>1</v>
      </c>
      <c r="F546">
        <v>1</v>
      </c>
      <c r="G546">
        <v>1081</v>
      </c>
      <c r="H546">
        <v>3</v>
      </c>
      <c r="I546" t="s">
        <v>541</v>
      </c>
      <c r="J546" t="s">
        <v>542</v>
      </c>
      <c r="K546" t="s">
        <v>543</v>
      </c>
      <c r="L546">
        <v>1346</v>
      </c>
      <c r="N546">
        <v>1009</v>
      </c>
      <c r="O546" t="s">
        <v>503</v>
      </c>
      <c r="P546" t="s">
        <v>503</v>
      </c>
      <c r="Q546">
        <v>1</v>
      </c>
      <c r="X546">
        <v>0.04</v>
      </c>
      <c r="Y546">
        <v>37.979999999999997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38</v>
      </c>
      <c r="AG546">
        <v>0.04</v>
      </c>
      <c r="AH546">
        <v>2</v>
      </c>
      <c r="AI546">
        <v>55748353</v>
      </c>
      <c r="AJ546">
        <v>512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ROW(Source!A217)</f>
        <v>217</v>
      </c>
      <c r="B547">
        <v>55748362</v>
      </c>
      <c r="C547">
        <v>55748349</v>
      </c>
      <c r="D547">
        <v>54737637</v>
      </c>
      <c r="E547">
        <v>1</v>
      </c>
      <c r="F547">
        <v>1</v>
      </c>
      <c r="G547">
        <v>1081</v>
      </c>
      <c r="H547">
        <v>3</v>
      </c>
      <c r="I547" t="s">
        <v>544</v>
      </c>
      <c r="J547" t="s">
        <v>545</v>
      </c>
      <c r="K547" t="s">
        <v>546</v>
      </c>
      <c r="L547">
        <v>1348</v>
      </c>
      <c r="N547">
        <v>1009</v>
      </c>
      <c r="O547" t="s">
        <v>282</v>
      </c>
      <c r="P547" t="s">
        <v>282</v>
      </c>
      <c r="Q547">
        <v>1000</v>
      </c>
      <c r="X547">
        <v>1E-4</v>
      </c>
      <c r="Y547">
        <v>16214.84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38</v>
      </c>
      <c r="AG547">
        <v>1E-4</v>
      </c>
      <c r="AH547">
        <v>2</v>
      </c>
      <c r="AI547">
        <v>55748354</v>
      </c>
      <c r="AJ547">
        <v>513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ROW(Source!A217)</f>
        <v>217</v>
      </c>
      <c r="B548">
        <v>55748363</v>
      </c>
      <c r="C548">
        <v>55748349</v>
      </c>
      <c r="D548">
        <v>54737805</v>
      </c>
      <c r="E548">
        <v>1</v>
      </c>
      <c r="F548">
        <v>1</v>
      </c>
      <c r="G548">
        <v>1081</v>
      </c>
      <c r="H548">
        <v>3</v>
      </c>
      <c r="I548" t="s">
        <v>547</v>
      </c>
      <c r="J548" t="s">
        <v>548</v>
      </c>
      <c r="K548" t="s">
        <v>549</v>
      </c>
      <c r="L548">
        <v>1346</v>
      </c>
      <c r="N548">
        <v>1009</v>
      </c>
      <c r="O548" t="s">
        <v>503</v>
      </c>
      <c r="P548" t="s">
        <v>503</v>
      </c>
      <c r="Q548">
        <v>1</v>
      </c>
      <c r="X548">
        <v>0.01</v>
      </c>
      <c r="Y548">
        <v>20.190000000000001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38</v>
      </c>
      <c r="AG548">
        <v>0.01</v>
      </c>
      <c r="AH548">
        <v>2</v>
      </c>
      <c r="AI548">
        <v>55748355</v>
      </c>
      <c r="AJ548">
        <v>514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ROW(Source!A217)</f>
        <v>217</v>
      </c>
      <c r="B549">
        <v>55748364</v>
      </c>
      <c r="C549">
        <v>55748349</v>
      </c>
      <c r="D549">
        <v>54758097</v>
      </c>
      <c r="E549">
        <v>1</v>
      </c>
      <c r="F549">
        <v>1</v>
      </c>
      <c r="G549">
        <v>1081</v>
      </c>
      <c r="H549">
        <v>3</v>
      </c>
      <c r="I549" t="s">
        <v>643</v>
      </c>
      <c r="J549" t="s">
        <v>644</v>
      </c>
      <c r="K549" t="s">
        <v>645</v>
      </c>
      <c r="L549">
        <v>1346</v>
      </c>
      <c r="N549">
        <v>1009</v>
      </c>
      <c r="O549" t="s">
        <v>503</v>
      </c>
      <c r="P549" t="s">
        <v>503</v>
      </c>
      <c r="Q549">
        <v>1</v>
      </c>
      <c r="X549">
        <v>1.374E-2</v>
      </c>
      <c r="Y549">
        <v>19.28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38</v>
      </c>
      <c r="AG549">
        <v>1.374E-2</v>
      </c>
      <c r="AH549">
        <v>2</v>
      </c>
      <c r="AI549">
        <v>55748356</v>
      </c>
      <c r="AJ549">
        <v>516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ROW(Source!A217)</f>
        <v>217</v>
      </c>
      <c r="B550">
        <v>55748365</v>
      </c>
      <c r="C550">
        <v>55748349</v>
      </c>
      <c r="D550">
        <v>54698118</v>
      </c>
      <c r="E550">
        <v>1081</v>
      </c>
      <c r="F550">
        <v>1</v>
      </c>
      <c r="G550">
        <v>1081</v>
      </c>
      <c r="H550">
        <v>3</v>
      </c>
      <c r="I550" t="s">
        <v>696</v>
      </c>
      <c r="J550" t="s">
        <v>3</v>
      </c>
      <c r="K550" t="s">
        <v>697</v>
      </c>
      <c r="L550">
        <v>1354</v>
      </c>
      <c r="N550">
        <v>1010</v>
      </c>
      <c r="O550" t="s">
        <v>118</v>
      </c>
      <c r="P550" t="s">
        <v>118</v>
      </c>
      <c r="Q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38</v>
      </c>
      <c r="AG550">
        <v>1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ROW(Source!A217)</f>
        <v>217</v>
      </c>
      <c r="B551">
        <v>55748366</v>
      </c>
      <c r="C551">
        <v>55748349</v>
      </c>
      <c r="D551">
        <v>54721121</v>
      </c>
      <c r="E551">
        <v>1081</v>
      </c>
      <c r="F551">
        <v>1</v>
      </c>
      <c r="G551">
        <v>1081</v>
      </c>
      <c r="H551">
        <v>3</v>
      </c>
      <c r="I551" t="s">
        <v>698</v>
      </c>
      <c r="J551" t="s">
        <v>3</v>
      </c>
      <c r="K551" t="s">
        <v>699</v>
      </c>
      <c r="L551">
        <v>1354</v>
      </c>
      <c r="N551">
        <v>1010</v>
      </c>
      <c r="O551" t="s">
        <v>118</v>
      </c>
      <c r="P551" t="s">
        <v>118</v>
      </c>
      <c r="Q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38</v>
      </c>
      <c r="AG551">
        <v>1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ROW(Source!A218)</f>
        <v>218</v>
      </c>
      <c r="B552">
        <v>55748358</v>
      </c>
      <c r="C552">
        <v>55748349</v>
      </c>
      <c r="D552">
        <v>54702434</v>
      </c>
      <c r="E552">
        <v>1081</v>
      </c>
      <c r="F552">
        <v>1</v>
      </c>
      <c r="G552">
        <v>1081</v>
      </c>
      <c r="H552">
        <v>1</v>
      </c>
      <c r="I552" t="s">
        <v>473</v>
      </c>
      <c r="J552" t="s">
        <v>3</v>
      </c>
      <c r="K552" t="s">
        <v>474</v>
      </c>
      <c r="L552">
        <v>1191</v>
      </c>
      <c r="N552">
        <v>1013</v>
      </c>
      <c r="O552" t="s">
        <v>475</v>
      </c>
      <c r="P552" t="s">
        <v>475</v>
      </c>
      <c r="Q552">
        <v>1</v>
      </c>
      <c r="X552">
        <v>1.59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1</v>
      </c>
      <c r="AF552" t="s">
        <v>98</v>
      </c>
      <c r="AG552">
        <v>2.1941999999999999</v>
      </c>
      <c r="AH552">
        <v>2</v>
      </c>
      <c r="AI552">
        <v>55748350</v>
      </c>
      <c r="AJ552">
        <v>517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ROW(Source!A218)</f>
        <v>218</v>
      </c>
      <c r="B553">
        <v>55748359</v>
      </c>
      <c r="C553">
        <v>55748349</v>
      </c>
      <c r="D553">
        <v>54768339</v>
      </c>
      <c r="E553">
        <v>1</v>
      </c>
      <c r="F553">
        <v>1</v>
      </c>
      <c r="G553">
        <v>1081</v>
      </c>
      <c r="H553">
        <v>2</v>
      </c>
      <c r="I553" t="s">
        <v>483</v>
      </c>
      <c r="J553" t="s">
        <v>484</v>
      </c>
      <c r="K553" t="s">
        <v>485</v>
      </c>
      <c r="L553">
        <v>1368</v>
      </c>
      <c r="N553">
        <v>1011</v>
      </c>
      <c r="O553" t="s">
        <v>479</v>
      </c>
      <c r="P553" t="s">
        <v>479</v>
      </c>
      <c r="Q553">
        <v>1</v>
      </c>
      <c r="X553">
        <v>0.06</v>
      </c>
      <c r="Y553">
        <v>0</v>
      </c>
      <c r="Z553">
        <v>83.1</v>
      </c>
      <c r="AA553">
        <v>12.62</v>
      </c>
      <c r="AB553">
        <v>0</v>
      </c>
      <c r="AC553">
        <v>0</v>
      </c>
      <c r="AD553">
        <v>1</v>
      </c>
      <c r="AE553">
        <v>0</v>
      </c>
      <c r="AF553" t="s">
        <v>97</v>
      </c>
      <c r="AG553">
        <v>0.09</v>
      </c>
      <c r="AH553">
        <v>2</v>
      </c>
      <c r="AI553">
        <v>55748351</v>
      </c>
      <c r="AJ553">
        <v>518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ROW(Source!A218)</f>
        <v>218</v>
      </c>
      <c r="B554">
        <v>55748360</v>
      </c>
      <c r="C554">
        <v>55748349</v>
      </c>
      <c r="D554">
        <v>54767573</v>
      </c>
      <c r="E554">
        <v>1</v>
      </c>
      <c r="F554">
        <v>1</v>
      </c>
      <c r="G554">
        <v>1081</v>
      </c>
      <c r="H554">
        <v>2</v>
      </c>
      <c r="I554" t="s">
        <v>508</v>
      </c>
      <c r="J554" t="s">
        <v>509</v>
      </c>
      <c r="K554" t="s">
        <v>510</v>
      </c>
      <c r="L554">
        <v>1368</v>
      </c>
      <c r="N554">
        <v>1011</v>
      </c>
      <c r="O554" t="s">
        <v>479</v>
      </c>
      <c r="P554" t="s">
        <v>479</v>
      </c>
      <c r="Q554">
        <v>1</v>
      </c>
      <c r="X554">
        <v>0.02</v>
      </c>
      <c r="Y554">
        <v>0</v>
      </c>
      <c r="Z554">
        <v>179.17</v>
      </c>
      <c r="AA554">
        <v>16.93</v>
      </c>
      <c r="AB554">
        <v>0</v>
      </c>
      <c r="AC554">
        <v>0</v>
      </c>
      <c r="AD554">
        <v>1</v>
      </c>
      <c r="AE554">
        <v>0</v>
      </c>
      <c r="AF554" t="s">
        <v>97</v>
      </c>
      <c r="AG554">
        <v>0.03</v>
      </c>
      <c r="AH554">
        <v>2</v>
      </c>
      <c r="AI554">
        <v>55748352</v>
      </c>
      <c r="AJ554">
        <v>519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ROW(Source!A218)</f>
        <v>218</v>
      </c>
      <c r="B555">
        <v>55748361</v>
      </c>
      <c r="C555">
        <v>55748349</v>
      </c>
      <c r="D555">
        <v>54739078</v>
      </c>
      <c r="E555">
        <v>1</v>
      </c>
      <c r="F555">
        <v>1</v>
      </c>
      <c r="G555">
        <v>1081</v>
      </c>
      <c r="H555">
        <v>3</v>
      </c>
      <c r="I555" t="s">
        <v>541</v>
      </c>
      <c r="J555" t="s">
        <v>542</v>
      </c>
      <c r="K555" t="s">
        <v>543</v>
      </c>
      <c r="L555">
        <v>1346</v>
      </c>
      <c r="N555">
        <v>1009</v>
      </c>
      <c r="O555" t="s">
        <v>503</v>
      </c>
      <c r="P555" t="s">
        <v>503</v>
      </c>
      <c r="Q555">
        <v>1</v>
      </c>
      <c r="X555">
        <v>0.04</v>
      </c>
      <c r="Y555">
        <v>37.979999999999997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38</v>
      </c>
      <c r="AG555">
        <v>0.04</v>
      </c>
      <c r="AH555">
        <v>2</v>
      </c>
      <c r="AI555">
        <v>55748353</v>
      </c>
      <c r="AJ555">
        <v>520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ROW(Source!A218)</f>
        <v>218</v>
      </c>
      <c r="B556">
        <v>55748362</v>
      </c>
      <c r="C556">
        <v>55748349</v>
      </c>
      <c r="D556">
        <v>54737637</v>
      </c>
      <c r="E556">
        <v>1</v>
      </c>
      <c r="F556">
        <v>1</v>
      </c>
      <c r="G556">
        <v>1081</v>
      </c>
      <c r="H556">
        <v>3</v>
      </c>
      <c r="I556" t="s">
        <v>544</v>
      </c>
      <c r="J556" t="s">
        <v>545</v>
      </c>
      <c r="K556" t="s">
        <v>546</v>
      </c>
      <c r="L556">
        <v>1348</v>
      </c>
      <c r="N556">
        <v>1009</v>
      </c>
      <c r="O556" t="s">
        <v>282</v>
      </c>
      <c r="P556" t="s">
        <v>282</v>
      </c>
      <c r="Q556">
        <v>1000</v>
      </c>
      <c r="X556">
        <v>1E-4</v>
      </c>
      <c r="Y556">
        <v>16214.84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38</v>
      </c>
      <c r="AG556">
        <v>1E-4</v>
      </c>
      <c r="AH556">
        <v>2</v>
      </c>
      <c r="AI556">
        <v>55748354</v>
      </c>
      <c r="AJ556">
        <v>521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ROW(Source!A218)</f>
        <v>218</v>
      </c>
      <c r="B557">
        <v>55748363</v>
      </c>
      <c r="C557">
        <v>55748349</v>
      </c>
      <c r="D557">
        <v>54737805</v>
      </c>
      <c r="E557">
        <v>1</v>
      </c>
      <c r="F557">
        <v>1</v>
      </c>
      <c r="G557">
        <v>1081</v>
      </c>
      <c r="H557">
        <v>3</v>
      </c>
      <c r="I557" t="s">
        <v>547</v>
      </c>
      <c r="J557" t="s">
        <v>548</v>
      </c>
      <c r="K557" t="s">
        <v>549</v>
      </c>
      <c r="L557">
        <v>1346</v>
      </c>
      <c r="N557">
        <v>1009</v>
      </c>
      <c r="O557" t="s">
        <v>503</v>
      </c>
      <c r="P557" t="s">
        <v>503</v>
      </c>
      <c r="Q557">
        <v>1</v>
      </c>
      <c r="X557">
        <v>0.01</v>
      </c>
      <c r="Y557">
        <v>20.190000000000001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38</v>
      </c>
      <c r="AG557">
        <v>0.01</v>
      </c>
      <c r="AH557">
        <v>2</v>
      </c>
      <c r="AI557">
        <v>55748355</v>
      </c>
      <c r="AJ557">
        <v>522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ROW(Source!A218)</f>
        <v>218</v>
      </c>
      <c r="B558">
        <v>55748364</v>
      </c>
      <c r="C558">
        <v>55748349</v>
      </c>
      <c r="D558">
        <v>54758097</v>
      </c>
      <c r="E558">
        <v>1</v>
      </c>
      <c r="F558">
        <v>1</v>
      </c>
      <c r="G558">
        <v>1081</v>
      </c>
      <c r="H558">
        <v>3</v>
      </c>
      <c r="I558" t="s">
        <v>643</v>
      </c>
      <c r="J558" t="s">
        <v>644</v>
      </c>
      <c r="K558" t="s">
        <v>645</v>
      </c>
      <c r="L558">
        <v>1346</v>
      </c>
      <c r="N558">
        <v>1009</v>
      </c>
      <c r="O558" t="s">
        <v>503</v>
      </c>
      <c r="P558" t="s">
        <v>503</v>
      </c>
      <c r="Q558">
        <v>1</v>
      </c>
      <c r="X558">
        <v>1.374E-2</v>
      </c>
      <c r="Y558">
        <v>19.28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38</v>
      </c>
      <c r="AG558">
        <v>1.374E-2</v>
      </c>
      <c r="AH558">
        <v>2</v>
      </c>
      <c r="AI558">
        <v>55748356</v>
      </c>
      <c r="AJ558">
        <v>524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ROW(Source!A218)</f>
        <v>218</v>
      </c>
      <c r="B559">
        <v>55748365</v>
      </c>
      <c r="C559">
        <v>55748349</v>
      </c>
      <c r="D559">
        <v>54698118</v>
      </c>
      <c r="E559">
        <v>1081</v>
      </c>
      <c r="F559">
        <v>1</v>
      </c>
      <c r="G559">
        <v>1081</v>
      </c>
      <c r="H559">
        <v>3</v>
      </c>
      <c r="I559" t="s">
        <v>696</v>
      </c>
      <c r="J559" t="s">
        <v>3</v>
      </c>
      <c r="K559" t="s">
        <v>697</v>
      </c>
      <c r="L559">
        <v>1354</v>
      </c>
      <c r="N559">
        <v>1010</v>
      </c>
      <c r="O559" t="s">
        <v>118</v>
      </c>
      <c r="P559" t="s">
        <v>118</v>
      </c>
      <c r="Q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38</v>
      </c>
      <c r="AG559">
        <v>1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ROW(Source!A218)</f>
        <v>218</v>
      </c>
      <c r="B560">
        <v>55748366</v>
      </c>
      <c r="C560">
        <v>55748349</v>
      </c>
      <c r="D560">
        <v>54721121</v>
      </c>
      <c r="E560">
        <v>1081</v>
      </c>
      <c r="F560">
        <v>1</v>
      </c>
      <c r="G560">
        <v>1081</v>
      </c>
      <c r="H560">
        <v>3</v>
      </c>
      <c r="I560" t="s">
        <v>698</v>
      </c>
      <c r="J560" t="s">
        <v>3</v>
      </c>
      <c r="K560" t="s">
        <v>699</v>
      </c>
      <c r="L560">
        <v>1354</v>
      </c>
      <c r="N560">
        <v>1010</v>
      </c>
      <c r="O560" t="s">
        <v>118</v>
      </c>
      <c r="P560" t="s">
        <v>118</v>
      </c>
      <c r="Q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38</v>
      </c>
      <c r="AG560">
        <v>1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ROW(Source!A221)</f>
        <v>221</v>
      </c>
      <c r="B561">
        <v>55748376</v>
      </c>
      <c r="C561">
        <v>55748368</v>
      </c>
      <c r="D561">
        <v>54702434</v>
      </c>
      <c r="E561">
        <v>1081</v>
      </c>
      <c r="F561">
        <v>1</v>
      </c>
      <c r="G561">
        <v>1081</v>
      </c>
      <c r="H561">
        <v>1</v>
      </c>
      <c r="I561" t="s">
        <v>473</v>
      </c>
      <c r="J561" t="s">
        <v>3</v>
      </c>
      <c r="K561" t="s">
        <v>474</v>
      </c>
      <c r="L561">
        <v>1191</v>
      </c>
      <c r="N561">
        <v>1013</v>
      </c>
      <c r="O561" t="s">
        <v>475</v>
      </c>
      <c r="P561" t="s">
        <v>475</v>
      </c>
      <c r="Q561">
        <v>1</v>
      </c>
      <c r="X561">
        <v>1.47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98</v>
      </c>
      <c r="AG561">
        <v>2.0286</v>
      </c>
      <c r="AH561">
        <v>2</v>
      </c>
      <c r="AI561">
        <v>55748369</v>
      </c>
      <c r="AJ561">
        <v>525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ROW(Source!A221)</f>
        <v>221</v>
      </c>
      <c r="B562">
        <v>55748377</v>
      </c>
      <c r="C562">
        <v>55748368</v>
      </c>
      <c r="D562">
        <v>54768040</v>
      </c>
      <c r="E562">
        <v>1</v>
      </c>
      <c r="F562">
        <v>1</v>
      </c>
      <c r="G562">
        <v>1081</v>
      </c>
      <c r="H562">
        <v>2</v>
      </c>
      <c r="I562" t="s">
        <v>476</v>
      </c>
      <c r="J562" t="s">
        <v>477</v>
      </c>
      <c r="K562" t="s">
        <v>478</v>
      </c>
      <c r="L562">
        <v>1368</v>
      </c>
      <c r="N562">
        <v>1011</v>
      </c>
      <c r="O562" t="s">
        <v>479</v>
      </c>
      <c r="P562" t="s">
        <v>479</v>
      </c>
      <c r="Q562">
        <v>1</v>
      </c>
      <c r="X562">
        <v>0.35</v>
      </c>
      <c r="Y562">
        <v>0</v>
      </c>
      <c r="Z562">
        <v>7.11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97</v>
      </c>
      <c r="AG562">
        <v>0.52500000000000002</v>
      </c>
      <c r="AH562">
        <v>2</v>
      </c>
      <c r="AI562">
        <v>55748370</v>
      </c>
      <c r="AJ562">
        <v>526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ROW(Source!A221)</f>
        <v>221</v>
      </c>
      <c r="B563">
        <v>55748378</v>
      </c>
      <c r="C563">
        <v>55748368</v>
      </c>
      <c r="D563">
        <v>54768339</v>
      </c>
      <c r="E563">
        <v>1</v>
      </c>
      <c r="F563">
        <v>1</v>
      </c>
      <c r="G563">
        <v>1081</v>
      </c>
      <c r="H563">
        <v>2</v>
      </c>
      <c r="I563" t="s">
        <v>483</v>
      </c>
      <c r="J563" t="s">
        <v>484</v>
      </c>
      <c r="K563" t="s">
        <v>485</v>
      </c>
      <c r="L563">
        <v>1368</v>
      </c>
      <c r="N563">
        <v>1011</v>
      </c>
      <c r="O563" t="s">
        <v>479</v>
      </c>
      <c r="P563" t="s">
        <v>479</v>
      </c>
      <c r="Q563">
        <v>1</v>
      </c>
      <c r="X563">
        <v>0.01</v>
      </c>
      <c r="Y563">
        <v>0</v>
      </c>
      <c r="Z563">
        <v>83.1</v>
      </c>
      <c r="AA563">
        <v>12.62</v>
      </c>
      <c r="AB563">
        <v>0</v>
      </c>
      <c r="AC563">
        <v>0</v>
      </c>
      <c r="AD563">
        <v>1</v>
      </c>
      <c r="AE563">
        <v>0</v>
      </c>
      <c r="AF563" t="s">
        <v>97</v>
      </c>
      <c r="AG563">
        <v>1.4999999999999999E-2</v>
      </c>
      <c r="AH563">
        <v>2</v>
      </c>
      <c r="AI563">
        <v>55748371</v>
      </c>
      <c r="AJ563">
        <v>527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ROW(Source!A221)</f>
        <v>221</v>
      </c>
      <c r="B564">
        <v>55748379</v>
      </c>
      <c r="C564">
        <v>55748368</v>
      </c>
      <c r="D564">
        <v>54738509</v>
      </c>
      <c r="E564">
        <v>1</v>
      </c>
      <c r="F564">
        <v>1</v>
      </c>
      <c r="G564">
        <v>1081</v>
      </c>
      <c r="H564">
        <v>3</v>
      </c>
      <c r="I564" t="s">
        <v>646</v>
      </c>
      <c r="J564" t="s">
        <v>647</v>
      </c>
      <c r="K564" t="s">
        <v>648</v>
      </c>
      <c r="L564">
        <v>1348</v>
      </c>
      <c r="N564">
        <v>1009</v>
      </c>
      <c r="O564" t="s">
        <v>282</v>
      </c>
      <c r="P564" t="s">
        <v>282</v>
      </c>
      <c r="Q564">
        <v>1000</v>
      </c>
      <c r="X564">
        <v>1.3999999999999999E-4</v>
      </c>
      <c r="Y564">
        <v>9879.51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38</v>
      </c>
      <c r="AG564">
        <v>1.3999999999999999E-4</v>
      </c>
      <c r="AH564">
        <v>2</v>
      </c>
      <c r="AI564">
        <v>55748372</v>
      </c>
      <c r="AJ564">
        <v>528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ROW(Source!A221)</f>
        <v>221</v>
      </c>
      <c r="B565">
        <v>55748380</v>
      </c>
      <c r="C565">
        <v>55748368</v>
      </c>
      <c r="D565">
        <v>54737318</v>
      </c>
      <c r="E565">
        <v>1</v>
      </c>
      <c r="F565">
        <v>1</v>
      </c>
      <c r="G565">
        <v>1081</v>
      </c>
      <c r="H565">
        <v>3</v>
      </c>
      <c r="I565" t="s">
        <v>526</v>
      </c>
      <c r="J565" t="s">
        <v>527</v>
      </c>
      <c r="K565" t="s">
        <v>528</v>
      </c>
      <c r="L565">
        <v>1348</v>
      </c>
      <c r="N565">
        <v>1009</v>
      </c>
      <c r="O565" t="s">
        <v>282</v>
      </c>
      <c r="P565" t="s">
        <v>282</v>
      </c>
      <c r="Q565">
        <v>1000</v>
      </c>
      <c r="X565">
        <v>1.1000000000000001E-3</v>
      </c>
      <c r="Y565">
        <v>17868.28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38</v>
      </c>
      <c r="AG565">
        <v>1.1000000000000001E-3</v>
      </c>
      <c r="AH565">
        <v>2</v>
      </c>
      <c r="AI565">
        <v>55748373</v>
      </c>
      <c r="AJ565">
        <v>529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ROW(Source!A221)</f>
        <v>221</v>
      </c>
      <c r="B566">
        <v>55748381</v>
      </c>
      <c r="C566">
        <v>55748368</v>
      </c>
      <c r="D566">
        <v>54758097</v>
      </c>
      <c r="E566">
        <v>1</v>
      </c>
      <c r="F566">
        <v>1</v>
      </c>
      <c r="G566">
        <v>1081</v>
      </c>
      <c r="H566">
        <v>3</v>
      </c>
      <c r="I566" t="s">
        <v>643</v>
      </c>
      <c r="J566" t="s">
        <v>644</v>
      </c>
      <c r="K566" t="s">
        <v>645</v>
      </c>
      <c r="L566">
        <v>1346</v>
      </c>
      <c r="N566">
        <v>1009</v>
      </c>
      <c r="O566" t="s">
        <v>503</v>
      </c>
      <c r="P566" t="s">
        <v>503</v>
      </c>
      <c r="Q566">
        <v>1</v>
      </c>
      <c r="X566">
        <v>0.02</v>
      </c>
      <c r="Y566">
        <v>19.28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38</v>
      </c>
      <c r="AG566">
        <v>0.02</v>
      </c>
      <c r="AH566">
        <v>2</v>
      </c>
      <c r="AI566">
        <v>55748374</v>
      </c>
      <c r="AJ566">
        <v>531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ROW(Source!A221)</f>
        <v>221</v>
      </c>
      <c r="B567">
        <v>55748382</v>
      </c>
      <c r="C567">
        <v>55748368</v>
      </c>
      <c r="D567">
        <v>54698118</v>
      </c>
      <c r="E567">
        <v>1081</v>
      </c>
      <c r="F567">
        <v>1</v>
      </c>
      <c r="G567">
        <v>1081</v>
      </c>
      <c r="H567">
        <v>3</v>
      </c>
      <c r="I567" t="s">
        <v>696</v>
      </c>
      <c r="J567" t="s">
        <v>3</v>
      </c>
      <c r="K567" t="s">
        <v>700</v>
      </c>
      <c r="L567">
        <v>1354</v>
      </c>
      <c r="N567">
        <v>1010</v>
      </c>
      <c r="O567" t="s">
        <v>118</v>
      </c>
      <c r="P567" t="s">
        <v>118</v>
      </c>
      <c r="Q567">
        <v>1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38</v>
      </c>
      <c r="AG567">
        <v>2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ROW(Source!A221)</f>
        <v>221</v>
      </c>
      <c r="B568">
        <v>55748383</v>
      </c>
      <c r="C568">
        <v>55748368</v>
      </c>
      <c r="D568">
        <v>54717889</v>
      </c>
      <c r="E568">
        <v>1081</v>
      </c>
      <c r="F568">
        <v>1</v>
      </c>
      <c r="G568">
        <v>1081</v>
      </c>
      <c r="H568">
        <v>3</v>
      </c>
      <c r="I568" t="s">
        <v>674</v>
      </c>
      <c r="J568" t="s">
        <v>3</v>
      </c>
      <c r="K568" t="s">
        <v>675</v>
      </c>
      <c r="L568">
        <v>1354</v>
      </c>
      <c r="N568">
        <v>1010</v>
      </c>
      <c r="O568" t="s">
        <v>118</v>
      </c>
      <c r="P568" t="s">
        <v>118</v>
      </c>
      <c r="Q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38</v>
      </c>
      <c r="AG568">
        <v>1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ROW(Source!A222)</f>
        <v>222</v>
      </c>
      <c r="B569">
        <v>55748376</v>
      </c>
      <c r="C569">
        <v>55748368</v>
      </c>
      <c r="D569">
        <v>54702434</v>
      </c>
      <c r="E569">
        <v>1081</v>
      </c>
      <c r="F569">
        <v>1</v>
      </c>
      <c r="G569">
        <v>1081</v>
      </c>
      <c r="H569">
        <v>1</v>
      </c>
      <c r="I569" t="s">
        <v>473</v>
      </c>
      <c r="J569" t="s">
        <v>3</v>
      </c>
      <c r="K569" t="s">
        <v>474</v>
      </c>
      <c r="L569">
        <v>1191</v>
      </c>
      <c r="N569">
        <v>1013</v>
      </c>
      <c r="O569" t="s">
        <v>475</v>
      </c>
      <c r="P569" t="s">
        <v>475</v>
      </c>
      <c r="Q569">
        <v>1</v>
      </c>
      <c r="X569">
        <v>1.47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98</v>
      </c>
      <c r="AG569">
        <v>2.0286</v>
      </c>
      <c r="AH569">
        <v>2</v>
      </c>
      <c r="AI569">
        <v>55748369</v>
      </c>
      <c r="AJ569">
        <v>532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ROW(Source!A222)</f>
        <v>222</v>
      </c>
      <c r="B570">
        <v>55748377</v>
      </c>
      <c r="C570">
        <v>55748368</v>
      </c>
      <c r="D570">
        <v>54768040</v>
      </c>
      <c r="E570">
        <v>1</v>
      </c>
      <c r="F570">
        <v>1</v>
      </c>
      <c r="G570">
        <v>1081</v>
      </c>
      <c r="H570">
        <v>2</v>
      </c>
      <c r="I570" t="s">
        <v>476</v>
      </c>
      <c r="J570" t="s">
        <v>477</v>
      </c>
      <c r="K570" t="s">
        <v>478</v>
      </c>
      <c r="L570">
        <v>1368</v>
      </c>
      <c r="N570">
        <v>1011</v>
      </c>
      <c r="O570" t="s">
        <v>479</v>
      </c>
      <c r="P570" t="s">
        <v>479</v>
      </c>
      <c r="Q570">
        <v>1</v>
      </c>
      <c r="X570">
        <v>0.35</v>
      </c>
      <c r="Y570">
        <v>0</v>
      </c>
      <c r="Z570">
        <v>7.11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97</v>
      </c>
      <c r="AG570">
        <v>0.52500000000000002</v>
      </c>
      <c r="AH570">
        <v>2</v>
      </c>
      <c r="AI570">
        <v>55748370</v>
      </c>
      <c r="AJ570">
        <v>533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ROW(Source!A222)</f>
        <v>222</v>
      </c>
      <c r="B571">
        <v>55748378</v>
      </c>
      <c r="C571">
        <v>55748368</v>
      </c>
      <c r="D571">
        <v>54768339</v>
      </c>
      <c r="E571">
        <v>1</v>
      </c>
      <c r="F571">
        <v>1</v>
      </c>
      <c r="G571">
        <v>1081</v>
      </c>
      <c r="H571">
        <v>2</v>
      </c>
      <c r="I571" t="s">
        <v>483</v>
      </c>
      <c r="J571" t="s">
        <v>484</v>
      </c>
      <c r="K571" t="s">
        <v>485</v>
      </c>
      <c r="L571">
        <v>1368</v>
      </c>
      <c r="N571">
        <v>1011</v>
      </c>
      <c r="O571" t="s">
        <v>479</v>
      </c>
      <c r="P571" t="s">
        <v>479</v>
      </c>
      <c r="Q571">
        <v>1</v>
      </c>
      <c r="X571">
        <v>0.01</v>
      </c>
      <c r="Y571">
        <v>0</v>
      </c>
      <c r="Z571">
        <v>83.1</v>
      </c>
      <c r="AA571">
        <v>12.62</v>
      </c>
      <c r="AB571">
        <v>0</v>
      </c>
      <c r="AC571">
        <v>0</v>
      </c>
      <c r="AD571">
        <v>1</v>
      </c>
      <c r="AE571">
        <v>0</v>
      </c>
      <c r="AF571" t="s">
        <v>97</v>
      </c>
      <c r="AG571">
        <v>1.4999999999999999E-2</v>
      </c>
      <c r="AH571">
        <v>2</v>
      </c>
      <c r="AI571">
        <v>55748371</v>
      </c>
      <c r="AJ571">
        <v>534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ROW(Source!A222)</f>
        <v>222</v>
      </c>
      <c r="B572">
        <v>55748379</v>
      </c>
      <c r="C572">
        <v>55748368</v>
      </c>
      <c r="D572">
        <v>54738509</v>
      </c>
      <c r="E572">
        <v>1</v>
      </c>
      <c r="F572">
        <v>1</v>
      </c>
      <c r="G572">
        <v>1081</v>
      </c>
      <c r="H572">
        <v>3</v>
      </c>
      <c r="I572" t="s">
        <v>646</v>
      </c>
      <c r="J572" t="s">
        <v>647</v>
      </c>
      <c r="K572" t="s">
        <v>648</v>
      </c>
      <c r="L572">
        <v>1348</v>
      </c>
      <c r="N572">
        <v>1009</v>
      </c>
      <c r="O572" t="s">
        <v>282</v>
      </c>
      <c r="P572" t="s">
        <v>282</v>
      </c>
      <c r="Q572">
        <v>1000</v>
      </c>
      <c r="X572">
        <v>1.3999999999999999E-4</v>
      </c>
      <c r="Y572">
        <v>9879.51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38</v>
      </c>
      <c r="AG572">
        <v>1.3999999999999999E-4</v>
      </c>
      <c r="AH572">
        <v>2</v>
      </c>
      <c r="AI572">
        <v>55748372</v>
      </c>
      <c r="AJ572">
        <v>535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ROW(Source!A222)</f>
        <v>222</v>
      </c>
      <c r="B573">
        <v>55748380</v>
      </c>
      <c r="C573">
        <v>55748368</v>
      </c>
      <c r="D573">
        <v>54737318</v>
      </c>
      <c r="E573">
        <v>1</v>
      </c>
      <c r="F573">
        <v>1</v>
      </c>
      <c r="G573">
        <v>1081</v>
      </c>
      <c r="H573">
        <v>3</v>
      </c>
      <c r="I573" t="s">
        <v>526</v>
      </c>
      <c r="J573" t="s">
        <v>527</v>
      </c>
      <c r="K573" t="s">
        <v>528</v>
      </c>
      <c r="L573">
        <v>1348</v>
      </c>
      <c r="N573">
        <v>1009</v>
      </c>
      <c r="O573" t="s">
        <v>282</v>
      </c>
      <c r="P573" t="s">
        <v>282</v>
      </c>
      <c r="Q573">
        <v>1000</v>
      </c>
      <c r="X573">
        <v>1.1000000000000001E-3</v>
      </c>
      <c r="Y573">
        <v>17868.28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38</v>
      </c>
      <c r="AG573">
        <v>1.1000000000000001E-3</v>
      </c>
      <c r="AH573">
        <v>2</v>
      </c>
      <c r="AI573">
        <v>55748373</v>
      </c>
      <c r="AJ573">
        <v>536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ROW(Source!A222)</f>
        <v>222</v>
      </c>
      <c r="B574">
        <v>55748381</v>
      </c>
      <c r="C574">
        <v>55748368</v>
      </c>
      <c r="D574">
        <v>54758097</v>
      </c>
      <c r="E574">
        <v>1</v>
      </c>
      <c r="F574">
        <v>1</v>
      </c>
      <c r="G574">
        <v>1081</v>
      </c>
      <c r="H574">
        <v>3</v>
      </c>
      <c r="I574" t="s">
        <v>643</v>
      </c>
      <c r="J574" t="s">
        <v>644</v>
      </c>
      <c r="K574" t="s">
        <v>645</v>
      </c>
      <c r="L574">
        <v>1346</v>
      </c>
      <c r="N574">
        <v>1009</v>
      </c>
      <c r="O574" t="s">
        <v>503</v>
      </c>
      <c r="P574" t="s">
        <v>503</v>
      </c>
      <c r="Q574">
        <v>1</v>
      </c>
      <c r="X574">
        <v>0.02</v>
      </c>
      <c r="Y574">
        <v>19.28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38</v>
      </c>
      <c r="AG574">
        <v>0.02</v>
      </c>
      <c r="AH574">
        <v>2</v>
      </c>
      <c r="AI574">
        <v>55748374</v>
      </c>
      <c r="AJ574">
        <v>538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ROW(Source!A222)</f>
        <v>222</v>
      </c>
      <c r="B575">
        <v>55748382</v>
      </c>
      <c r="C575">
        <v>55748368</v>
      </c>
      <c r="D575">
        <v>54698118</v>
      </c>
      <c r="E575">
        <v>1081</v>
      </c>
      <c r="F575">
        <v>1</v>
      </c>
      <c r="G575">
        <v>1081</v>
      </c>
      <c r="H575">
        <v>3</v>
      </c>
      <c r="I575" t="s">
        <v>696</v>
      </c>
      <c r="J575" t="s">
        <v>3</v>
      </c>
      <c r="K575" t="s">
        <v>700</v>
      </c>
      <c r="L575">
        <v>1354</v>
      </c>
      <c r="N575">
        <v>1010</v>
      </c>
      <c r="O575" t="s">
        <v>118</v>
      </c>
      <c r="P575" t="s">
        <v>118</v>
      </c>
      <c r="Q575">
        <v>1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38</v>
      </c>
      <c r="AG575">
        <v>2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ROW(Source!A222)</f>
        <v>222</v>
      </c>
      <c r="B576">
        <v>55748383</v>
      </c>
      <c r="C576">
        <v>55748368</v>
      </c>
      <c r="D576">
        <v>54717889</v>
      </c>
      <c r="E576">
        <v>1081</v>
      </c>
      <c r="F576">
        <v>1</v>
      </c>
      <c r="G576">
        <v>1081</v>
      </c>
      <c r="H576">
        <v>3</v>
      </c>
      <c r="I576" t="s">
        <v>674</v>
      </c>
      <c r="J576" t="s">
        <v>3</v>
      </c>
      <c r="K576" t="s">
        <v>675</v>
      </c>
      <c r="L576">
        <v>1354</v>
      </c>
      <c r="N576">
        <v>1010</v>
      </c>
      <c r="O576" t="s">
        <v>118</v>
      </c>
      <c r="P576" t="s">
        <v>118</v>
      </c>
      <c r="Q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38</v>
      </c>
      <c r="AG576">
        <v>1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ROW(Source!A225)</f>
        <v>225</v>
      </c>
      <c r="B577">
        <v>57261118</v>
      </c>
      <c r="C577">
        <v>57261085</v>
      </c>
      <c r="D577">
        <v>54702434</v>
      </c>
      <c r="E577">
        <v>1081</v>
      </c>
      <c r="F577">
        <v>1</v>
      </c>
      <c r="G577">
        <v>1081</v>
      </c>
      <c r="H577">
        <v>1</v>
      </c>
      <c r="I577" t="s">
        <v>473</v>
      </c>
      <c r="J577" t="s">
        <v>3</v>
      </c>
      <c r="K577" t="s">
        <v>474</v>
      </c>
      <c r="L577">
        <v>1191</v>
      </c>
      <c r="N577">
        <v>1013</v>
      </c>
      <c r="O577" t="s">
        <v>475</v>
      </c>
      <c r="P577" t="s">
        <v>475</v>
      </c>
      <c r="Q577">
        <v>1</v>
      </c>
      <c r="X577">
        <v>4.8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49</v>
      </c>
      <c r="AG577">
        <v>5.76</v>
      </c>
      <c r="AH577">
        <v>2</v>
      </c>
      <c r="AI577">
        <v>57261118</v>
      </c>
      <c r="AJ577">
        <v>539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ROW(Source!A225)</f>
        <v>225</v>
      </c>
      <c r="B578">
        <v>57261119</v>
      </c>
      <c r="C578">
        <v>57261085</v>
      </c>
      <c r="D578">
        <v>54768040</v>
      </c>
      <c r="E578">
        <v>1</v>
      </c>
      <c r="F578">
        <v>1</v>
      </c>
      <c r="G578">
        <v>1081</v>
      </c>
      <c r="H578">
        <v>2</v>
      </c>
      <c r="I578" t="s">
        <v>476</v>
      </c>
      <c r="J578" t="s">
        <v>477</v>
      </c>
      <c r="K578" t="s">
        <v>478</v>
      </c>
      <c r="L578">
        <v>1368</v>
      </c>
      <c r="N578">
        <v>1011</v>
      </c>
      <c r="O578" t="s">
        <v>479</v>
      </c>
      <c r="P578" t="s">
        <v>479</v>
      </c>
      <c r="Q578">
        <v>1</v>
      </c>
      <c r="X578">
        <v>0.48</v>
      </c>
      <c r="Y578">
        <v>0</v>
      </c>
      <c r="Z578">
        <v>7.11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49</v>
      </c>
      <c r="AG578">
        <v>0.57599999999999996</v>
      </c>
      <c r="AH578">
        <v>2</v>
      </c>
      <c r="AI578">
        <v>57261119</v>
      </c>
      <c r="AJ578">
        <v>540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ROW(Source!A225)</f>
        <v>225</v>
      </c>
      <c r="B579">
        <v>57261120</v>
      </c>
      <c r="C579">
        <v>57261085</v>
      </c>
      <c r="D579">
        <v>54738505</v>
      </c>
      <c r="E579">
        <v>1</v>
      </c>
      <c r="F579">
        <v>1</v>
      </c>
      <c r="G579">
        <v>1081</v>
      </c>
      <c r="H579">
        <v>3</v>
      </c>
      <c r="I579" t="s">
        <v>580</v>
      </c>
      <c r="J579" t="s">
        <v>581</v>
      </c>
      <c r="K579" t="s">
        <v>582</v>
      </c>
      <c r="L579">
        <v>1346</v>
      </c>
      <c r="N579">
        <v>1009</v>
      </c>
      <c r="O579" t="s">
        <v>503</v>
      </c>
      <c r="P579" t="s">
        <v>503</v>
      </c>
      <c r="Q579">
        <v>1</v>
      </c>
      <c r="X579">
        <v>0.2</v>
      </c>
      <c r="Y579">
        <v>21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48</v>
      </c>
      <c r="AG579">
        <v>0.2</v>
      </c>
      <c r="AH579">
        <v>2</v>
      </c>
      <c r="AI579">
        <v>57261120</v>
      </c>
      <c r="AJ579">
        <v>541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ROW(Source!A225)</f>
        <v>225</v>
      </c>
      <c r="B580">
        <v>57261121</v>
      </c>
      <c r="C580">
        <v>57261085</v>
      </c>
      <c r="D580">
        <v>54737299</v>
      </c>
      <c r="E580">
        <v>1</v>
      </c>
      <c r="F580">
        <v>1</v>
      </c>
      <c r="G580">
        <v>1081</v>
      </c>
      <c r="H580">
        <v>3</v>
      </c>
      <c r="I580" t="s">
        <v>583</v>
      </c>
      <c r="J580" t="s">
        <v>584</v>
      </c>
      <c r="K580" t="s">
        <v>585</v>
      </c>
      <c r="L580">
        <v>1339</v>
      </c>
      <c r="N580">
        <v>1007</v>
      </c>
      <c r="O580" t="s">
        <v>507</v>
      </c>
      <c r="P580" t="s">
        <v>507</v>
      </c>
      <c r="Q580">
        <v>1</v>
      </c>
      <c r="X580">
        <v>8.9999999999999993E-3</v>
      </c>
      <c r="Y580">
        <v>53.42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48</v>
      </c>
      <c r="AG580">
        <v>8.9999999999999993E-3</v>
      </c>
      <c r="AH580">
        <v>2</v>
      </c>
      <c r="AI580">
        <v>57261121</v>
      </c>
      <c r="AJ580">
        <v>542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ROW(Source!A225)</f>
        <v>225</v>
      </c>
      <c r="B581">
        <v>57261122</v>
      </c>
      <c r="C581">
        <v>57261085</v>
      </c>
      <c r="D581">
        <v>54739191</v>
      </c>
      <c r="E581">
        <v>1</v>
      </c>
      <c r="F581">
        <v>1</v>
      </c>
      <c r="G581">
        <v>1081</v>
      </c>
      <c r="H581">
        <v>3</v>
      </c>
      <c r="I581" t="s">
        <v>500</v>
      </c>
      <c r="J581" t="s">
        <v>501</v>
      </c>
      <c r="K581" t="s">
        <v>502</v>
      </c>
      <c r="L581">
        <v>1346</v>
      </c>
      <c r="N581">
        <v>1009</v>
      </c>
      <c r="O581" t="s">
        <v>503</v>
      </c>
      <c r="P581" t="s">
        <v>503</v>
      </c>
      <c r="Q581">
        <v>1</v>
      </c>
      <c r="X581">
        <v>2E-3</v>
      </c>
      <c r="Y581">
        <v>6.25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48</v>
      </c>
      <c r="AG581">
        <v>2E-3</v>
      </c>
      <c r="AH581">
        <v>2</v>
      </c>
      <c r="AI581">
        <v>57261122</v>
      </c>
      <c r="AJ581">
        <v>543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ROW(Source!A225)</f>
        <v>225</v>
      </c>
      <c r="B582">
        <v>57261123</v>
      </c>
      <c r="C582">
        <v>57261085</v>
      </c>
      <c r="D582">
        <v>54737565</v>
      </c>
      <c r="E582">
        <v>1</v>
      </c>
      <c r="F582">
        <v>1</v>
      </c>
      <c r="G582">
        <v>1081</v>
      </c>
      <c r="H582">
        <v>3</v>
      </c>
      <c r="I582" t="s">
        <v>504</v>
      </c>
      <c r="J582" t="s">
        <v>505</v>
      </c>
      <c r="K582" t="s">
        <v>506</v>
      </c>
      <c r="L582">
        <v>1339</v>
      </c>
      <c r="N582">
        <v>1007</v>
      </c>
      <c r="O582" t="s">
        <v>507</v>
      </c>
      <c r="P582" t="s">
        <v>507</v>
      </c>
      <c r="Q582">
        <v>1</v>
      </c>
      <c r="X582">
        <v>1.9E-2</v>
      </c>
      <c r="Y582">
        <v>5.82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48</v>
      </c>
      <c r="AG582">
        <v>1.9E-2</v>
      </c>
      <c r="AH582">
        <v>2</v>
      </c>
      <c r="AI582">
        <v>57261123</v>
      </c>
      <c r="AJ582">
        <v>544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ROW(Source!A225)</f>
        <v>225</v>
      </c>
      <c r="B583">
        <v>57261124</v>
      </c>
      <c r="C583">
        <v>57261085</v>
      </c>
      <c r="D583">
        <v>54717890</v>
      </c>
      <c r="E583">
        <v>1081</v>
      </c>
      <c r="F583">
        <v>1</v>
      </c>
      <c r="G583">
        <v>1081</v>
      </c>
      <c r="H583">
        <v>3</v>
      </c>
      <c r="I583" t="s">
        <v>674</v>
      </c>
      <c r="J583" t="s">
        <v>3</v>
      </c>
      <c r="K583" t="s">
        <v>675</v>
      </c>
      <c r="L583">
        <v>1354</v>
      </c>
      <c r="N583">
        <v>1010</v>
      </c>
      <c r="O583" t="s">
        <v>118</v>
      </c>
      <c r="P583" t="s">
        <v>118</v>
      </c>
      <c r="Q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48</v>
      </c>
      <c r="AG583">
        <v>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ROW(Source!A226)</f>
        <v>226</v>
      </c>
      <c r="B584">
        <v>57261118</v>
      </c>
      <c r="C584">
        <v>57261085</v>
      </c>
      <c r="D584">
        <v>54702434</v>
      </c>
      <c r="E584">
        <v>1081</v>
      </c>
      <c r="F584">
        <v>1</v>
      </c>
      <c r="G584">
        <v>1081</v>
      </c>
      <c r="H584">
        <v>1</v>
      </c>
      <c r="I584" t="s">
        <v>473</v>
      </c>
      <c r="J584" t="s">
        <v>3</v>
      </c>
      <c r="K584" t="s">
        <v>474</v>
      </c>
      <c r="L584">
        <v>1191</v>
      </c>
      <c r="N584">
        <v>1013</v>
      </c>
      <c r="O584" t="s">
        <v>475</v>
      </c>
      <c r="P584" t="s">
        <v>475</v>
      </c>
      <c r="Q584">
        <v>1</v>
      </c>
      <c r="X584">
        <v>4.8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49</v>
      </c>
      <c r="AG584">
        <v>5.76</v>
      </c>
      <c r="AH584">
        <v>2</v>
      </c>
      <c r="AI584">
        <v>57261118</v>
      </c>
      <c r="AJ584">
        <v>545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ROW(Source!A226)</f>
        <v>226</v>
      </c>
      <c r="B585">
        <v>57261119</v>
      </c>
      <c r="C585">
        <v>57261085</v>
      </c>
      <c r="D585">
        <v>54768040</v>
      </c>
      <c r="E585">
        <v>1</v>
      </c>
      <c r="F585">
        <v>1</v>
      </c>
      <c r="G585">
        <v>1081</v>
      </c>
      <c r="H585">
        <v>2</v>
      </c>
      <c r="I585" t="s">
        <v>476</v>
      </c>
      <c r="J585" t="s">
        <v>477</v>
      </c>
      <c r="K585" t="s">
        <v>478</v>
      </c>
      <c r="L585">
        <v>1368</v>
      </c>
      <c r="N585">
        <v>1011</v>
      </c>
      <c r="O585" t="s">
        <v>479</v>
      </c>
      <c r="P585" t="s">
        <v>479</v>
      </c>
      <c r="Q585">
        <v>1</v>
      </c>
      <c r="X585">
        <v>0.48</v>
      </c>
      <c r="Y585">
        <v>0</v>
      </c>
      <c r="Z585">
        <v>7.11</v>
      </c>
      <c r="AA585">
        <v>0</v>
      </c>
      <c r="AB585">
        <v>0</v>
      </c>
      <c r="AC585">
        <v>0</v>
      </c>
      <c r="AD585">
        <v>1</v>
      </c>
      <c r="AE585">
        <v>0</v>
      </c>
      <c r="AF585" t="s">
        <v>49</v>
      </c>
      <c r="AG585">
        <v>0.57599999999999996</v>
      </c>
      <c r="AH585">
        <v>2</v>
      </c>
      <c r="AI585">
        <v>57261119</v>
      </c>
      <c r="AJ585">
        <v>546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ROW(Source!A226)</f>
        <v>226</v>
      </c>
      <c r="B586">
        <v>57261120</v>
      </c>
      <c r="C586">
        <v>57261085</v>
      </c>
      <c r="D586">
        <v>54738505</v>
      </c>
      <c r="E586">
        <v>1</v>
      </c>
      <c r="F586">
        <v>1</v>
      </c>
      <c r="G586">
        <v>1081</v>
      </c>
      <c r="H586">
        <v>3</v>
      </c>
      <c r="I586" t="s">
        <v>580</v>
      </c>
      <c r="J586" t="s">
        <v>581</v>
      </c>
      <c r="K586" t="s">
        <v>582</v>
      </c>
      <c r="L586">
        <v>1346</v>
      </c>
      <c r="N586">
        <v>1009</v>
      </c>
      <c r="O586" t="s">
        <v>503</v>
      </c>
      <c r="P586" t="s">
        <v>503</v>
      </c>
      <c r="Q586">
        <v>1</v>
      </c>
      <c r="X586">
        <v>0.2</v>
      </c>
      <c r="Y586">
        <v>21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48</v>
      </c>
      <c r="AG586">
        <v>0.2</v>
      </c>
      <c r="AH586">
        <v>2</v>
      </c>
      <c r="AI586">
        <v>57261120</v>
      </c>
      <c r="AJ586">
        <v>547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ROW(Source!A226)</f>
        <v>226</v>
      </c>
      <c r="B587">
        <v>57261121</v>
      </c>
      <c r="C587">
        <v>57261085</v>
      </c>
      <c r="D587">
        <v>54737299</v>
      </c>
      <c r="E587">
        <v>1</v>
      </c>
      <c r="F587">
        <v>1</v>
      </c>
      <c r="G587">
        <v>1081</v>
      </c>
      <c r="H587">
        <v>3</v>
      </c>
      <c r="I587" t="s">
        <v>583</v>
      </c>
      <c r="J587" t="s">
        <v>584</v>
      </c>
      <c r="K587" t="s">
        <v>585</v>
      </c>
      <c r="L587">
        <v>1339</v>
      </c>
      <c r="N587">
        <v>1007</v>
      </c>
      <c r="O587" t="s">
        <v>507</v>
      </c>
      <c r="P587" t="s">
        <v>507</v>
      </c>
      <c r="Q587">
        <v>1</v>
      </c>
      <c r="X587">
        <v>8.9999999999999993E-3</v>
      </c>
      <c r="Y587">
        <v>53.42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48</v>
      </c>
      <c r="AG587">
        <v>8.9999999999999993E-3</v>
      </c>
      <c r="AH587">
        <v>2</v>
      </c>
      <c r="AI587">
        <v>57261121</v>
      </c>
      <c r="AJ587">
        <v>548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ROW(Source!A226)</f>
        <v>226</v>
      </c>
      <c r="B588">
        <v>57261122</v>
      </c>
      <c r="C588">
        <v>57261085</v>
      </c>
      <c r="D588">
        <v>54739191</v>
      </c>
      <c r="E588">
        <v>1</v>
      </c>
      <c r="F588">
        <v>1</v>
      </c>
      <c r="G588">
        <v>1081</v>
      </c>
      <c r="H588">
        <v>3</v>
      </c>
      <c r="I588" t="s">
        <v>500</v>
      </c>
      <c r="J588" t="s">
        <v>501</v>
      </c>
      <c r="K588" t="s">
        <v>502</v>
      </c>
      <c r="L588">
        <v>1346</v>
      </c>
      <c r="N588">
        <v>1009</v>
      </c>
      <c r="O588" t="s">
        <v>503</v>
      </c>
      <c r="P588" t="s">
        <v>503</v>
      </c>
      <c r="Q588">
        <v>1</v>
      </c>
      <c r="X588">
        <v>2E-3</v>
      </c>
      <c r="Y588">
        <v>6.25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48</v>
      </c>
      <c r="AG588">
        <v>2E-3</v>
      </c>
      <c r="AH588">
        <v>2</v>
      </c>
      <c r="AI588">
        <v>57261122</v>
      </c>
      <c r="AJ588">
        <v>549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ROW(Source!A226)</f>
        <v>226</v>
      </c>
      <c r="B589">
        <v>57261123</v>
      </c>
      <c r="C589">
        <v>57261085</v>
      </c>
      <c r="D589">
        <v>54737565</v>
      </c>
      <c r="E589">
        <v>1</v>
      </c>
      <c r="F589">
        <v>1</v>
      </c>
      <c r="G589">
        <v>1081</v>
      </c>
      <c r="H589">
        <v>3</v>
      </c>
      <c r="I589" t="s">
        <v>504</v>
      </c>
      <c r="J589" t="s">
        <v>505</v>
      </c>
      <c r="K589" t="s">
        <v>506</v>
      </c>
      <c r="L589">
        <v>1339</v>
      </c>
      <c r="N589">
        <v>1007</v>
      </c>
      <c r="O589" t="s">
        <v>507</v>
      </c>
      <c r="P589" t="s">
        <v>507</v>
      </c>
      <c r="Q589">
        <v>1</v>
      </c>
      <c r="X589">
        <v>1.9E-2</v>
      </c>
      <c r="Y589">
        <v>5.82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48</v>
      </c>
      <c r="AG589">
        <v>1.9E-2</v>
      </c>
      <c r="AH589">
        <v>2</v>
      </c>
      <c r="AI589">
        <v>57261123</v>
      </c>
      <c r="AJ589">
        <v>550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ROW(Source!A226)</f>
        <v>226</v>
      </c>
      <c r="B590">
        <v>57261124</v>
      </c>
      <c r="C590">
        <v>57261085</v>
      </c>
      <c r="D590">
        <v>54717890</v>
      </c>
      <c r="E590">
        <v>1081</v>
      </c>
      <c r="F590">
        <v>1</v>
      </c>
      <c r="G590">
        <v>1081</v>
      </c>
      <c r="H590">
        <v>3</v>
      </c>
      <c r="I590" t="s">
        <v>674</v>
      </c>
      <c r="J590" t="s">
        <v>3</v>
      </c>
      <c r="K590" t="s">
        <v>675</v>
      </c>
      <c r="L590">
        <v>1354</v>
      </c>
      <c r="N590">
        <v>1010</v>
      </c>
      <c r="O590" t="s">
        <v>118</v>
      </c>
      <c r="P590" t="s">
        <v>118</v>
      </c>
      <c r="Q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48</v>
      </c>
      <c r="AG590">
        <v>1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ROW(Source!A229)</f>
        <v>229</v>
      </c>
      <c r="B591">
        <v>55748395</v>
      </c>
      <c r="C591">
        <v>55748385</v>
      </c>
      <c r="D591">
        <v>54702434</v>
      </c>
      <c r="E591">
        <v>1081</v>
      </c>
      <c r="F591">
        <v>1</v>
      </c>
      <c r="G591">
        <v>1081</v>
      </c>
      <c r="H591">
        <v>1</v>
      </c>
      <c r="I591" t="s">
        <v>473</v>
      </c>
      <c r="J591" t="s">
        <v>3</v>
      </c>
      <c r="K591" t="s">
        <v>474</v>
      </c>
      <c r="L591">
        <v>1191</v>
      </c>
      <c r="N591">
        <v>1013</v>
      </c>
      <c r="O591" t="s">
        <v>475</v>
      </c>
      <c r="P591" t="s">
        <v>475</v>
      </c>
      <c r="Q591">
        <v>1</v>
      </c>
      <c r="X591">
        <v>60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49</v>
      </c>
      <c r="AG591">
        <v>72</v>
      </c>
      <c r="AH591">
        <v>2</v>
      </c>
      <c r="AI591">
        <v>55748386</v>
      </c>
      <c r="AJ591">
        <v>551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ROW(Source!A229)</f>
        <v>229</v>
      </c>
      <c r="B592">
        <v>55748396</v>
      </c>
      <c r="C592">
        <v>55748385</v>
      </c>
      <c r="D592">
        <v>54768040</v>
      </c>
      <c r="E592">
        <v>1</v>
      </c>
      <c r="F592">
        <v>1</v>
      </c>
      <c r="G592">
        <v>1081</v>
      </c>
      <c r="H592">
        <v>2</v>
      </c>
      <c r="I592" t="s">
        <v>476</v>
      </c>
      <c r="J592" t="s">
        <v>477</v>
      </c>
      <c r="K592" t="s">
        <v>478</v>
      </c>
      <c r="L592">
        <v>1368</v>
      </c>
      <c r="N592">
        <v>1011</v>
      </c>
      <c r="O592" t="s">
        <v>479</v>
      </c>
      <c r="P592" t="s">
        <v>479</v>
      </c>
      <c r="Q592">
        <v>1</v>
      </c>
      <c r="X592">
        <v>47.2</v>
      </c>
      <c r="Y592">
        <v>0</v>
      </c>
      <c r="Z592">
        <v>7.11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49</v>
      </c>
      <c r="AG592">
        <v>56.64</v>
      </c>
      <c r="AH592">
        <v>2</v>
      </c>
      <c r="AI592">
        <v>55748387</v>
      </c>
      <c r="AJ592">
        <v>552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ROW(Source!A229)</f>
        <v>229</v>
      </c>
      <c r="B593">
        <v>55748397</v>
      </c>
      <c r="C593">
        <v>55748385</v>
      </c>
      <c r="D593">
        <v>54768339</v>
      </c>
      <c r="E593">
        <v>1</v>
      </c>
      <c r="F593">
        <v>1</v>
      </c>
      <c r="G593">
        <v>1081</v>
      </c>
      <c r="H593">
        <v>2</v>
      </c>
      <c r="I593" t="s">
        <v>483</v>
      </c>
      <c r="J593" t="s">
        <v>484</v>
      </c>
      <c r="K593" t="s">
        <v>485</v>
      </c>
      <c r="L593">
        <v>1368</v>
      </c>
      <c r="N593">
        <v>1011</v>
      </c>
      <c r="O593" t="s">
        <v>479</v>
      </c>
      <c r="P593" t="s">
        <v>479</v>
      </c>
      <c r="Q593">
        <v>1</v>
      </c>
      <c r="X593">
        <v>0.01</v>
      </c>
      <c r="Y593">
        <v>0</v>
      </c>
      <c r="Z593">
        <v>83.1</v>
      </c>
      <c r="AA593">
        <v>12.62</v>
      </c>
      <c r="AB593">
        <v>0</v>
      </c>
      <c r="AC593">
        <v>0</v>
      </c>
      <c r="AD593">
        <v>1</v>
      </c>
      <c r="AE593">
        <v>0</v>
      </c>
      <c r="AF593" t="s">
        <v>49</v>
      </c>
      <c r="AG593">
        <v>1.2E-2</v>
      </c>
      <c r="AH593">
        <v>2</v>
      </c>
      <c r="AI593">
        <v>55748388</v>
      </c>
      <c r="AJ593">
        <v>553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ROW(Source!A229)</f>
        <v>229</v>
      </c>
      <c r="B594">
        <v>55748398</v>
      </c>
      <c r="C594">
        <v>55748385</v>
      </c>
      <c r="D594">
        <v>54737969</v>
      </c>
      <c r="E594">
        <v>1</v>
      </c>
      <c r="F594">
        <v>1</v>
      </c>
      <c r="G594">
        <v>1081</v>
      </c>
      <c r="H594">
        <v>3</v>
      </c>
      <c r="I594" t="s">
        <v>511</v>
      </c>
      <c r="J594" t="s">
        <v>512</v>
      </c>
      <c r="K594" t="s">
        <v>513</v>
      </c>
      <c r="L594">
        <v>1348</v>
      </c>
      <c r="N594">
        <v>1009</v>
      </c>
      <c r="O594" t="s">
        <v>282</v>
      </c>
      <c r="P594" t="s">
        <v>282</v>
      </c>
      <c r="Q594">
        <v>1000</v>
      </c>
      <c r="X594">
        <v>3.0000000000000001E-3</v>
      </c>
      <c r="Y594">
        <v>23114.43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48</v>
      </c>
      <c r="AG594">
        <v>3.0000000000000001E-3</v>
      </c>
      <c r="AH594">
        <v>2</v>
      </c>
      <c r="AI594">
        <v>55748389</v>
      </c>
      <c r="AJ594">
        <v>554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ROW(Source!A229)</f>
        <v>229</v>
      </c>
      <c r="B595">
        <v>55748399</v>
      </c>
      <c r="C595">
        <v>55748385</v>
      </c>
      <c r="D595">
        <v>54738430</v>
      </c>
      <c r="E595">
        <v>1</v>
      </c>
      <c r="F595">
        <v>1</v>
      </c>
      <c r="G595">
        <v>1081</v>
      </c>
      <c r="H595">
        <v>3</v>
      </c>
      <c r="I595" t="s">
        <v>562</v>
      </c>
      <c r="J595" t="s">
        <v>563</v>
      </c>
      <c r="K595" t="s">
        <v>564</v>
      </c>
      <c r="L595">
        <v>1348</v>
      </c>
      <c r="N595">
        <v>1009</v>
      </c>
      <c r="O595" t="s">
        <v>282</v>
      </c>
      <c r="P595" t="s">
        <v>282</v>
      </c>
      <c r="Q595">
        <v>1000</v>
      </c>
      <c r="X595">
        <v>0.01</v>
      </c>
      <c r="Y595">
        <v>7185.82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48</v>
      </c>
      <c r="AG595">
        <v>0.01</v>
      </c>
      <c r="AH595">
        <v>2</v>
      </c>
      <c r="AI595">
        <v>55748390</v>
      </c>
      <c r="AJ595">
        <v>555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ROW(Source!A229)</f>
        <v>229</v>
      </c>
      <c r="B596">
        <v>55748400</v>
      </c>
      <c r="C596">
        <v>55748385</v>
      </c>
      <c r="D596">
        <v>54753866</v>
      </c>
      <c r="E596">
        <v>1</v>
      </c>
      <c r="F596">
        <v>1</v>
      </c>
      <c r="G596">
        <v>1081</v>
      </c>
      <c r="H596">
        <v>3</v>
      </c>
      <c r="I596" t="s">
        <v>637</v>
      </c>
      <c r="J596" t="s">
        <v>638</v>
      </c>
      <c r="K596" t="s">
        <v>639</v>
      </c>
      <c r="L596">
        <v>1354</v>
      </c>
      <c r="N596">
        <v>1010</v>
      </c>
      <c r="O596" t="s">
        <v>118</v>
      </c>
      <c r="P596" t="s">
        <v>118</v>
      </c>
      <c r="Q596">
        <v>1</v>
      </c>
      <c r="X596">
        <v>100</v>
      </c>
      <c r="Y596">
        <v>11.13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48</v>
      </c>
      <c r="AG596">
        <v>100</v>
      </c>
      <c r="AH596">
        <v>2</v>
      </c>
      <c r="AI596">
        <v>55748391</v>
      </c>
      <c r="AJ596">
        <v>557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ROW(Source!A229)</f>
        <v>229</v>
      </c>
      <c r="B597">
        <v>55748401</v>
      </c>
      <c r="C597">
        <v>55748385</v>
      </c>
      <c r="D597">
        <v>54758173</v>
      </c>
      <c r="E597">
        <v>1</v>
      </c>
      <c r="F597">
        <v>1</v>
      </c>
      <c r="G597">
        <v>1081</v>
      </c>
      <c r="H597">
        <v>3</v>
      </c>
      <c r="I597" t="s">
        <v>640</v>
      </c>
      <c r="J597" t="s">
        <v>641</v>
      </c>
      <c r="K597" t="s">
        <v>642</v>
      </c>
      <c r="L597">
        <v>1354</v>
      </c>
      <c r="N597">
        <v>1010</v>
      </c>
      <c r="O597" t="s">
        <v>118</v>
      </c>
      <c r="P597" t="s">
        <v>118</v>
      </c>
      <c r="Q597">
        <v>1</v>
      </c>
      <c r="X597">
        <v>100</v>
      </c>
      <c r="Y597">
        <v>22.08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48</v>
      </c>
      <c r="AG597">
        <v>100</v>
      </c>
      <c r="AH597">
        <v>2</v>
      </c>
      <c r="AI597">
        <v>55748392</v>
      </c>
      <c r="AJ597">
        <v>558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ROW(Source!A229)</f>
        <v>229</v>
      </c>
      <c r="B598">
        <v>55748402</v>
      </c>
      <c r="C598">
        <v>55748385</v>
      </c>
      <c r="D598">
        <v>54718656</v>
      </c>
      <c r="E598">
        <v>1081</v>
      </c>
      <c r="F598">
        <v>1</v>
      </c>
      <c r="G598">
        <v>1081</v>
      </c>
      <c r="H598">
        <v>3</v>
      </c>
      <c r="I598" t="s">
        <v>694</v>
      </c>
      <c r="J598" t="s">
        <v>3</v>
      </c>
      <c r="K598" t="s">
        <v>695</v>
      </c>
      <c r="L598">
        <v>1354</v>
      </c>
      <c r="N598">
        <v>1010</v>
      </c>
      <c r="O598" t="s">
        <v>118</v>
      </c>
      <c r="P598" t="s">
        <v>118</v>
      </c>
      <c r="Q598">
        <v>1</v>
      </c>
      <c r="X598">
        <v>100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48</v>
      </c>
      <c r="AG598">
        <v>100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ROW(Source!A230)</f>
        <v>230</v>
      </c>
      <c r="B599">
        <v>55748395</v>
      </c>
      <c r="C599">
        <v>55748385</v>
      </c>
      <c r="D599">
        <v>54702434</v>
      </c>
      <c r="E599">
        <v>1081</v>
      </c>
      <c r="F599">
        <v>1</v>
      </c>
      <c r="G599">
        <v>1081</v>
      </c>
      <c r="H599">
        <v>1</v>
      </c>
      <c r="I599" t="s">
        <v>473</v>
      </c>
      <c r="J599" t="s">
        <v>3</v>
      </c>
      <c r="K599" t="s">
        <v>474</v>
      </c>
      <c r="L599">
        <v>1191</v>
      </c>
      <c r="N599">
        <v>1013</v>
      </c>
      <c r="O599" t="s">
        <v>475</v>
      </c>
      <c r="P599" t="s">
        <v>475</v>
      </c>
      <c r="Q599">
        <v>1</v>
      </c>
      <c r="X599">
        <v>60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 t="s">
        <v>49</v>
      </c>
      <c r="AG599">
        <v>72</v>
      </c>
      <c r="AH599">
        <v>2</v>
      </c>
      <c r="AI599">
        <v>55748386</v>
      </c>
      <c r="AJ599">
        <v>559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ROW(Source!A230)</f>
        <v>230</v>
      </c>
      <c r="B600">
        <v>55748396</v>
      </c>
      <c r="C600">
        <v>55748385</v>
      </c>
      <c r="D600">
        <v>54768040</v>
      </c>
      <c r="E600">
        <v>1</v>
      </c>
      <c r="F600">
        <v>1</v>
      </c>
      <c r="G600">
        <v>1081</v>
      </c>
      <c r="H600">
        <v>2</v>
      </c>
      <c r="I600" t="s">
        <v>476</v>
      </c>
      <c r="J600" t="s">
        <v>477</v>
      </c>
      <c r="K600" t="s">
        <v>478</v>
      </c>
      <c r="L600">
        <v>1368</v>
      </c>
      <c r="N600">
        <v>1011</v>
      </c>
      <c r="O600" t="s">
        <v>479</v>
      </c>
      <c r="P600" t="s">
        <v>479</v>
      </c>
      <c r="Q600">
        <v>1</v>
      </c>
      <c r="X600">
        <v>47.2</v>
      </c>
      <c r="Y600">
        <v>0</v>
      </c>
      <c r="Z600">
        <v>7.11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49</v>
      </c>
      <c r="AG600">
        <v>56.64</v>
      </c>
      <c r="AH600">
        <v>2</v>
      </c>
      <c r="AI600">
        <v>55748387</v>
      </c>
      <c r="AJ600">
        <v>560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ROW(Source!A230)</f>
        <v>230</v>
      </c>
      <c r="B601">
        <v>55748397</v>
      </c>
      <c r="C601">
        <v>55748385</v>
      </c>
      <c r="D601">
        <v>54768339</v>
      </c>
      <c r="E601">
        <v>1</v>
      </c>
      <c r="F601">
        <v>1</v>
      </c>
      <c r="G601">
        <v>1081</v>
      </c>
      <c r="H601">
        <v>2</v>
      </c>
      <c r="I601" t="s">
        <v>483</v>
      </c>
      <c r="J601" t="s">
        <v>484</v>
      </c>
      <c r="K601" t="s">
        <v>485</v>
      </c>
      <c r="L601">
        <v>1368</v>
      </c>
      <c r="N601">
        <v>1011</v>
      </c>
      <c r="O601" t="s">
        <v>479</v>
      </c>
      <c r="P601" t="s">
        <v>479</v>
      </c>
      <c r="Q601">
        <v>1</v>
      </c>
      <c r="X601">
        <v>0.01</v>
      </c>
      <c r="Y601">
        <v>0</v>
      </c>
      <c r="Z601">
        <v>83.1</v>
      </c>
      <c r="AA601">
        <v>12.62</v>
      </c>
      <c r="AB601">
        <v>0</v>
      </c>
      <c r="AC601">
        <v>0</v>
      </c>
      <c r="AD601">
        <v>1</v>
      </c>
      <c r="AE601">
        <v>0</v>
      </c>
      <c r="AF601" t="s">
        <v>49</v>
      </c>
      <c r="AG601">
        <v>1.2E-2</v>
      </c>
      <c r="AH601">
        <v>2</v>
      </c>
      <c r="AI601">
        <v>55748388</v>
      </c>
      <c r="AJ601">
        <v>561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ROW(Source!A230)</f>
        <v>230</v>
      </c>
      <c r="B602">
        <v>55748398</v>
      </c>
      <c r="C602">
        <v>55748385</v>
      </c>
      <c r="D602">
        <v>54737969</v>
      </c>
      <c r="E602">
        <v>1</v>
      </c>
      <c r="F602">
        <v>1</v>
      </c>
      <c r="G602">
        <v>1081</v>
      </c>
      <c r="H602">
        <v>3</v>
      </c>
      <c r="I602" t="s">
        <v>511</v>
      </c>
      <c r="J602" t="s">
        <v>512</v>
      </c>
      <c r="K602" t="s">
        <v>513</v>
      </c>
      <c r="L602">
        <v>1348</v>
      </c>
      <c r="N602">
        <v>1009</v>
      </c>
      <c r="O602" t="s">
        <v>282</v>
      </c>
      <c r="P602" t="s">
        <v>282</v>
      </c>
      <c r="Q602">
        <v>1000</v>
      </c>
      <c r="X602">
        <v>3.0000000000000001E-3</v>
      </c>
      <c r="Y602">
        <v>23114.43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48</v>
      </c>
      <c r="AG602">
        <v>3.0000000000000001E-3</v>
      </c>
      <c r="AH602">
        <v>2</v>
      </c>
      <c r="AI602">
        <v>55748389</v>
      </c>
      <c r="AJ602">
        <v>562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ROW(Source!A230)</f>
        <v>230</v>
      </c>
      <c r="B603">
        <v>55748399</v>
      </c>
      <c r="C603">
        <v>55748385</v>
      </c>
      <c r="D603">
        <v>54738430</v>
      </c>
      <c r="E603">
        <v>1</v>
      </c>
      <c r="F603">
        <v>1</v>
      </c>
      <c r="G603">
        <v>1081</v>
      </c>
      <c r="H603">
        <v>3</v>
      </c>
      <c r="I603" t="s">
        <v>562</v>
      </c>
      <c r="J603" t="s">
        <v>563</v>
      </c>
      <c r="K603" t="s">
        <v>564</v>
      </c>
      <c r="L603">
        <v>1348</v>
      </c>
      <c r="N603">
        <v>1009</v>
      </c>
      <c r="O603" t="s">
        <v>282</v>
      </c>
      <c r="P603" t="s">
        <v>282</v>
      </c>
      <c r="Q603">
        <v>1000</v>
      </c>
      <c r="X603">
        <v>0.01</v>
      </c>
      <c r="Y603">
        <v>7185.82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48</v>
      </c>
      <c r="AG603">
        <v>0.01</v>
      </c>
      <c r="AH603">
        <v>2</v>
      </c>
      <c r="AI603">
        <v>55748390</v>
      </c>
      <c r="AJ603">
        <v>563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ROW(Source!A230)</f>
        <v>230</v>
      </c>
      <c r="B604">
        <v>55748400</v>
      </c>
      <c r="C604">
        <v>55748385</v>
      </c>
      <c r="D604">
        <v>54753866</v>
      </c>
      <c r="E604">
        <v>1</v>
      </c>
      <c r="F604">
        <v>1</v>
      </c>
      <c r="G604">
        <v>1081</v>
      </c>
      <c r="H604">
        <v>3</v>
      </c>
      <c r="I604" t="s">
        <v>637</v>
      </c>
      <c r="J604" t="s">
        <v>638</v>
      </c>
      <c r="K604" t="s">
        <v>639</v>
      </c>
      <c r="L604">
        <v>1354</v>
      </c>
      <c r="N604">
        <v>1010</v>
      </c>
      <c r="O604" t="s">
        <v>118</v>
      </c>
      <c r="P604" t="s">
        <v>118</v>
      </c>
      <c r="Q604">
        <v>1</v>
      </c>
      <c r="X604">
        <v>100</v>
      </c>
      <c r="Y604">
        <v>11.13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48</v>
      </c>
      <c r="AG604">
        <v>100</v>
      </c>
      <c r="AH604">
        <v>2</v>
      </c>
      <c r="AI604">
        <v>55748391</v>
      </c>
      <c r="AJ604">
        <v>565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ROW(Source!A230)</f>
        <v>230</v>
      </c>
      <c r="B605">
        <v>55748401</v>
      </c>
      <c r="C605">
        <v>55748385</v>
      </c>
      <c r="D605">
        <v>54758173</v>
      </c>
      <c r="E605">
        <v>1</v>
      </c>
      <c r="F605">
        <v>1</v>
      </c>
      <c r="G605">
        <v>1081</v>
      </c>
      <c r="H605">
        <v>3</v>
      </c>
      <c r="I605" t="s">
        <v>640</v>
      </c>
      <c r="J605" t="s">
        <v>641</v>
      </c>
      <c r="K605" t="s">
        <v>642</v>
      </c>
      <c r="L605">
        <v>1354</v>
      </c>
      <c r="N605">
        <v>1010</v>
      </c>
      <c r="O605" t="s">
        <v>118</v>
      </c>
      <c r="P605" t="s">
        <v>118</v>
      </c>
      <c r="Q605">
        <v>1</v>
      </c>
      <c r="X605">
        <v>100</v>
      </c>
      <c r="Y605">
        <v>22.08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48</v>
      </c>
      <c r="AG605">
        <v>100</v>
      </c>
      <c r="AH605">
        <v>2</v>
      </c>
      <c r="AI605">
        <v>55748392</v>
      </c>
      <c r="AJ605">
        <v>566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ROW(Source!A230)</f>
        <v>230</v>
      </c>
      <c r="B606">
        <v>55748402</v>
      </c>
      <c r="C606">
        <v>55748385</v>
      </c>
      <c r="D606">
        <v>54718656</v>
      </c>
      <c r="E606">
        <v>1081</v>
      </c>
      <c r="F606">
        <v>1</v>
      </c>
      <c r="G606">
        <v>1081</v>
      </c>
      <c r="H606">
        <v>3</v>
      </c>
      <c r="I606" t="s">
        <v>694</v>
      </c>
      <c r="J606" t="s">
        <v>3</v>
      </c>
      <c r="K606" t="s">
        <v>695</v>
      </c>
      <c r="L606">
        <v>1354</v>
      </c>
      <c r="N606">
        <v>1010</v>
      </c>
      <c r="O606" t="s">
        <v>118</v>
      </c>
      <c r="P606" t="s">
        <v>118</v>
      </c>
      <c r="Q606">
        <v>1</v>
      </c>
      <c r="X606">
        <v>100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48</v>
      </c>
      <c r="AG606">
        <v>100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ROW(Source!A233)</f>
        <v>233</v>
      </c>
      <c r="B607">
        <v>55748414</v>
      </c>
      <c r="C607">
        <v>55748404</v>
      </c>
      <c r="D607">
        <v>54702434</v>
      </c>
      <c r="E607">
        <v>1081</v>
      </c>
      <c r="F607">
        <v>1</v>
      </c>
      <c r="G607">
        <v>1081</v>
      </c>
      <c r="H607">
        <v>1</v>
      </c>
      <c r="I607" t="s">
        <v>473</v>
      </c>
      <c r="J607" t="s">
        <v>3</v>
      </c>
      <c r="K607" t="s">
        <v>474</v>
      </c>
      <c r="L607">
        <v>1191</v>
      </c>
      <c r="N607">
        <v>1013</v>
      </c>
      <c r="O607" t="s">
        <v>475</v>
      </c>
      <c r="P607" t="s">
        <v>475</v>
      </c>
      <c r="Q607">
        <v>1</v>
      </c>
      <c r="X607">
        <v>159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 t="s">
        <v>49</v>
      </c>
      <c r="AG607">
        <v>190.79999999999998</v>
      </c>
      <c r="AH607">
        <v>2</v>
      </c>
      <c r="AI607">
        <v>55748405</v>
      </c>
      <c r="AJ607">
        <v>567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ROW(Source!A233)</f>
        <v>233</v>
      </c>
      <c r="B608">
        <v>55748415</v>
      </c>
      <c r="C608">
        <v>55748404</v>
      </c>
      <c r="D608">
        <v>54767934</v>
      </c>
      <c r="E608">
        <v>1</v>
      </c>
      <c r="F608">
        <v>1</v>
      </c>
      <c r="G608">
        <v>1081</v>
      </c>
      <c r="H608">
        <v>2</v>
      </c>
      <c r="I608" t="s">
        <v>586</v>
      </c>
      <c r="J608" t="s">
        <v>587</v>
      </c>
      <c r="K608" t="s">
        <v>588</v>
      </c>
      <c r="L608">
        <v>1368</v>
      </c>
      <c r="N608">
        <v>1011</v>
      </c>
      <c r="O608" t="s">
        <v>479</v>
      </c>
      <c r="P608" t="s">
        <v>479</v>
      </c>
      <c r="Q608">
        <v>1</v>
      </c>
      <c r="X608">
        <v>9.4</v>
      </c>
      <c r="Y608">
        <v>0</v>
      </c>
      <c r="Z608">
        <v>48.07</v>
      </c>
      <c r="AA608">
        <v>12.62</v>
      </c>
      <c r="AB608">
        <v>0</v>
      </c>
      <c r="AC608">
        <v>0</v>
      </c>
      <c r="AD608">
        <v>1</v>
      </c>
      <c r="AE608">
        <v>0</v>
      </c>
      <c r="AF608" t="s">
        <v>49</v>
      </c>
      <c r="AG608">
        <v>11.28</v>
      </c>
      <c r="AH608">
        <v>2</v>
      </c>
      <c r="AI608">
        <v>55748406</v>
      </c>
      <c r="AJ608">
        <v>568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ROW(Source!A233)</f>
        <v>233</v>
      </c>
      <c r="B609">
        <v>55748416</v>
      </c>
      <c r="C609">
        <v>55748404</v>
      </c>
      <c r="D609">
        <v>54767971</v>
      </c>
      <c r="E609">
        <v>1</v>
      </c>
      <c r="F609">
        <v>1</v>
      </c>
      <c r="G609">
        <v>1081</v>
      </c>
      <c r="H609">
        <v>2</v>
      </c>
      <c r="I609" t="s">
        <v>589</v>
      </c>
      <c r="J609" t="s">
        <v>590</v>
      </c>
      <c r="K609" t="s">
        <v>591</v>
      </c>
      <c r="L609">
        <v>1368</v>
      </c>
      <c r="N609">
        <v>1011</v>
      </c>
      <c r="O609" t="s">
        <v>479</v>
      </c>
      <c r="P609" t="s">
        <v>479</v>
      </c>
      <c r="Q609">
        <v>1</v>
      </c>
      <c r="X609">
        <v>8.5</v>
      </c>
      <c r="Y609">
        <v>0</v>
      </c>
      <c r="Z609">
        <v>5.79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49</v>
      </c>
      <c r="AG609">
        <v>10.199999999999999</v>
      </c>
      <c r="AH609">
        <v>2</v>
      </c>
      <c r="AI609">
        <v>55748407</v>
      </c>
      <c r="AJ609">
        <v>569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ROW(Source!A233)</f>
        <v>233</v>
      </c>
      <c r="B610">
        <v>55748417</v>
      </c>
      <c r="C610">
        <v>55748404</v>
      </c>
      <c r="D610">
        <v>54768040</v>
      </c>
      <c r="E610">
        <v>1</v>
      </c>
      <c r="F610">
        <v>1</v>
      </c>
      <c r="G610">
        <v>1081</v>
      </c>
      <c r="H610">
        <v>2</v>
      </c>
      <c r="I610" t="s">
        <v>476</v>
      </c>
      <c r="J610" t="s">
        <v>477</v>
      </c>
      <c r="K610" t="s">
        <v>478</v>
      </c>
      <c r="L610">
        <v>1368</v>
      </c>
      <c r="N610">
        <v>1011</v>
      </c>
      <c r="O610" t="s">
        <v>479</v>
      </c>
      <c r="P610" t="s">
        <v>479</v>
      </c>
      <c r="Q610">
        <v>1</v>
      </c>
      <c r="X610">
        <v>25</v>
      </c>
      <c r="Y610">
        <v>0</v>
      </c>
      <c r="Z610">
        <v>7.11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49</v>
      </c>
      <c r="AG610">
        <v>30</v>
      </c>
      <c r="AH610">
        <v>2</v>
      </c>
      <c r="AI610">
        <v>55748408</v>
      </c>
      <c r="AJ610">
        <v>570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ROW(Source!A233)</f>
        <v>233</v>
      </c>
      <c r="B611">
        <v>55748418</v>
      </c>
      <c r="C611">
        <v>55748404</v>
      </c>
      <c r="D611">
        <v>54768339</v>
      </c>
      <c r="E611">
        <v>1</v>
      </c>
      <c r="F611">
        <v>1</v>
      </c>
      <c r="G611">
        <v>1081</v>
      </c>
      <c r="H611">
        <v>2</v>
      </c>
      <c r="I611" t="s">
        <v>483</v>
      </c>
      <c r="J611" t="s">
        <v>484</v>
      </c>
      <c r="K611" t="s">
        <v>485</v>
      </c>
      <c r="L611">
        <v>1368</v>
      </c>
      <c r="N611">
        <v>1011</v>
      </c>
      <c r="O611" t="s">
        <v>479</v>
      </c>
      <c r="P611" t="s">
        <v>479</v>
      </c>
      <c r="Q611">
        <v>1</v>
      </c>
      <c r="X611">
        <v>1.66</v>
      </c>
      <c r="Y611">
        <v>0</v>
      </c>
      <c r="Z611">
        <v>83.1</v>
      </c>
      <c r="AA611">
        <v>12.62</v>
      </c>
      <c r="AB611">
        <v>0</v>
      </c>
      <c r="AC611">
        <v>0</v>
      </c>
      <c r="AD611">
        <v>1</v>
      </c>
      <c r="AE611">
        <v>0</v>
      </c>
      <c r="AF611" t="s">
        <v>49</v>
      </c>
      <c r="AG611">
        <v>1.9919999999999998</v>
      </c>
      <c r="AH611">
        <v>2</v>
      </c>
      <c r="AI611">
        <v>55748409</v>
      </c>
      <c r="AJ611">
        <v>571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ROW(Source!A233)</f>
        <v>233</v>
      </c>
      <c r="B612">
        <v>55748419</v>
      </c>
      <c r="C612">
        <v>55748404</v>
      </c>
      <c r="D612">
        <v>54767657</v>
      </c>
      <c r="E612">
        <v>1</v>
      </c>
      <c r="F612">
        <v>1</v>
      </c>
      <c r="G612">
        <v>1081</v>
      </c>
      <c r="H612">
        <v>2</v>
      </c>
      <c r="I612" t="s">
        <v>592</v>
      </c>
      <c r="J612" t="s">
        <v>593</v>
      </c>
      <c r="K612" t="s">
        <v>594</v>
      </c>
      <c r="L612">
        <v>1368</v>
      </c>
      <c r="N612">
        <v>1011</v>
      </c>
      <c r="O612" t="s">
        <v>479</v>
      </c>
      <c r="P612" t="s">
        <v>479</v>
      </c>
      <c r="Q612">
        <v>1</v>
      </c>
      <c r="X612">
        <v>1.22</v>
      </c>
      <c r="Y612">
        <v>0</v>
      </c>
      <c r="Z612">
        <v>3.18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49</v>
      </c>
      <c r="AG612">
        <v>1.464</v>
      </c>
      <c r="AH612">
        <v>2</v>
      </c>
      <c r="AI612">
        <v>55748410</v>
      </c>
      <c r="AJ612">
        <v>572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ROW(Source!A233)</f>
        <v>233</v>
      </c>
      <c r="B613">
        <v>55748420</v>
      </c>
      <c r="C613">
        <v>55748404</v>
      </c>
      <c r="D613">
        <v>54737367</v>
      </c>
      <c r="E613">
        <v>1</v>
      </c>
      <c r="F613">
        <v>1</v>
      </c>
      <c r="G613">
        <v>1081</v>
      </c>
      <c r="H613">
        <v>3</v>
      </c>
      <c r="I613" t="s">
        <v>538</v>
      </c>
      <c r="J613" t="s">
        <v>539</v>
      </c>
      <c r="K613" t="s">
        <v>540</v>
      </c>
      <c r="L613">
        <v>1339</v>
      </c>
      <c r="N613">
        <v>1007</v>
      </c>
      <c r="O613" t="s">
        <v>507</v>
      </c>
      <c r="P613" t="s">
        <v>507</v>
      </c>
      <c r="Q613">
        <v>1</v>
      </c>
      <c r="X613">
        <v>10</v>
      </c>
      <c r="Y613">
        <v>7.07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48</v>
      </c>
      <c r="AG613">
        <v>10</v>
      </c>
      <c r="AH613">
        <v>2</v>
      </c>
      <c r="AI613">
        <v>55748411</v>
      </c>
      <c r="AJ613">
        <v>573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ROW(Source!A233)</f>
        <v>233</v>
      </c>
      <c r="B614">
        <v>55748421</v>
      </c>
      <c r="C614">
        <v>55748404</v>
      </c>
      <c r="D614">
        <v>54738430</v>
      </c>
      <c r="E614">
        <v>1</v>
      </c>
      <c r="F614">
        <v>1</v>
      </c>
      <c r="G614">
        <v>1081</v>
      </c>
      <c r="H614">
        <v>3</v>
      </c>
      <c r="I614" t="s">
        <v>562</v>
      </c>
      <c r="J614" t="s">
        <v>563</v>
      </c>
      <c r="K614" t="s">
        <v>564</v>
      </c>
      <c r="L614">
        <v>1348</v>
      </c>
      <c r="N614">
        <v>1009</v>
      </c>
      <c r="O614" t="s">
        <v>282</v>
      </c>
      <c r="P614" t="s">
        <v>282</v>
      </c>
      <c r="Q614">
        <v>1000</v>
      </c>
      <c r="X614">
        <v>7.7000000000000002E-3</v>
      </c>
      <c r="Y614">
        <v>7185.82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48</v>
      </c>
      <c r="AG614">
        <v>7.7000000000000002E-3</v>
      </c>
      <c r="AH614">
        <v>2</v>
      </c>
      <c r="AI614">
        <v>55748412</v>
      </c>
      <c r="AJ614">
        <v>574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ROW(Source!A233)</f>
        <v>233</v>
      </c>
      <c r="B615">
        <v>55748422</v>
      </c>
      <c r="C615">
        <v>55748404</v>
      </c>
      <c r="D615">
        <v>54695275</v>
      </c>
      <c r="E615">
        <v>1081</v>
      </c>
      <c r="F615">
        <v>1</v>
      </c>
      <c r="G615">
        <v>1081</v>
      </c>
      <c r="H615">
        <v>3</v>
      </c>
      <c r="I615" t="s">
        <v>680</v>
      </c>
      <c r="J615" t="s">
        <v>3</v>
      </c>
      <c r="K615" t="s">
        <v>681</v>
      </c>
      <c r="L615">
        <v>1301</v>
      </c>
      <c r="N615">
        <v>1003</v>
      </c>
      <c r="O615" t="s">
        <v>191</v>
      </c>
      <c r="P615" t="s">
        <v>191</v>
      </c>
      <c r="Q615">
        <v>1</v>
      </c>
      <c r="X615">
        <v>100.5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48</v>
      </c>
      <c r="AG615">
        <v>100.5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ROW(Source!A234)</f>
        <v>234</v>
      </c>
      <c r="B616">
        <v>55748414</v>
      </c>
      <c r="C616">
        <v>55748404</v>
      </c>
      <c r="D616">
        <v>54702434</v>
      </c>
      <c r="E616">
        <v>1081</v>
      </c>
      <c r="F616">
        <v>1</v>
      </c>
      <c r="G616">
        <v>1081</v>
      </c>
      <c r="H616">
        <v>1</v>
      </c>
      <c r="I616" t="s">
        <v>473</v>
      </c>
      <c r="J616" t="s">
        <v>3</v>
      </c>
      <c r="K616" t="s">
        <v>474</v>
      </c>
      <c r="L616">
        <v>1191</v>
      </c>
      <c r="N616">
        <v>1013</v>
      </c>
      <c r="O616" t="s">
        <v>475</v>
      </c>
      <c r="P616" t="s">
        <v>475</v>
      </c>
      <c r="Q616">
        <v>1</v>
      </c>
      <c r="X616">
        <v>159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49</v>
      </c>
      <c r="AG616">
        <v>190.79999999999998</v>
      </c>
      <c r="AH616">
        <v>2</v>
      </c>
      <c r="AI616">
        <v>55748405</v>
      </c>
      <c r="AJ616">
        <v>576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ROW(Source!A234)</f>
        <v>234</v>
      </c>
      <c r="B617">
        <v>55748415</v>
      </c>
      <c r="C617">
        <v>55748404</v>
      </c>
      <c r="D617">
        <v>54767934</v>
      </c>
      <c r="E617">
        <v>1</v>
      </c>
      <c r="F617">
        <v>1</v>
      </c>
      <c r="G617">
        <v>1081</v>
      </c>
      <c r="H617">
        <v>2</v>
      </c>
      <c r="I617" t="s">
        <v>586</v>
      </c>
      <c r="J617" t="s">
        <v>587</v>
      </c>
      <c r="K617" t="s">
        <v>588</v>
      </c>
      <c r="L617">
        <v>1368</v>
      </c>
      <c r="N617">
        <v>1011</v>
      </c>
      <c r="O617" t="s">
        <v>479</v>
      </c>
      <c r="P617" t="s">
        <v>479</v>
      </c>
      <c r="Q617">
        <v>1</v>
      </c>
      <c r="X617">
        <v>9.4</v>
      </c>
      <c r="Y617">
        <v>0</v>
      </c>
      <c r="Z617">
        <v>48.07</v>
      </c>
      <c r="AA617">
        <v>12.62</v>
      </c>
      <c r="AB617">
        <v>0</v>
      </c>
      <c r="AC617">
        <v>0</v>
      </c>
      <c r="AD617">
        <v>1</v>
      </c>
      <c r="AE617">
        <v>0</v>
      </c>
      <c r="AF617" t="s">
        <v>49</v>
      </c>
      <c r="AG617">
        <v>11.28</v>
      </c>
      <c r="AH617">
        <v>2</v>
      </c>
      <c r="AI617">
        <v>55748406</v>
      </c>
      <c r="AJ617">
        <v>577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ROW(Source!A234)</f>
        <v>234</v>
      </c>
      <c r="B618">
        <v>55748416</v>
      </c>
      <c r="C618">
        <v>55748404</v>
      </c>
      <c r="D618">
        <v>54767971</v>
      </c>
      <c r="E618">
        <v>1</v>
      </c>
      <c r="F618">
        <v>1</v>
      </c>
      <c r="G618">
        <v>1081</v>
      </c>
      <c r="H618">
        <v>2</v>
      </c>
      <c r="I618" t="s">
        <v>589</v>
      </c>
      <c r="J618" t="s">
        <v>590</v>
      </c>
      <c r="K618" t="s">
        <v>591</v>
      </c>
      <c r="L618">
        <v>1368</v>
      </c>
      <c r="N618">
        <v>1011</v>
      </c>
      <c r="O618" t="s">
        <v>479</v>
      </c>
      <c r="P618" t="s">
        <v>479</v>
      </c>
      <c r="Q618">
        <v>1</v>
      </c>
      <c r="X618">
        <v>8.5</v>
      </c>
      <c r="Y618">
        <v>0</v>
      </c>
      <c r="Z618">
        <v>5.79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49</v>
      </c>
      <c r="AG618">
        <v>10.199999999999999</v>
      </c>
      <c r="AH618">
        <v>2</v>
      </c>
      <c r="AI618">
        <v>55748407</v>
      </c>
      <c r="AJ618">
        <v>578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ROW(Source!A234)</f>
        <v>234</v>
      </c>
      <c r="B619">
        <v>55748417</v>
      </c>
      <c r="C619">
        <v>55748404</v>
      </c>
      <c r="D619">
        <v>54768040</v>
      </c>
      <c r="E619">
        <v>1</v>
      </c>
      <c r="F619">
        <v>1</v>
      </c>
      <c r="G619">
        <v>1081</v>
      </c>
      <c r="H619">
        <v>2</v>
      </c>
      <c r="I619" t="s">
        <v>476</v>
      </c>
      <c r="J619" t="s">
        <v>477</v>
      </c>
      <c r="K619" t="s">
        <v>478</v>
      </c>
      <c r="L619">
        <v>1368</v>
      </c>
      <c r="N619">
        <v>1011</v>
      </c>
      <c r="O619" t="s">
        <v>479</v>
      </c>
      <c r="P619" t="s">
        <v>479</v>
      </c>
      <c r="Q619">
        <v>1</v>
      </c>
      <c r="X619">
        <v>25</v>
      </c>
      <c r="Y619">
        <v>0</v>
      </c>
      <c r="Z619">
        <v>7.11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49</v>
      </c>
      <c r="AG619">
        <v>30</v>
      </c>
      <c r="AH619">
        <v>2</v>
      </c>
      <c r="AI619">
        <v>55748408</v>
      </c>
      <c r="AJ619">
        <v>579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ROW(Source!A234)</f>
        <v>234</v>
      </c>
      <c r="B620">
        <v>55748418</v>
      </c>
      <c r="C620">
        <v>55748404</v>
      </c>
      <c r="D620">
        <v>54768339</v>
      </c>
      <c r="E620">
        <v>1</v>
      </c>
      <c r="F620">
        <v>1</v>
      </c>
      <c r="G620">
        <v>1081</v>
      </c>
      <c r="H620">
        <v>2</v>
      </c>
      <c r="I620" t="s">
        <v>483</v>
      </c>
      <c r="J620" t="s">
        <v>484</v>
      </c>
      <c r="K620" t="s">
        <v>485</v>
      </c>
      <c r="L620">
        <v>1368</v>
      </c>
      <c r="N620">
        <v>1011</v>
      </c>
      <c r="O620" t="s">
        <v>479</v>
      </c>
      <c r="P620" t="s">
        <v>479</v>
      </c>
      <c r="Q620">
        <v>1</v>
      </c>
      <c r="X620">
        <v>1.66</v>
      </c>
      <c r="Y620">
        <v>0</v>
      </c>
      <c r="Z620">
        <v>83.1</v>
      </c>
      <c r="AA620">
        <v>12.62</v>
      </c>
      <c r="AB620">
        <v>0</v>
      </c>
      <c r="AC620">
        <v>0</v>
      </c>
      <c r="AD620">
        <v>1</v>
      </c>
      <c r="AE620">
        <v>0</v>
      </c>
      <c r="AF620" t="s">
        <v>49</v>
      </c>
      <c r="AG620">
        <v>1.9919999999999998</v>
      </c>
      <c r="AH620">
        <v>2</v>
      </c>
      <c r="AI620">
        <v>55748409</v>
      </c>
      <c r="AJ620">
        <v>580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ROW(Source!A234)</f>
        <v>234</v>
      </c>
      <c r="B621">
        <v>55748419</v>
      </c>
      <c r="C621">
        <v>55748404</v>
      </c>
      <c r="D621">
        <v>54767657</v>
      </c>
      <c r="E621">
        <v>1</v>
      </c>
      <c r="F621">
        <v>1</v>
      </c>
      <c r="G621">
        <v>1081</v>
      </c>
      <c r="H621">
        <v>2</v>
      </c>
      <c r="I621" t="s">
        <v>592</v>
      </c>
      <c r="J621" t="s">
        <v>593</v>
      </c>
      <c r="K621" t="s">
        <v>594</v>
      </c>
      <c r="L621">
        <v>1368</v>
      </c>
      <c r="N621">
        <v>1011</v>
      </c>
      <c r="O621" t="s">
        <v>479</v>
      </c>
      <c r="P621" t="s">
        <v>479</v>
      </c>
      <c r="Q621">
        <v>1</v>
      </c>
      <c r="X621">
        <v>1.22</v>
      </c>
      <c r="Y621">
        <v>0</v>
      </c>
      <c r="Z621">
        <v>3.18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49</v>
      </c>
      <c r="AG621">
        <v>1.464</v>
      </c>
      <c r="AH621">
        <v>2</v>
      </c>
      <c r="AI621">
        <v>55748410</v>
      </c>
      <c r="AJ621">
        <v>581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ROW(Source!A234)</f>
        <v>234</v>
      </c>
      <c r="B622">
        <v>55748420</v>
      </c>
      <c r="C622">
        <v>55748404</v>
      </c>
      <c r="D622">
        <v>54737367</v>
      </c>
      <c r="E622">
        <v>1</v>
      </c>
      <c r="F622">
        <v>1</v>
      </c>
      <c r="G622">
        <v>1081</v>
      </c>
      <c r="H622">
        <v>3</v>
      </c>
      <c r="I622" t="s">
        <v>538</v>
      </c>
      <c r="J622" t="s">
        <v>539</v>
      </c>
      <c r="K622" t="s">
        <v>540</v>
      </c>
      <c r="L622">
        <v>1339</v>
      </c>
      <c r="N622">
        <v>1007</v>
      </c>
      <c r="O622" t="s">
        <v>507</v>
      </c>
      <c r="P622" t="s">
        <v>507</v>
      </c>
      <c r="Q622">
        <v>1</v>
      </c>
      <c r="X622">
        <v>10</v>
      </c>
      <c r="Y622">
        <v>7.07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48</v>
      </c>
      <c r="AG622">
        <v>10</v>
      </c>
      <c r="AH622">
        <v>2</v>
      </c>
      <c r="AI622">
        <v>55748411</v>
      </c>
      <c r="AJ622">
        <v>582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ROW(Source!A234)</f>
        <v>234</v>
      </c>
      <c r="B623">
        <v>55748421</v>
      </c>
      <c r="C623">
        <v>55748404</v>
      </c>
      <c r="D623">
        <v>54738430</v>
      </c>
      <c r="E623">
        <v>1</v>
      </c>
      <c r="F623">
        <v>1</v>
      </c>
      <c r="G623">
        <v>1081</v>
      </c>
      <c r="H623">
        <v>3</v>
      </c>
      <c r="I623" t="s">
        <v>562</v>
      </c>
      <c r="J623" t="s">
        <v>563</v>
      </c>
      <c r="K623" t="s">
        <v>564</v>
      </c>
      <c r="L623">
        <v>1348</v>
      </c>
      <c r="N623">
        <v>1009</v>
      </c>
      <c r="O623" t="s">
        <v>282</v>
      </c>
      <c r="P623" t="s">
        <v>282</v>
      </c>
      <c r="Q623">
        <v>1000</v>
      </c>
      <c r="X623">
        <v>7.7000000000000002E-3</v>
      </c>
      <c r="Y623">
        <v>7185.82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48</v>
      </c>
      <c r="AG623">
        <v>7.7000000000000002E-3</v>
      </c>
      <c r="AH623">
        <v>2</v>
      </c>
      <c r="AI623">
        <v>55748412</v>
      </c>
      <c r="AJ623">
        <v>583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ROW(Source!A234)</f>
        <v>234</v>
      </c>
      <c r="B624">
        <v>55748422</v>
      </c>
      <c r="C624">
        <v>55748404</v>
      </c>
      <c r="D624">
        <v>54695275</v>
      </c>
      <c r="E624">
        <v>1081</v>
      </c>
      <c r="F624">
        <v>1</v>
      </c>
      <c r="G624">
        <v>1081</v>
      </c>
      <c r="H624">
        <v>3</v>
      </c>
      <c r="I624" t="s">
        <v>680</v>
      </c>
      <c r="J624" t="s">
        <v>3</v>
      </c>
      <c r="K624" t="s">
        <v>681</v>
      </c>
      <c r="L624">
        <v>1301</v>
      </c>
      <c r="N624">
        <v>1003</v>
      </c>
      <c r="O624" t="s">
        <v>191</v>
      </c>
      <c r="P624" t="s">
        <v>191</v>
      </c>
      <c r="Q624">
        <v>1</v>
      </c>
      <c r="X624">
        <v>100.5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48</v>
      </c>
      <c r="AG624">
        <v>100.5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ROW(Source!A241)</f>
        <v>241</v>
      </c>
      <c r="B625">
        <v>55748433</v>
      </c>
      <c r="C625">
        <v>55748424</v>
      </c>
      <c r="D625">
        <v>54702434</v>
      </c>
      <c r="E625">
        <v>1081</v>
      </c>
      <c r="F625">
        <v>1</v>
      </c>
      <c r="G625">
        <v>1081</v>
      </c>
      <c r="H625">
        <v>1</v>
      </c>
      <c r="I625" t="s">
        <v>473</v>
      </c>
      <c r="J625" t="s">
        <v>3</v>
      </c>
      <c r="K625" t="s">
        <v>474</v>
      </c>
      <c r="L625">
        <v>1191</v>
      </c>
      <c r="N625">
        <v>1013</v>
      </c>
      <c r="O625" t="s">
        <v>475</v>
      </c>
      <c r="P625" t="s">
        <v>475</v>
      </c>
      <c r="Q625">
        <v>1</v>
      </c>
      <c r="X625">
        <v>5.4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49</v>
      </c>
      <c r="AG625">
        <v>6.48</v>
      </c>
      <c r="AH625">
        <v>2</v>
      </c>
      <c r="AI625">
        <v>55748425</v>
      </c>
      <c r="AJ625">
        <v>585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ROW(Source!A241)</f>
        <v>241</v>
      </c>
      <c r="B626">
        <v>55748434</v>
      </c>
      <c r="C626">
        <v>55748424</v>
      </c>
      <c r="D626">
        <v>54768040</v>
      </c>
      <c r="E626">
        <v>1</v>
      </c>
      <c r="F626">
        <v>1</v>
      </c>
      <c r="G626">
        <v>1081</v>
      </c>
      <c r="H626">
        <v>2</v>
      </c>
      <c r="I626" t="s">
        <v>476</v>
      </c>
      <c r="J626" t="s">
        <v>477</v>
      </c>
      <c r="K626" t="s">
        <v>478</v>
      </c>
      <c r="L626">
        <v>1368</v>
      </c>
      <c r="N626">
        <v>1011</v>
      </c>
      <c r="O626" t="s">
        <v>479</v>
      </c>
      <c r="P626" t="s">
        <v>479</v>
      </c>
      <c r="Q626">
        <v>1</v>
      </c>
      <c r="X626">
        <v>0.9</v>
      </c>
      <c r="Y626">
        <v>0</v>
      </c>
      <c r="Z626">
        <v>7.11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49</v>
      </c>
      <c r="AG626">
        <v>1.08</v>
      </c>
      <c r="AH626">
        <v>2</v>
      </c>
      <c r="AI626">
        <v>55748426</v>
      </c>
      <c r="AJ626">
        <v>586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ROW(Source!A241)</f>
        <v>241</v>
      </c>
      <c r="B627">
        <v>55748435</v>
      </c>
      <c r="C627">
        <v>55748424</v>
      </c>
      <c r="D627">
        <v>54768339</v>
      </c>
      <c r="E627">
        <v>1</v>
      </c>
      <c r="F627">
        <v>1</v>
      </c>
      <c r="G627">
        <v>1081</v>
      </c>
      <c r="H627">
        <v>2</v>
      </c>
      <c r="I627" t="s">
        <v>483</v>
      </c>
      <c r="J627" t="s">
        <v>484</v>
      </c>
      <c r="K627" t="s">
        <v>485</v>
      </c>
      <c r="L627">
        <v>1368</v>
      </c>
      <c r="N627">
        <v>1011</v>
      </c>
      <c r="O627" t="s">
        <v>479</v>
      </c>
      <c r="P627" t="s">
        <v>479</v>
      </c>
      <c r="Q627">
        <v>1</v>
      </c>
      <c r="X627">
        <v>0.02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49</v>
      </c>
      <c r="AG627">
        <v>2.4E-2</v>
      </c>
      <c r="AH627">
        <v>2</v>
      </c>
      <c r="AI627">
        <v>55748427</v>
      </c>
      <c r="AJ627">
        <v>587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ROW(Source!A241)</f>
        <v>241</v>
      </c>
      <c r="B628">
        <v>55748436</v>
      </c>
      <c r="C628">
        <v>55748424</v>
      </c>
      <c r="D628">
        <v>54738518</v>
      </c>
      <c r="E628">
        <v>1</v>
      </c>
      <c r="F628">
        <v>1</v>
      </c>
      <c r="G628">
        <v>1081</v>
      </c>
      <c r="H628">
        <v>3</v>
      </c>
      <c r="I628" t="s">
        <v>493</v>
      </c>
      <c r="J628" t="s">
        <v>494</v>
      </c>
      <c r="K628" t="s">
        <v>495</v>
      </c>
      <c r="L628">
        <v>1348</v>
      </c>
      <c r="N628">
        <v>1009</v>
      </c>
      <c r="O628" t="s">
        <v>282</v>
      </c>
      <c r="P628" t="s">
        <v>282</v>
      </c>
      <c r="Q628">
        <v>1000</v>
      </c>
      <c r="X628">
        <v>4.4000000000000002E-4</v>
      </c>
      <c r="Y628">
        <v>9112.49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48</v>
      </c>
      <c r="AG628">
        <v>4.4000000000000002E-4</v>
      </c>
      <c r="AH628">
        <v>2</v>
      </c>
      <c r="AI628">
        <v>55748428</v>
      </c>
      <c r="AJ628">
        <v>588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ROW(Source!A241)</f>
        <v>241</v>
      </c>
      <c r="B629">
        <v>55748437</v>
      </c>
      <c r="C629">
        <v>55748424</v>
      </c>
      <c r="D629">
        <v>54739191</v>
      </c>
      <c r="E629">
        <v>1</v>
      </c>
      <c r="F629">
        <v>1</v>
      </c>
      <c r="G629">
        <v>1081</v>
      </c>
      <c r="H629">
        <v>3</v>
      </c>
      <c r="I629" t="s">
        <v>500</v>
      </c>
      <c r="J629" t="s">
        <v>501</v>
      </c>
      <c r="K629" t="s">
        <v>502</v>
      </c>
      <c r="L629">
        <v>1346</v>
      </c>
      <c r="N629">
        <v>1009</v>
      </c>
      <c r="O629" t="s">
        <v>503</v>
      </c>
      <c r="P629" t="s">
        <v>503</v>
      </c>
      <c r="Q629">
        <v>1</v>
      </c>
      <c r="X629">
        <v>1.0999999999999999E-2</v>
      </c>
      <c r="Y629">
        <v>6.25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48</v>
      </c>
      <c r="AG629">
        <v>1.0999999999999999E-2</v>
      </c>
      <c r="AH629">
        <v>2</v>
      </c>
      <c r="AI629">
        <v>55748429</v>
      </c>
      <c r="AJ629">
        <v>589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ROW(Source!A241)</f>
        <v>241</v>
      </c>
      <c r="B630">
        <v>55748438</v>
      </c>
      <c r="C630">
        <v>55748424</v>
      </c>
      <c r="D630">
        <v>54737565</v>
      </c>
      <c r="E630">
        <v>1</v>
      </c>
      <c r="F630">
        <v>1</v>
      </c>
      <c r="G630">
        <v>1081</v>
      </c>
      <c r="H630">
        <v>3</v>
      </c>
      <c r="I630" t="s">
        <v>504</v>
      </c>
      <c r="J630" t="s">
        <v>505</v>
      </c>
      <c r="K630" t="s">
        <v>506</v>
      </c>
      <c r="L630">
        <v>1339</v>
      </c>
      <c r="N630">
        <v>1007</v>
      </c>
      <c r="O630" t="s">
        <v>507</v>
      </c>
      <c r="P630" t="s">
        <v>507</v>
      </c>
      <c r="Q630">
        <v>1</v>
      </c>
      <c r="X630">
        <v>4.3999999999999997E-2</v>
      </c>
      <c r="Y630">
        <v>5.82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48</v>
      </c>
      <c r="AG630">
        <v>4.3999999999999997E-2</v>
      </c>
      <c r="AH630">
        <v>2</v>
      </c>
      <c r="AI630">
        <v>55748430</v>
      </c>
      <c r="AJ630">
        <v>590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ROW(Source!A241)</f>
        <v>241</v>
      </c>
      <c r="B631">
        <v>55748439</v>
      </c>
      <c r="C631">
        <v>55748424</v>
      </c>
      <c r="D631">
        <v>54717889</v>
      </c>
      <c r="E631">
        <v>1081</v>
      </c>
      <c r="F631">
        <v>1</v>
      </c>
      <c r="G631">
        <v>1081</v>
      </c>
      <c r="H631">
        <v>3</v>
      </c>
      <c r="I631" t="s">
        <v>674</v>
      </c>
      <c r="J631" t="s">
        <v>3</v>
      </c>
      <c r="K631" t="s">
        <v>675</v>
      </c>
      <c r="L631">
        <v>1354</v>
      </c>
      <c r="N631">
        <v>1010</v>
      </c>
      <c r="O631" t="s">
        <v>118</v>
      </c>
      <c r="P631" t="s">
        <v>118</v>
      </c>
      <c r="Q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48</v>
      </c>
      <c r="AG631">
        <v>1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ROW(Source!A242)</f>
        <v>242</v>
      </c>
      <c r="B632">
        <v>55748433</v>
      </c>
      <c r="C632">
        <v>55748424</v>
      </c>
      <c r="D632">
        <v>54702434</v>
      </c>
      <c r="E632">
        <v>1081</v>
      </c>
      <c r="F632">
        <v>1</v>
      </c>
      <c r="G632">
        <v>1081</v>
      </c>
      <c r="H632">
        <v>1</v>
      </c>
      <c r="I632" t="s">
        <v>473</v>
      </c>
      <c r="J632" t="s">
        <v>3</v>
      </c>
      <c r="K632" t="s">
        <v>474</v>
      </c>
      <c r="L632">
        <v>1191</v>
      </c>
      <c r="N632">
        <v>1013</v>
      </c>
      <c r="O632" t="s">
        <v>475</v>
      </c>
      <c r="P632" t="s">
        <v>475</v>
      </c>
      <c r="Q632">
        <v>1</v>
      </c>
      <c r="X632">
        <v>5.4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 t="s">
        <v>49</v>
      </c>
      <c r="AG632">
        <v>6.48</v>
      </c>
      <c r="AH632">
        <v>2</v>
      </c>
      <c r="AI632">
        <v>55748425</v>
      </c>
      <c r="AJ632">
        <v>593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ROW(Source!A242)</f>
        <v>242</v>
      </c>
      <c r="B633">
        <v>55748434</v>
      </c>
      <c r="C633">
        <v>55748424</v>
      </c>
      <c r="D633">
        <v>54768040</v>
      </c>
      <c r="E633">
        <v>1</v>
      </c>
      <c r="F633">
        <v>1</v>
      </c>
      <c r="G633">
        <v>1081</v>
      </c>
      <c r="H633">
        <v>2</v>
      </c>
      <c r="I633" t="s">
        <v>476</v>
      </c>
      <c r="J633" t="s">
        <v>477</v>
      </c>
      <c r="K633" t="s">
        <v>478</v>
      </c>
      <c r="L633">
        <v>1368</v>
      </c>
      <c r="N633">
        <v>1011</v>
      </c>
      <c r="O633" t="s">
        <v>479</v>
      </c>
      <c r="P633" t="s">
        <v>479</v>
      </c>
      <c r="Q633">
        <v>1</v>
      </c>
      <c r="X633">
        <v>0.9</v>
      </c>
      <c r="Y633">
        <v>0</v>
      </c>
      <c r="Z633">
        <v>7.11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49</v>
      </c>
      <c r="AG633">
        <v>1.08</v>
      </c>
      <c r="AH633">
        <v>2</v>
      </c>
      <c r="AI633">
        <v>55748426</v>
      </c>
      <c r="AJ633">
        <v>594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ROW(Source!A242)</f>
        <v>242</v>
      </c>
      <c r="B634">
        <v>55748435</v>
      </c>
      <c r="C634">
        <v>55748424</v>
      </c>
      <c r="D634">
        <v>54768339</v>
      </c>
      <c r="E634">
        <v>1</v>
      </c>
      <c r="F634">
        <v>1</v>
      </c>
      <c r="G634">
        <v>1081</v>
      </c>
      <c r="H634">
        <v>2</v>
      </c>
      <c r="I634" t="s">
        <v>483</v>
      </c>
      <c r="J634" t="s">
        <v>484</v>
      </c>
      <c r="K634" t="s">
        <v>485</v>
      </c>
      <c r="L634">
        <v>1368</v>
      </c>
      <c r="N634">
        <v>1011</v>
      </c>
      <c r="O634" t="s">
        <v>479</v>
      </c>
      <c r="P634" t="s">
        <v>479</v>
      </c>
      <c r="Q634">
        <v>1</v>
      </c>
      <c r="X634">
        <v>0.02</v>
      </c>
      <c r="Y634">
        <v>0</v>
      </c>
      <c r="Z634">
        <v>83.1</v>
      </c>
      <c r="AA634">
        <v>12.62</v>
      </c>
      <c r="AB634">
        <v>0</v>
      </c>
      <c r="AC634">
        <v>0</v>
      </c>
      <c r="AD634">
        <v>1</v>
      </c>
      <c r="AE634">
        <v>0</v>
      </c>
      <c r="AF634" t="s">
        <v>49</v>
      </c>
      <c r="AG634">
        <v>2.4E-2</v>
      </c>
      <c r="AH634">
        <v>2</v>
      </c>
      <c r="AI634">
        <v>55748427</v>
      </c>
      <c r="AJ634">
        <v>595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ROW(Source!A242)</f>
        <v>242</v>
      </c>
      <c r="B635">
        <v>55748436</v>
      </c>
      <c r="C635">
        <v>55748424</v>
      </c>
      <c r="D635">
        <v>54738518</v>
      </c>
      <c r="E635">
        <v>1</v>
      </c>
      <c r="F635">
        <v>1</v>
      </c>
      <c r="G635">
        <v>1081</v>
      </c>
      <c r="H635">
        <v>3</v>
      </c>
      <c r="I635" t="s">
        <v>493</v>
      </c>
      <c r="J635" t="s">
        <v>494</v>
      </c>
      <c r="K635" t="s">
        <v>495</v>
      </c>
      <c r="L635">
        <v>1348</v>
      </c>
      <c r="N635">
        <v>1009</v>
      </c>
      <c r="O635" t="s">
        <v>282</v>
      </c>
      <c r="P635" t="s">
        <v>282</v>
      </c>
      <c r="Q635">
        <v>1000</v>
      </c>
      <c r="X635">
        <v>4.4000000000000002E-4</v>
      </c>
      <c r="Y635">
        <v>9112.49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48</v>
      </c>
      <c r="AG635">
        <v>4.4000000000000002E-4</v>
      </c>
      <c r="AH635">
        <v>2</v>
      </c>
      <c r="AI635">
        <v>55748428</v>
      </c>
      <c r="AJ635">
        <v>596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ROW(Source!A242)</f>
        <v>242</v>
      </c>
      <c r="B636">
        <v>55748437</v>
      </c>
      <c r="C636">
        <v>55748424</v>
      </c>
      <c r="D636">
        <v>54739191</v>
      </c>
      <c r="E636">
        <v>1</v>
      </c>
      <c r="F636">
        <v>1</v>
      </c>
      <c r="G636">
        <v>1081</v>
      </c>
      <c r="H636">
        <v>3</v>
      </c>
      <c r="I636" t="s">
        <v>500</v>
      </c>
      <c r="J636" t="s">
        <v>501</v>
      </c>
      <c r="K636" t="s">
        <v>502</v>
      </c>
      <c r="L636">
        <v>1346</v>
      </c>
      <c r="N636">
        <v>1009</v>
      </c>
      <c r="O636" t="s">
        <v>503</v>
      </c>
      <c r="P636" t="s">
        <v>503</v>
      </c>
      <c r="Q636">
        <v>1</v>
      </c>
      <c r="X636">
        <v>1.0999999999999999E-2</v>
      </c>
      <c r="Y636">
        <v>6.25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48</v>
      </c>
      <c r="AG636">
        <v>1.0999999999999999E-2</v>
      </c>
      <c r="AH636">
        <v>2</v>
      </c>
      <c r="AI636">
        <v>55748429</v>
      </c>
      <c r="AJ636">
        <v>597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ROW(Source!A242)</f>
        <v>242</v>
      </c>
      <c r="B637">
        <v>55748438</v>
      </c>
      <c r="C637">
        <v>55748424</v>
      </c>
      <c r="D637">
        <v>54737565</v>
      </c>
      <c r="E637">
        <v>1</v>
      </c>
      <c r="F637">
        <v>1</v>
      </c>
      <c r="G637">
        <v>1081</v>
      </c>
      <c r="H637">
        <v>3</v>
      </c>
      <c r="I637" t="s">
        <v>504</v>
      </c>
      <c r="J637" t="s">
        <v>505</v>
      </c>
      <c r="K637" t="s">
        <v>506</v>
      </c>
      <c r="L637">
        <v>1339</v>
      </c>
      <c r="N637">
        <v>1007</v>
      </c>
      <c r="O637" t="s">
        <v>507</v>
      </c>
      <c r="P637" t="s">
        <v>507</v>
      </c>
      <c r="Q637">
        <v>1</v>
      </c>
      <c r="X637">
        <v>4.3999999999999997E-2</v>
      </c>
      <c r="Y637">
        <v>5.82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48</v>
      </c>
      <c r="AG637">
        <v>4.3999999999999997E-2</v>
      </c>
      <c r="AH637">
        <v>2</v>
      </c>
      <c r="AI637">
        <v>55748430</v>
      </c>
      <c r="AJ637">
        <v>598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ROW(Source!A242)</f>
        <v>242</v>
      </c>
      <c r="B638">
        <v>55748439</v>
      </c>
      <c r="C638">
        <v>55748424</v>
      </c>
      <c r="D638">
        <v>54717889</v>
      </c>
      <c r="E638">
        <v>1081</v>
      </c>
      <c r="F638">
        <v>1</v>
      </c>
      <c r="G638">
        <v>1081</v>
      </c>
      <c r="H638">
        <v>3</v>
      </c>
      <c r="I638" t="s">
        <v>674</v>
      </c>
      <c r="J638" t="s">
        <v>3</v>
      </c>
      <c r="K638" t="s">
        <v>675</v>
      </c>
      <c r="L638">
        <v>1354</v>
      </c>
      <c r="N638">
        <v>1010</v>
      </c>
      <c r="O638" t="s">
        <v>118</v>
      </c>
      <c r="P638" t="s">
        <v>118</v>
      </c>
      <c r="Q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48</v>
      </c>
      <c r="AG638">
        <v>1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ROW(Source!A247)</f>
        <v>247</v>
      </c>
      <c r="B639">
        <v>55748460</v>
      </c>
      <c r="C639">
        <v>55748442</v>
      </c>
      <c r="D639">
        <v>54702434</v>
      </c>
      <c r="E639">
        <v>1081</v>
      </c>
      <c r="F639">
        <v>1</v>
      </c>
      <c r="G639">
        <v>1081</v>
      </c>
      <c r="H639">
        <v>1</v>
      </c>
      <c r="I639" t="s">
        <v>473</v>
      </c>
      <c r="J639" t="s">
        <v>3</v>
      </c>
      <c r="K639" t="s">
        <v>474</v>
      </c>
      <c r="L639">
        <v>1191</v>
      </c>
      <c r="N639">
        <v>1013</v>
      </c>
      <c r="O639" t="s">
        <v>475</v>
      </c>
      <c r="P639" t="s">
        <v>475</v>
      </c>
      <c r="Q639">
        <v>1</v>
      </c>
      <c r="X639">
        <v>1730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3</v>
      </c>
      <c r="AG639">
        <v>1730</v>
      </c>
      <c r="AH639">
        <v>2</v>
      </c>
      <c r="AI639">
        <v>55748443</v>
      </c>
      <c r="AJ639">
        <v>601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ROW(Source!A247)</f>
        <v>247</v>
      </c>
      <c r="B640">
        <v>55748461</v>
      </c>
      <c r="C640">
        <v>55748442</v>
      </c>
      <c r="D640">
        <v>54767934</v>
      </c>
      <c r="E640">
        <v>1</v>
      </c>
      <c r="F640">
        <v>1</v>
      </c>
      <c r="G640">
        <v>1081</v>
      </c>
      <c r="H640">
        <v>2</v>
      </c>
      <c r="I640" t="s">
        <v>586</v>
      </c>
      <c r="J640" t="s">
        <v>587</v>
      </c>
      <c r="K640" t="s">
        <v>588</v>
      </c>
      <c r="L640">
        <v>1368</v>
      </c>
      <c r="N640">
        <v>1011</v>
      </c>
      <c r="O640" t="s">
        <v>479</v>
      </c>
      <c r="P640" t="s">
        <v>479</v>
      </c>
      <c r="Q640">
        <v>1</v>
      </c>
      <c r="X640">
        <v>13.5</v>
      </c>
      <c r="Y640">
        <v>0</v>
      </c>
      <c r="Z640">
        <v>48.07</v>
      </c>
      <c r="AA640">
        <v>12.62</v>
      </c>
      <c r="AB640">
        <v>0</v>
      </c>
      <c r="AC640">
        <v>0</v>
      </c>
      <c r="AD640">
        <v>1</v>
      </c>
      <c r="AE640">
        <v>0</v>
      </c>
      <c r="AF640" t="s">
        <v>3</v>
      </c>
      <c r="AG640">
        <v>13.5</v>
      </c>
      <c r="AH640">
        <v>2</v>
      </c>
      <c r="AI640">
        <v>55748444</v>
      </c>
      <c r="AJ640">
        <v>602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ROW(Source!A247)</f>
        <v>247</v>
      </c>
      <c r="B641">
        <v>55748462</v>
      </c>
      <c r="C641">
        <v>55748442</v>
      </c>
      <c r="D641">
        <v>54767971</v>
      </c>
      <c r="E641">
        <v>1</v>
      </c>
      <c r="F641">
        <v>1</v>
      </c>
      <c r="G641">
        <v>1081</v>
      </c>
      <c r="H641">
        <v>2</v>
      </c>
      <c r="I641" t="s">
        <v>589</v>
      </c>
      <c r="J641" t="s">
        <v>590</v>
      </c>
      <c r="K641" t="s">
        <v>591</v>
      </c>
      <c r="L641">
        <v>1368</v>
      </c>
      <c r="N641">
        <v>1011</v>
      </c>
      <c r="O641" t="s">
        <v>479</v>
      </c>
      <c r="P641" t="s">
        <v>479</v>
      </c>
      <c r="Q641">
        <v>1</v>
      </c>
      <c r="X641">
        <v>110</v>
      </c>
      <c r="Y641">
        <v>0</v>
      </c>
      <c r="Z641">
        <v>5.79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</v>
      </c>
      <c r="AG641">
        <v>110</v>
      </c>
      <c r="AH641">
        <v>2</v>
      </c>
      <c r="AI641">
        <v>55748445</v>
      </c>
      <c r="AJ641">
        <v>603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ROW(Source!A247)</f>
        <v>247</v>
      </c>
      <c r="B642">
        <v>55748463</v>
      </c>
      <c r="C642">
        <v>55748442</v>
      </c>
      <c r="D642">
        <v>54768040</v>
      </c>
      <c r="E642">
        <v>1</v>
      </c>
      <c r="F642">
        <v>1</v>
      </c>
      <c r="G642">
        <v>1081</v>
      </c>
      <c r="H642">
        <v>2</v>
      </c>
      <c r="I642" t="s">
        <v>476</v>
      </c>
      <c r="J642" t="s">
        <v>477</v>
      </c>
      <c r="K642" t="s">
        <v>478</v>
      </c>
      <c r="L642">
        <v>1368</v>
      </c>
      <c r="N642">
        <v>1011</v>
      </c>
      <c r="O642" t="s">
        <v>479</v>
      </c>
      <c r="P642" t="s">
        <v>479</v>
      </c>
      <c r="Q642">
        <v>1</v>
      </c>
      <c r="X642">
        <v>114</v>
      </c>
      <c r="Y642">
        <v>0</v>
      </c>
      <c r="Z642">
        <v>7.11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3</v>
      </c>
      <c r="AG642">
        <v>114</v>
      </c>
      <c r="AH642">
        <v>2</v>
      </c>
      <c r="AI642">
        <v>55748446</v>
      </c>
      <c r="AJ642">
        <v>604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ROW(Source!A247)</f>
        <v>247</v>
      </c>
      <c r="B643">
        <v>55748464</v>
      </c>
      <c r="C643">
        <v>55748442</v>
      </c>
      <c r="D643">
        <v>54768339</v>
      </c>
      <c r="E643">
        <v>1</v>
      </c>
      <c r="F643">
        <v>1</v>
      </c>
      <c r="G643">
        <v>1081</v>
      </c>
      <c r="H643">
        <v>2</v>
      </c>
      <c r="I643" t="s">
        <v>483</v>
      </c>
      <c r="J643" t="s">
        <v>484</v>
      </c>
      <c r="K643" t="s">
        <v>485</v>
      </c>
      <c r="L643">
        <v>1368</v>
      </c>
      <c r="N643">
        <v>1011</v>
      </c>
      <c r="O643" t="s">
        <v>479</v>
      </c>
      <c r="P643" t="s">
        <v>479</v>
      </c>
      <c r="Q643">
        <v>1</v>
      </c>
      <c r="X643">
        <v>5.36</v>
      </c>
      <c r="Y643">
        <v>0</v>
      </c>
      <c r="Z643">
        <v>83.1</v>
      </c>
      <c r="AA643">
        <v>12.62</v>
      </c>
      <c r="AB643">
        <v>0</v>
      </c>
      <c r="AC643">
        <v>0</v>
      </c>
      <c r="AD643">
        <v>1</v>
      </c>
      <c r="AE643">
        <v>0</v>
      </c>
      <c r="AF643" t="s">
        <v>3</v>
      </c>
      <c r="AG643">
        <v>5.36</v>
      </c>
      <c r="AH643">
        <v>2</v>
      </c>
      <c r="AI643">
        <v>55748447</v>
      </c>
      <c r="AJ643">
        <v>605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ROW(Source!A247)</f>
        <v>247</v>
      </c>
      <c r="B644">
        <v>55748465</v>
      </c>
      <c r="C644">
        <v>55748442</v>
      </c>
      <c r="D644">
        <v>54767657</v>
      </c>
      <c r="E644">
        <v>1</v>
      </c>
      <c r="F644">
        <v>1</v>
      </c>
      <c r="G644">
        <v>1081</v>
      </c>
      <c r="H644">
        <v>2</v>
      </c>
      <c r="I644" t="s">
        <v>592</v>
      </c>
      <c r="J644" t="s">
        <v>593</v>
      </c>
      <c r="K644" t="s">
        <v>594</v>
      </c>
      <c r="L644">
        <v>1368</v>
      </c>
      <c r="N644">
        <v>1011</v>
      </c>
      <c r="O644" t="s">
        <v>479</v>
      </c>
      <c r="P644" t="s">
        <v>479</v>
      </c>
      <c r="Q644">
        <v>1</v>
      </c>
      <c r="X644">
        <v>4</v>
      </c>
      <c r="Y644">
        <v>0</v>
      </c>
      <c r="Z644">
        <v>3.18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</v>
      </c>
      <c r="AG644">
        <v>4</v>
      </c>
      <c r="AH644">
        <v>2</v>
      </c>
      <c r="AI644">
        <v>55748448</v>
      </c>
      <c r="AJ644">
        <v>606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ROW(Source!A247)</f>
        <v>247</v>
      </c>
      <c r="B645">
        <v>55748466</v>
      </c>
      <c r="C645">
        <v>55748442</v>
      </c>
      <c r="D645">
        <v>54737367</v>
      </c>
      <c r="E645">
        <v>1</v>
      </c>
      <c r="F645">
        <v>1</v>
      </c>
      <c r="G645">
        <v>1081</v>
      </c>
      <c r="H645">
        <v>3</v>
      </c>
      <c r="I645" t="s">
        <v>538</v>
      </c>
      <c r="J645" t="s">
        <v>539</v>
      </c>
      <c r="K645" t="s">
        <v>540</v>
      </c>
      <c r="L645">
        <v>1339</v>
      </c>
      <c r="N645">
        <v>1007</v>
      </c>
      <c r="O645" t="s">
        <v>507</v>
      </c>
      <c r="P645" t="s">
        <v>507</v>
      </c>
      <c r="Q645">
        <v>1</v>
      </c>
      <c r="X645">
        <v>30</v>
      </c>
      <c r="Y645">
        <v>7.07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</v>
      </c>
      <c r="AG645">
        <v>30</v>
      </c>
      <c r="AH645">
        <v>2</v>
      </c>
      <c r="AI645">
        <v>55748449</v>
      </c>
      <c r="AJ645">
        <v>607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ROW(Source!A247)</f>
        <v>247</v>
      </c>
      <c r="B646">
        <v>55748467</v>
      </c>
      <c r="C646">
        <v>55748442</v>
      </c>
      <c r="D646">
        <v>54738430</v>
      </c>
      <c r="E646">
        <v>1</v>
      </c>
      <c r="F646">
        <v>1</v>
      </c>
      <c r="G646">
        <v>1081</v>
      </c>
      <c r="H646">
        <v>3</v>
      </c>
      <c r="I646" t="s">
        <v>562</v>
      </c>
      <c r="J646" t="s">
        <v>563</v>
      </c>
      <c r="K646" t="s">
        <v>564</v>
      </c>
      <c r="L646">
        <v>1348</v>
      </c>
      <c r="N646">
        <v>1009</v>
      </c>
      <c r="O646" t="s">
        <v>282</v>
      </c>
      <c r="P646" t="s">
        <v>282</v>
      </c>
      <c r="Q646">
        <v>1000</v>
      </c>
      <c r="X646">
        <v>2.3599999999999999E-2</v>
      </c>
      <c r="Y646">
        <v>7185.82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</v>
      </c>
      <c r="AG646">
        <v>2.3599999999999999E-2</v>
      </c>
      <c r="AH646">
        <v>2</v>
      </c>
      <c r="AI646">
        <v>55748450</v>
      </c>
      <c r="AJ646">
        <v>608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ROW(Source!A247)</f>
        <v>247</v>
      </c>
      <c r="B647">
        <v>55748468</v>
      </c>
      <c r="C647">
        <v>55748442</v>
      </c>
      <c r="D647">
        <v>54738505</v>
      </c>
      <c r="E647">
        <v>1</v>
      </c>
      <c r="F647">
        <v>1</v>
      </c>
      <c r="G647">
        <v>1081</v>
      </c>
      <c r="H647">
        <v>3</v>
      </c>
      <c r="I647" t="s">
        <v>580</v>
      </c>
      <c r="J647" t="s">
        <v>581</v>
      </c>
      <c r="K647" t="s">
        <v>582</v>
      </c>
      <c r="L647">
        <v>1346</v>
      </c>
      <c r="N647">
        <v>1009</v>
      </c>
      <c r="O647" t="s">
        <v>503</v>
      </c>
      <c r="P647" t="s">
        <v>503</v>
      </c>
      <c r="Q647">
        <v>1</v>
      </c>
      <c r="X647">
        <v>11.6</v>
      </c>
      <c r="Y647">
        <v>21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3</v>
      </c>
      <c r="AG647">
        <v>11.6</v>
      </c>
      <c r="AH647">
        <v>2</v>
      </c>
      <c r="AI647">
        <v>55748451</v>
      </c>
      <c r="AJ647">
        <v>609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ROW(Source!A247)</f>
        <v>247</v>
      </c>
      <c r="B648">
        <v>55748469</v>
      </c>
      <c r="C648">
        <v>55748442</v>
      </c>
      <c r="D648">
        <v>54738703</v>
      </c>
      <c r="E648">
        <v>1</v>
      </c>
      <c r="F648">
        <v>1</v>
      </c>
      <c r="G648">
        <v>1081</v>
      </c>
      <c r="H648">
        <v>3</v>
      </c>
      <c r="I648" t="s">
        <v>595</v>
      </c>
      <c r="J648" t="s">
        <v>596</v>
      </c>
      <c r="K648" t="s">
        <v>597</v>
      </c>
      <c r="L648">
        <v>1355</v>
      </c>
      <c r="N648">
        <v>1010</v>
      </c>
      <c r="O648" t="s">
        <v>254</v>
      </c>
      <c r="P648" t="s">
        <v>254</v>
      </c>
      <c r="Q648">
        <v>100</v>
      </c>
      <c r="X648">
        <v>3.6</v>
      </c>
      <c r="Y648">
        <v>496.79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3</v>
      </c>
      <c r="AG648">
        <v>3.6</v>
      </c>
      <c r="AH648">
        <v>2</v>
      </c>
      <c r="AI648">
        <v>55748452</v>
      </c>
      <c r="AJ648">
        <v>610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ROW(Source!A247)</f>
        <v>247</v>
      </c>
      <c r="B649">
        <v>55748470</v>
      </c>
      <c r="C649">
        <v>55748442</v>
      </c>
      <c r="D649">
        <v>54738704</v>
      </c>
      <c r="E649">
        <v>1</v>
      </c>
      <c r="F649">
        <v>1</v>
      </c>
      <c r="G649">
        <v>1081</v>
      </c>
      <c r="H649">
        <v>3</v>
      </c>
      <c r="I649" t="s">
        <v>598</v>
      </c>
      <c r="J649" t="s">
        <v>599</v>
      </c>
      <c r="K649" t="s">
        <v>600</v>
      </c>
      <c r="L649">
        <v>1355</v>
      </c>
      <c r="N649">
        <v>1010</v>
      </c>
      <c r="O649" t="s">
        <v>254</v>
      </c>
      <c r="P649" t="s">
        <v>254</v>
      </c>
      <c r="Q649">
        <v>100</v>
      </c>
      <c r="X649">
        <v>3.6</v>
      </c>
      <c r="Y649">
        <v>243.75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3</v>
      </c>
      <c r="AG649">
        <v>3.6</v>
      </c>
      <c r="AH649">
        <v>2</v>
      </c>
      <c r="AI649">
        <v>55748453</v>
      </c>
      <c r="AJ649">
        <v>611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ROW(Source!A247)</f>
        <v>247</v>
      </c>
      <c r="B650">
        <v>55748471</v>
      </c>
      <c r="C650">
        <v>55748442</v>
      </c>
      <c r="D650">
        <v>54737299</v>
      </c>
      <c r="E650">
        <v>1</v>
      </c>
      <c r="F650">
        <v>1</v>
      </c>
      <c r="G650">
        <v>1081</v>
      </c>
      <c r="H650">
        <v>3</v>
      </c>
      <c r="I650" t="s">
        <v>583</v>
      </c>
      <c r="J650" t="s">
        <v>584</v>
      </c>
      <c r="K650" t="s">
        <v>585</v>
      </c>
      <c r="L650">
        <v>1339</v>
      </c>
      <c r="N650">
        <v>1007</v>
      </c>
      <c r="O650" t="s">
        <v>507</v>
      </c>
      <c r="P650" t="s">
        <v>507</v>
      </c>
      <c r="Q650">
        <v>1</v>
      </c>
      <c r="X650">
        <v>9</v>
      </c>
      <c r="Y650">
        <v>53.42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3</v>
      </c>
      <c r="AG650">
        <v>9</v>
      </c>
      <c r="AH650">
        <v>2</v>
      </c>
      <c r="AI650">
        <v>55748454</v>
      </c>
      <c r="AJ650">
        <v>612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ROW(Source!A247)</f>
        <v>247</v>
      </c>
      <c r="B651">
        <v>55748472</v>
      </c>
      <c r="C651">
        <v>55748442</v>
      </c>
      <c r="D651">
        <v>54737565</v>
      </c>
      <c r="E651">
        <v>1</v>
      </c>
      <c r="F651">
        <v>1</v>
      </c>
      <c r="G651">
        <v>1081</v>
      </c>
      <c r="H651">
        <v>3</v>
      </c>
      <c r="I651" t="s">
        <v>504</v>
      </c>
      <c r="J651" t="s">
        <v>505</v>
      </c>
      <c r="K651" t="s">
        <v>506</v>
      </c>
      <c r="L651">
        <v>1339</v>
      </c>
      <c r="N651">
        <v>1007</v>
      </c>
      <c r="O651" t="s">
        <v>507</v>
      </c>
      <c r="P651" t="s">
        <v>507</v>
      </c>
      <c r="Q651">
        <v>1</v>
      </c>
      <c r="X651">
        <v>11.6</v>
      </c>
      <c r="Y651">
        <v>5.82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3</v>
      </c>
      <c r="AG651">
        <v>11.6</v>
      </c>
      <c r="AH651">
        <v>2</v>
      </c>
      <c r="AI651">
        <v>55748455</v>
      </c>
      <c r="AJ651">
        <v>613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ROW(Source!A247)</f>
        <v>247</v>
      </c>
      <c r="B652">
        <v>55748473</v>
      </c>
      <c r="C652">
        <v>55748442</v>
      </c>
      <c r="D652">
        <v>54759954</v>
      </c>
      <c r="E652">
        <v>1</v>
      </c>
      <c r="F652">
        <v>1</v>
      </c>
      <c r="G652">
        <v>1081</v>
      </c>
      <c r="H652">
        <v>3</v>
      </c>
      <c r="I652" t="s">
        <v>601</v>
      </c>
      <c r="J652" t="s">
        <v>602</v>
      </c>
      <c r="K652" t="s">
        <v>603</v>
      </c>
      <c r="L652">
        <v>1354</v>
      </c>
      <c r="N652">
        <v>1010</v>
      </c>
      <c r="O652" t="s">
        <v>118</v>
      </c>
      <c r="P652" t="s">
        <v>118</v>
      </c>
      <c r="Q652">
        <v>1</v>
      </c>
      <c r="X652">
        <v>360</v>
      </c>
      <c r="Y652">
        <v>14.28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3</v>
      </c>
      <c r="AG652">
        <v>360</v>
      </c>
      <c r="AH652">
        <v>2</v>
      </c>
      <c r="AI652">
        <v>55748458</v>
      </c>
      <c r="AJ652">
        <v>617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ROW(Source!A247)</f>
        <v>247</v>
      </c>
      <c r="B653">
        <v>55748474</v>
      </c>
      <c r="C653">
        <v>55748442</v>
      </c>
      <c r="D653">
        <v>54695275</v>
      </c>
      <c r="E653">
        <v>1081</v>
      </c>
      <c r="F653">
        <v>1</v>
      </c>
      <c r="G653">
        <v>1081</v>
      </c>
      <c r="H653">
        <v>3</v>
      </c>
      <c r="I653" t="s">
        <v>680</v>
      </c>
      <c r="J653" t="s">
        <v>3</v>
      </c>
      <c r="K653" t="s">
        <v>682</v>
      </c>
      <c r="L653">
        <v>1301</v>
      </c>
      <c r="N653">
        <v>1003</v>
      </c>
      <c r="O653" t="s">
        <v>191</v>
      </c>
      <c r="P653" t="s">
        <v>191</v>
      </c>
      <c r="Q653">
        <v>1</v>
      </c>
      <c r="X653">
        <v>1000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3</v>
      </c>
      <c r="AG653">
        <v>1000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ROW(Source!A248)</f>
        <v>248</v>
      </c>
      <c r="B654">
        <v>55748460</v>
      </c>
      <c r="C654">
        <v>55748442</v>
      </c>
      <c r="D654">
        <v>54702434</v>
      </c>
      <c r="E654">
        <v>1081</v>
      </c>
      <c r="F654">
        <v>1</v>
      </c>
      <c r="G654">
        <v>1081</v>
      </c>
      <c r="H654">
        <v>1</v>
      </c>
      <c r="I654" t="s">
        <v>473</v>
      </c>
      <c r="J654" t="s">
        <v>3</v>
      </c>
      <c r="K654" t="s">
        <v>474</v>
      </c>
      <c r="L654">
        <v>1191</v>
      </c>
      <c r="N654">
        <v>1013</v>
      </c>
      <c r="O654" t="s">
        <v>475</v>
      </c>
      <c r="P654" t="s">
        <v>475</v>
      </c>
      <c r="Q654">
        <v>1</v>
      </c>
      <c r="X654">
        <v>1730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1</v>
      </c>
      <c r="AF654" t="s">
        <v>3</v>
      </c>
      <c r="AG654">
        <v>1730</v>
      </c>
      <c r="AH654">
        <v>2</v>
      </c>
      <c r="AI654">
        <v>55748443</v>
      </c>
      <c r="AJ654">
        <v>618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ROW(Source!A248)</f>
        <v>248</v>
      </c>
      <c r="B655">
        <v>55748461</v>
      </c>
      <c r="C655">
        <v>55748442</v>
      </c>
      <c r="D655">
        <v>54767934</v>
      </c>
      <c r="E655">
        <v>1</v>
      </c>
      <c r="F655">
        <v>1</v>
      </c>
      <c r="G655">
        <v>1081</v>
      </c>
      <c r="H655">
        <v>2</v>
      </c>
      <c r="I655" t="s">
        <v>586</v>
      </c>
      <c r="J655" t="s">
        <v>587</v>
      </c>
      <c r="K655" t="s">
        <v>588</v>
      </c>
      <c r="L655">
        <v>1368</v>
      </c>
      <c r="N655">
        <v>1011</v>
      </c>
      <c r="O655" t="s">
        <v>479</v>
      </c>
      <c r="P655" t="s">
        <v>479</v>
      </c>
      <c r="Q655">
        <v>1</v>
      </c>
      <c r="X655">
        <v>13.5</v>
      </c>
      <c r="Y655">
        <v>0</v>
      </c>
      <c r="Z655">
        <v>48.07</v>
      </c>
      <c r="AA655">
        <v>12.62</v>
      </c>
      <c r="AB655">
        <v>0</v>
      </c>
      <c r="AC655">
        <v>0</v>
      </c>
      <c r="AD655">
        <v>1</v>
      </c>
      <c r="AE655">
        <v>0</v>
      </c>
      <c r="AF655" t="s">
        <v>3</v>
      </c>
      <c r="AG655">
        <v>13.5</v>
      </c>
      <c r="AH655">
        <v>2</v>
      </c>
      <c r="AI655">
        <v>55748444</v>
      </c>
      <c r="AJ655">
        <v>619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ROW(Source!A248)</f>
        <v>248</v>
      </c>
      <c r="B656">
        <v>55748462</v>
      </c>
      <c r="C656">
        <v>55748442</v>
      </c>
      <c r="D656">
        <v>54767971</v>
      </c>
      <c r="E656">
        <v>1</v>
      </c>
      <c r="F656">
        <v>1</v>
      </c>
      <c r="G656">
        <v>1081</v>
      </c>
      <c r="H656">
        <v>2</v>
      </c>
      <c r="I656" t="s">
        <v>589</v>
      </c>
      <c r="J656" t="s">
        <v>590</v>
      </c>
      <c r="K656" t="s">
        <v>591</v>
      </c>
      <c r="L656">
        <v>1368</v>
      </c>
      <c r="N656">
        <v>1011</v>
      </c>
      <c r="O656" t="s">
        <v>479</v>
      </c>
      <c r="P656" t="s">
        <v>479</v>
      </c>
      <c r="Q656">
        <v>1</v>
      </c>
      <c r="X656">
        <v>110</v>
      </c>
      <c r="Y656">
        <v>0</v>
      </c>
      <c r="Z656">
        <v>5.79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</v>
      </c>
      <c r="AG656">
        <v>110</v>
      </c>
      <c r="AH656">
        <v>2</v>
      </c>
      <c r="AI656">
        <v>55748445</v>
      </c>
      <c r="AJ656">
        <v>620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ROW(Source!A248)</f>
        <v>248</v>
      </c>
      <c r="B657">
        <v>55748463</v>
      </c>
      <c r="C657">
        <v>55748442</v>
      </c>
      <c r="D657">
        <v>54768040</v>
      </c>
      <c r="E657">
        <v>1</v>
      </c>
      <c r="F657">
        <v>1</v>
      </c>
      <c r="G657">
        <v>1081</v>
      </c>
      <c r="H657">
        <v>2</v>
      </c>
      <c r="I657" t="s">
        <v>476</v>
      </c>
      <c r="J657" t="s">
        <v>477</v>
      </c>
      <c r="K657" t="s">
        <v>478</v>
      </c>
      <c r="L657">
        <v>1368</v>
      </c>
      <c r="N657">
        <v>1011</v>
      </c>
      <c r="O657" t="s">
        <v>479</v>
      </c>
      <c r="P657" t="s">
        <v>479</v>
      </c>
      <c r="Q657">
        <v>1</v>
      </c>
      <c r="X657">
        <v>114</v>
      </c>
      <c r="Y657">
        <v>0</v>
      </c>
      <c r="Z657">
        <v>7.11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</v>
      </c>
      <c r="AG657">
        <v>114</v>
      </c>
      <c r="AH657">
        <v>2</v>
      </c>
      <c r="AI657">
        <v>55748446</v>
      </c>
      <c r="AJ657">
        <v>621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ROW(Source!A248)</f>
        <v>248</v>
      </c>
      <c r="B658">
        <v>55748464</v>
      </c>
      <c r="C658">
        <v>55748442</v>
      </c>
      <c r="D658">
        <v>54768339</v>
      </c>
      <c r="E658">
        <v>1</v>
      </c>
      <c r="F658">
        <v>1</v>
      </c>
      <c r="G658">
        <v>1081</v>
      </c>
      <c r="H658">
        <v>2</v>
      </c>
      <c r="I658" t="s">
        <v>483</v>
      </c>
      <c r="J658" t="s">
        <v>484</v>
      </c>
      <c r="K658" t="s">
        <v>485</v>
      </c>
      <c r="L658">
        <v>1368</v>
      </c>
      <c r="N658">
        <v>1011</v>
      </c>
      <c r="O658" t="s">
        <v>479</v>
      </c>
      <c r="P658" t="s">
        <v>479</v>
      </c>
      <c r="Q658">
        <v>1</v>
      </c>
      <c r="X658">
        <v>5.36</v>
      </c>
      <c r="Y658">
        <v>0</v>
      </c>
      <c r="Z658">
        <v>83.1</v>
      </c>
      <c r="AA658">
        <v>12.62</v>
      </c>
      <c r="AB658">
        <v>0</v>
      </c>
      <c r="AC658">
        <v>0</v>
      </c>
      <c r="AD658">
        <v>1</v>
      </c>
      <c r="AE658">
        <v>0</v>
      </c>
      <c r="AF658" t="s">
        <v>3</v>
      </c>
      <c r="AG658">
        <v>5.36</v>
      </c>
      <c r="AH658">
        <v>2</v>
      </c>
      <c r="AI658">
        <v>55748447</v>
      </c>
      <c r="AJ658">
        <v>622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ROW(Source!A248)</f>
        <v>248</v>
      </c>
      <c r="B659">
        <v>55748465</v>
      </c>
      <c r="C659">
        <v>55748442</v>
      </c>
      <c r="D659">
        <v>54767657</v>
      </c>
      <c r="E659">
        <v>1</v>
      </c>
      <c r="F659">
        <v>1</v>
      </c>
      <c r="G659">
        <v>1081</v>
      </c>
      <c r="H659">
        <v>2</v>
      </c>
      <c r="I659" t="s">
        <v>592</v>
      </c>
      <c r="J659" t="s">
        <v>593</v>
      </c>
      <c r="K659" t="s">
        <v>594</v>
      </c>
      <c r="L659">
        <v>1368</v>
      </c>
      <c r="N659">
        <v>1011</v>
      </c>
      <c r="O659" t="s">
        <v>479</v>
      </c>
      <c r="P659" t="s">
        <v>479</v>
      </c>
      <c r="Q659">
        <v>1</v>
      </c>
      <c r="X659">
        <v>4</v>
      </c>
      <c r="Y659">
        <v>0</v>
      </c>
      <c r="Z659">
        <v>3.18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</v>
      </c>
      <c r="AG659">
        <v>4</v>
      </c>
      <c r="AH659">
        <v>2</v>
      </c>
      <c r="AI659">
        <v>55748448</v>
      </c>
      <c r="AJ659">
        <v>623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ROW(Source!A248)</f>
        <v>248</v>
      </c>
      <c r="B660">
        <v>55748466</v>
      </c>
      <c r="C660">
        <v>55748442</v>
      </c>
      <c r="D660">
        <v>54737367</v>
      </c>
      <c r="E660">
        <v>1</v>
      </c>
      <c r="F660">
        <v>1</v>
      </c>
      <c r="G660">
        <v>1081</v>
      </c>
      <c r="H660">
        <v>3</v>
      </c>
      <c r="I660" t="s">
        <v>538</v>
      </c>
      <c r="J660" t="s">
        <v>539</v>
      </c>
      <c r="K660" t="s">
        <v>540</v>
      </c>
      <c r="L660">
        <v>1339</v>
      </c>
      <c r="N660">
        <v>1007</v>
      </c>
      <c r="O660" t="s">
        <v>507</v>
      </c>
      <c r="P660" t="s">
        <v>507</v>
      </c>
      <c r="Q660">
        <v>1</v>
      </c>
      <c r="X660">
        <v>30</v>
      </c>
      <c r="Y660">
        <v>7.07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3</v>
      </c>
      <c r="AG660">
        <v>30</v>
      </c>
      <c r="AH660">
        <v>2</v>
      </c>
      <c r="AI660">
        <v>55748449</v>
      </c>
      <c r="AJ660">
        <v>624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ROW(Source!A248)</f>
        <v>248</v>
      </c>
      <c r="B661">
        <v>55748467</v>
      </c>
      <c r="C661">
        <v>55748442</v>
      </c>
      <c r="D661">
        <v>54738430</v>
      </c>
      <c r="E661">
        <v>1</v>
      </c>
      <c r="F661">
        <v>1</v>
      </c>
      <c r="G661">
        <v>1081</v>
      </c>
      <c r="H661">
        <v>3</v>
      </c>
      <c r="I661" t="s">
        <v>562</v>
      </c>
      <c r="J661" t="s">
        <v>563</v>
      </c>
      <c r="K661" t="s">
        <v>564</v>
      </c>
      <c r="L661">
        <v>1348</v>
      </c>
      <c r="N661">
        <v>1009</v>
      </c>
      <c r="O661" t="s">
        <v>282</v>
      </c>
      <c r="P661" t="s">
        <v>282</v>
      </c>
      <c r="Q661">
        <v>1000</v>
      </c>
      <c r="X661">
        <v>2.3599999999999999E-2</v>
      </c>
      <c r="Y661">
        <v>7185.82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3</v>
      </c>
      <c r="AG661">
        <v>2.3599999999999999E-2</v>
      </c>
      <c r="AH661">
        <v>2</v>
      </c>
      <c r="AI661">
        <v>55748450</v>
      </c>
      <c r="AJ661">
        <v>625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ROW(Source!A248)</f>
        <v>248</v>
      </c>
      <c r="B662">
        <v>55748468</v>
      </c>
      <c r="C662">
        <v>55748442</v>
      </c>
      <c r="D662">
        <v>54738505</v>
      </c>
      <c r="E662">
        <v>1</v>
      </c>
      <c r="F662">
        <v>1</v>
      </c>
      <c r="G662">
        <v>1081</v>
      </c>
      <c r="H662">
        <v>3</v>
      </c>
      <c r="I662" t="s">
        <v>580</v>
      </c>
      <c r="J662" t="s">
        <v>581</v>
      </c>
      <c r="K662" t="s">
        <v>582</v>
      </c>
      <c r="L662">
        <v>1346</v>
      </c>
      <c r="N662">
        <v>1009</v>
      </c>
      <c r="O662" t="s">
        <v>503</v>
      </c>
      <c r="P662" t="s">
        <v>503</v>
      </c>
      <c r="Q662">
        <v>1</v>
      </c>
      <c r="X662">
        <v>11.6</v>
      </c>
      <c r="Y662">
        <v>21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3</v>
      </c>
      <c r="AG662">
        <v>11.6</v>
      </c>
      <c r="AH662">
        <v>2</v>
      </c>
      <c r="AI662">
        <v>55748451</v>
      </c>
      <c r="AJ662">
        <v>626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ROW(Source!A248)</f>
        <v>248</v>
      </c>
      <c r="B663">
        <v>55748469</v>
      </c>
      <c r="C663">
        <v>55748442</v>
      </c>
      <c r="D663">
        <v>54738703</v>
      </c>
      <c r="E663">
        <v>1</v>
      </c>
      <c r="F663">
        <v>1</v>
      </c>
      <c r="G663">
        <v>1081</v>
      </c>
      <c r="H663">
        <v>3</v>
      </c>
      <c r="I663" t="s">
        <v>595</v>
      </c>
      <c r="J663" t="s">
        <v>596</v>
      </c>
      <c r="K663" t="s">
        <v>597</v>
      </c>
      <c r="L663">
        <v>1355</v>
      </c>
      <c r="N663">
        <v>1010</v>
      </c>
      <c r="O663" t="s">
        <v>254</v>
      </c>
      <c r="P663" t="s">
        <v>254</v>
      </c>
      <c r="Q663">
        <v>100</v>
      </c>
      <c r="X663">
        <v>3.6</v>
      </c>
      <c r="Y663">
        <v>496.79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3</v>
      </c>
      <c r="AG663">
        <v>3.6</v>
      </c>
      <c r="AH663">
        <v>2</v>
      </c>
      <c r="AI663">
        <v>55748452</v>
      </c>
      <c r="AJ663">
        <v>627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ROW(Source!A248)</f>
        <v>248</v>
      </c>
      <c r="B664">
        <v>55748470</v>
      </c>
      <c r="C664">
        <v>55748442</v>
      </c>
      <c r="D664">
        <v>54738704</v>
      </c>
      <c r="E664">
        <v>1</v>
      </c>
      <c r="F664">
        <v>1</v>
      </c>
      <c r="G664">
        <v>1081</v>
      </c>
      <c r="H664">
        <v>3</v>
      </c>
      <c r="I664" t="s">
        <v>598</v>
      </c>
      <c r="J664" t="s">
        <v>599</v>
      </c>
      <c r="K664" t="s">
        <v>600</v>
      </c>
      <c r="L664">
        <v>1355</v>
      </c>
      <c r="N664">
        <v>1010</v>
      </c>
      <c r="O664" t="s">
        <v>254</v>
      </c>
      <c r="P664" t="s">
        <v>254</v>
      </c>
      <c r="Q664">
        <v>100</v>
      </c>
      <c r="X664">
        <v>3.6</v>
      </c>
      <c r="Y664">
        <v>243.75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3</v>
      </c>
      <c r="AG664">
        <v>3.6</v>
      </c>
      <c r="AH664">
        <v>2</v>
      </c>
      <c r="AI664">
        <v>55748453</v>
      </c>
      <c r="AJ664">
        <v>628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ROW(Source!A248)</f>
        <v>248</v>
      </c>
      <c r="B665">
        <v>55748471</v>
      </c>
      <c r="C665">
        <v>55748442</v>
      </c>
      <c r="D665">
        <v>54737299</v>
      </c>
      <c r="E665">
        <v>1</v>
      </c>
      <c r="F665">
        <v>1</v>
      </c>
      <c r="G665">
        <v>1081</v>
      </c>
      <c r="H665">
        <v>3</v>
      </c>
      <c r="I665" t="s">
        <v>583</v>
      </c>
      <c r="J665" t="s">
        <v>584</v>
      </c>
      <c r="K665" t="s">
        <v>585</v>
      </c>
      <c r="L665">
        <v>1339</v>
      </c>
      <c r="N665">
        <v>1007</v>
      </c>
      <c r="O665" t="s">
        <v>507</v>
      </c>
      <c r="P665" t="s">
        <v>507</v>
      </c>
      <c r="Q665">
        <v>1</v>
      </c>
      <c r="X665">
        <v>9</v>
      </c>
      <c r="Y665">
        <v>53.42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</v>
      </c>
      <c r="AG665">
        <v>9</v>
      </c>
      <c r="AH665">
        <v>2</v>
      </c>
      <c r="AI665">
        <v>55748454</v>
      </c>
      <c r="AJ665">
        <v>629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ROW(Source!A248)</f>
        <v>248</v>
      </c>
      <c r="B666">
        <v>55748472</v>
      </c>
      <c r="C666">
        <v>55748442</v>
      </c>
      <c r="D666">
        <v>54737565</v>
      </c>
      <c r="E666">
        <v>1</v>
      </c>
      <c r="F666">
        <v>1</v>
      </c>
      <c r="G666">
        <v>1081</v>
      </c>
      <c r="H666">
        <v>3</v>
      </c>
      <c r="I666" t="s">
        <v>504</v>
      </c>
      <c r="J666" t="s">
        <v>505</v>
      </c>
      <c r="K666" t="s">
        <v>506</v>
      </c>
      <c r="L666">
        <v>1339</v>
      </c>
      <c r="N666">
        <v>1007</v>
      </c>
      <c r="O666" t="s">
        <v>507</v>
      </c>
      <c r="P666" t="s">
        <v>507</v>
      </c>
      <c r="Q666">
        <v>1</v>
      </c>
      <c r="X666">
        <v>11.6</v>
      </c>
      <c r="Y666">
        <v>5.82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</v>
      </c>
      <c r="AG666">
        <v>11.6</v>
      </c>
      <c r="AH666">
        <v>2</v>
      </c>
      <c r="AI666">
        <v>55748455</v>
      </c>
      <c r="AJ666">
        <v>630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ROW(Source!A248)</f>
        <v>248</v>
      </c>
      <c r="B667">
        <v>55748473</v>
      </c>
      <c r="C667">
        <v>55748442</v>
      </c>
      <c r="D667">
        <v>54759954</v>
      </c>
      <c r="E667">
        <v>1</v>
      </c>
      <c r="F667">
        <v>1</v>
      </c>
      <c r="G667">
        <v>1081</v>
      </c>
      <c r="H667">
        <v>3</v>
      </c>
      <c r="I667" t="s">
        <v>601</v>
      </c>
      <c r="J667" t="s">
        <v>602</v>
      </c>
      <c r="K667" t="s">
        <v>603</v>
      </c>
      <c r="L667">
        <v>1354</v>
      </c>
      <c r="N667">
        <v>1010</v>
      </c>
      <c r="O667" t="s">
        <v>118</v>
      </c>
      <c r="P667" t="s">
        <v>118</v>
      </c>
      <c r="Q667">
        <v>1</v>
      </c>
      <c r="X667">
        <v>360</v>
      </c>
      <c r="Y667">
        <v>14.28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3</v>
      </c>
      <c r="AG667">
        <v>360</v>
      </c>
      <c r="AH667">
        <v>2</v>
      </c>
      <c r="AI667">
        <v>55748458</v>
      </c>
      <c r="AJ667">
        <v>634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ROW(Source!A248)</f>
        <v>248</v>
      </c>
      <c r="B668">
        <v>55748474</v>
      </c>
      <c r="C668">
        <v>55748442</v>
      </c>
      <c r="D668">
        <v>54695275</v>
      </c>
      <c r="E668">
        <v>1081</v>
      </c>
      <c r="F668">
        <v>1</v>
      </c>
      <c r="G668">
        <v>1081</v>
      </c>
      <c r="H668">
        <v>3</v>
      </c>
      <c r="I668" t="s">
        <v>680</v>
      </c>
      <c r="J668" t="s">
        <v>3</v>
      </c>
      <c r="K668" t="s">
        <v>682</v>
      </c>
      <c r="L668">
        <v>1301</v>
      </c>
      <c r="N668">
        <v>1003</v>
      </c>
      <c r="O668" t="s">
        <v>191</v>
      </c>
      <c r="P668" t="s">
        <v>191</v>
      </c>
      <c r="Q668">
        <v>1</v>
      </c>
      <c r="X668">
        <v>1000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</v>
      </c>
      <c r="AG668">
        <v>1000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ROW(Source!A255)</f>
        <v>255</v>
      </c>
      <c r="B669">
        <v>55748496</v>
      </c>
      <c r="C669">
        <v>55748478</v>
      </c>
      <c r="D669">
        <v>54702434</v>
      </c>
      <c r="E669">
        <v>1081</v>
      </c>
      <c r="F669">
        <v>1</v>
      </c>
      <c r="G669">
        <v>1081</v>
      </c>
      <c r="H669">
        <v>1</v>
      </c>
      <c r="I669" t="s">
        <v>473</v>
      </c>
      <c r="J669" t="s">
        <v>3</v>
      </c>
      <c r="K669" t="s">
        <v>474</v>
      </c>
      <c r="L669">
        <v>1191</v>
      </c>
      <c r="N669">
        <v>1013</v>
      </c>
      <c r="O669" t="s">
        <v>475</v>
      </c>
      <c r="P669" t="s">
        <v>475</v>
      </c>
      <c r="Q669">
        <v>1</v>
      </c>
      <c r="X669">
        <v>139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49</v>
      </c>
      <c r="AG669">
        <v>166.79999999999998</v>
      </c>
      <c r="AH669">
        <v>2</v>
      </c>
      <c r="AI669">
        <v>55748479</v>
      </c>
      <c r="AJ669">
        <v>635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ROW(Source!A255)</f>
        <v>255</v>
      </c>
      <c r="B670">
        <v>55748497</v>
      </c>
      <c r="C670">
        <v>55748478</v>
      </c>
      <c r="D670">
        <v>54767934</v>
      </c>
      <c r="E670">
        <v>1</v>
      </c>
      <c r="F670">
        <v>1</v>
      </c>
      <c r="G670">
        <v>1081</v>
      </c>
      <c r="H670">
        <v>2</v>
      </c>
      <c r="I670" t="s">
        <v>586</v>
      </c>
      <c r="J670" t="s">
        <v>587</v>
      </c>
      <c r="K670" t="s">
        <v>588</v>
      </c>
      <c r="L670">
        <v>1368</v>
      </c>
      <c r="N670">
        <v>1011</v>
      </c>
      <c r="O670" t="s">
        <v>479</v>
      </c>
      <c r="P670" t="s">
        <v>479</v>
      </c>
      <c r="Q670">
        <v>1</v>
      </c>
      <c r="X670">
        <v>7.5</v>
      </c>
      <c r="Y670">
        <v>0</v>
      </c>
      <c r="Z670">
        <v>48.07</v>
      </c>
      <c r="AA670">
        <v>12.62</v>
      </c>
      <c r="AB670">
        <v>0</v>
      </c>
      <c r="AC670">
        <v>0</v>
      </c>
      <c r="AD670">
        <v>1</v>
      </c>
      <c r="AE670">
        <v>0</v>
      </c>
      <c r="AF670" t="s">
        <v>49</v>
      </c>
      <c r="AG670">
        <v>9</v>
      </c>
      <c r="AH670">
        <v>2</v>
      </c>
      <c r="AI670">
        <v>55748480</v>
      </c>
      <c r="AJ670">
        <v>636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ROW(Source!A255)</f>
        <v>255</v>
      </c>
      <c r="B671">
        <v>55748498</v>
      </c>
      <c r="C671">
        <v>55748478</v>
      </c>
      <c r="D671">
        <v>54767971</v>
      </c>
      <c r="E671">
        <v>1</v>
      </c>
      <c r="F671">
        <v>1</v>
      </c>
      <c r="G671">
        <v>1081</v>
      </c>
      <c r="H671">
        <v>2</v>
      </c>
      <c r="I671" t="s">
        <v>589</v>
      </c>
      <c r="J671" t="s">
        <v>590</v>
      </c>
      <c r="K671" t="s">
        <v>591</v>
      </c>
      <c r="L671">
        <v>1368</v>
      </c>
      <c r="N671">
        <v>1011</v>
      </c>
      <c r="O671" t="s">
        <v>479</v>
      </c>
      <c r="P671" t="s">
        <v>479</v>
      </c>
      <c r="Q671">
        <v>1</v>
      </c>
      <c r="X671">
        <v>7</v>
      </c>
      <c r="Y671">
        <v>0</v>
      </c>
      <c r="Z671">
        <v>5.79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49</v>
      </c>
      <c r="AG671">
        <v>8.4</v>
      </c>
      <c r="AH671">
        <v>2</v>
      </c>
      <c r="AI671">
        <v>55748481</v>
      </c>
      <c r="AJ671">
        <v>637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ROW(Source!A255)</f>
        <v>255</v>
      </c>
      <c r="B672">
        <v>55748499</v>
      </c>
      <c r="C672">
        <v>55748478</v>
      </c>
      <c r="D672">
        <v>54768040</v>
      </c>
      <c r="E672">
        <v>1</v>
      </c>
      <c r="F672">
        <v>1</v>
      </c>
      <c r="G672">
        <v>1081</v>
      </c>
      <c r="H672">
        <v>2</v>
      </c>
      <c r="I672" t="s">
        <v>476</v>
      </c>
      <c r="J672" t="s">
        <v>477</v>
      </c>
      <c r="K672" t="s">
        <v>478</v>
      </c>
      <c r="L672">
        <v>1368</v>
      </c>
      <c r="N672">
        <v>1011</v>
      </c>
      <c r="O672" t="s">
        <v>479</v>
      </c>
      <c r="P672" t="s">
        <v>479</v>
      </c>
      <c r="Q672">
        <v>1</v>
      </c>
      <c r="X672">
        <v>9.32</v>
      </c>
      <c r="Y672">
        <v>0</v>
      </c>
      <c r="Z672">
        <v>7.11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49</v>
      </c>
      <c r="AG672">
        <v>11.183999999999999</v>
      </c>
      <c r="AH672">
        <v>2</v>
      </c>
      <c r="AI672">
        <v>55748482</v>
      </c>
      <c r="AJ672">
        <v>638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ROW(Source!A255)</f>
        <v>255</v>
      </c>
      <c r="B673">
        <v>55748500</v>
      </c>
      <c r="C673">
        <v>55748478</v>
      </c>
      <c r="D673">
        <v>54768339</v>
      </c>
      <c r="E673">
        <v>1</v>
      </c>
      <c r="F673">
        <v>1</v>
      </c>
      <c r="G673">
        <v>1081</v>
      </c>
      <c r="H673">
        <v>2</v>
      </c>
      <c r="I673" t="s">
        <v>483</v>
      </c>
      <c r="J673" t="s">
        <v>484</v>
      </c>
      <c r="K673" t="s">
        <v>485</v>
      </c>
      <c r="L673">
        <v>1368</v>
      </c>
      <c r="N673">
        <v>1011</v>
      </c>
      <c r="O673" t="s">
        <v>479</v>
      </c>
      <c r="P673" t="s">
        <v>479</v>
      </c>
      <c r="Q673">
        <v>1</v>
      </c>
      <c r="X673">
        <v>0.54</v>
      </c>
      <c r="Y673">
        <v>0</v>
      </c>
      <c r="Z673">
        <v>83.1</v>
      </c>
      <c r="AA673">
        <v>12.62</v>
      </c>
      <c r="AB673">
        <v>0</v>
      </c>
      <c r="AC673">
        <v>0</v>
      </c>
      <c r="AD673">
        <v>1</v>
      </c>
      <c r="AE673">
        <v>0</v>
      </c>
      <c r="AF673" t="s">
        <v>49</v>
      </c>
      <c r="AG673">
        <v>0.64800000000000002</v>
      </c>
      <c r="AH673">
        <v>2</v>
      </c>
      <c r="AI673">
        <v>55748483</v>
      </c>
      <c r="AJ673">
        <v>639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ROW(Source!A255)</f>
        <v>255</v>
      </c>
      <c r="B674">
        <v>55748501</v>
      </c>
      <c r="C674">
        <v>55748478</v>
      </c>
      <c r="D674">
        <v>54767657</v>
      </c>
      <c r="E674">
        <v>1</v>
      </c>
      <c r="F674">
        <v>1</v>
      </c>
      <c r="G674">
        <v>1081</v>
      </c>
      <c r="H674">
        <v>2</v>
      </c>
      <c r="I674" t="s">
        <v>592</v>
      </c>
      <c r="J674" t="s">
        <v>593</v>
      </c>
      <c r="K674" t="s">
        <v>594</v>
      </c>
      <c r="L674">
        <v>1368</v>
      </c>
      <c r="N674">
        <v>1011</v>
      </c>
      <c r="O674" t="s">
        <v>479</v>
      </c>
      <c r="P674" t="s">
        <v>479</v>
      </c>
      <c r="Q674">
        <v>1</v>
      </c>
      <c r="X674">
        <v>0.4</v>
      </c>
      <c r="Y674">
        <v>0</v>
      </c>
      <c r="Z674">
        <v>3.18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49</v>
      </c>
      <c r="AG674">
        <v>0.48</v>
      </c>
      <c r="AH674">
        <v>2</v>
      </c>
      <c r="AI674">
        <v>55748484</v>
      </c>
      <c r="AJ674">
        <v>640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ROW(Source!A255)</f>
        <v>255</v>
      </c>
      <c r="B675">
        <v>55748502</v>
      </c>
      <c r="C675">
        <v>55748478</v>
      </c>
      <c r="D675">
        <v>54737367</v>
      </c>
      <c r="E675">
        <v>1</v>
      </c>
      <c r="F675">
        <v>1</v>
      </c>
      <c r="G675">
        <v>1081</v>
      </c>
      <c r="H675">
        <v>3</v>
      </c>
      <c r="I675" t="s">
        <v>538</v>
      </c>
      <c r="J675" t="s">
        <v>539</v>
      </c>
      <c r="K675" t="s">
        <v>540</v>
      </c>
      <c r="L675">
        <v>1339</v>
      </c>
      <c r="N675">
        <v>1007</v>
      </c>
      <c r="O675" t="s">
        <v>507</v>
      </c>
      <c r="P675" t="s">
        <v>507</v>
      </c>
      <c r="Q675">
        <v>1</v>
      </c>
      <c r="X675">
        <v>3</v>
      </c>
      <c r="Y675">
        <v>7.07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48</v>
      </c>
      <c r="AG675">
        <v>3</v>
      </c>
      <c r="AH675">
        <v>2</v>
      </c>
      <c r="AI675">
        <v>55748485</v>
      </c>
      <c r="AJ675">
        <v>641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ROW(Source!A255)</f>
        <v>255</v>
      </c>
      <c r="B676">
        <v>55748503</v>
      </c>
      <c r="C676">
        <v>55748478</v>
      </c>
      <c r="D676">
        <v>54738430</v>
      </c>
      <c r="E676">
        <v>1</v>
      </c>
      <c r="F676">
        <v>1</v>
      </c>
      <c r="G676">
        <v>1081</v>
      </c>
      <c r="H676">
        <v>3</v>
      </c>
      <c r="I676" t="s">
        <v>562</v>
      </c>
      <c r="J676" t="s">
        <v>563</v>
      </c>
      <c r="K676" t="s">
        <v>564</v>
      </c>
      <c r="L676">
        <v>1348</v>
      </c>
      <c r="N676">
        <v>1009</v>
      </c>
      <c r="O676" t="s">
        <v>282</v>
      </c>
      <c r="P676" t="s">
        <v>282</v>
      </c>
      <c r="Q676">
        <v>1000</v>
      </c>
      <c r="X676">
        <v>1.56E-3</v>
      </c>
      <c r="Y676">
        <v>7185.82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48</v>
      </c>
      <c r="AG676">
        <v>1.56E-3</v>
      </c>
      <c r="AH676">
        <v>2</v>
      </c>
      <c r="AI676">
        <v>55748486</v>
      </c>
      <c r="AJ676">
        <v>642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ROW(Source!A255)</f>
        <v>255</v>
      </c>
      <c r="B677">
        <v>55748504</v>
      </c>
      <c r="C677">
        <v>55748478</v>
      </c>
      <c r="D677">
        <v>54738505</v>
      </c>
      <c r="E677">
        <v>1</v>
      </c>
      <c r="F677">
        <v>1</v>
      </c>
      <c r="G677">
        <v>1081</v>
      </c>
      <c r="H677">
        <v>3</v>
      </c>
      <c r="I677" t="s">
        <v>580</v>
      </c>
      <c r="J677" t="s">
        <v>581</v>
      </c>
      <c r="K677" t="s">
        <v>582</v>
      </c>
      <c r="L677">
        <v>1346</v>
      </c>
      <c r="N677">
        <v>1009</v>
      </c>
      <c r="O677" t="s">
        <v>503</v>
      </c>
      <c r="P677" t="s">
        <v>503</v>
      </c>
      <c r="Q677">
        <v>1</v>
      </c>
      <c r="X677">
        <v>0.76</v>
      </c>
      <c r="Y677">
        <v>21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48</v>
      </c>
      <c r="AG677">
        <v>0.76</v>
      </c>
      <c r="AH677">
        <v>2</v>
      </c>
      <c r="AI677">
        <v>55748487</v>
      </c>
      <c r="AJ677">
        <v>643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ROW(Source!A255)</f>
        <v>255</v>
      </c>
      <c r="B678">
        <v>55748505</v>
      </c>
      <c r="C678">
        <v>55748478</v>
      </c>
      <c r="D678">
        <v>54738703</v>
      </c>
      <c r="E678">
        <v>1</v>
      </c>
      <c r="F678">
        <v>1</v>
      </c>
      <c r="G678">
        <v>1081</v>
      </c>
      <c r="H678">
        <v>3</v>
      </c>
      <c r="I678" t="s">
        <v>595</v>
      </c>
      <c r="J678" t="s">
        <v>596</v>
      </c>
      <c r="K678" t="s">
        <v>597</v>
      </c>
      <c r="L678">
        <v>1355</v>
      </c>
      <c r="N678">
        <v>1010</v>
      </c>
      <c r="O678" t="s">
        <v>254</v>
      </c>
      <c r="P678" t="s">
        <v>254</v>
      </c>
      <c r="Q678">
        <v>100</v>
      </c>
      <c r="X678">
        <v>0.36</v>
      </c>
      <c r="Y678">
        <v>496.79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48</v>
      </c>
      <c r="AG678">
        <v>0.36</v>
      </c>
      <c r="AH678">
        <v>2</v>
      </c>
      <c r="AI678">
        <v>55748488</v>
      </c>
      <c r="AJ678">
        <v>644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ROW(Source!A255)</f>
        <v>255</v>
      </c>
      <c r="B679">
        <v>55748506</v>
      </c>
      <c r="C679">
        <v>55748478</v>
      </c>
      <c r="D679">
        <v>54738704</v>
      </c>
      <c r="E679">
        <v>1</v>
      </c>
      <c r="F679">
        <v>1</v>
      </c>
      <c r="G679">
        <v>1081</v>
      </c>
      <c r="H679">
        <v>3</v>
      </c>
      <c r="I679" t="s">
        <v>598</v>
      </c>
      <c r="J679" t="s">
        <v>599</v>
      </c>
      <c r="K679" t="s">
        <v>600</v>
      </c>
      <c r="L679">
        <v>1355</v>
      </c>
      <c r="N679">
        <v>1010</v>
      </c>
      <c r="O679" t="s">
        <v>254</v>
      </c>
      <c r="P679" t="s">
        <v>254</v>
      </c>
      <c r="Q679">
        <v>100</v>
      </c>
      <c r="X679">
        <v>0.36</v>
      </c>
      <c r="Y679">
        <v>243.75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48</v>
      </c>
      <c r="AG679">
        <v>0.36</v>
      </c>
      <c r="AH679">
        <v>2</v>
      </c>
      <c r="AI679">
        <v>55748489</v>
      </c>
      <c r="AJ679">
        <v>645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ROW(Source!A255)</f>
        <v>255</v>
      </c>
      <c r="B680">
        <v>55748507</v>
      </c>
      <c r="C680">
        <v>55748478</v>
      </c>
      <c r="D680">
        <v>54737299</v>
      </c>
      <c r="E680">
        <v>1</v>
      </c>
      <c r="F680">
        <v>1</v>
      </c>
      <c r="G680">
        <v>1081</v>
      </c>
      <c r="H680">
        <v>3</v>
      </c>
      <c r="I680" t="s">
        <v>583</v>
      </c>
      <c r="J680" t="s">
        <v>584</v>
      </c>
      <c r="K680" t="s">
        <v>585</v>
      </c>
      <c r="L680">
        <v>1339</v>
      </c>
      <c r="N680">
        <v>1007</v>
      </c>
      <c r="O680" t="s">
        <v>507</v>
      </c>
      <c r="P680" t="s">
        <v>507</v>
      </c>
      <c r="Q680">
        <v>1</v>
      </c>
      <c r="X680">
        <v>0.59</v>
      </c>
      <c r="Y680">
        <v>53.42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48</v>
      </c>
      <c r="AG680">
        <v>0.59</v>
      </c>
      <c r="AH680">
        <v>2</v>
      </c>
      <c r="AI680">
        <v>55748490</v>
      </c>
      <c r="AJ680">
        <v>646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ROW(Source!A255)</f>
        <v>255</v>
      </c>
      <c r="B681">
        <v>55748508</v>
      </c>
      <c r="C681">
        <v>55748478</v>
      </c>
      <c r="D681">
        <v>54737565</v>
      </c>
      <c r="E681">
        <v>1</v>
      </c>
      <c r="F681">
        <v>1</v>
      </c>
      <c r="G681">
        <v>1081</v>
      </c>
      <c r="H681">
        <v>3</v>
      </c>
      <c r="I681" t="s">
        <v>504</v>
      </c>
      <c r="J681" t="s">
        <v>505</v>
      </c>
      <c r="K681" t="s">
        <v>506</v>
      </c>
      <c r="L681">
        <v>1339</v>
      </c>
      <c r="N681">
        <v>1007</v>
      </c>
      <c r="O681" t="s">
        <v>507</v>
      </c>
      <c r="P681" t="s">
        <v>507</v>
      </c>
      <c r="Q681">
        <v>1</v>
      </c>
      <c r="X681">
        <v>0.76</v>
      </c>
      <c r="Y681">
        <v>5.82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48</v>
      </c>
      <c r="AG681">
        <v>0.76</v>
      </c>
      <c r="AH681">
        <v>2</v>
      </c>
      <c r="AI681">
        <v>55748491</v>
      </c>
      <c r="AJ681">
        <v>647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ROW(Source!A255)</f>
        <v>255</v>
      </c>
      <c r="B682">
        <v>55748509</v>
      </c>
      <c r="C682">
        <v>55748478</v>
      </c>
      <c r="D682">
        <v>54759954</v>
      </c>
      <c r="E682">
        <v>1</v>
      </c>
      <c r="F682">
        <v>1</v>
      </c>
      <c r="G682">
        <v>1081</v>
      </c>
      <c r="H682">
        <v>3</v>
      </c>
      <c r="I682" t="s">
        <v>601</v>
      </c>
      <c r="J682" t="s">
        <v>602</v>
      </c>
      <c r="K682" t="s">
        <v>603</v>
      </c>
      <c r="L682">
        <v>1354</v>
      </c>
      <c r="N682">
        <v>1010</v>
      </c>
      <c r="O682" t="s">
        <v>118</v>
      </c>
      <c r="P682" t="s">
        <v>118</v>
      </c>
      <c r="Q682">
        <v>1</v>
      </c>
      <c r="X682">
        <v>36</v>
      </c>
      <c r="Y682">
        <v>14.28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48</v>
      </c>
      <c r="AG682">
        <v>36</v>
      </c>
      <c r="AH682">
        <v>2</v>
      </c>
      <c r="AI682">
        <v>55748494</v>
      </c>
      <c r="AJ682">
        <v>651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ROW(Source!A255)</f>
        <v>255</v>
      </c>
      <c r="B683">
        <v>55748510</v>
      </c>
      <c r="C683">
        <v>55748478</v>
      </c>
      <c r="D683">
        <v>54695275</v>
      </c>
      <c r="E683">
        <v>1081</v>
      </c>
      <c r="F683">
        <v>1</v>
      </c>
      <c r="G683">
        <v>1081</v>
      </c>
      <c r="H683">
        <v>3</v>
      </c>
      <c r="I683" t="s">
        <v>680</v>
      </c>
      <c r="J683" t="s">
        <v>3</v>
      </c>
      <c r="K683" t="s">
        <v>681</v>
      </c>
      <c r="L683">
        <v>1301</v>
      </c>
      <c r="N683">
        <v>1003</v>
      </c>
      <c r="O683" t="s">
        <v>191</v>
      </c>
      <c r="P683" t="s">
        <v>191</v>
      </c>
      <c r="Q683">
        <v>1</v>
      </c>
      <c r="X683">
        <v>100.5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48</v>
      </c>
      <c r="AG683">
        <v>100.5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ROW(Source!A256)</f>
        <v>256</v>
      </c>
      <c r="B684">
        <v>55748496</v>
      </c>
      <c r="C684">
        <v>55748478</v>
      </c>
      <c r="D684">
        <v>54702434</v>
      </c>
      <c r="E684">
        <v>1081</v>
      </c>
      <c r="F684">
        <v>1</v>
      </c>
      <c r="G684">
        <v>1081</v>
      </c>
      <c r="H684">
        <v>1</v>
      </c>
      <c r="I684" t="s">
        <v>473</v>
      </c>
      <c r="J684" t="s">
        <v>3</v>
      </c>
      <c r="K684" t="s">
        <v>474</v>
      </c>
      <c r="L684">
        <v>1191</v>
      </c>
      <c r="N684">
        <v>1013</v>
      </c>
      <c r="O684" t="s">
        <v>475</v>
      </c>
      <c r="P684" t="s">
        <v>475</v>
      </c>
      <c r="Q684">
        <v>1</v>
      </c>
      <c r="X684">
        <v>139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 t="s">
        <v>49</v>
      </c>
      <c r="AG684">
        <v>166.79999999999998</v>
      </c>
      <c r="AH684">
        <v>2</v>
      </c>
      <c r="AI684">
        <v>55748479</v>
      </c>
      <c r="AJ684">
        <v>652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ROW(Source!A256)</f>
        <v>256</v>
      </c>
      <c r="B685">
        <v>55748497</v>
      </c>
      <c r="C685">
        <v>55748478</v>
      </c>
      <c r="D685">
        <v>54767934</v>
      </c>
      <c r="E685">
        <v>1</v>
      </c>
      <c r="F685">
        <v>1</v>
      </c>
      <c r="G685">
        <v>1081</v>
      </c>
      <c r="H685">
        <v>2</v>
      </c>
      <c r="I685" t="s">
        <v>586</v>
      </c>
      <c r="J685" t="s">
        <v>587</v>
      </c>
      <c r="K685" t="s">
        <v>588</v>
      </c>
      <c r="L685">
        <v>1368</v>
      </c>
      <c r="N685">
        <v>1011</v>
      </c>
      <c r="O685" t="s">
        <v>479</v>
      </c>
      <c r="P685" t="s">
        <v>479</v>
      </c>
      <c r="Q685">
        <v>1</v>
      </c>
      <c r="X685">
        <v>7.5</v>
      </c>
      <c r="Y685">
        <v>0</v>
      </c>
      <c r="Z685">
        <v>48.07</v>
      </c>
      <c r="AA685">
        <v>12.62</v>
      </c>
      <c r="AB685">
        <v>0</v>
      </c>
      <c r="AC685">
        <v>0</v>
      </c>
      <c r="AD685">
        <v>1</v>
      </c>
      <c r="AE685">
        <v>0</v>
      </c>
      <c r="AF685" t="s">
        <v>49</v>
      </c>
      <c r="AG685">
        <v>9</v>
      </c>
      <c r="AH685">
        <v>2</v>
      </c>
      <c r="AI685">
        <v>55748480</v>
      </c>
      <c r="AJ685">
        <v>653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ROW(Source!A256)</f>
        <v>256</v>
      </c>
      <c r="B686">
        <v>55748498</v>
      </c>
      <c r="C686">
        <v>55748478</v>
      </c>
      <c r="D686">
        <v>54767971</v>
      </c>
      <c r="E686">
        <v>1</v>
      </c>
      <c r="F686">
        <v>1</v>
      </c>
      <c r="G686">
        <v>1081</v>
      </c>
      <c r="H686">
        <v>2</v>
      </c>
      <c r="I686" t="s">
        <v>589</v>
      </c>
      <c r="J686" t="s">
        <v>590</v>
      </c>
      <c r="K686" t="s">
        <v>591</v>
      </c>
      <c r="L686">
        <v>1368</v>
      </c>
      <c r="N686">
        <v>1011</v>
      </c>
      <c r="O686" t="s">
        <v>479</v>
      </c>
      <c r="P686" t="s">
        <v>479</v>
      </c>
      <c r="Q686">
        <v>1</v>
      </c>
      <c r="X686">
        <v>7</v>
      </c>
      <c r="Y686">
        <v>0</v>
      </c>
      <c r="Z686">
        <v>5.79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49</v>
      </c>
      <c r="AG686">
        <v>8.4</v>
      </c>
      <c r="AH686">
        <v>2</v>
      </c>
      <c r="AI686">
        <v>55748481</v>
      </c>
      <c r="AJ686">
        <v>654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ROW(Source!A256)</f>
        <v>256</v>
      </c>
      <c r="B687">
        <v>55748499</v>
      </c>
      <c r="C687">
        <v>55748478</v>
      </c>
      <c r="D687">
        <v>54768040</v>
      </c>
      <c r="E687">
        <v>1</v>
      </c>
      <c r="F687">
        <v>1</v>
      </c>
      <c r="G687">
        <v>1081</v>
      </c>
      <c r="H687">
        <v>2</v>
      </c>
      <c r="I687" t="s">
        <v>476</v>
      </c>
      <c r="J687" t="s">
        <v>477</v>
      </c>
      <c r="K687" t="s">
        <v>478</v>
      </c>
      <c r="L687">
        <v>1368</v>
      </c>
      <c r="N687">
        <v>1011</v>
      </c>
      <c r="O687" t="s">
        <v>479</v>
      </c>
      <c r="P687" t="s">
        <v>479</v>
      </c>
      <c r="Q687">
        <v>1</v>
      </c>
      <c r="X687">
        <v>9.32</v>
      </c>
      <c r="Y687">
        <v>0</v>
      </c>
      <c r="Z687">
        <v>7.11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49</v>
      </c>
      <c r="AG687">
        <v>11.183999999999999</v>
      </c>
      <c r="AH687">
        <v>2</v>
      </c>
      <c r="AI687">
        <v>55748482</v>
      </c>
      <c r="AJ687">
        <v>655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ROW(Source!A256)</f>
        <v>256</v>
      </c>
      <c r="B688">
        <v>55748500</v>
      </c>
      <c r="C688">
        <v>55748478</v>
      </c>
      <c r="D688">
        <v>54768339</v>
      </c>
      <c r="E688">
        <v>1</v>
      </c>
      <c r="F688">
        <v>1</v>
      </c>
      <c r="G688">
        <v>1081</v>
      </c>
      <c r="H688">
        <v>2</v>
      </c>
      <c r="I688" t="s">
        <v>483</v>
      </c>
      <c r="J688" t="s">
        <v>484</v>
      </c>
      <c r="K688" t="s">
        <v>485</v>
      </c>
      <c r="L688">
        <v>1368</v>
      </c>
      <c r="N688">
        <v>1011</v>
      </c>
      <c r="O688" t="s">
        <v>479</v>
      </c>
      <c r="P688" t="s">
        <v>479</v>
      </c>
      <c r="Q688">
        <v>1</v>
      </c>
      <c r="X688">
        <v>0.54</v>
      </c>
      <c r="Y688">
        <v>0</v>
      </c>
      <c r="Z688">
        <v>83.1</v>
      </c>
      <c r="AA688">
        <v>12.62</v>
      </c>
      <c r="AB688">
        <v>0</v>
      </c>
      <c r="AC688">
        <v>0</v>
      </c>
      <c r="AD688">
        <v>1</v>
      </c>
      <c r="AE688">
        <v>0</v>
      </c>
      <c r="AF688" t="s">
        <v>49</v>
      </c>
      <c r="AG688">
        <v>0.64800000000000002</v>
      </c>
      <c r="AH688">
        <v>2</v>
      </c>
      <c r="AI688">
        <v>55748483</v>
      </c>
      <c r="AJ688">
        <v>656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ROW(Source!A256)</f>
        <v>256</v>
      </c>
      <c r="B689">
        <v>55748501</v>
      </c>
      <c r="C689">
        <v>55748478</v>
      </c>
      <c r="D689">
        <v>54767657</v>
      </c>
      <c r="E689">
        <v>1</v>
      </c>
      <c r="F689">
        <v>1</v>
      </c>
      <c r="G689">
        <v>1081</v>
      </c>
      <c r="H689">
        <v>2</v>
      </c>
      <c r="I689" t="s">
        <v>592</v>
      </c>
      <c r="J689" t="s">
        <v>593</v>
      </c>
      <c r="K689" t="s">
        <v>594</v>
      </c>
      <c r="L689">
        <v>1368</v>
      </c>
      <c r="N689">
        <v>1011</v>
      </c>
      <c r="O689" t="s">
        <v>479</v>
      </c>
      <c r="P689" t="s">
        <v>479</v>
      </c>
      <c r="Q689">
        <v>1</v>
      </c>
      <c r="X689">
        <v>0.4</v>
      </c>
      <c r="Y689">
        <v>0</v>
      </c>
      <c r="Z689">
        <v>3.18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49</v>
      </c>
      <c r="AG689">
        <v>0.48</v>
      </c>
      <c r="AH689">
        <v>2</v>
      </c>
      <c r="AI689">
        <v>55748484</v>
      </c>
      <c r="AJ689">
        <v>657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ROW(Source!A256)</f>
        <v>256</v>
      </c>
      <c r="B690">
        <v>55748502</v>
      </c>
      <c r="C690">
        <v>55748478</v>
      </c>
      <c r="D690">
        <v>54737367</v>
      </c>
      <c r="E690">
        <v>1</v>
      </c>
      <c r="F690">
        <v>1</v>
      </c>
      <c r="G690">
        <v>1081</v>
      </c>
      <c r="H690">
        <v>3</v>
      </c>
      <c r="I690" t="s">
        <v>538</v>
      </c>
      <c r="J690" t="s">
        <v>539</v>
      </c>
      <c r="K690" t="s">
        <v>540</v>
      </c>
      <c r="L690">
        <v>1339</v>
      </c>
      <c r="N690">
        <v>1007</v>
      </c>
      <c r="O690" t="s">
        <v>507</v>
      </c>
      <c r="P690" t="s">
        <v>507</v>
      </c>
      <c r="Q690">
        <v>1</v>
      </c>
      <c r="X690">
        <v>3</v>
      </c>
      <c r="Y690">
        <v>7.07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48</v>
      </c>
      <c r="AG690">
        <v>3</v>
      </c>
      <c r="AH690">
        <v>2</v>
      </c>
      <c r="AI690">
        <v>55748485</v>
      </c>
      <c r="AJ690">
        <v>658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ROW(Source!A256)</f>
        <v>256</v>
      </c>
      <c r="B691">
        <v>55748503</v>
      </c>
      <c r="C691">
        <v>55748478</v>
      </c>
      <c r="D691">
        <v>54738430</v>
      </c>
      <c r="E691">
        <v>1</v>
      </c>
      <c r="F691">
        <v>1</v>
      </c>
      <c r="G691">
        <v>1081</v>
      </c>
      <c r="H691">
        <v>3</v>
      </c>
      <c r="I691" t="s">
        <v>562</v>
      </c>
      <c r="J691" t="s">
        <v>563</v>
      </c>
      <c r="K691" t="s">
        <v>564</v>
      </c>
      <c r="L691">
        <v>1348</v>
      </c>
      <c r="N691">
        <v>1009</v>
      </c>
      <c r="O691" t="s">
        <v>282</v>
      </c>
      <c r="P691" t="s">
        <v>282</v>
      </c>
      <c r="Q691">
        <v>1000</v>
      </c>
      <c r="X691">
        <v>1.56E-3</v>
      </c>
      <c r="Y691">
        <v>7185.82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48</v>
      </c>
      <c r="AG691">
        <v>1.56E-3</v>
      </c>
      <c r="AH691">
        <v>2</v>
      </c>
      <c r="AI691">
        <v>55748486</v>
      </c>
      <c r="AJ691">
        <v>659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ROW(Source!A256)</f>
        <v>256</v>
      </c>
      <c r="B692">
        <v>55748504</v>
      </c>
      <c r="C692">
        <v>55748478</v>
      </c>
      <c r="D692">
        <v>54738505</v>
      </c>
      <c r="E692">
        <v>1</v>
      </c>
      <c r="F692">
        <v>1</v>
      </c>
      <c r="G692">
        <v>1081</v>
      </c>
      <c r="H692">
        <v>3</v>
      </c>
      <c r="I692" t="s">
        <v>580</v>
      </c>
      <c r="J692" t="s">
        <v>581</v>
      </c>
      <c r="K692" t="s">
        <v>582</v>
      </c>
      <c r="L692">
        <v>1346</v>
      </c>
      <c r="N692">
        <v>1009</v>
      </c>
      <c r="O692" t="s">
        <v>503</v>
      </c>
      <c r="P692" t="s">
        <v>503</v>
      </c>
      <c r="Q692">
        <v>1</v>
      </c>
      <c r="X692">
        <v>0.76</v>
      </c>
      <c r="Y692">
        <v>21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48</v>
      </c>
      <c r="AG692">
        <v>0.76</v>
      </c>
      <c r="AH692">
        <v>2</v>
      </c>
      <c r="AI692">
        <v>55748487</v>
      </c>
      <c r="AJ692">
        <v>660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ROW(Source!A256)</f>
        <v>256</v>
      </c>
      <c r="B693">
        <v>55748505</v>
      </c>
      <c r="C693">
        <v>55748478</v>
      </c>
      <c r="D693">
        <v>54738703</v>
      </c>
      <c r="E693">
        <v>1</v>
      </c>
      <c r="F693">
        <v>1</v>
      </c>
      <c r="G693">
        <v>1081</v>
      </c>
      <c r="H693">
        <v>3</v>
      </c>
      <c r="I693" t="s">
        <v>595</v>
      </c>
      <c r="J693" t="s">
        <v>596</v>
      </c>
      <c r="K693" t="s">
        <v>597</v>
      </c>
      <c r="L693">
        <v>1355</v>
      </c>
      <c r="N693">
        <v>1010</v>
      </c>
      <c r="O693" t="s">
        <v>254</v>
      </c>
      <c r="P693" t="s">
        <v>254</v>
      </c>
      <c r="Q693">
        <v>100</v>
      </c>
      <c r="X693">
        <v>0.36</v>
      </c>
      <c r="Y693">
        <v>496.79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48</v>
      </c>
      <c r="AG693">
        <v>0.36</v>
      </c>
      <c r="AH693">
        <v>2</v>
      </c>
      <c r="AI693">
        <v>55748488</v>
      </c>
      <c r="AJ693">
        <v>661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ROW(Source!A256)</f>
        <v>256</v>
      </c>
      <c r="B694">
        <v>55748506</v>
      </c>
      <c r="C694">
        <v>55748478</v>
      </c>
      <c r="D694">
        <v>54738704</v>
      </c>
      <c r="E694">
        <v>1</v>
      </c>
      <c r="F694">
        <v>1</v>
      </c>
      <c r="G694">
        <v>1081</v>
      </c>
      <c r="H694">
        <v>3</v>
      </c>
      <c r="I694" t="s">
        <v>598</v>
      </c>
      <c r="J694" t="s">
        <v>599</v>
      </c>
      <c r="K694" t="s">
        <v>600</v>
      </c>
      <c r="L694">
        <v>1355</v>
      </c>
      <c r="N694">
        <v>1010</v>
      </c>
      <c r="O694" t="s">
        <v>254</v>
      </c>
      <c r="P694" t="s">
        <v>254</v>
      </c>
      <c r="Q694">
        <v>100</v>
      </c>
      <c r="X694">
        <v>0.36</v>
      </c>
      <c r="Y694">
        <v>243.75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48</v>
      </c>
      <c r="AG694">
        <v>0.36</v>
      </c>
      <c r="AH694">
        <v>2</v>
      </c>
      <c r="AI694">
        <v>55748489</v>
      </c>
      <c r="AJ694">
        <v>662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ROW(Source!A256)</f>
        <v>256</v>
      </c>
      <c r="B695">
        <v>55748507</v>
      </c>
      <c r="C695">
        <v>55748478</v>
      </c>
      <c r="D695">
        <v>54737299</v>
      </c>
      <c r="E695">
        <v>1</v>
      </c>
      <c r="F695">
        <v>1</v>
      </c>
      <c r="G695">
        <v>1081</v>
      </c>
      <c r="H695">
        <v>3</v>
      </c>
      <c r="I695" t="s">
        <v>583</v>
      </c>
      <c r="J695" t="s">
        <v>584</v>
      </c>
      <c r="K695" t="s">
        <v>585</v>
      </c>
      <c r="L695">
        <v>1339</v>
      </c>
      <c r="N695">
        <v>1007</v>
      </c>
      <c r="O695" t="s">
        <v>507</v>
      </c>
      <c r="P695" t="s">
        <v>507</v>
      </c>
      <c r="Q695">
        <v>1</v>
      </c>
      <c r="X695">
        <v>0.59</v>
      </c>
      <c r="Y695">
        <v>53.42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48</v>
      </c>
      <c r="AG695">
        <v>0.59</v>
      </c>
      <c r="AH695">
        <v>2</v>
      </c>
      <c r="AI695">
        <v>55748490</v>
      </c>
      <c r="AJ695">
        <v>663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ROW(Source!A256)</f>
        <v>256</v>
      </c>
      <c r="B696">
        <v>55748508</v>
      </c>
      <c r="C696">
        <v>55748478</v>
      </c>
      <c r="D696">
        <v>54737565</v>
      </c>
      <c r="E696">
        <v>1</v>
      </c>
      <c r="F696">
        <v>1</v>
      </c>
      <c r="G696">
        <v>1081</v>
      </c>
      <c r="H696">
        <v>3</v>
      </c>
      <c r="I696" t="s">
        <v>504</v>
      </c>
      <c r="J696" t="s">
        <v>505</v>
      </c>
      <c r="K696" t="s">
        <v>506</v>
      </c>
      <c r="L696">
        <v>1339</v>
      </c>
      <c r="N696">
        <v>1007</v>
      </c>
      <c r="O696" t="s">
        <v>507</v>
      </c>
      <c r="P696" t="s">
        <v>507</v>
      </c>
      <c r="Q696">
        <v>1</v>
      </c>
      <c r="X696">
        <v>0.76</v>
      </c>
      <c r="Y696">
        <v>5.82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48</v>
      </c>
      <c r="AG696">
        <v>0.76</v>
      </c>
      <c r="AH696">
        <v>2</v>
      </c>
      <c r="AI696">
        <v>55748491</v>
      </c>
      <c r="AJ696">
        <v>664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ROW(Source!A256)</f>
        <v>256</v>
      </c>
      <c r="B697">
        <v>55748509</v>
      </c>
      <c r="C697">
        <v>55748478</v>
      </c>
      <c r="D697">
        <v>54759954</v>
      </c>
      <c r="E697">
        <v>1</v>
      </c>
      <c r="F697">
        <v>1</v>
      </c>
      <c r="G697">
        <v>1081</v>
      </c>
      <c r="H697">
        <v>3</v>
      </c>
      <c r="I697" t="s">
        <v>601</v>
      </c>
      <c r="J697" t="s">
        <v>602</v>
      </c>
      <c r="K697" t="s">
        <v>603</v>
      </c>
      <c r="L697">
        <v>1354</v>
      </c>
      <c r="N697">
        <v>1010</v>
      </c>
      <c r="O697" t="s">
        <v>118</v>
      </c>
      <c r="P697" t="s">
        <v>118</v>
      </c>
      <c r="Q697">
        <v>1</v>
      </c>
      <c r="X697">
        <v>36</v>
      </c>
      <c r="Y697">
        <v>14.28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48</v>
      </c>
      <c r="AG697">
        <v>36</v>
      </c>
      <c r="AH697">
        <v>2</v>
      </c>
      <c r="AI697">
        <v>55748494</v>
      </c>
      <c r="AJ697">
        <v>668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ROW(Source!A256)</f>
        <v>256</v>
      </c>
      <c r="B698">
        <v>55748510</v>
      </c>
      <c r="C698">
        <v>55748478</v>
      </c>
      <c r="D698">
        <v>54695275</v>
      </c>
      <c r="E698">
        <v>1081</v>
      </c>
      <c r="F698">
        <v>1</v>
      </c>
      <c r="G698">
        <v>1081</v>
      </c>
      <c r="H698">
        <v>3</v>
      </c>
      <c r="I698" t="s">
        <v>680</v>
      </c>
      <c r="J698" t="s">
        <v>3</v>
      </c>
      <c r="K698" t="s">
        <v>681</v>
      </c>
      <c r="L698">
        <v>1301</v>
      </c>
      <c r="N698">
        <v>1003</v>
      </c>
      <c r="O698" t="s">
        <v>191</v>
      </c>
      <c r="P698" t="s">
        <v>191</v>
      </c>
      <c r="Q698">
        <v>1</v>
      </c>
      <c r="X698">
        <v>100.5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48</v>
      </c>
      <c r="AG698">
        <v>100.5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ROW(Source!A263)</f>
        <v>263</v>
      </c>
      <c r="B699">
        <v>55748519</v>
      </c>
      <c r="C699">
        <v>55748514</v>
      </c>
      <c r="D699">
        <v>54702434</v>
      </c>
      <c r="E699">
        <v>1081</v>
      </c>
      <c r="F699">
        <v>1</v>
      </c>
      <c r="G699">
        <v>1081</v>
      </c>
      <c r="H699">
        <v>1</v>
      </c>
      <c r="I699" t="s">
        <v>473</v>
      </c>
      <c r="J699" t="s">
        <v>3</v>
      </c>
      <c r="K699" t="s">
        <v>474</v>
      </c>
      <c r="L699">
        <v>1191</v>
      </c>
      <c r="N699">
        <v>1013</v>
      </c>
      <c r="O699" t="s">
        <v>475</v>
      </c>
      <c r="P699" t="s">
        <v>475</v>
      </c>
      <c r="Q699">
        <v>1</v>
      </c>
      <c r="X699">
        <v>112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 t="s">
        <v>49</v>
      </c>
      <c r="AG699">
        <v>134.4</v>
      </c>
      <c r="AH699">
        <v>2</v>
      </c>
      <c r="AI699">
        <v>55748515</v>
      </c>
      <c r="AJ699">
        <v>669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ROW(Source!A263)</f>
        <v>263</v>
      </c>
      <c r="B700">
        <v>55748520</v>
      </c>
      <c r="C700">
        <v>55748514</v>
      </c>
      <c r="D700">
        <v>54738042</v>
      </c>
      <c r="E700">
        <v>1</v>
      </c>
      <c r="F700">
        <v>1</v>
      </c>
      <c r="G700">
        <v>1081</v>
      </c>
      <c r="H700">
        <v>3</v>
      </c>
      <c r="I700" t="s">
        <v>649</v>
      </c>
      <c r="J700" t="s">
        <v>650</v>
      </c>
      <c r="K700" t="s">
        <v>651</v>
      </c>
      <c r="L700">
        <v>1348</v>
      </c>
      <c r="N700">
        <v>1009</v>
      </c>
      <c r="O700" t="s">
        <v>282</v>
      </c>
      <c r="P700" t="s">
        <v>282</v>
      </c>
      <c r="Q700">
        <v>1000</v>
      </c>
      <c r="X700">
        <v>9.4E-2</v>
      </c>
      <c r="Y700">
        <v>7512.16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 t="s">
        <v>48</v>
      </c>
      <c r="AG700">
        <v>9.4E-2</v>
      </c>
      <c r="AH700">
        <v>2</v>
      </c>
      <c r="AI700">
        <v>55748516</v>
      </c>
      <c r="AJ700">
        <v>670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ROW(Source!A263)</f>
        <v>263</v>
      </c>
      <c r="B701">
        <v>55748521</v>
      </c>
      <c r="C701">
        <v>55748514</v>
      </c>
      <c r="D701">
        <v>54738519</v>
      </c>
      <c r="E701">
        <v>1</v>
      </c>
      <c r="F701">
        <v>1</v>
      </c>
      <c r="G701">
        <v>1081</v>
      </c>
      <c r="H701">
        <v>3</v>
      </c>
      <c r="I701" t="s">
        <v>652</v>
      </c>
      <c r="J701" t="s">
        <v>653</v>
      </c>
      <c r="K701" t="s">
        <v>654</v>
      </c>
      <c r="L701">
        <v>1348</v>
      </c>
      <c r="N701">
        <v>1009</v>
      </c>
      <c r="O701" t="s">
        <v>282</v>
      </c>
      <c r="P701" t="s">
        <v>282</v>
      </c>
      <c r="Q701">
        <v>1000</v>
      </c>
      <c r="X701">
        <v>2.4E-2</v>
      </c>
      <c r="Y701">
        <v>20481.349999999999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48</v>
      </c>
      <c r="AG701">
        <v>2.4E-2</v>
      </c>
      <c r="AH701">
        <v>2</v>
      </c>
      <c r="AI701">
        <v>55748517</v>
      </c>
      <c r="AJ701">
        <v>671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ROW(Source!A263)</f>
        <v>263</v>
      </c>
      <c r="B702">
        <v>55748522</v>
      </c>
      <c r="C702">
        <v>55748514</v>
      </c>
      <c r="D702">
        <v>54737318</v>
      </c>
      <c r="E702">
        <v>1</v>
      </c>
      <c r="F702">
        <v>1</v>
      </c>
      <c r="G702">
        <v>1081</v>
      </c>
      <c r="H702">
        <v>3</v>
      </c>
      <c r="I702" t="s">
        <v>526</v>
      </c>
      <c r="J702" t="s">
        <v>527</v>
      </c>
      <c r="K702" t="s">
        <v>528</v>
      </c>
      <c r="L702">
        <v>1348</v>
      </c>
      <c r="N702">
        <v>1009</v>
      </c>
      <c r="O702" t="s">
        <v>282</v>
      </c>
      <c r="P702" t="s">
        <v>282</v>
      </c>
      <c r="Q702">
        <v>1000</v>
      </c>
      <c r="X702">
        <v>7.1999999999999995E-2</v>
      </c>
      <c r="Y702">
        <v>17868.28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48</v>
      </c>
      <c r="AG702">
        <v>7.1999999999999995E-2</v>
      </c>
      <c r="AH702">
        <v>2</v>
      </c>
      <c r="AI702">
        <v>55748518</v>
      </c>
      <c r="AJ702">
        <v>672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ROW(Source!A264)</f>
        <v>264</v>
      </c>
      <c r="B703">
        <v>55748519</v>
      </c>
      <c r="C703">
        <v>55748514</v>
      </c>
      <c r="D703">
        <v>54702434</v>
      </c>
      <c r="E703">
        <v>1081</v>
      </c>
      <c r="F703">
        <v>1</v>
      </c>
      <c r="G703">
        <v>1081</v>
      </c>
      <c r="H703">
        <v>1</v>
      </c>
      <c r="I703" t="s">
        <v>473</v>
      </c>
      <c r="J703" t="s">
        <v>3</v>
      </c>
      <c r="K703" t="s">
        <v>474</v>
      </c>
      <c r="L703">
        <v>1191</v>
      </c>
      <c r="N703">
        <v>1013</v>
      </c>
      <c r="O703" t="s">
        <v>475</v>
      </c>
      <c r="P703" t="s">
        <v>475</v>
      </c>
      <c r="Q703">
        <v>1</v>
      </c>
      <c r="X703">
        <v>112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1</v>
      </c>
      <c r="AF703" t="s">
        <v>49</v>
      </c>
      <c r="AG703">
        <v>134.4</v>
      </c>
      <c r="AH703">
        <v>2</v>
      </c>
      <c r="AI703">
        <v>55748515</v>
      </c>
      <c r="AJ703">
        <v>673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ROW(Source!A264)</f>
        <v>264</v>
      </c>
      <c r="B704">
        <v>55748520</v>
      </c>
      <c r="C704">
        <v>55748514</v>
      </c>
      <c r="D704">
        <v>54738042</v>
      </c>
      <c r="E704">
        <v>1</v>
      </c>
      <c r="F704">
        <v>1</v>
      </c>
      <c r="G704">
        <v>1081</v>
      </c>
      <c r="H704">
        <v>3</v>
      </c>
      <c r="I704" t="s">
        <v>649</v>
      </c>
      <c r="J704" t="s">
        <v>650</v>
      </c>
      <c r="K704" t="s">
        <v>651</v>
      </c>
      <c r="L704">
        <v>1348</v>
      </c>
      <c r="N704">
        <v>1009</v>
      </c>
      <c r="O704" t="s">
        <v>282</v>
      </c>
      <c r="P704" t="s">
        <v>282</v>
      </c>
      <c r="Q704">
        <v>1000</v>
      </c>
      <c r="X704">
        <v>9.4E-2</v>
      </c>
      <c r="Y704">
        <v>7512.16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48</v>
      </c>
      <c r="AG704">
        <v>9.4E-2</v>
      </c>
      <c r="AH704">
        <v>2</v>
      </c>
      <c r="AI704">
        <v>55748516</v>
      </c>
      <c r="AJ704">
        <v>674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ROW(Source!A264)</f>
        <v>264</v>
      </c>
      <c r="B705">
        <v>55748521</v>
      </c>
      <c r="C705">
        <v>55748514</v>
      </c>
      <c r="D705">
        <v>54738519</v>
      </c>
      <c r="E705">
        <v>1</v>
      </c>
      <c r="F705">
        <v>1</v>
      </c>
      <c r="G705">
        <v>1081</v>
      </c>
      <c r="H705">
        <v>3</v>
      </c>
      <c r="I705" t="s">
        <v>652</v>
      </c>
      <c r="J705" t="s">
        <v>653</v>
      </c>
      <c r="K705" t="s">
        <v>654</v>
      </c>
      <c r="L705">
        <v>1348</v>
      </c>
      <c r="N705">
        <v>1009</v>
      </c>
      <c r="O705" t="s">
        <v>282</v>
      </c>
      <c r="P705" t="s">
        <v>282</v>
      </c>
      <c r="Q705">
        <v>1000</v>
      </c>
      <c r="X705">
        <v>2.4E-2</v>
      </c>
      <c r="Y705">
        <v>20481.349999999999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48</v>
      </c>
      <c r="AG705">
        <v>2.4E-2</v>
      </c>
      <c r="AH705">
        <v>2</v>
      </c>
      <c r="AI705">
        <v>55748517</v>
      </c>
      <c r="AJ705">
        <v>675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ROW(Source!A264)</f>
        <v>264</v>
      </c>
      <c r="B706">
        <v>55748522</v>
      </c>
      <c r="C706">
        <v>55748514</v>
      </c>
      <c r="D706">
        <v>54737318</v>
      </c>
      <c r="E706">
        <v>1</v>
      </c>
      <c r="F706">
        <v>1</v>
      </c>
      <c r="G706">
        <v>1081</v>
      </c>
      <c r="H706">
        <v>3</v>
      </c>
      <c r="I706" t="s">
        <v>526</v>
      </c>
      <c r="J706" t="s">
        <v>527</v>
      </c>
      <c r="K706" t="s">
        <v>528</v>
      </c>
      <c r="L706">
        <v>1348</v>
      </c>
      <c r="N706">
        <v>1009</v>
      </c>
      <c r="O706" t="s">
        <v>282</v>
      </c>
      <c r="P706" t="s">
        <v>282</v>
      </c>
      <c r="Q706">
        <v>1000</v>
      </c>
      <c r="X706">
        <v>7.1999999999999995E-2</v>
      </c>
      <c r="Y706">
        <v>17868.28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48</v>
      </c>
      <c r="AG706">
        <v>7.1999999999999995E-2</v>
      </c>
      <c r="AH706">
        <v>2</v>
      </c>
      <c r="AI706">
        <v>55748518</v>
      </c>
      <c r="AJ706">
        <v>676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ROW(Source!A265)</f>
        <v>265</v>
      </c>
      <c r="B707">
        <v>55748528</v>
      </c>
      <c r="C707">
        <v>55748523</v>
      </c>
      <c r="D707">
        <v>54702434</v>
      </c>
      <c r="E707">
        <v>1081</v>
      </c>
      <c r="F707">
        <v>1</v>
      </c>
      <c r="G707">
        <v>1081</v>
      </c>
      <c r="H707">
        <v>1</v>
      </c>
      <c r="I707" t="s">
        <v>473</v>
      </c>
      <c r="J707" t="s">
        <v>3</v>
      </c>
      <c r="K707" t="s">
        <v>474</v>
      </c>
      <c r="L707">
        <v>1191</v>
      </c>
      <c r="N707">
        <v>1013</v>
      </c>
      <c r="O707" t="s">
        <v>475</v>
      </c>
      <c r="P707" t="s">
        <v>475</v>
      </c>
      <c r="Q707">
        <v>1</v>
      </c>
      <c r="X707">
        <v>4.0999999999999996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 t="s">
        <v>49</v>
      </c>
      <c r="AG707">
        <v>4.919999999999999</v>
      </c>
      <c r="AH707">
        <v>2</v>
      </c>
      <c r="AI707">
        <v>55748524</v>
      </c>
      <c r="AJ707">
        <v>677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ROW(Source!A265)</f>
        <v>265</v>
      </c>
      <c r="B708">
        <v>55748529</v>
      </c>
      <c r="C708">
        <v>55748523</v>
      </c>
      <c r="D708">
        <v>54768339</v>
      </c>
      <c r="E708">
        <v>1</v>
      </c>
      <c r="F708">
        <v>1</v>
      </c>
      <c r="G708">
        <v>1081</v>
      </c>
      <c r="H708">
        <v>2</v>
      </c>
      <c r="I708" t="s">
        <v>483</v>
      </c>
      <c r="J708" t="s">
        <v>484</v>
      </c>
      <c r="K708" t="s">
        <v>485</v>
      </c>
      <c r="L708">
        <v>1368</v>
      </c>
      <c r="N708">
        <v>1011</v>
      </c>
      <c r="O708" t="s">
        <v>479</v>
      </c>
      <c r="P708" t="s">
        <v>479</v>
      </c>
      <c r="Q708">
        <v>1</v>
      </c>
      <c r="X708">
        <v>0.03</v>
      </c>
      <c r="Y708">
        <v>0</v>
      </c>
      <c r="Z708">
        <v>83.1</v>
      </c>
      <c r="AA708">
        <v>12.62</v>
      </c>
      <c r="AB708">
        <v>0</v>
      </c>
      <c r="AC708">
        <v>0</v>
      </c>
      <c r="AD708">
        <v>1</v>
      </c>
      <c r="AE708">
        <v>0</v>
      </c>
      <c r="AF708" t="s">
        <v>49</v>
      </c>
      <c r="AG708">
        <v>3.5999999999999997E-2</v>
      </c>
      <c r="AH708">
        <v>2</v>
      </c>
      <c r="AI708">
        <v>55748525</v>
      </c>
      <c r="AJ708">
        <v>678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ROW(Source!A265)</f>
        <v>265</v>
      </c>
      <c r="B709">
        <v>55748530</v>
      </c>
      <c r="C709">
        <v>55748523</v>
      </c>
      <c r="D709">
        <v>54737969</v>
      </c>
      <c r="E709">
        <v>1</v>
      </c>
      <c r="F709">
        <v>1</v>
      </c>
      <c r="G709">
        <v>1081</v>
      </c>
      <c r="H709">
        <v>3</v>
      </c>
      <c r="I709" t="s">
        <v>511</v>
      </c>
      <c r="J709" t="s">
        <v>512</v>
      </c>
      <c r="K709" t="s">
        <v>513</v>
      </c>
      <c r="L709">
        <v>1348</v>
      </c>
      <c r="N709">
        <v>1009</v>
      </c>
      <c r="O709" t="s">
        <v>282</v>
      </c>
      <c r="P709" t="s">
        <v>282</v>
      </c>
      <c r="Q709">
        <v>1000</v>
      </c>
      <c r="X709">
        <v>1.7000000000000001E-4</v>
      </c>
      <c r="Y709">
        <v>23114.43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48</v>
      </c>
      <c r="AG709">
        <v>1.7000000000000001E-4</v>
      </c>
      <c r="AH709">
        <v>2</v>
      </c>
      <c r="AI709">
        <v>55748526</v>
      </c>
      <c r="AJ709">
        <v>679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ROW(Source!A265)</f>
        <v>265</v>
      </c>
      <c r="B710">
        <v>55748531</v>
      </c>
      <c r="C710">
        <v>55748523</v>
      </c>
      <c r="D710">
        <v>54695112</v>
      </c>
      <c r="E710">
        <v>1081</v>
      </c>
      <c r="F710">
        <v>1</v>
      </c>
      <c r="G710">
        <v>1081</v>
      </c>
      <c r="H710">
        <v>3</v>
      </c>
      <c r="I710" t="s">
        <v>659</v>
      </c>
      <c r="J710" t="s">
        <v>3</v>
      </c>
      <c r="K710" t="s">
        <v>661</v>
      </c>
      <c r="L710">
        <v>1346</v>
      </c>
      <c r="N710">
        <v>1009</v>
      </c>
      <c r="O710" t="s">
        <v>503</v>
      </c>
      <c r="P710" t="s">
        <v>503</v>
      </c>
      <c r="Q710">
        <v>1</v>
      </c>
      <c r="X710">
        <v>7.1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48</v>
      </c>
      <c r="AG710">
        <v>7.1</v>
      </c>
      <c r="AH710">
        <v>3</v>
      </c>
      <c r="AI710">
        <v>-1</v>
      </c>
      <c r="AJ710" t="s">
        <v>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ROW(Source!A265)</f>
        <v>265</v>
      </c>
      <c r="B711">
        <v>55748532</v>
      </c>
      <c r="C711">
        <v>55748523</v>
      </c>
      <c r="D711">
        <v>54717889</v>
      </c>
      <c r="E711">
        <v>1081</v>
      </c>
      <c r="F711">
        <v>1</v>
      </c>
      <c r="G711">
        <v>1081</v>
      </c>
      <c r="H711">
        <v>3</v>
      </c>
      <c r="I711" t="s">
        <v>674</v>
      </c>
      <c r="J711" t="s">
        <v>3</v>
      </c>
      <c r="K711" t="s">
        <v>675</v>
      </c>
      <c r="L711">
        <v>1354</v>
      </c>
      <c r="N711">
        <v>1010</v>
      </c>
      <c r="O711" t="s">
        <v>118</v>
      </c>
      <c r="P711" t="s">
        <v>118</v>
      </c>
      <c r="Q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48</v>
      </c>
      <c r="AG711">
        <v>1</v>
      </c>
      <c r="AH711">
        <v>3</v>
      </c>
      <c r="AI711">
        <v>-1</v>
      </c>
      <c r="AJ711" t="s">
        <v>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ROW(Source!A266)</f>
        <v>266</v>
      </c>
      <c r="B712">
        <v>55748528</v>
      </c>
      <c r="C712">
        <v>55748523</v>
      </c>
      <c r="D712">
        <v>54702434</v>
      </c>
      <c r="E712">
        <v>1081</v>
      </c>
      <c r="F712">
        <v>1</v>
      </c>
      <c r="G712">
        <v>1081</v>
      </c>
      <c r="H712">
        <v>1</v>
      </c>
      <c r="I712" t="s">
        <v>473</v>
      </c>
      <c r="J712" t="s">
        <v>3</v>
      </c>
      <c r="K712" t="s">
        <v>474</v>
      </c>
      <c r="L712">
        <v>1191</v>
      </c>
      <c r="N712">
        <v>1013</v>
      </c>
      <c r="O712" t="s">
        <v>475</v>
      </c>
      <c r="P712" t="s">
        <v>475</v>
      </c>
      <c r="Q712">
        <v>1</v>
      </c>
      <c r="X712">
        <v>4.0999999999999996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1</v>
      </c>
      <c r="AF712" t="s">
        <v>49</v>
      </c>
      <c r="AG712">
        <v>4.919999999999999</v>
      </c>
      <c r="AH712">
        <v>2</v>
      </c>
      <c r="AI712">
        <v>55748524</v>
      </c>
      <c r="AJ712">
        <v>681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ROW(Source!A266)</f>
        <v>266</v>
      </c>
      <c r="B713">
        <v>55748529</v>
      </c>
      <c r="C713">
        <v>55748523</v>
      </c>
      <c r="D713">
        <v>54768339</v>
      </c>
      <c r="E713">
        <v>1</v>
      </c>
      <c r="F713">
        <v>1</v>
      </c>
      <c r="G713">
        <v>1081</v>
      </c>
      <c r="H713">
        <v>2</v>
      </c>
      <c r="I713" t="s">
        <v>483</v>
      </c>
      <c r="J713" t="s">
        <v>484</v>
      </c>
      <c r="K713" t="s">
        <v>485</v>
      </c>
      <c r="L713">
        <v>1368</v>
      </c>
      <c r="N713">
        <v>1011</v>
      </c>
      <c r="O713" t="s">
        <v>479</v>
      </c>
      <c r="P713" t="s">
        <v>479</v>
      </c>
      <c r="Q713">
        <v>1</v>
      </c>
      <c r="X713">
        <v>0.03</v>
      </c>
      <c r="Y713">
        <v>0</v>
      </c>
      <c r="Z713">
        <v>83.1</v>
      </c>
      <c r="AA713">
        <v>12.62</v>
      </c>
      <c r="AB713">
        <v>0</v>
      </c>
      <c r="AC713">
        <v>0</v>
      </c>
      <c r="AD713">
        <v>1</v>
      </c>
      <c r="AE713">
        <v>0</v>
      </c>
      <c r="AF713" t="s">
        <v>49</v>
      </c>
      <c r="AG713">
        <v>3.5999999999999997E-2</v>
      </c>
      <c r="AH713">
        <v>2</v>
      </c>
      <c r="AI713">
        <v>55748525</v>
      </c>
      <c r="AJ713">
        <v>682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ROW(Source!A266)</f>
        <v>266</v>
      </c>
      <c r="B714">
        <v>55748530</v>
      </c>
      <c r="C714">
        <v>55748523</v>
      </c>
      <c r="D714">
        <v>54737969</v>
      </c>
      <c r="E714">
        <v>1</v>
      </c>
      <c r="F714">
        <v>1</v>
      </c>
      <c r="G714">
        <v>1081</v>
      </c>
      <c r="H714">
        <v>3</v>
      </c>
      <c r="I714" t="s">
        <v>511</v>
      </c>
      <c r="J714" t="s">
        <v>512</v>
      </c>
      <c r="K714" t="s">
        <v>513</v>
      </c>
      <c r="L714">
        <v>1348</v>
      </c>
      <c r="N714">
        <v>1009</v>
      </c>
      <c r="O714" t="s">
        <v>282</v>
      </c>
      <c r="P714" t="s">
        <v>282</v>
      </c>
      <c r="Q714">
        <v>1000</v>
      </c>
      <c r="X714">
        <v>1.7000000000000001E-4</v>
      </c>
      <c r="Y714">
        <v>23114.43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48</v>
      </c>
      <c r="AG714">
        <v>1.7000000000000001E-4</v>
      </c>
      <c r="AH714">
        <v>2</v>
      </c>
      <c r="AI714">
        <v>55748526</v>
      </c>
      <c r="AJ714">
        <v>683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ROW(Source!A266)</f>
        <v>266</v>
      </c>
      <c r="B715">
        <v>55748531</v>
      </c>
      <c r="C715">
        <v>55748523</v>
      </c>
      <c r="D715">
        <v>54695112</v>
      </c>
      <c r="E715">
        <v>1081</v>
      </c>
      <c r="F715">
        <v>1</v>
      </c>
      <c r="G715">
        <v>1081</v>
      </c>
      <c r="H715">
        <v>3</v>
      </c>
      <c r="I715" t="s">
        <v>659</v>
      </c>
      <c r="J715" t="s">
        <v>3</v>
      </c>
      <c r="K715" t="s">
        <v>661</v>
      </c>
      <c r="L715">
        <v>1346</v>
      </c>
      <c r="N715">
        <v>1009</v>
      </c>
      <c r="O715" t="s">
        <v>503</v>
      </c>
      <c r="P715" t="s">
        <v>503</v>
      </c>
      <c r="Q715">
        <v>1</v>
      </c>
      <c r="X715">
        <v>7.1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48</v>
      </c>
      <c r="AG715">
        <v>7.1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ROW(Source!A266)</f>
        <v>266</v>
      </c>
      <c r="B716">
        <v>55748532</v>
      </c>
      <c r="C716">
        <v>55748523</v>
      </c>
      <c r="D716">
        <v>54717889</v>
      </c>
      <c r="E716">
        <v>1081</v>
      </c>
      <c r="F716">
        <v>1</v>
      </c>
      <c r="G716">
        <v>1081</v>
      </c>
      <c r="H716">
        <v>3</v>
      </c>
      <c r="I716" t="s">
        <v>674</v>
      </c>
      <c r="J716" t="s">
        <v>3</v>
      </c>
      <c r="K716" t="s">
        <v>675</v>
      </c>
      <c r="L716">
        <v>1354</v>
      </c>
      <c r="N716">
        <v>1010</v>
      </c>
      <c r="O716" t="s">
        <v>118</v>
      </c>
      <c r="P716" t="s">
        <v>118</v>
      </c>
      <c r="Q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48</v>
      </c>
      <c r="AG716">
        <v>1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ROW(Source!A271)</f>
        <v>271</v>
      </c>
      <c r="B717">
        <v>55748542</v>
      </c>
      <c r="C717">
        <v>55748534</v>
      </c>
      <c r="D717">
        <v>54702434</v>
      </c>
      <c r="E717">
        <v>1081</v>
      </c>
      <c r="F717">
        <v>1</v>
      </c>
      <c r="G717">
        <v>1081</v>
      </c>
      <c r="H717">
        <v>1</v>
      </c>
      <c r="I717" t="s">
        <v>473</v>
      </c>
      <c r="J717" t="s">
        <v>3</v>
      </c>
      <c r="K717" t="s">
        <v>474</v>
      </c>
      <c r="L717">
        <v>1191</v>
      </c>
      <c r="N717">
        <v>1013</v>
      </c>
      <c r="O717" t="s">
        <v>475</v>
      </c>
      <c r="P717" t="s">
        <v>475</v>
      </c>
      <c r="Q717">
        <v>1</v>
      </c>
      <c r="X717">
        <v>5.4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49</v>
      </c>
      <c r="AG717">
        <v>6.48</v>
      </c>
      <c r="AH717">
        <v>2</v>
      </c>
      <c r="AI717">
        <v>55748535</v>
      </c>
      <c r="AJ717">
        <v>685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ROW(Source!A271)</f>
        <v>271</v>
      </c>
      <c r="B718">
        <v>55748543</v>
      </c>
      <c r="C718">
        <v>55748534</v>
      </c>
      <c r="D718">
        <v>54768040</v>
      </c>
      <c r="E718">
        <v>1</v>
      </c>
      <c r="F718">
        <v>1</v>
      </c>
      <c r="G718">
        <v>1081</v>
      </c>
      <c r="H718">
        <v>2</v>
      </c>
      <c r="I718" t="s">
        <v>476</v>
      </c>
      <c r="J718" t="s">
        <v>477</v>
      </c>
      <c r="K718" t="s">
        <v>478</v>
      </c>
      <c r="L718">
        <v>1368</v>
      </c>
      <c r="N718">
        <v>1011</v>
      </c>
      <c r="O718" t="s">
        <v>479</v>
      </c>
      <c r="P718" t="s">
        <v>479</v>
      </c>
      <c r="Q718">
        <v>1</v>
      </c>
      <c r="X718">
        <v>0.9</v>
      </c>
      <c r="Y718">
        <v>0</v>
      </c>
      <c r="Z718">
        <v>7.11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49</v>
      </c>
      <c r="AG718">
        <v>1.08</v>
      </c>
      <c r="AH718">
        <v>2</v>
      </c>
      <c r="AI718">
        <v>55748536</v>
      </c>
      <c r="AJ718">
        <v>686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ROW(Source!A271)</f>
        <v>271</v>
      </c>
      <c r="B719">
        <v>55748544</v>
      </c>
      <c r="C719">
        <v>55748534</v>
      </c>
      <c r="D719">
        <v>54768339</v>
      </c>
      <c r="E719">
        <v>1</v>
      </c>
      <c r="F719">
        <v>1</v>
      </c>
      <c r="G719">
        <v>1081</v>
      </c>
      <c r="H719">
        <v>2</v>
      </c>
      <c r="I719" t="s">
        <v>483</v>
      </c>
      <c r="J719" t="s">
        <v>484</v>
      </c>
      <c r="K719" t="s">
        <v>485</v>
      </c>
      <c r="L719">
        <v>1368</v>
      </c>
      <c r="N719">
        <v>1011</v>
      </c>
      <c r="O719" t="s">
        <v>479</v>
      </c>
      <c r="P719" t="s">
        <v>479</v>
      </c>
      <c r="Q719">
        <v>1</v>
      </c>
      <c r="X719">
        <v>0.02</v>
      </c>
      <c r="Y719">
        <v>0</v>
      </c>
      <c r="Z719">
        <v>83.1</v>
      </c>
      <c r="AA719">
        <v>12.62</v>
      </c>
      <c r="AB719">
        <v>0</v>
      </c>
      <c r="AC719">
        <v>0</v>
      </c>
      <c r="AD719">
        <v>1</v>
      </c>
      <c r="AE719">
        <v>0</v>
      </c>
      <c r="AF719" t="s">
        <v>49</v>
      </c>
      <c r="AG719">
        <v>2.4E-2</v>
      </c>
      <c r="AH719">
        <v>2</v>
      </c>
      <c r="AI719">
        <v>55748537</v>
      </c>
      <c r="AJ719">
        <v>687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ROW(Source!A271)</f>
        <v>271</v>
      </c>
      <c r="B720">
        <v>55748545</v>
      </c>
      <c r="C720">
        <v>55748534</v>
      </c>
      <c r="D720">
        <v>54738518</v>
      </c>
      <c r="E720">
        <v>1</v>
      </c>
      <c r="F720">
        <v>1</v>
      </c>
      <c r="G720">
        <v>1081</v>
      </c>
      <c r="H720">
        <v>3</v>
      </c>
      <c r="I720" t="s">
        <v>493</v>
      </c>
      <c r="J720" t="s">
        <v>494</v>
      </c>
      <c r="K720" t="s">
        <v>495</v>
      </c>
      <c r="L720">
        <v>1348</v>
      </c>
      <c r="N720">
        <v>1009</v>
      </c>
      <c r="O720" t="s">
        <v>282</v>
      </c>
      <c r="P720" t="s">
        <v>282</v>
      </c>
      <c r="Q720">
        <v>1000</v>
      </c>
      <c r="X720">
        <v>4.4000000000000002E-4</v>
      </c>
      <c r="Y720">
        <v>9112.49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48</v>
      </c>
      <c r="AG720">
        <v>4.4000000000000002E-4</v>
      </c>
      <c r="AH720">
        <v>2</v>
      </c>
      <c r="AI720">
        <v>55748538</v>
      </c>
      <c r="AJ720">
        <v>688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ROW(Source!A271)</f>
        <v>271</v>
      </c>
      <c r="B721">
        <v>55748546</v>
      </c>
      <c r="C721">
        <v>55748534</v>
      </c>
      <c r="D721">
        <v>54739191</v>
      </c>
      <c r="E721">
        <v>1</v>
      </c>
      <c r="F721">
        <v>1</v>
      </c>
      <c r="G721">
        <v>1081</v>
      </c>
      <c r="H721">
        <v>3</v>
      </c>
      <c r="I721" t="s">
        <v>500</v>
      </c>
      <c r="J721" t="s">
        <v>501</v>
      </c>
      <c r="K721" t="s">
        <v>502</v>
      </c>
      <c r="L721">
        <v>1346</v>
      </c>
      <c r="N721">
        <v>1009</v>
      </c>
      <c r="O721" t="s">
        <v>503</v>
      </c>
      <c r="P721" t="s">
        <v>503</v>
      </c>
      <c r="Q721">
        <v>1</v>
      </c>
      <c r="X721">
        <v>1.0999999999999999E-2</v>
      </c>
      <c r="Y721">
        <v>6.25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48</v>
      </c>
      <c r="AG721">
        <v>1.0999999999999999E-2</v>
      </c>
      <c r="AH721">
        <v>2</v>
      </c>
      <c r="AI721">
        <v>55748539</v>
      </c>
      <c r="AJ721">
        <v>689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ROW(Source!A271)</f>
        <v>271</v>
      </c>
      <c r="B722">
        <v>55748547</v>
      </c>
      <c r="C722">
        <v>55748534</v>
      </c>
      <c r="D722">
        <v>54737565</v>
      </c>
      <c r="E722">
        <v>1</v>
      </c>
      <c r="F722">
        <v>1</v>
      </c>
      <c r="G722">
        <v>1081</v>
      </c>
      <c r="H722">
        <v>3</v>
      </c>
      <c r="I722" t="s">
        <v>504</v>
      </c>
      <c r="J722" t="s">
        <v>505</v>
      </c>
      <c r="K722" t="s">
        <v>506</v>
      </c>
      <c r="L722">
        <v>1339</v>
      </c>
      <c r="N722">
        <v>1007</v>
      </c>
      <c r="O722" t="s">
        <v>507</v>
      </c>
      <c r="P722" t="s">
        <v>507</v>
      </c>
      <c r="Q722">
        <v>1</v>
      </c>
      <c r="X722">
        <v>4.3999999999999997E-2</v>
      </c>
      <c r="Y722">
        <v>5.82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48</v>
      </c>
      <c r="AG722">
        <v>4.3999999999999997E-2</v>
      </c>
      <c r="AH722">
        <v>2</v>
      </c>
      <c r="AI722">
        <v>55748540</v>
      </c>
      <c r="AJ722">
        <v>690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ROW(Source!A271)</f>
        <v>271</v>
      </c>
      <c r="B723">
        <v>55748548</v>
      </c>
      <c r="C723">
        <v>55748534</v>
      </c>
      <c r="D723">
        <v>54717889</v>
      </c>
      <c r="E723">
        <v>1081</v>
      </c>
      <c r="F723">
        <v>1</v>
      </c>
      <c r="G723">
        <v>1081</v>
      </c>
      <c r="H723">
        <v>3</v>
      </c>
      <c r="I723" t="s">
        <v>674</v>
      </c>
      <c r="J723" t="s">
        <v>3</v>
      </c>
      <c r="K723" t="s">
        <v>675</v>
      </c>
      <c r="L723">
        <v>1354</v>
      </c>
      <c r="N723">
        <v>1010</v>
      </c>
      <c r="O723" t="s">
        <v>118</v>
      </c>
      <c r="P723" t="s">
        <v>118</v>
      </c>
      <c r="Q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48</v>
      </c>
      <c r="AG723">
        <v>1</v>
      </c>
      <c r="AH723">
        <v>3</v>
      </c>
      <c r="AI723">
        <v>-1</v>
      </c>
      <c r="AJ723" t="s">
        <v>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ROW(Source!A272)</f>
        <v>272</v>
      </c>
      <c r="B724">
        <v>55748542</v>
      </c>
      <c r="C724">
        <v>55748534</v>
      </c>
      <c r="D724">
        <v>54702434</v>
      </c>
      <c r="E724">
        <v>1081</v>
      </c>
      <c r="F724">
        <v>1</v>
      </c>
      <c r="G724">
        <v>1081</v>
      </c>
      <c r="H724">
        <v>1</v>
      </c>
      <c r="I724" t="s">
        <v>473</v>
      </c>
      <c r="J724" t="s">
        <v>3</v>
      </c>
      <c r="K724" t="s">
        <v>474</v>
      </c>
      <c r="L724">
        <v>1191</v>
      </c>
      <c r="N724">
        <v>1013</v>
      </c>
      <c r="O724" t="s">
        <v>475</v>
      </c>
      <c r="P724" t="s">
        <v>475</v>
      </c>
      <c r="Q724">
        <v>1</v>
      </c>
      <c r="X724">
        <v>5.4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49</v>
      </c>
      <c r="AG724">
        <v>6.48</v>
      </c>
      <c r="AH724">
        <v>2</v>
      </c>
      <c r="AI724">
        <v>55748535</v>
      </c>
      <c r="AJ724">
        <v>691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ROW(Source!A272)</f>
        <v>272</v>
      </c>
      <c r="B725">
        <v>55748543</v>
      </c>
      <c r="C725">
        <v>55748534</v>
      </c>
      <c r="D725">
        <v>54768040</v>
      </c>
      <c r="E725">
        <v>1</v>
      </c>
      <c r="F725">
        <v>1</v>
      </c>
      <c r="G725">
        <v>1081</v>
      </c>
      <c r="H725">
        <v>2</v>
      </c>
      <c r="I725" t="s">
        <v>476</v>
      </c>
      <c r="J725" t="s">
        <v>477</v>
      </c>
      <c r="K725" t="s">
        <v>478</v>
      </c>
      <c r="L725">
        <v>1368</v>
      </c>
      <c r="N725">
        <v>1011</v>
      </c>
      <c r="O725" t="s">
        <v>479</v>
      </c>
      <c r="P725" t="s">
        <v>479</v>
      </c>
      <c r="Q725">
        <v>1</v>
      </c>
      <c r="X725">
        <v>0.9</v>
      </c>
      <c r="Y725">
        <v>0</v>
      </c>
      <c r="Z725">
        <v>7.11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49</v>
      </c>
      <c r="AG725">
        <v>1.08</v>
      </c>
      <c r="AH725">
        <v>2</v>
      </c>
      <c r="AI725">
        <v>55748536</v>
      </c>
      <c r="AJ725">
        <v>692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ROW(Source!A272)</f>
        <v>272</v>
      </c>
      <c r="B726">
        <v>55748544</v>
      </c>
      <c r="C726">
        <v>55748534</v>
      </c>
      <c r="D726">
        <v>54768339</v>
      </c>
      <c r="E726">
        <v>1</v>
      </c>
      <c r="F726">
        <v>1</v>
      </c>
      <c r="G726">
        <v>1081</v>
      </c>
      <c r="H726">
        <v>2</v>
      </c>
      <c r="I726" t="s">
        <v>483</v>
      </c>
      <c r="J726" t="s">
        <v>484</v>
      </c>
      <c r="K726" t="s">
        <v>485</v>
      </c>
      <c r="L726">
        <v>1368</v>
      </c>
      <c r="N726">
        <v>1011</v>
      </c>
      <c r="O726" t="s">
        <v>479</v>
      </c>
      <c r="P726" t="s">
        <v>479</v>
      </c>
      <c r="Q726">
        <v>1</v>
      </c>
      <c r="X726">
        <v>0.02</v>
      </c>
      <c r="Y726">
        <v>0</v>
      </c>
      <c r="Z726">
        <v>83.1</v>
      </c>
      <c r="AA726">
        <v>12.62</v>
      </c>
      <c r="AB726">
        <v>0</v>
      </c>
      <c r="AC726">
        <v>0</v>
      </c>
      <c r="AD726">
        <v>1</v>
      </c>
      <c r="AE726">
        <v>0</v>
      </c>
      <c r="AF726" t="s">
        <v>49</v>
      </c>
      <c r="AG726">
        <v>2.4E-2</v>
      </c>
      <c r="AH726">
        <v>2</v>
      </c>
      <c r="AI726">
        <v>55748537</v>
      </c>
      <c r="AJ726">
        <v>693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ROW(Source!A272)</f>
        <v>272</v>
      </c>
      <c r="B727">
        <v>55748545</v>
      </c>
      <c r="C727">
        <v>55748534</v>
      </c>
      <c r="D727">
        <v>54738518</v>
      </c>
      <c r="E727">
        <v>1</v>
      </c>
      <c r="F727">
        <v>1</v>
      </c>
      <c r="G727">
        <v>1081</v>
      </c>
      <c r="H727">
        <v>3</v>
      </c>
      <c r="I727" t="s">
        <v>493</v>
      </c>
      <c r="J727" t="s">
        <v>494</v>
      </c>
      <c r="K727" t="s">
        <v>495</v>
      </c>
      <c r="L727">
        <v>1348</v>
      </c>
      <c r="N727">
        <v>1009</v>
      </c>
      <c r="O727" t="s">
        <v>282</v>
      </c>
      <c r="P727" t="s">
        <v>282</v>
      </c>
      <c r="Q727">
        <v>1000</v>
      </c>
      <c r="X727">
        <v>4.4000000000000002E-4</v>
      </c>
      <c r="Y727">
        <v>9112.49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48</v>
      </c>
      <c r="AG727">
        <v>4.4000000000000002E-4</v>
      </c>
      <c r="AH727">
        <v>2</v>
      </c>
      <c r="AI727">
        <v>55748538</v>
      </c>
      <c r="AJ727">
        <v>694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ROW(Source!A272)</f>
        <v>272</v>
      </c>
      <c r="B728">
        <v>55748546</v>
      </c>
      <c r="C728">
        <v>55748534</v>
      </c>
      <c r="D728">
        <v>54739191</v>
      </c>
      <c r="E728">
        <v>1</v>
      </c>
      <c r="F728">
        <v>1</v>
      </c>
      <c r="G728">
        <v>1081</v>
      </c>
      <c r="H728">
        <v>3</v>
      </c>
      <c r="I728" t="s">
        <v>500</v>
      </c>
      <c r="J728" t="s">
        <v>501</v>
      </c>
      <c r="K728" t="s">
        <v>502</v>
      </c>
      <c r="L728">
        <v>1346</v>
      </c>
      <c r="N728">
        <v>1009</v>
      </c>
      <c r="O728" t="s">
        <v>503</v>
      </c>
      <c r="P728" t="s">
        <v>503</v>
      </c>
      <c r="Q728">
        <v>1</v>
      </c>
      <c r="X728">
        <v>1.0999999999999999E-2</v>
      </c>
      <c r="Y728">
        <v>6.25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48</v>
      </c>
      <c r="AG728">
        <v>1.0999999999999999E-2</v>
      </c>
      <c r="AH728">
        <v>2</v>
      </c>
      <c r="AI728">
        <v>55748539</v>
      </c>
      <c r="AJ728">
        <v>695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ROW(Source!A272)</f>
        <v>272</v>
      </c>
      <c r="B729">
        <v>55748547</v>
      </c>
      <c r="C729">
        <v>55748534</v>
      </c>
      <c r="D729">
        <v>54737565</v>
      </c>
      <c r="E729">
        <v>1</v>
      </c>
      <c r="F729">
        <v>1</v>
      </c>
      <c r="G729">
        <v>1081</v>
      </c>
      <c r="H729">
        <v>3</v>
      </c>
      <c r="I729" t="s">
        <v>504</v>
      </c>
      <c r="J729" t="s">
        <v>505</v>
      </c>
      <c r="K729" t="s">
        <v>506</v>
      </c>
      <c r="L729">
        <v>1339</v>
      </c>
      <c r="N729">
        <v>1007</v>
      </c>
      <c r="O729" t="s">
        <v>507</v>
      </c>
      <c r="P729" t="s">
        <v>507</v>
      </c>
      <c r="Q729">
        <v>1</v>
      </c>
      <c r="X729">
        <v>4.3999999999999997E-2</v>
      </c>
      <c r="Y729">
        <v>5.82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48</v>
      </c>
      <c r="AG729">
        <v>4.3999999999999997E-2</v>
      </c>
      <c r="AH729">
        <v>2</v>
      </c>
      <c r="AI729">
        <v>55748540</v>
      </c>
      <c r="AJ729">
        <v>696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ROW(Source!A272)</f>
        <v>272</v>
      </c>
      <c r="B730">
        <v>55748548</v>
      </c>
      <c r="C730">
        <v>55748534</v>
      </c>
      <c r="D730">
        <v>54717889</v>
      </c>
      <c r="E730">
        <v>1081</v>
      </c>
      <c r="F730">
        <v>1</v>
      </c>
      <c r="G730">
        <v>1081</v>
      </c>
      <c r="H730">
        <v>3</v>
      </c>
      <c r="I730" t="s">
        <v>674</v>
      </c>
      <c r="J730" t="s">
        <v>3</v>
      </c>
      <c r="K730" t="s">
        <v>675</v>
      </c>
      <c r="L730">
        <v>1354</v>
      </c>
      <c r="N730">
        <v>1010</v>
      </c>
      <c r="O730" t="s">
        <v>118</v>
      </c>
      <c r="P730" t="s">
        <v>118</v>
      </c>
      <c r="Q730">
        <v>1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48</v>
      </c>
      <c r="AG730">
        <v>1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ROW(Source!A273)</f>
        <v>273</v>
      </c>
      <c r="B731">
        <v>55748556</v>
      </c>
      <c r="C731">
        <v>55748550</v>
      </c>
      <c r="D731">
        <v>54702434</v>
      </c>
      <c r="E731">
        <v>1081</v>
      </c>
      <c r="F731">
        <v>1</v>
      </c>
      <c r="G731">
        <v>1081</v>
      </c>
      <c r="H731">
        <v>1</v>
      </c>
      <c r="I731" t="s">
        <v>473</v>
      </c>
      <c r="J731" t="s">
        <v>3</v>
      </c>
      <c r="K731" t="s">
        <v>474</v>
      </c>
      <c r="L731">
        <v>1191</v>
      </c>
      <c r="N731">
        <v>1013</v>
      </c>
      <c r="O731" t="s">
        <v>475</v>
      </c>
      <c r="P731" t="s">
        <v>475</v>
      </c>
      <c r="Q731">
        <v>1</v>
      </c>
      <c r="X731">
        <v>0.3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49</v>
      </c>
      <c r="AG731">
        <v>0.36</v>
      </c>
      <c r="AH731">
        <v>2</v>
      </c>
      <c r="AI731">
        <v>55748551</v>
      </c>
      <c r="AJ731">
        <v>697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ROW(Source!A273)</f>
        <v>273</v>
      </c>
      <c r="B732">
        <v>55748557</v>
      </c>
      <c r="C732">
        <v>55748550</v>
      </c>
      <c r="D732">
        <v>54758097</v>
      </c>
      <c r="E732">
        <v>1</v>
      </c>
      <c r="F732">
        <v>1</v>
      </c>
      <c r="G732">
        <v>1081</v>
      </c>
      <c r="H732">
        <v>3</v>
      </c>
      <c r="I732" t="s">
        <v>643</v>
      </c>
      <c r="J732" t="s">
        <v>644</v>
      </c>
      <c r="K732" t="s">
        <v>645</v>
      </c>
      <c r="L732">
        <v>1346</v>
      </c>
      <c r="N732">
        <v>1009</v>
      </c>
      <c r="O732" t="s">
        <v>503</v>
      </c>
      <c r="P732" t="s">
        <v>503</v>
      </c>
      <c r="Q732">
        <v>1</v>
      </c>
      <c r="X732">
        <v>4.2000000000000003E-2</v>
      </c>
      <c r="Y732">
        <v>19.28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48</v>
      </c>
      <c r="AG732">
        <v>4.2000000000000003E-2</v>
      </c>
      <c r="AH732">
        <v>2</v>
      </c>
      <c r="AI732">
        <v>55748552</v>
      </c>
      <c r="AJ732">
        <v>698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ROW(Source!A273)</f>
        <v>273</v>
      </c>
      <c r="B733">
        <v>55748558</v>
      </c>
      <c r="C733">
        <v>55748550</v>
      </c>
      <c r="D733">
        <v>54719062</v>
      </c>
      <c r="E733">
        <v>1081</v>
      </c>
      <c r="F733">
        <v>1</v>
      </c>
      <c r="G733">
        <v>1081</v>
      </c>
      <c r="H733">
        <v>3</v>
      </c>
      <c r="I733" t="s">
        <v>672</v>
      </c>
      <c r="J733" t="s">
        <v>3</v>
      </c>
      <c r="K733" t="s">
        <v>701</v>
      </c>
      <c r="L733">
        <v>1354</v>
      </c>
      <c r="N733">
        <v>1010</v>
      </c>
      <c r="O733" t="s">
        <v>118</v>
      </c>
      <c r="P733" t="s">
        <v>118</v>
      </c>
      <c r="Q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48</v>
      </c>
      <c r="AG733">
        <v>1</v>
      </c>
      <c r="AH733">
        <v>3</v>
      </c>
      <c r="AI733">
        <v>-1</v>
      </c>
      <c r="AJ733" t="s">
        <v>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ROW(Source!A273)</f>
        <v>273</v>
      </c>
      <c r="B734">
        <v>55748559</v>
      </c>
      <c r="C734">
        <v>55748550</v>
      </c>
      <c r="D734">
        <v>54702420</v>
      </c>
      <c r="E734">
        <v>1081</v>
      </c>
      <c r="F734">
        <v>1</v>
      </c>
      <c r="G734">
        <v>1081</v>
      </c>
      <c r="H734">
        <v>3</v>
      </c>
      <c r="I734" t="s">
        <v>655</v>
      </c>
      <c r="J734" t="s">
        <v>3</v>
      </c>
      <c r="K734" t="s">
        <v>656</v>
      </c>
      <c r="L734">
        <v>1348</v>
      </c>
      <c r="N734">
        <v>1009</v>
      </c>
      <c r="O734" t="s">
        <v>282</v>
      </c>
      <c r="P734" t="s">
        <v>282</v>
      </c>
      <c r="Q734">
        <v>1000</v>
      </c>
      <c r="X734">
        <v>1.5E-3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48</v>
      </c>
      <c r="AG734">
        <v>1.5E-3</v>
      </c>
      <c r="AH734">
        <v>2</v>
      </c>
      <c r="AI734">
        <v>55748553</v>
      </c>
      <c r="AJ734">
        <v>699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ROW(Source!A274)</f>
        <v>274</v>
      </c>
      <c r="B735">
        <v>55748556</v>
      </c>
      <c r="C735">
        <v>55748550</v>
      </c>
      <c r="D735">
        <v>54702434</v>
      </c>
      <c r="E735">
        <v>1081</v>
      </c>
      <c r="F735">
        <v>1</v>
      </c>
      <c r="G735">
        <v>1081</v>
      </c>
      <c r="H735">
        <v>1</v>
      </c>
      <c r="I735" t="s">
        <v>473</v>
      </c>
      <c r="J735" t="s">
        <v>3</v>
      </c>
      <c r="K735" t="s">
        <v>474</v>
      </c>
      <c r="L735">
        <v>1191</v>
      </c>
      <c r="N735">
        <v>1013</v>
      </c>
      <c r="O735" t="s">
        <v>475</v>
      </c>
      <c r="P735" t="s">
        <v>475</v>
      </c>
      <c r="Q735">
        <v>1</v>
      </c>
      <c r="X735">
        <v>0.3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49</v>
      </c>
      <c r="AG735">
        <v>0.36</v>
      </c>
      <c r="AH735">
        <v>2</v>
      </c>
      <c r="AI735">
        <v>55748551</v>
      </c>
      <c r="AJ735">
        <v>701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ROW(Source!A274)</f>
        <v>274</v>
      </c>
      <c r="B736">
        <v>55748557</v>
      </c>
      <c r="C736">
        <v>55748550</v>
      </c>
      <c r="D736">
        <v>54758097</v>
      </c>
      <c r="E736">
        <v>1</v>
      </c>
      <c r="F736">
        <v>1</v>
      </c>
      <c r="G736">
        <v>1081</v>
      </c>
      <c r="H736">
        <v>3</v>
      </c>
      <c r="I736" t="s">
        <v>643</v>
      </c>
      <c r="J736" t="s">
        <v>644</v>
      </c>
      <c r="K736" t="s">
        <v>645</v>
      </c>
      <c r="L736">
        <v>1346</v>
      </c>
      <c r="N736">
        <v>1009</v>
      </c>
      <c r="O736" t="s">
        <v>503</v>
      </c>
      <c r="P736" t="s">
        <v>503</v>
      </c>
      <c r="Q736">
        <v>1</v>
      </c>
      <c r="X736">
        <v>4.2000000000000003E-2</v>
      </c>
      <c r="Y736">
        <v>19.28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48</v>
      </c>
      <c r="AG736">
        <v>4.2000000000000003E-2</v>
      </c>
      <c r="AH736">
        <v>2</v>
      </c>
      <c r="AI736">
        <v>55748552</v>
      </c>
      <c r="AJ736">
        <v>702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ROW(Source!A274)</f>
        <v>274</v>
      </c>
      <c r="B737">
        <v>55748558</v>
      </c>
      <c r="C737">
        <v>55748550</v>
      </c>
      <c r="D737">
        <v>54719062</v>
      </c>
      <c r="E737">
        <v>1081</v>
      </c>
      <c r="F737">
        <v>1</v>
      </c>
      <c r="G737">
        <v>1081</v>
      </c>
      <c r="H737">
        <v>3</v>
      </c>
      <c r="I737" t="s">
        <v>672</v>
      </c>
      <c r="J737" t="s">
        <v>3</v>
      </c>
      <c r="K737" t="s">
        <v>701</v>
      </c>
      <c r="L737">
        <v>1354</v>
      </c>
      <c r="N737">
        <v>1010</v>
      </c>
      <c r="O737" t="s">
        <v>118</v>
      </c>
      <c r="P737" t="s">
        <v>118</v>
      </c>
      <c r="Q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48</v>
      </c>
      <c r="AG737">
        <v>1</v>
      </c>
      <c r="AH737">
        <v>3</v>
      </c>
      <c r="AI737">
        <v>-1</v>
      </c>
      <c r="AJ737" t="s">
        <v>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ROW(Source!A274)</f>
        <v>274</v>
      </c>
      <c r="B738">
        <v>55748559</v>
      </c>
      <c r="C738">
        <v>55748550</v>
      </c>
      <c r="D738">
        <v>54702420</v>
      </c>
      <c r="E738">
        <v>1081</v>
      </c>
      <c r="F738">
        <v>1</v>
      </c>
      <c r="G738">
        <v>1081</v>
      </c>
      <c r="H738">
        <v>3</v>
      </c>
      <c r="I738" t="s">
        <v>655</v>
      </c>
      <c r="J738" t="s">
        <v>3</v>
      </c>
      <c r="K738" t="s">
        <v>656</v>
      </c>
      <c r="L738">
        <v>1348</v>
      </c>
      <c r="N738">
        <v>1009</v>
      </c>
      <c r="O738" t="s">
        <v>282</v>
      </c>
      <c r="P738" t="s">
        <v>282</v>
      </c>
      <c r="Q738">
        <v>1000</v>
      </c>
      <c r="X738">
        <v>1.5E-3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48</v>
      </c>
      <c r="AG738">
        <v>1.5E-3</v>
      </c>
      <c r="AH738">
        <v>2</v>
      </c>
      <c r="AI738">
        <v>55748553</v>
      </c>
      <c r="AJ738">
        <v>703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ROW(Source!A281)</f>
        <v>281</v>
      </c>
      <c r="B739">
        <v>57263939</v>
      </c>
      <c r="C739">
        <v>55748563</v>
      </c>
      <c r="D739">
        <v>54702434</v>
      </c>
      <c r="E739">
        <v>1081</v>
      </c>
      <c r="F739">
        <v>1</v>
      </c>
      <c r="G739">
        <v>1081</v>
      </c>
      <c r="H739">
        <v>1</v>
      </c>
      <c r="I739" t="s">
        <v>473</v>
      </c>
      <c r="J739" t="s">
        <v>3</v>
      </c>
      <c r="K739" t="s">
        <v>474</v>
      </c>
      <c r="L739">
        <v>1191</v>
      </c>
      <c r="N739">
        <v>1013</v>
      </c>
      <c r="O739" t="s">
        <v>475</v>
      </c>
      <c r="P739" t="s">
        <v>475</v>
      </c>
      <c r="Q739">
        <v>1</v>
      </c>
      <c r="X739">
        <v>5.31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1</v>
      </c>
      <c r="AF739" t="s">
        <v>40</v>
      </c>
      <c r="AG739">
        <v>7.3277999999999981</v>
      </c>
      <c r="AH739">
        <v>2</v>
      </c>
      <c r="AI739">
        <v>57263939</v>
      </c>
      <c r="AJ739">
        <v>705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ROW(Source!A281)</f>
        <v>281</v>
      </c>
      <c r="B740">
        <v>57263940</v>
      </c>
      <c r="C740">
        <v>55748563</v>
      </c>
      <c r="D740">
        <v>54767939</v>
      </c>
      <c r="E740">
        <v>1</v>
      </c>
      <c r="F740">
        <v>1</v>
      </c>
      <c r="G740">
        <v>1081</v>
      </c>
      <c r="H740">
        <v>2</v>
      </c>
      <c r="I740" t="s">
        <v>604</v>
      </c>
      <c r="J740" t="s">
        <v>605</v>
      </c>
      <c r="K740" t="s">
        <v>606</v>
      </c>
      <c r="L740">
        <v>1368</v>
      </c>
      <c r="N740">
        <v>1011</v>
      </c>
      <c r="O740" t="s">
        <v>479</v>
      </c>
      <c r="P740" t="s">
        <v>479</v>
      </c>
      <c r="Q740">
        <v>1</v>
      </c>
      <c r="X740">
        <v>1.1200000000000001</v>
      </c>
      <c r="Y740">
        <v>0</v>
      </c>
      <c r="Z740">
        <v>10.4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39</v>
      </c>
      <c r="AG740">
        <v>1.6800000000000002</v>
      </c>
      <c r="AH740">
        <v>2</v>
      </c>
      <c r="AI740">
        <v>57263940</v>
      </c>
      <c r="AJ740">
        <v>706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ROW(Source!A281)</f>
        <v>281</v>
      </c>
      <c r="B741">
        <v>57263941</v>
      </c>
      <c r="C741">
        <v>55748563</v>
      </c>
      <c r="D741">
        <v>54768339</v>
      </c>
      <c r="E741">
        <v>1</v>
      </c>
      <c r="F741">
        <v>1</v>
      </c>
      <c r="G741">
        <v>1081</v>
      </c>
      <c r="H741">
        <v>2</v>
      </c>
      <c r="I741" t="s">
        <v>483</v>
      </c>
      <c r="J741" t="s">
        <v>484</v>
      </c>
      <c r="K741" t="s">
        <v>485</v>
      </c>
      <c r="L741">
        <v>1368</v>
      </c>
      <c r="N741">
        <v>1011</v>
      </c>
      <c r="O741" t="s">
        <v>479</v>
      </c>
      <c r="P741" t="s">
        <v>479</v>
      </c>
      <c r="Q741">
        <v>1</v>
      </c>
      <c r="X741">
        <v>0.01</v>
      </c>
      <c r="Y741">
        <v>0</v>
      </c>
      <c r="Z741">
        <v>83.1</v>
      </c>
      <c r="AA741">
        <v>12.62</v>
      </c>
      <c r="AB741">
        <v>0</v>
      </c>
      <c r="AC741">
        <v>0</v>
      </c>
      <c r="AD741">
        <v>1</v>
      </c>
      <c r="AE741">
        <v>0</v>
      </c>
      <c r="AF741" t="s">
        <v>39</v>
      </c>
      <c r="AG741">
        <v>1.4999999999999999E-2</v>
      </c>
      <c r="AH741">
        <v>2</v>
      </c>
      <c r="AI741">
        <v>57263941</v>
      </c>
      <c r="AJ741">
        <v>707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ROW(Source!A281)</f>
        <v>281</v>
      </c>
      <c r="B742">
        <v>57263942</v>
      </c>
      <c r="C742">
        <v>55748563</v>
      </c>
      <c r="D742">
        <v>54767643</v>
      </c>
      <c r="E742">
        <v>1</v>
      </c>
      <c r="F742">
        <v>1</v>
      </c>
      <c r="G742">
        <v>1081</v>
      </c>
      <c r="H742">
        <v>2</v>
      </c>
      <c r="I742" t="s">
        <v>607</v>
      </c>
      <c r="J742" t="s">
        <v>608</v>
      </c>
      <c r="K742" t="s">
        <v>609</v>
      </c>
      <c r="L742">
        <v>1368</v>
      </c>
      <c r="N742">
        <v>1011</v>
      </c>
      <c r="O742" t="s">
        <v>479</v>
      </c>
      <c r="P742" t="s">
        <v>479</v>
      </c>
      <c r="Q742">
        <v>1</v>
      </c>
      <c r="X742">
        <v>0.01</v>
      </c>
      <c r="Y742">
        <v>0</v>
      </c>
      <c r="Z742">
        <v>114.83</v>
      </c>
      <c r="AA742">
        <v>12.62</v>
      </c>
      <c r="AB742">
        <v>0</v>
      </c>
      <c r="AC742">
        <v>0</v>
      </c>
      <c r="AD742">
        <v>1</v>
      </c>
      <c r="AE742">
        <v>0</v>
      </c>
      <c r="AF742" t="s">
        <v>39</v>
      </c>
      <c r="AG742">
        <v>1.4999999999999999E-2</v>
      </c>
      <c r="AH742">
        <v>2</v>
      </c>
      <c r="AI742">
        <v>57263942</v>
      </c>
      <c r="AJ742">
        <v>708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ROW(Source!A281)</f>
        <v>281</v>
      </c>
      <c r="B743">
        <v>57263943</v>
      </c>
      <c r="C743">
        <v>55748563</v>
      </c>
      <c r="D743">
        <v>54767655</v>
      </c>
      <c r="E743">
        <v>1</v>
      </c>
      <c r="F743">
        <v>1</v>
      </c>
      <c r="G743">
        <v>1081</v>
      </c>
      <c r="H743">
        <v>2</v>
      </c>
      <c r="I743" t="s">
        <v>610</v>
      </c>
      <c r="J743" t="s">
        <v>611</v>
      </c>
      <c r="K743" t="s">
        <v>612</v>
      </c>
      <c r="L743">
        <v>1368</v>
      </c>
      <c r="N743">
        <v>1011</v>
      </c>
      <c r="O743" t="s">
        <v>479</v>
      </c>
      <c r="P743" t="s">
        <v>479</v>
      </c>
      <c r="Q743">
        <v>1</v>
      </c>
      <c r="X743">
        <v>0.01</v>
      </c>
      <c r="Y743">
        <v>0</v>
      </c>
      <c r="Z743">
        <v>0.77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39</v>
      </c>
      <c r="AG743">
        <v>1.4999999999999999E-2</v>
      </c>
      <c r="AH743">
        <v>2</v>
      </c>
      <c r="AI743">
        <v>57263943</v>
      </c>
      <c r="AJ743">
        <v>709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ROW(Source!A281)</f>
        <v>281</v>
      </c>
      <c r="B744">
        <v>57263944</v>
      </c>
      <c r="C744">
        <v>55748563</v>
      </c>
      <c r="D744">
        <v>54737642</v>
      </c>
      <c r="E744">
        <v>1</v>
      </c>
      <c r="F744">
        <v>1</v>
      </c>
      <c r="G744">
        <v>1081</v>
      </c>
      <c r="H744">
        <v>3</v>
      </c>
      <c r="I744" t="s">
        <v>613</v>
      </c>
      <c r="J744" t="s">
        <v>614</v>
      </c>
      <c r="K744" t="s">
        <v>615</v>
      </c>
      <c r="L744">
        <v>1348</v>
      </c>
      <c r="N744">
        <v>1009</v>
      </c>
      <c r="O744" t="s">
        <v>282</v>
      </c>
      <c r="P744" t="s">
        <v>282</v>
      </c>
      <c r="Q744">
        <v>1000</v>
      </c>
      <c r="X744">
        <v>1.5E-3</v>
      </c>
      <c r="Y744">
        <v>6290.61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38</v>
      </c>
      <c r="AG744">
        <v>1.5E-3</v>
      </c>
      <c r="AH744">
        <v>2</v>
      </c>
      <c r="AI744">
        <v>57263944</v>
      </c>
      <c r="AJ744">
        <v>711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ROW(Source!A281)</f>
        <v>281</v>
      </c>
      <c r="B745">
        <v>57263945</v>
      </c>
      <c r="C745">
        <v>55748563</v>
      </c>
      <c r="D745">
        <v>54707280</v>
      </c>
      <c r="E745">
        <v>1081</v>
      </c>
      <c r="F745">
        <v>1</v>
      </c>
      <c r="G745">
        <v>1081</v>
      </c>
      <c r="H745">
        <v>3</v>
      </c>
      <c r="I745" t="s">
        <v>685</v>
      </c>
      <c r="J745" t="s">
        <v>3</v>
      </c>
      <c r="K745" t="s">
        <v>686</v>
      </c>
      <c r="L745">
        <v>1348</v>
      </c>
      <c r="N745">
        <v>1009</v>
      </c>
      <c r="O745" t="s">
        <v>282</v>
      </c>
      <c r="P745" t="s">
        <v>282</v>
      </c>
      <c r="Q745">
        <v>1000</v>
      </c>
      <c r="X745">
        <v>8.9999999999999993E-3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38</v>
      </c>
      <c r="AG745">
        <v>8.9999999999999993E-3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ROW(Source!A282)</f>
        <v>282</v>
      </c>
      <c r="B746">
        <v>57263939</v>
      </c>
      <c r="C746">
        <v>55748563</v>
      </c>
      <c r="D746">
        <v>54702434</v>
      </c>
      <c r="E746">
        <v>1081</v>
      </c>
      <c r="F746">
        <v>1</v>
      </c>
      <c r="G746">
        <v>1081</v>
      </c>
      <c r="H746">
        <v>1</v>
      </c>
      <c r="I746" t="s">
        <v>473</v>
      </c>
      <c r="J746" t="s">
        <v>3</v>
      </c>
      <c r="K746" t="s">
        <v>474</v>
      </c>
      <c r="L746">
        <v>1191</v>
      </c>
      <c r="N746">
        <v>1013</v>
      </c>
      <c r="O746" t="s">
        <v>475</v>
      </c>
      <c r="P746" t="s">
        <v>475</v>
      </c>
      <c r="Q746">
        <v>1</v>
      </c>
      <c r="X746">
        <v>5.31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 t="s">
        <v>40</v>
      </c>
      <c r="AG746">
        <v>7.3277999999999981</v>
      </c>
      <c r="AH746">
        <v>2</v>
      </c>
      <c r="AI746">
        <v>57263939</v>
      </c>
      <c r="AJ746">
        <v>712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ROW(Source!A282)</f>
        <v>282</v>
      </c>
      <c r="B747">
        <v>57263940</v>
      </c>
      <c r="C747">
        <v>55748563</v>
      </c>
      <c r="D747">
        <v>54767939</v>
      </c>
      <c r="E747">
        <v>1</v>
      </c>
      <c r="F747">
        <v>1</v>
      </c>
      <c r="G747">
        <v>1081</v>
      </c>
      <c r="H747">
        <v>2</v>
      </c>
      <c r="I747" t="s">
        <v>604</v>
      </c>
      <c r="J747" t="s">
        <v>605</v>
      </c>
      <c r="K747" t="s">
        <v>606</v>
      </c>
      <c r="L747">
        <v>1368</v>
      </c>
      <c r="N747">
        <v>1011</v>
      </c>
      <c r="O747" t="s">
        <v>479</v>
      </c>
      <c r="P747" t="s">
        <v>479</v>
      </c>
      <c r="Q747">
        <v>1</v>
      </c>
      <c r="X747">
        <v>1.1200000000000001</v>
      </c>
      <c r="Y747">
        <v>0</v>
      </c>
      <c r="Z747">
        <v>10.4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39</v>
      </c>
      <c r="AG747">
        <v>1.6800000000000002</v>
      </c>
      <c r="AH747">
        <v>2</v>
      </c>
      <c r="AI747">
        <v>57263940</v>
      </c>
      <c r="AJ747">
        <v>713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ROW(Source!A282)</f>
        <v>282</v>
      </c>
      <c r="B748">
        <v>57263941</v>
      </c>
      <c r="C748">
        <v>55748563</v>
      </c>
      <c r="D748">
        <v>54768339</v>
      </c>
      <c r="E748">
        <v>1</v>
      </c>
      <c r="F748">
        <v>1</v>
      </c>
      <c r="G748">
        <v>1081</v>
      </c>
      <c r="H748">
        <v>2</v>
      </c>
      <c r="I748" t="s">
        <v>483</v>
      </c>
      <c r="J748" t="s">
        <v>484</v>
      </c>
      <c r="K748" t="s">
        <v>485</v>
      </c>
      <c r="L748">
        <v>1368</v>
      </c>
      <c r="N748">
        <v>1011</v>
      </c>
      <c r="O748" t="s">
        <v>479</v>
      </c>
      <c r="P748" t="s">
        <v>479</v>
      </c>
      <c r="Q748">
        <v>1</v>
      </c>
      <c r="X748">
        <v>0.01</v>
      </c>
      <c r="Y748">
        <v>0</v>
      </c>
      <c r="Z748">
        <v>83.1</v>
      </c>
      <c r="AA748">
        <v>12.62</v>
      </c>
      <c r="AB748">
        <v>0</v>
      </c>
      <c r="AC748">
        <v>0</v>
      </c>
      <c r="AD748">
        <v>1</v>
      </c>
      <c r="AE748">
        <v>0</v>
      </c>
      <c r="AF748" t="s">
        <v>39</v>
      </c>
      <c r="AG748">
        <v>1.4999999999999999E-2</v>
      </c>
      <c r="AH748">
        <v>2</v>
      </c>
      <c r="AI748">
        <v>57263941</v>
      </c>
      <c r="AJ748">
        <v>714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ROW(Source!A282)</f>
        <v>282</v>
      </c>
      <c r="B749">
        <v>57263942</v>
      </c>
      <c r="C749">
        <v>55748563</v>
      </c>
      <c r="D749">
        <v>54767643</v>
      </c>
      <c r="E749">
        <v>1</v>
      </c>
      <c r="F749">
        <v>1</v>
      </c>
      <c r="G749">
        <v>1081</v>
      </c>
      <c r="H749">
        <v>2</v>
      </c>
      <c r="I749" t="s">
        <v>607</v>
      </c>
      <c r="J749" t="s">
        <v>608</v>
      </c>
      <c r="K749" t="s">
        <v>609</v>
      </c>
      <c r="L749">
        <v>1368</v>
      </c>
      <c r="N749">
        <v>1011</v>
      </c>
      <c r="O749" t="s">
        <v>479</v>
      </c>
      <c r="P749" t="s">
        <v>479</v>
      </c>
      <c r="Q749">
        <v>1</v>
      </c>
      <c r="X749">
        <v>0.01</v>
      </c>
      <c r="Y749">
        <v>0</v>
      </c>
      <c r="Z749">
        <v>114.83</v>
      </c>
      <c r="AA749">
        <v>12.62</v>
      </c>
      <c r="AB749">
        <v>0</v>
      </c>
      <c r="AC749">
        <v>0</v>
      </c>
      <c r="AD749">
        <v>1</v>
      </c>
      <c r="AE749">
        <v>0</v>
      </c>
      <c r="AF749" t="s">
        <v>39</v>
      </c>
      <c r="AG749">
        <v>1.4999999999999999E-2</v>
      </c>
      <c r="AH749">
        <v>2</v>
      </c>
      <c r="AI749">
        <v>57263942</v>
      </c>
      <c r="AJ749">
        <v>715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ROW(Source!A282)</f>
        <v>282</v>
      </c>
      <c r="B750">
        <v>57263943</v>
      </c>
      <c r="C750">
        <v>55748563</v>
      </c>
      <c r="D750">
        <v>54767655</v>
      </c>
      <c r="E750">
        <v>1</v>
      </c>
      <c r="F750">
        <v>1</v>
      </c>
      <c r="G750">
        <v>1081</v>
      </c>
      <c r="H750">
        <v>2</v>
      </c>
      <c r="I750" t="s">
        <v>610</v>
      </c>
      <c r="J750" t="s">
        <v>611</v>
      </c>
      <c r="K750" t="s">
        <v>612</v>
      </c>
      <c r="L750">
        <v>1368</v>
      </c>
      <c r="N750">
        <v>1011</v>
      </c>
      <c r="O750" t="s">
        <v>479</v>
      </c>
      <c r="P750" t="s">
        <v>479</v>
      </c>
      <c r="Q750">
        <v>1</v>
      </c>
      <c r="X750">
        <v>0.01</v>
      </c>
      <c r="Y750">
        <v>0</v>
      </c>
      <c r="Z750">
        <v>0.77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39</v>
      </c>
      <c r="AG750">
        <v>1.4999999999999999E-2</v>
      </c>
      <c r="AH750">
        <v>2</v>
      </c>
      <c r="AI750">
        <v>57263943</v>
      </c>
      <c r="AJ750">
        <v>716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ROW(Source!A282)</f>
        <v>282</v>
      </c>
      <c r="B751">
        <v>57263944</v>
      </c>
      <c r="C751">
        <v>55748563</v>
      </c>
      <c r="D751">
        <v>54737642</v>
      </c>
      <c r="E751">
        <v>1</v>
      </c>
      <c r="F751">
        <v>1</v>
      </c>
      <c r="G751">
        <v>1081</v>
      </c>
      <c r="H751">
        <v>3</v>
      </c>
      <c r="I751" t="s">
        <v>613</v>
      </c>
      <c r="J751" t="s">
        <v>614</v>
      </c>
      <c r="K751" t="s">
        <v>615</v>
      </c>
      <c r="L751">
        <v>1348</v>
      </c>
      <c r="N751">
        <v>1009</v>
      </c>
      <c r="O751" t="s">
        <v>282</v>
      </c>
      <c r="P751" t="s">
        <v>282</v>
      </c>
      <c r="Q751">
        <v>1000</v>
      </c>
      <c r="X751">
        <v>1.5E-3</v>
      </c>
      <c r="Y751">
        <v>6290.61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38</v>
      </c>
      <c r="AG751">
        <v>1.5E-3</v>
      </c>
      <c r="AH751">
        <v>2</v>
      </c>
      <c r="AI751">
        <v>57263944</v>
      </c>
      <c r="AJ751">
        <v>718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ROW(Source!A282)</f>
        <v>282</v>
      </c>
      <c r="B752">
        <v>57263945</v>
      </c>
      <c r="C752">
        <v>55748563</v>
      </c>
      <c r="D752">
        <v>54707280</v>
      </c>
      <c r="E752">
        <v>1081</v>
      </c>
      <c r="F752">
        <v>1</v>
      </c>
      <c r="G752">
        <v>1081</v>
      </c>
      <c r="H752">
        <v>3</v>
      </c>
      <c r="I752" t="s">
        <v>685</v>
      </c>
      <c r="J752" t="s">
        <v>3</v>
      </c>
      <c r="K752" t="s">
        <v>686</v>
      </c>
      <c r="L752">
        <v>1348</v>
      </c>
      <c r="N752">
        <v>1009</v>
      </c>
      <c r="O752" t="s">
        <v>282</v>
      </c>
      <c r="P752" t="s">
        <v>282</v>
      </c>
      <c r="Q752">
        <v>1000</v>
      </c>
      <c r="X752">
        <v>8.9999999999999993E-3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38</v>
      </c>
      <c r="AG752">
        <v>8.9999999999999993E-3</v>
      </c>
      <c r="AH752">
        <v>3</v>
      </c>
      <c r="AI752">
        <v>-1</v>
      </c>
      <c r="AJ752" t="s">
        <v>3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ROW(Source!A285)</f>
        <v>285</v>
      </c>
      <c r="B753">
        <v>57263947</v>
      </c>
      <c r="C753">
        <v>55748579</v>
      </c>
      <c r="D753">
        <v>54702434</v>
      </c>
      <c r="E753">
        <v>1081</v>
      </c>
      <c r="F753">
        <v>1</v>
      </c>
      <c r="G753">
        <v>1081</v>
      </c>
      <c r="H753">
        <v>1</v>
      </c>
      <c r="I753" t="s">
        <v>473</v>
      </c>
      <c r="J753" t="s">
        <v>3</v>
      </c>
      <c r="K753" t="s">
        <v>474</v>
      </c>
      <c r="L753">
        <v>1191</v>
      </c>
      <c r="N753">
        <v>1013</v>
      </c>
      <c r="O753" t="s">
        <v>475</v>
      </c>
      <c r="P753" t="s">
        <v>475</v>
      </c>
      <c r="Q753">
        <v>1</v>
      </c>
      <c r="X753">
        <v>2.13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 t="s">
        <v>40</v>
      </c>
      <c r="AG753">
        <v>2.9393999999999991</v>
      </c>
      <c r="AH753">
        <v>2</v>
      </c>
      <c r="AI753">
        <v>57263947</v>
      </c>
      <c r="AJ753">
        <v>719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ROW(Source!A285)</f>
        <v>285</v>
      </c>
      <c r="B754">
        <v>57263948</v>
      </c>
      <c r="C754">
        <v>55748579</v>
      </c>
      <c r="D754">
        <v>54768339</v>
      </c>
      <c r="E754">
        <v>1</v>
      </c>
      <c r="F754">
        <v>1</v>
      </c>
      <c r="G754">
        <v>1081</v>
      </c>
      <c r="H754">
        <v>2</v>
      </c>
      <c r="I754" t="s">
        <v>483</v>
      </c>
      <c r="J754" t="s">
        <v>484</v>
      </c>
      <c r="K754" t="s">
        <v>485</v>
      </c>
      <c r="L754">
        <v>1368</v>
      </c>
      <c r="N754">
        <v>1011</v>
      </c>
      <c r="O754" t="s">
        <v>479</v>
      </c>
      <c r="P754" t="s">
        <v>479</v>
      </c>
      <c r="Q754">
        <v>1</v>
      </c>
      <c r="X754">
        <v>0.01</v>
      </c>
      <c r="Y754">
        <v>0</v>
      </c>
      <c r="Z754">
        <v>83.1</v>
      </c>
      <c r="AA754">
        <v>12.62</v>
      </c>
      <c r="AB754">
        <v>0</v>
      </c>
      <c r="AC754">
        <v>0</v>
      </c>
      <c r="AD754">
        <v>1</v>
      </c>
      <c r="AE754">
        <v>0</v>
      </c>
      <c r="AF754" t="s">
        <v>39</v>
      </c>
      <c r="AG754">
        <v>1.4999999999999999E-2</v>
      </c>
      <c r="AH754">
        <v>2</v>
      </c>
      <c r="AI754">
        <v>57263948</v>
      </c>
      <c r="AJ754">
        <v>720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ROW(Source!A285)</f>
        <v>285</v>
      </c>
      <c r="B755">
        <v>57263949</v>
      </c>
      <c r="C755">
        <v>55748579</v>
      </c>
      <c r="D755">
        <v>54767643</v>
      </c>
      <c r="E755">
        <v>1</v>
      </c>
      <c r="F755">
        <v>1</v>
      </c>
      <c r="G755">
        <v>1081</v>
      </c>
      <c r="H755">
        <v>2</v>
      </c>
      <c r="I755" t="s">
        <v>607</v>
      </c>
      <c r="J755" t="s">
        <v>608</v>
      </c>
      <c r="K755" t="s">
        <v>609</v>
      </c>
      <c r="L755">
        <v>1368</v>
      </c>
      <c r="N755">
        <v>1011</v>
      </c>
      <c r="O755" t="s">
        <v>479</v>
      </c>
      <c r="P755" t="s">
        <v>479</v>
      </c>
      <c r="Q755">
        <v>1</v>
      </c>
      <c r="X755">
        <v>0.01</v>
      </c>
      <c r="Y755">
        <v>0</v>
      </c>
      <c r="Z755">
        <v>114.83</v>
      </c>
      <c r="AA755">
        <v>12.62</v>
      </c>
      <c r="AB755">
        <v>0</v>
      </c>
      <c r="AC755">
        <v>0</v>
      </c>
      <c r="AD755">
        <v>1</v>
      </c>
      <c r="AE755">
        <v>0</v>
      </c>
      <c r="AF755" t="s">
        <v>39</v>
      </c>
      <c r="AG755">
        <v>1.4999999999999999E-2</v>
      </c>
      <c r="AH755">
        <v>2</v>
      </c>
      <c r="AI755">
        <v>57263949</v>
      </c>
      <c r="AJ755">
        <v>721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ROW(Source!A285)</f>
        <v>285</v>
      </c>
      <c r="B756">
        <v>57263950</v>
      </c>
      <c r="C756">
        <v>55748579</v>
      </c>
      <c r="D756">
        <v>54738440</v>
      </c>
      <c r="E756">
        <v>1</v>
      </c>
      <c r="F756">
        <v>1</v>
      </c>
      <c r="G756">
        <v>1081</v>
      </c>
      <c r="H756">
        <v>3</v>
      </c>
      <c r="I756" t="s">
        <v>556</v>
      </c>
      <c r="J756" t="s">
        <v>557</v>
      </c>
      <c r="K756" t="s">
        <v>558</v>
      </c>
      <c r="L756">
        <v>1346</v>
      </c>
      <c r="N756">
        <v>1009</v>
      </c>
      <c r="O756" t="s">
        <v>503</v>
      </c>
      <c r="P756" t="s">
        <v>503</v>
      </c>
      <c r="Q756">
        <v>1</v>
      </c>
      <c r="X756">
        <v>9</v>
      </c>
      <c r="Y756">
        <v>29.89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38</v>
      </c>
      <c r="AG756">
        <v>9</v>
      </c>
      <c r="AH756">
        <v>2</v>
      </c>
      <c r="AI756">
        <v>57263950</v>
      </c>
      <c r="AJ756">
        <v>722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ROW(Source!A285)</f>
        <v>285</v>
      </c>
      <c r="B757">
        <v>57263951</v>
      </c>
      <c r="C757">
        <v>55748579</v>
      </c>
      <c r="D757">
        <v>54737965</v>
      </c>
      <c r="E757">
        <v>1</v>
      </c>
      <c r="F757">
        <v>1</v>
      </c>
      <c r="G757">
        <v>1081</v>
      </c>
      <c r="H757">
        <v>3</v>
      </c>
      <c r="I757" t="s">
        <v>577</v>
      </c>
      <c r="J757" t="s">
        <v>578</v>
      </c>
      <c r="K757" t="s">
        <v>579</v>
      </c>
      <c r="L757">
        <v>1348</v>
      </c>
      <c r="N757">
        <v>1009</v>
      </c>
      <c r="O757" t="s">
        <v>282</v>
      </c>
      <c r="P757" t="s">
        <v>282</v>
      </c>
      <c r="Q757">
        <v>1000</v>
      </c>
      <c r="X757">
        <v>1.48E-3</v>
      </c>
      <c r="Y757">
        <v>12521.99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38</v>
      </c>
      <c r="AG757">
        <v>1.48E-3</v>
      </c>
      <c r="AH757">
        <v>2</v>
      </c>
      <c r="AI757">
        <v>57263951</v>
      </c>
      <c r="AJ757">
        <v>723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ROW(Source!A286)</f>
        <v>286</v>
      </c>
      <c r="B758">
        <v>57263947</v>
      </c>
      <c r="C758">
        <v>55748579</v>
      </c>
      <c r="D758">
        <v>54702434</v>
      </c>
      <c r="E758">
        <v>1081</v>
      </c>
      <c r="F758">
        <v>1</v>
      </c>
      <c r="G758">
        <v>1081</v>
      </c>
      <c r="H758">
        <v>1</v>
      </c>
      <c r="I758" t="s">
        <v>473</v>
      </c>
      <c r="J758" t="s">
        <v>3</v>
      </c>
      <c r="K758" t="s">
        <v>474</v>
      </c>
      <c r="L758">
        <v>1191</v>
      </c>
      <c r="N758">
        <v>1013</v>
      </c>
      <c r="O758" t="s">
        <v>475</v>
      </c>
      <c r="P758" t="s">
        <v>475</v>
      </c>
      <c r="Q758">
        <v>1</v>
      </c>
      <c r="X758">
        <v>2.13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1</v>
      </c>
      <c r="AF758" t="s">
        <v>40</v>
      </c>
      <c r="AG758">
        <v>2.9393999999999991</v>
      </c>
      <c r="AH758">
        <v>2</v>
      </c>
      <c r="AI758">
        <v>57263947</v>
      </c>
      <c r="AJ758">
        <v>724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ROW(Source!A286)</f>
        <v>286</v>
      </c>
      <c r="B759">
        <v>57263948</v>
      </c>
      <c r="C759">
        <v>55748579</v>
      </c>
      <c r="D759">
        <v>54768339</v>
      </c>
      <c r="E759">
        <v>1</v>
      </c>
      <c r="F759">
        <v>1</v>
      </c>
      <c r="G759">
        <v>1081</v>
      </c>
      <c r="H759">
        <v>2</v>
      </c>
      <c r="I759" t="s">
        <v>483</v>
      </c>
      <c r="J759" t="s">
        <v>484</v>
      </c>
      <c r="K759" t="s">
        <v>485</v>
      </c>
      <c r="L759">
        <v>1368</v>
      </c>
      <c r="N759">
        <v>1011</v>
      </c>
      <c r="O759" t="s">
        <v>479</v>
      </c>
      <c r="P759" t="s">
        <v>479</v>
      </c>
      <c r="Q759">
        <v>1</v>
      </c>
      <c r="X759">
        <v>0.01</v>
      </c>
      <c r="Y759">
        <v>0</v>
      </c>
      <c r="Z759">
        <v>83.1</v>
      </c>
      <c r="AA759">
        <v>12.62</v>
      </c>
      <c r="AB759">
        <v>0</v>
      </c>
      <c r="AC759">
        <v>0</v>
      </c>
      <c r="AD759">
        <v>1</v>
      </c>
      <c r="AE759">
        <v>0</v>
      </c>
      <c r="AF759" t="s">
        <v>39</v>
      </c>
      <c r="AG759">
        <v>1.4999999999999999E-2</v>
      </c>
      <c r="AH759">
        <v>2</v>
      </c>
      <c r="AI759">
        <v>57263948</v>
      </c>
      <c r="AJ759">
        <v>725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ROW(Source!A286)</f>
        <v>286</v>
      </c>
      <c r="B760">
        <v>57263949</v>
      </c>
      <c r="C760">
        <v>55748579</v>
      </c>
      <c r="D760">
        <v>54767643</v>
      </c>
      <c r="E760">
        <v>1</v>
      </c>
      <c r="F760">
        <v>1</v>
      </c>
      <c r="G760">
        <v>1081</v>
      </c>
      <c r="H760">
        <v>2</v>
      </c>
      <c r="I760" t="s">
        <v>607</v>
      </c>
      <c r="J760" t="s">
        <v>608</v>
      </c>
      <c r="K760" t="s">
        <v>609</v>
      </c>
      <c r="L760">
        <v>1368</v>
      </c>
      <c r="N760">
        <v>1011</v>
      </c>
      <c r="O760" t="s">
        <v>479</v>
      </c>
      <c r="P760" t="s">
        <v>479</v>
      </c>
      <c r="Q760">
        <v>1</v>
      </c>
      <c r="X760">
        <v>0.01</v>
      </c>
      <c r="Y760">
        <v>0</v>
      </c>
      <c r="Z760">
        <v>114.83</v>
      </c>
      <c r="AA760">
        <v>12.62</v>
      </c>
      <c r="AB760">
        <v>0</v>
      </c>
      <c r="AC760">
        <v>0</v>
      </c>
      <c r="AD760">
        <v>1</v>
      </c>
      <c r="AE760">
        <v>0</v>
      </c>
      <c r="AF760" t="s">
        <v>39</v>
      </c>
      <c r="AG760">
        <v>1.4999999999999999E-2</v>
      </c>
      <c r="AH760">
        <v>2</v>
      </c>
      <c r="AI760">
        <v>57263949</v>
      </c>
      <c r="AJ760">
        <v>726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ROW(Source!A286)</f>
        <v>286</v>
      </c>
      <c r="B761">
        <v>57263950</v>
      </c>
      <c r="C761">
        <v>55748579</v>
      </c>
      <c r="D761">
        <v>54738440</v>
      </c>
      <c r="E761">
        <v>1</v>
      </c>
      <c r="F761">
        <v>1</v>
      </c>
      <c r="G761">
        <v>1081</v>
      </c>
      <c r="H761">
        <v>3</v>
      </c>
      <c r="I761" t="s">
        <v>556</v>
      </c>
      <c r="J761" t="s">
        <v>557</v>
      </c>
      <c r="K761" t="s">
        <v>558</v>
      </c>
      <c r="L761">
        <v>1346</v>
      </c>
      <c r="N761">
        <v>1009</v>
      </c>
      <c r="O761" t="s">
        <v>503</v>
      </c>
      <c r="P761" t="s">
        <v>503</v>
      </c>
      <c r="Q761">
        <v>1</v>
      </c>
      <c r="X761">
        <v>9</v>
      </c>
      <c r="Y761">
        <v>29.89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38</v>
      </c>
      <c r="AG761">
        <v>9</v>
      </c>
      <c r="AH761">
        <v>2</v>
      </c>
      <c r="AI761">
        <v>57263950</v>
      </c>
      <c r="AJ761">
        <v>727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ROW(Source!A286)</f>
        <v>286</v>
      </c>
      <c r="B762">
        <v>57263951</v>
      </c>
      <c r="C762">
        <v>55748579</v>
      </c>
      <c r="D762">
        <v>54737965</v>
      </c>
      <c r="E762">
        <v>1</v>
      </c>
      <c r="F762">
        <v>1</v>
      </c>
      <c r="G762">
        <v>1081</v>
      </c>
      <c r="H762">
        <v>3</v>
      </c>
      <c r="I762" t="s">
        <v>577</v>
      </c>
      <c r="J762" t="s">
        <v>578</v>
      </c>
      <c r="K762" t="s">
        <v>579</v>
      </c>
      <c r="L762">
        <v>1348</v>
      </c>
      <c r="N762">
        <v>1009</v>
      </c>
      <c r="O762" t="s">
        <v>282</v>
      </c>
      <c r="P762" t="s">
        <v>282</v>
      </c>
      <c r="Q762">
        <v>1000</v>
      </c>
      <c r="X762">
        <v>1.48E-3</v>
      </c>
      <c r="Y762">
        <v>12521.99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38</v>
      </c>
      <c r="AG762">
        <v>1.48E-3</v>
      </c>
      <c r="AH762">
        <v>2</v>
      </c>
      <c r="AI762">
        <v>57263951</v>
      </c>
      <c r="AJ762">
        <v>728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702</v>
      </c>
      <c r="E1" t="s">
        <v>702</v>
      </c>
      <c r="F1" t="s">
        <v>702</v>
      </c>
      <c r="G1" t="s">
        <v>702</v>
      </c>
      <c r="H1" t="s">
        <v>3</v>
      </c>
      <c r="I1" t="s">
        <v>702</v>
      </c>
      <c r="J1" t="s">
        <v>702</v>
      </c>
      <c r="K1" t="s">
        <v>3</v>
      </c>
      <c r="L1" t="s">
        <v>3</v>
      </c>
      <c r="M1" t="s">
        <v>3</v>
      </c>
      <c r="N1" t="s">
        <v>702</v>
      </c>
      <c r="O1" t="s">
        <v>702</v>
      </c>
      <c r="P1" t="s">
        <v>3</v>
      </c>
      <c r="Q1" t="s">
        <v>3</v>
      </c>
      <c r="R1" t="s">
        <v>3</v>
      </c>
      <c r="S1" t="s">
        <v>703</v>
      </c>
      <c r="T1" t="s">
        <v>704</v>
      </c>
      <c r="U1" t="s">
        <v>705</v>
      </c>
    </row>
    <row r="2" spans="1:21" x14ac:dyDescent="0.2">
      <c r="A2">
        <v>28</v>
      </c>
      <c r="B2">
        <v>1</v>
      </c>
      <c r="C2" t="s">
        <v>3</v>
      </c>
      <c r="D2" t="s">
        <v>48</v>
      </c>
      <c r="E2" t="s">
        <v>49</v>
      </c>
      <c r="F2" t="s">
        <v>49</v>
      </c>
      <c r="G2" t="s">
        <v>49</v>
      </c>
      <c r="H2" t="s">
        <v>3</v>
      </c>
      <c r="I2" t="s">
        <v>49</v>
      </c>
      <c r="J2" t="s">
        <v>49</v>
      </c>
      <c r="K2" t="s">
        <v>3</v>
      </c>
      <c r="L2" t="s">
        <v>3</v>
      </c>
      <c r="M2" t="s">
        <v>3</v>
      </c>
      <c r="N2" t="s">
        <v>48</v>
      </c>
      <c r="O2" t="s">
        <v>49</v>
      </c>
      <c r="P2" t="s">
        <v>3</v>
      </c>
      <c r="Q2" t="s">
        <v>3</v>
      </c>
      <c r="R2" t="s">
        <v>3</v>
      </c>
      <c r="S2" t="s">
        <v>706</v>
      </c>
      <c r="T2" t="s">
        <v>707</v>
      </c>
      <c r="U2" t="s">
        <v>708</v>
      </c>
    </row>
    <row r="3" spans="1:21" x14ac:dyDescent="0.2">
      <c r="A3">
        <v>29</v>
      </c>
      <c r="B3">
        <v>1</v>
      </c>
      <c r="C3" t="s">
        <v>3</v>
      </c>
      <c r="D3" t="s">
        <v>702</v>
      </c>
      <c r="E3" t="s">
        <v>702</v>
      </c>
      <c r="F3" t="s">
        <v>702</v>
      </c>
      <c r="G3" t="s">
        <v>702</v>
      </c>
      <c r="H3" t="s">
        <v>3</v>
      </c>
      <c r="I3" t="s">
        <v>702</v>
      </c>
      <c r="J3" t="s">
        <v>702</v>
      </c>
      <c r="K3" t="s">
        <v>3</v>
      </c>
      <c r="L3" t="s">
        <v>3</v>
      </c>
      <c r="M3" t="s">
        <v>3</v>
      </c>
      <c r="N3" t="s">
        <v>702</v>
      </c>
      <c r="O3" t="s">
        <v>702</v>
      </c>
      <c r="P3" t="s">
        <v>3</v>
      </c>
      <c r="Q3" t="s">
        <v>3</v>
      </c>
      <c r="R3" t="s">
        <v>3</v>
      </c>
      <c r="S3" t="s">
        <v>703</v>
      </c>
      <c r="T3" t="s">
        <v>704</v>
      </c>
      <c r="U3" t="s">
        <v>705</v>
      </c>
    </row>
    <row r="4" spans="1:21" x14ac:dyDescent="0.2">
      <c r="A4">
        <v>29</v>
      </c>
      <c r="B4">
        <v>1</v>
      </c>
      <c r="C4" t="s">
        <v>3</v>
      </c>
      <c r="D4" t="s">
        <v>48</v>
      </c>
      <c r="E4" t="s">
        <v>49</v>
      </c>
      <c r="F4" t="s">
        <v>49</v>
      </c>
      <c r="G4" t="s">
        <v>49</v>
      </c>
      <c r="H4" t="s">
        <v>3</v>
      </c>
      <c r="I4" t="s">
        <v>49</v>
      </c>
      <c r="J4" t="s">
        <v>49</v>
      </c>
      <c r="K4" t="s">
        <v>3</v>
      </c>
      <c r="L4" t="s">
        <v>3</v>
      </c>
      <c r="M4" t="s">
        <v>3</v>
      </c>
      <c r="N4" t="s">
        <v>48</v>
      </c>
      <c r="O4" t="s">
        <v>49</v>
      </c>
      <c r="P4" t="s">
        <v>3</v>
      </c>
      <c r="Q4" t="s">
        <v>3</v>
      </c>
      <c r="R4" t="s">
        <v>3</v>
      </c>
      <c r="S4" t="s">
        <v>706</v>
      </c>
      <c r="T4" t="s">
        <v>707</v>
      </c>
      <c r="U4" t="s">
        <v>708</v>
      </c>
    </row>
    <row r="5" spans="1:21" x14ac:dyDescent="0.2">
      <c r="A5">
        <v>30</v>
      </c>
      <c r="B5">
        <v>1</v>
      </c>
      <c r="C5" t="s">
        <v>3</v>
      </c>
      <c r="D5" t="s">
        <v>48</v>
      </c>
      <c r="E5" t="s">
        <v>49</v>
      </c>
      <c r="F5" t="s">
        <v>49</v>
      </c>
      <c r="G5" t="s">
        <v>49</v>
      </c>
      <c r="H5" t="s">
        <v>3</v>
      </c>
      <c r="I5" t="s">
        <v>49</v>
      </c>
      <c r="J5" t="s">
        <v>49</v>
      </c>
      <c r="K5" t="s">
        <v>3</v>
      </c>
      <c r="L5" t="s">
        <v>3</v>
      </c>
      <c r="M5" t="s">
        <v>3</v>
      </c>
      <c r="N5" t="s">
        <v>48</v>
      </c>
      <c r="O5" t="s">
        <v>49</v>
      </c>
      <c r="P5" t="s">
        <v>3</v>
      </c>
      <c r="Q5" t="s">
        <v>3</v>
      </c>
      <c r="R5" t="s">
        <v>3</v>
      </c>
      <c r="S5" t="s">
        <v>706</v>
      </c>
      <c r="T5" t="s">
        <v>707</v>
      </c>
      <c r="U5" t="s">
        <v>708</v>
      </c>
    </row>
    <row r="6" spans="1:21" x14ac:dyDescent="0.2">
      <c r="A6">
        <v>30</v>
      </c>
      <c r="B6">
        <v>1</v>
      </c>
      <c r="C6" t="s">
        <v>3</v>
      </c>
      <c r="D6" t="s">
        <v>48</v>
      </c>
      <c r="E6" t="s">
        <v>709</v>
      </c>
      <c r="F6" t="s">
        <v>709</v>
      </c>
      <c r="G6" t="s">
        <v>710</v>
      </c>
      <c r="H6" t="s">
        <v>3</v>
      </c>
      <c r="I6" t="s">
        <v>710</v>
      </c>
      <c r="J6" t="s">
        <v>709</v>
      </c>
      <c r="K6" t="s">
        <v>3</v>
      </c>
      <c r="L6" t="s">
        <v>3</v>
      </c>
      <c r="M6" t="s">
        <v>3</v>
      </c>
      <c r="N6" t="s">
        <v>48</v>
      </c>
      <c r="O6" t="s">
        <v>709</v>
      </c>
      <c r="P6" t="s">
        <v>3</v>
      </c>
      <c r="Q6" t="s">
        <v>3</v>
      </c>
      <c r="R6" t="s">
        <v>3</v>
      </c>
      <c r="S6" t="s">
        <v>711</v>
      </c>
      <c r="T6" t="s">
        <v>712</v>
      </c>
      <c r="U6" t="s">
        <v>713</v>
      </c>
    </row>
    <row r="7" spans="1:21" x14ac:dyDescent="0.2">
      <c r="A7">
        <v>31</v>
      </c>
      <c r="B7">
        <v>1</v>
      </c>
      <c r="C7" t="s">
        <v>3</v>
      </c>
      <c r="D7" t="s">
        <v>48</v>
      </c>
      <c r="E7" t="s">
        <v>49</v>
      </c>
      <c r="F7" t="s">
        <v>49</v>
      </c>
      <c r="G7" t="s">
        <v>49</v>
      </c>
      <c r="H7" t="s">
        <v>3</v>
      </c>
      <c r="I7" t="s">
        <v>49</v>
      </c>
      <c r="J7" t="s">
        <v>49</v>
      </c>
      <c r="K7" t="s">
        <v>3</v>
      </c>
      <c r="L7" t="s">
        <v>3</v>
      </c>
      <c r="M7" t="s">
        <v>3</v>
      </c>
      <c r="N7" t="s">
        <v>48</v>
      </c>
      <c r="O7" t="s">
        <v>49</v>
      </c>
      <c r="P7" t="s">
        <v>3</v>
      </c>
      <c r="Q7" t="s">
        <v>3</v>
      </c>
      <c r="R7" t="s">
        <v>3</v>
      </c>
      <c r="S7" t="s">
        <v>706</v>
      </c>
      <c r="T7" t="s">
        <v>707</v>
      </c>
      <c r="U7" t="s">
        <v>708</v>
      </c>
    </row>
    <row r="8" spans="1:21" x14ac:dyDescent="0.2">
      <c r="A8">
        <v>31</v>
      </c>
      <c r="B8">
        <v>1</v>
      </c>
      <c r="C8" t="s">
        <v>3</v>
      </c>
      <c r="D8" t="s">
        <v>48</v>
      </c>
      <c r="E8" t="s">
        <v>709</v>
      </c>
      <c r="F8" t="s">
        <v>709</v>
      </c>
      <c r="G8" t="s">
        <v>710</v>
      </c>
      <c r="H8" t="s">
        <v>3</v>
      </c>
      <c r="I8" t="s">
        <v>710</v>
      </c>
      <c r="J8" t="s">
        <v>709</v>
      </c>
      <c r="K8" t="s">
        <v>3</v>
      </c>
      <c r="L8" t="s">
        <v>3</v>
      </c>
      <c r="M8" t="s">
        <v>3</v>
      </c>
      <c r="N8" t="s">
        <v>48</v>
      </c>
      <c r="O8" t="s">
        <v>709</v>
      </c>
      <c r="P8" t="s">
        <v>3</v>
      </c>
      <c r="Q8" t="s">
        <v>3</v>
      </c>
      <c r="R8" t="s">
        <v>3</v>
      </c>
      <c r="S8" t="s">
        <v>711</v>
      </c>
      <c r="T8" t="s">
        <v>712</v>
      </c>
      <c r="U8" t="s">
        <v>713</v>
      </c>
    </row>
    <row r="9" spans="1:21" x14ac:dyDescent="0.2">
      <c r="A9">
        <v>32</v>
      </c>
      <c r="B9">
        <v>1</v>
      </c>
      <c r="C9" t="s">
        <v>3</v>
      </c>
      <c r="D9" t="s">
        <v>48</v>
      </c>
      <c r="E9" t="s">
        <v>49</v>
      </c>
      <c r="F9" t="s">
        <v>49</v>
      </c>
      <c r="G9" t="s">
        <v>49</v>
      </c>
      <c r="H9" t="s">
        <v>3</v>
      </c>
      <c r="I9" t="s">
        <v>49</v>
      </c>
      <c r="J9" t="s">
        <v>49</v>
      </c>
      <c r="K9" t="s">
        <v>3</v>
      </c>
      <c r="L9" t="s">
        <v>3</v>
      </c>
      <c r="M9" t="s">
        <v>3</v>
      </c>
      <c r="N9" t="s">
        <v>48</v>
      </c>
      <c r="O9" t="s">
        <v>49</v>
      </c>
      <c r="P9" t="s">
        <v>3</v>
      </c>
      <c r="Q9" t="s">
        <v>3</v>
      </c>
      <c r="R9" t="s">
        <v>3</v>
      </c>
      <c r="S9" t="s">
        <v>706</v>
      </c>
      <c r="T9" t="s">
        <v>707</v>
      </c>
      <c r="U9" t="s">
        <v>708</v>
      </c>
    </row>
    <row r="10" spans="1:21" x14ac:dyDescent="0.2">
      <c r="A10">
        <v>33</v>
      </c>
      <c r="B10">
        <v>1</v>
      </c>
      <c r="C10" t="s">
        <v>3</v>
      </c>
      <c r="D10" t="s">
        <v>48</v>
      </c>
      <c r="E10" t="s">
        <v>49</v>
      </c>
      <c r="F10" t="s">
        <v>49</v>
      </c>
      <c r="G10" t="s">
        <v>49</v>
      </c>
      <c r="H10" t="s">
        <v>3</v>
      </c>
      <c r="I10" t="s">
        <v>49</v>
      </c>
      <c r="J10" t="s">
        <v>49</v>
      </c>
      <c r="K10" t="s">
        <v>3</v>
      </c>
      <c r="L10" t="s">
        <v>3</v>
      </c>
      <c r="M10" t="s">
        <v>3</v>
      </c>
      <c r="N10" t="s">
        <v>48</v>
      </c>
      <c r="O10" t="s">
        <v>49</v>
      </c>
      <c r="P10" t="s">
        <v>3</v>
      </c>
      <c r="Q10" t="s">
        <v>3</v>
      </c>
      <c r="R10" t="s">
        <v>3</v>
      </c>
      <c r="S10" t="s">
        <v>706</v>
      </c>
      <c r="T10" t="s">
        <v>707</v>
      </c>
      <c r="U10" t="s">
        <v>708</v>
      </c>
    </row>
    <row r="11" spans="1:21" x14ac:dyDescent="0.2">
      <c r="A11">
        <v>34</v>
      </c>
      <c r="B11">
        <v>1</v>
      </c>
      <c r="C11" t="s">
        <v>3</v>
      </c>
      <c r="D11" t="s">
        <v>48</v>
      </c>
      <c r="E11" t="s">
        <v>49</v>
      </c>
      <c r="F11" t="s">
        <v>49</v>
      </c>
      <c r="G11" t="s">
        <v>49</v>
      </c>
      <c r="H11" t="s">
        <v>3</v>
      </c>
      <c r="I11" t="s">
        <v>49</v>
      </c>
      <c r="J11" t="s">
        <v>49</v>
      </c>
      <c r="K11" t="s">
        <v>3</v>
      </c>
      <c r="L11" t="s">
        <v>3</v>
      </c>
      <c r="M11" t="s">
        <v>3</v>
      </c>
      <c r="N11" t="s">
        <v>48</v>
      </c>
      <c r="O11" t="s">
        <v>49</v>
      </c>
      <c r="P11" t="s">
        <v>3</v>
      </c>
      <c r="Q11" t="s">
        <v>3</v>
      </c>
      <c r="R11" t="s">
        <v>3</v>
      </c>
      <c r="S11" t="s">
        <v>706</v>
      </c>
      <c r="T11" t="s">
        <v>707</v>
      </c>
      <c r="U11" t="s">
        <v>708</v>
      </c>
    </row>
    <row r="12" spans="1:21" x14ac:dyDescent="0.2">
      <c r="A12">
        <v>34</v>
      </c>
      <c r="B12">
        <v>1</v>
      </c>
      <c r="C12" t="s">
        <v>3</v>
      </c>
      <c r="D12" t="s">
        <v>48</v>
      </c>
      <c r="E12" t="s">
        <v>709</v>
      </c>
      <c r="F12" t="s">
        <v>709</v>
      </c>
      <c r="G12" t="s">
        <v>710</v>
      </c>
      <c r="H12" t="s">
        <v>3</v>
      </c>
      <c r="I12" t="s">
        <v>710</v>
      </c>
      <c r="J12" t="s">
        <v>709</v>
      </c>
      <c r="K12" t="s">
        <v>3</v>
      </c>
      <c r="L12" t="s">
        <v>3</v>
      </c>
      <c r="M12" t="s">
        <v>3</v>
      </c>
      <c r="N12" t="s">
        <v>48</v>
      </c>
      <c r="O12" t="s">
        <v>709</v>
      </c>
      <c r="P12" t="s">
        <v>3</v>
      </c>
      <c r="Q12" t="s">
        <v>3</v>
      </c>
      <c r="R12" t="s">
        <v>3</v>
      </c>
      <c r="S12" t="s">
        <v>711</v>
      </c>
      <c r="T12" t="s">
        <v>712</v>
      </c>
      <c r="U12" t="s">
        <v>713</v>
      </c>
    </row>
    <row r="13" spans="1:21" x14ac:dyDescent="0.2">
      <c r="A13">
        <v>35</v>
      </c>
      <c r="B13">
        <v>1</v>
      </c>
      <c r="C13" t="s">
        <v>3</v>
      </c>
      <c r="D13" t="s">
        <v>48</v>
      </c>
      <c r="E13" t="s">
        <v>49</v>
      </c>
      <c r="F13" t="s">
        <v>49</v>
      </c>
      <c r="G13" t="s">
        <v>49</v>
      </c>
      <c r="H13" t="s">
        <v>3</v>
      </c>
      <c r="I13" t="s">
        <v>49</v>
      </c>
      <c r="J13" t="s">
        <v>49</v>
      </c>
      <c r="K13" t="s">
        <v>3</v>
      </c>
      <c r="L13" t="s">
        <v>3</v>
      </c>
      <c r="M13" t="s">
        <v>3</v>
      </c>
      <c r="N13" t="s">
        <v>48</v>
      </c>
      <c r="O13" t="s">
        <v>49</v>
      </c>
      <c r="P13" t="s">
        <v>3</v>
      </c>
      <c r="Q13" t="s">
        <v>3</v>
      </c>
      <c r="R13" t="s">
        <v>3</v>
      </c>
      <c r="S13" t="s">
        <v>706</v>
      </c>
      <c r="T13" t="s">
        <v>707</v>
      </c>
      <c r="U13" t="s">
        <v>708</v>
      </c>
    </row>
    <row r="14" spans="1:21" x14ac:dyDescent="0.2">
      <c r="A14">
        <v>35</v>
      </c>
      <c r="B14">
        <v>1</v>
      </c>
      <c r="C14" t="s">
        <v>3</v>
      </c>
      <c r="D14" t="s">
        <v>48</v>
      </c>
      <c r="E14" t="s">
        <v>709</v>
      </c>
      <c r="F14" t="s">
        <v>709</v>
      </c>
      <c r="G14" t="s">
        <v>710</v>
      </c>
      <c r="H14" t="s">
        <v>3</v>
      </c>
      <c r="I14" t="s">
        <v>710</v>
      </c>
      <c r="J14" t="s">
        <v>709</v>
      </c>
      <c r="K14" t="s">
        <v>3</v>
      </c>
      <c r="L14" t="s">
        <v>3</v>
      </c>
      <c r="M14" t="s">
        <v>3</v>
      </c>
      <c r="N14" t="s">
        <v>48</v>
      </c>
      <c r="O14" t="s">
        <v>709</v>
      </c>
      <c r="P14" t="s">
        <v>3</v>
      </c>
      <c r="Q14" t="s">
        <v>3</v>
      </c>
      <c r="R14" t="s">
        <v>3</v>
      </c>
      <c r="S14" t="s">
        <v>711</v>
      </c>
      <c r="T14" t="s">
        <v>712</v>
      </c>
      <c r="U14" t="s">
        <v>713</v>
      </c>
    </row>
    <row r="15" spans="1:21" x14ac:dyDescent="0.2">
      <c r="A15">
        <v>36</v>
      </c>
      <c r="B15">
        <v>1</v>
      </c>
      <c r="C15" t="s">
        <v>3</v>
      </c>
      <c r="D15" t="s">
        <v>48</v>
      </c>
      <c r="E15" t="s">
        <v>49</v>
      </c>
      <c r="F15" t="s">
        <v>49</v>
      </c>
      <c r="G15" t="s">
        <v>49</v>
      </c>
      <c r="H15" t="s">
        <v>3</v>
      </c>
      <c r="I15" t="s">
        <v>49</v>
      </c>
      <c r="J15" t="s">
        <v>49</v>
      </c>
      <c r="K15" t="s">
        <v>3</v>
      </c>
      <c r="L15" t="s">
        <v>3</v>
      </c>
      <c r="M15" t="s">
        <v>3</v>
      </c>
      <c r="N15" t="s">
        <v>48</v>
      </c>
      <c r="O15" t="s">
        <v>49</v>
      </c>
      <c r="P15" t="s">
        <v>3</v>
      </c>
      <c r="Q15" t="s">
        <v>3</v>
      </c>
      <c r="R15" t="s">
        <v>3</v>
      </c>
      <c r="S15" t="s">
        <v>706</v>
      </c>
      <c r="T15" t="s">
        <v>707</v>
      </c>
      <c r="U15" t="s">
        <v>708</v>
      </c>
    </row>
    <row r="16" spans="1:21" x14ac:dyDescent="0.2">
      <c r="A16">
        <v>37</v>
      </c>
      <c r="B16">
        <v>1</v>
      </c>
      <c r="C16" t="s">
        <v>3</v>
      </c>
      <c r="D16" t="s">
        <v>48</v>
      </c>
      <c r="E16" t="s">
        <v>49</v>
      </c>
      <c r="F16" t="s">
        <v>49</v>
      </c>
      <c r="G16" t="s">
        <v>49</v>
      </c>
      <c r="H16" t="s">
        <v>3</v>
      </c>
      <c r="I16" t="s">
        <v>49</v>
      </c>
      <c r="J16" t="s">
        <v>49</v>
      </c>
      <c r="K16" t="s">
        <v>3</v>
      </c>
      <c r="L16" t="s">
        <v>3</v>
      </c>
      <c r="M16" t="s">
        <v>3</v>
      </c>
      <c r="N16" t="s">
        <v>48</v>
      </c>
      <c r="O16" t="s">
        <v>49</v>
      </c>
      <c r="P16" t="s">
        <v>3</v>
      </c>
      <c r="Q16" t="s">
        <v>3</v>
      </c>
      <c r="R16" t="s">
        <v>3</v>
      </c>
      <c r="S16" t="s">
        <v>706</v>
      </c>
      <c r="T16" t="s">
        <v>707</v>
      </c>
      <c r="U16" t="s">
        <v>708</v>
      </c>
    </row>
    <row r="17" spans="1:21" x14ac:dyDescent="0.2">
      <c r="A17">
        <v>40</v>
      </c>
      <c r="B17">
        <v>1</v>
      </c>
      <c r="C17" t="s">
        <v>3</v>
      </c>
      <c r="D17" t="s">
        <v>48</v>
      </c>
      <c r="E17" t="s">
        <v>49</v>
      </c>
      <c r="F17" t="s">
        <v>49</v>
      </c>
      <c r="G17" t="s">
        <v>49</v>
      </c>
      <c r="H17" t="s">
        <v>3</v>
      </c>
      <c r="I17" t="s">
        <v>49</v>
      </c>
      <c r="J17" t="s">
        <v>49</v>
      </c>
      <c r="K17" t="s">
        <v>3</v>
      </c>
      <c r="L17" t="s">
        <v>3</v>
      </c>
      <c r="M17" t="s">
        <v>3</v>
      </c>
      <c r="N17" t="s">
        <v>48</v>
      </c>
      <c r="O17" t="s">
        <v>49</v>
      </c>
      <c r="P17" t="s">
        <v>3</v>
      </c>
      <c r="Q17" t="s">
        <v>3</v>
      </c>
      <c r="R17" t="s">
        <v>3</v>
      </c>
      <c r="S17" t="s">
        <v>706</v>
      </c>
      <c r="T17" t="s">
        <v>707</v>
      </c>
      <c r="U17" t="s">
        <v>708</v>
      </c>
    </row>
    <row r="18" spans="1:21" x14ac:dyDescent="0.2">
      <c r="A18">
        <v>41</v>
      </c>
      <c r="B18">
        <v>1</v>
      </c>
      <c r="C18" t="s">
        <v>3</v>
      </c>
      <c r="D18" t="s">
        <v>48</v>
      </c>
      <c r="E18" t="s">
        <v>49</v>
      </c>
      <c r="F18" t="s">
        <v>49</v>
      </c>
      <c r="G18" t="s">
        <v>49</v>
      </c>
      <c r="H18" t="s">
        <v>3</v>
      </c>
      <c r="I18" t="s">
        <v>49</v>
      </c>
      <c r="J18" t="s">
        <v>49</v>
      </c>
      <c r="K18" t="s">
        <v>3</v>
      </c>
      <c r="L18" t="s">
        <v>3</v>
      </c>
      <c r="M18" t="s">
        <v>3</v>
      </c>
      <c r="N18" t="s">
        <v>48</v>
      </c>
      <c r="O18" t="s">
        <v>49</v>
      </c>
      <c r="P18" t="s">
        <v>3</v>
      </c>
      <c r="Q18" t="s">
        <v>3</v>
      </c>
      <c r="R18" t="s">
        <v>3</v>
      </c>
      <c r="S18" t="s">
        <v>706</v>
      </c>
      <c r="T18" t="s">
        <v>707</v>
      </c>
      <c r="U18" t="s">
        <v>708</v>
      </c>
    </row>
    <row r="19" spans="1:21" x14ac:dyDescent="0.2">
      <c r="A19">
        <v>42</v>
      </c>
      <c r="B19">
        <v>1</v>
      </c>
      <c r="C19" t="s">
        <v>3</v>
      </c>
      <c r="D19" t="s">
        <v>48</v>
      </c>
      <c r="E19" t="s">
        <v>49</v>
      </c>
      <c r="F19" t="s">
        <v>49</v>
      </c>
      <c r="G19" t="s">
        <v>49</v>
      </c>
      <c r="H19" t="s">
        <v>3</v>
      </c>
      <c r="I19" t="s">
        <v>49</v>
      </c>
      <c r="J19" t="s">
        <v>49</v>
      </c>
      <c r="K19" t="s">
        <v>3</v>
      </c>
      <c r="L19" t="s">
        <v>3</v>
      </c>
      <c r="M19" t="s">
        <v>3</v>
      </c>
      <c r="N19" t="s">
        <v>48</v>
      </c>
      <c r="O19" t="s">
        <v>49</v>
      </c>
      <c r="P19" t="s">
        <v>3</v>
      </c>
      <c r="Q19" t="s">
        <v>3</v>
      </c>
      <c r="R19" t="s">
        <v>3</v>
      </c>
      <c r="S19" t="s">
        <v>706</v>
      </c>
      <c r="T19" t="s">
        <v>707</v>
      </c>
      <c r="U19" t="s">
        <v>708</v>
      </c>
    </row>
    <row r="20" spans="1:21" x14ac:dyDescent="0.2">
      <c r="A20">
        <v>43</v>
      </c>
      <c r="B20">
        <v>1</v>
      </c>
      <c r="C20" t="s">
        <v>3</v>
      </c>
      <c r="D20" t="s">
        <v>48</v>
      </c>
      <c r="E20" t="s">
        <v>49</v>
      </c>
      <c r="F20" t="s">
        <v>49</v>
      </c>
      <c r="G20" t="s">
        <v>49</v>
      </c>
      <c r="H20" t="s">
        <v>3</v>
      </c>
      <c r="I20" t="s">
        <v>49</v>
      </c>
      <c r="J20" t="s">
        <v>49</v>
      </c>
      <c r="K20" t="s">
        <v>3</v>
      </c>
      <c r="L20" t="s">
        <v>3</v>
      </c>
      <c r="M20" t="s">
        <v>3</v>
      </c>
      <c r="N20" t="s">
        <v>48</v>
      </c>
      <c r="O20" t="s">
        <v>49</v>
      </c>
      <c r="P20" t="s">
        <v>3</v>
      </c>
      <c r="Q20" t="s">
        <v>3</v>
      </c>
      <c r="R20" t="s">
        <v>3</v>
      </c>
      <c r="S20" t="s">
        <v>706</v>
      </c>
      <c r="T20" t="s">
        <v>707</v>
      </c>
      <c r="U20" t="s">
        <v>708</v>
      </c>
    </row>
    <row r="21" spans="1:21" x14ac:dyDescent="0.2">
      <c r="A21">
        <v>44</v>
      </c>
      <c r="B21">
        <v>1</v>
      </c>
      <c r="C21" t="s">
        <v>3</v>
      </c>
      <c r="D21" t="s">
        <v>48</v>
      </c>
      <c r="E21" t="s">
        <v>49</v>
      </c>
      <c r="F21" t="s">
        <v>49</v>
      </c>
      <c r="G21" t="s">
        <v>49</v>
      </c>
      <c r="H21" t="s">
        <v>3</v>
      </c>
      <c r="I21" t="s">
        <v>49</v>
      </c>
      <c r="J21" t="s">
        <v>49</v>
      </c>
      <c r="K21" t="s">
        <v>3</v>
      </c>
      <c r="L21" t="s">
        <v>3</v>
      </c>
      <c r="M21" t="s">
        <v>3</v>
      </c>
      <c r="N21" t="s">
        <v>48</v>
      </c>
      <c r="O21" t="s">
        <v>49</v>
      </c>
      <c r="P21" t="s">
        <v>3</v>
      </c>
      <c r="Q21" t="s">
        <v>3</v>
      </c>
      <c r="R21" t="s">
        <v>3</v>
      </c>
      <c r="S21" t="s">
        <v>706</v>
      </c>
      <c r="T21" t="s">
        <v>707</v>
      </c>
      <c r="U21" t="s">
        <v>708</v>
      </c>
    </row>
    <row r="22" spans="1:21" x14ac:dyDescent="0.2">
      <c r="A22">
        <v>45</v>
      </c>
      <c r="B22">
        <v>1</v>
      </c>
      <c r="C22" t="s">
        <v>3</v>
      </c>
      <c r="D22" t="s">
        <v>48</v>
      </c>
      <c r="E22" t="s">
        <v>49</v>
      </c>
      <c r="F22" t="s">
        <v>49</v>
      </c>
      <c r="G22" t="s">
        <v>49</v>
      </c>
      <c r="H22" t="s">
        <v>3</v>
      </c>
      <c r="I22" t="s">
        <v>49</v>
      </c>
      <c r="J22" t="s">
        <v>49</v>
      </c>
      <c r="K22" t="s">
        <v>3</v>
      </c>
      <c r="L22" t="s">
        <v>3</v>
      </c>
      <c r="M22" t="s">
        <v>3</v>
      </c>
      <c r="N22" t="s">
        <v>48</v>
      </c>
      <c r="O22" t="s">
        <v>49</v>
      </c>
      <c r="P22" t="s">
        <v>3</v>
      </c>
      <c r="Q22" t="s">
        <v>3</v>
      </c>
      <c r="R22" t="s">
        <v>3</v>
      </c>
      <c r="S22" t="s">
        <v>706</v>
      </c>
      <c r="T22" t="s">
        <v>707</v>
      </c>
      <c r="U22" t="s">
        <v>708</v>
      </c>
    </row>
    <row r="23" spans="1:21" x14ac:dyDescent="0.2">
      <c r="A23">
        <v>46</v>
      </c>
      <c r="B23">
        <v>1</v>
      </c>
      <c r="C23" t="s">
        <v>3</v>
      </c>
      <c r="D23" t="s">
        <v>48</v>
      </c>
      <c r="E23" t="s">
        <v>49</v>
      </c>
      <c r="F23" t="s">
        <v>49</v>
      </c>
      <c r="G23" t="s">
        <v>49</v>
      </c>
      <c r="H23" t="s">
        <v>3</v>
      </c>
      <c r="I23" t="s">
        <v>49</v>
      </c>
      <c r="J23" t="s">
        <v>49</v>
      </c>
      <c r="K23" t="s">
        <v>3</v>
      </c>
      <c r="L23" t="s">
        <v>3</v>
      </c>
      <c r="M23" t="s">
        <v>3</v>
      </c>
      <c r="N23" t="s">
        <v>48</v>
      </c>
      <c r="O23" t="s">
        <v>49</v>
      </c>
      <c r="P23" t="s">
        <v>3</v>
      </c>
      <c r="Q23" t="s">
        <v>3</v>
      </c>
      <c r="R23" t="s">
        <v>3</v>
      </c>
      <c r="S23" t="s">
        <v>706</v>
      </c>
      <c r="T23" t="s">
        <v>707</v>
      </c>
      <c r="U23" t="s">
        <v>708</v>
      </c>
    </row>
    <row r="24" spans="1:21" x14ac:dyDescent="0.2">
      <c r="A24">
        <v>47</v>
      </c>
      <c r="B24">
        <v>1</v>
      </c>
      <c r="C24" t="s">
        <v>3</v>
      </c>
      <c r="D24" t="s">
        <v>48</v>
      </c>
      <c r="E24" t="s">
        <v>49</v>
      </c>
      <c r="F24" t="s">
        <v>49</v>
      </c>
      <c r="G24" t="s">
        <v>49</v>
      </c>
      <c r="H24" t="s">
        <v>3</v>
      </c>
      <c r="I24" t="s">
        <v>49</v>
      </c>
      <c r="J24" t="s">
        <v>49</v>
      </c>
      <c r="K24" t="s">
        <v>3</v>
      </c>
      <c r="L24" t="s">
        <v>3</v>
      </c>
      <c r="M24" t="s">
        <v>3</v>
      </c>
      <c r="N24" t="s">
        <v>48</v>
      </c>
      <c r="O24" t="s">
        <v>49</v>
      </c>
      <c r="P24" t="s">
        <v>3</v>
      </c>
      <c r="Q24" t="s">
        <v>3</v>
      </c>
      <c r="R24" t="s">
        <v>3</v>
      </c>
      <c r="S24" t="s">
        <v>706</v>
      </c>
      <c r="T24" t="s">
        <v>707</v>
      </c>
      <c r="U24" t="s">
        <v>708</v>
      </c>
    </row>
    <row r="25" spans="1:21" x14ac:dyDescent="0.2">
      <c r="A25">
        <v>48</v>
      </c>
      <c r="B25">
        <v>1</v>
      </c>
      <c r="C25" t="s">
        <v>3</v>
      </c>
      <c r="D25" t="s">
        <v>48</v>
      </c>
      <c r="E25" t="s">
        <v>49</v>
      </c>
      <c r="F25" t="s">
        <v>49</v>
      </c>
      <c r="G25" t="s">
        <v>49</v>
      </c>
      <c r="H25" t="s">
        <v>3</v>
      </c>
      <c r="I25" t="s">
        <v>49</v>
      </c>
      <c r="J25" t="s">
        <v>49</v>
      </c>
      <c r="K25" t="s">
        <v>3</v>
      </c>
      <c r="L25" t="s">
        <v>3</v>
      </c>
      <c r="M25" t="s">
        <v>3</v>
      </c>
      <c r="N25" t="s">
        <v>48</v>
      </c>
      <c r="O25" t="s">
        <v>49</v>
      </c>
      <c r="P25" t="s">
        <v>3</v>
      </c>
      <c r="Q25" t="s">
        <v>3</v>
      </c>
      <c r="R25" t="s">
        <v>3</v>
      </c>
      <c r="S25" t="s">
        <v>706</v>
      </c>
      <c r="T25" t="s">
        <v>707</v>
      </c>
      <c r="U25" t="s">
        <v>708</v>
      </c>
    </row>
    <row r="26" spans="1:21" x14ac:dyDescent="0.2">
      <c r="A26">
        <v>49</v>
      </c>
      <c r="B26">
        <v>1</v>
      </c>
      <c r="C26" t="s">
        <v>3</v>
      </c>
      <c r="D26" t="s">
        <v>48</v>
      </c>
      <c r="E26" t="s">
        <v>49</v>
      </c>
      <c r="F26" t="s">
        <v>49</v>
      </c>
      <c r="G26" t="s">
        <v>49</v>
      </c>
      <c r="H26" t="s">
        <v>3</v>
      </c>
      <c r="I26" t="s">
        <v>49</v>
      </c>
      <c r="J26" t="s">
        <v>49</v>
      </c>
      <c r="K26" t="s">
        <v>3</v>
      </c>
      <c r="L26" t="s">
        <v>3</v>
      </c>
      <c r="M26" t="s">
        <v>3</v>
      </c>
      <c r="N26" t="s">
        <v>48</v>
      </c>
      <c r="O26" t="s">
        <v>49</v>
      </c>
      <c r="P26" t="s">
        <v>3</v>
      </c>
      <c r="Q26" t="s">
        <v>3</v>
      </c>
      <c r="R26" t="s">
        <v>3</v>
      </c>
      <c r="S26" t="s">
        <v>706</v>
      </c>
      <c r="T26" t="s">
        <v>707</v>
      </c>
      <c r="U26" t="s">
        <v>708</v>
      </c>
    </row>
    <row r="27" spans="1:21" x14ac:dyDescent="0.2">
      <c r="A27">
        <v>50</v>
      </c>
      <c r="B27">
        <v>1</v>
      </c>
      <c r="C27" t="s">
        <v>3</v>
      </c>
      <c r="D27" t="s">
        <v>48</v>
      </c>
      <c r="E27" t="s">
        <v>49</v>
      </c>
      <c r="F27" t="s">
        <v>49</v>
      </c>
      <c r="G27" t="s">
        <v>49</v>
      </c>
      <c r="H27" t="s">
        <v>3</v>
      </c>
      <c r="I27" t="s">
        <v>49</v>
      </c>
      <c r="J27" t="s">
        <v>49</v>
      </c>
      <c r="K27" t="s">
        <v>3</v>
      </c>
      <c r="L27" t="s">
        <v>3</v>
      </c>
      <c r="M27" t="s">
        <v>3</v>
      </c>
      <c r="N27" t="s">
        <v>48</v>
      </c>
      <c r="O27" t="s">
        <v>49</v>
      </c>
      <c r="P27" t="s">
        <v>3</v>
      </c>
      <c r="Q27" t="s">
        <v>3</v>
      </c>
      <c r="R27" t="s">
        <v>3</v>
      </c>
      <c r="S27" t="s">
        <v>706</v>
      </c>
      <c r="T27" t="s">
        <v>707</v>
      </c>
      <c r="U27" t="s">
        <v>708</v>
      </c>
    </row>
    <row r="28" spans="1:21" x14ac:dyDescent="0.2">
      <c r="A28">
        <v>51</v>
      </c>
      <c r="B28">
        <v>1</v>
      </c>
      <c r="C28" t="s">
        <v>3</v>
      </c>
      <c r="D28" t="s">
        <v>48</v>
      </c>
      <c r="E28" t="s">
        <v>49</v>
      </c>
      <c r="F28" t="s">
        <v>49</v>
      </c>
      <c r="G28" t="s">
        <v>49</v>
      </c>
      <c r="H28" t="s">
        <v>3</v>
      </c>
      <c r="I28" t="s">
        <v>49</v>
      </c>
      <c r="J28" t="s">
        <v>49</v>
      </c>
      <c r="K28" t="s">
        <v>3</v>
      </c>
      <c r="L28" t="s">
        <v>3</v>
      </c>
      <c r="M28" t="s">
        <v>3</v>
      </c>
      <c r="N28" t="s">
        <v>48</v>
      </c>
      <c r="O28" t="s">
        <v>49</v>
      </c>
      <c r="P28" t="s">
        <v>3</v>
      </c>
      <c r="Q28" t="s">
        <v>3</v>
      </c>
      <c r="R28" t="s">
        <v>3</v>
      </c>
      <c r="S28" t="s">
        <v>706</v>
      </c>
      <c r="T28" t="s">
        <v>707</v>
      </c>
      <c r="U28" t="s">
        <v>708</v>
      </c>
    </row>
    <row r="29" spans="1:21" x14ac:dyDescent="0.2">
      <c r="A29">
        <v>52</v>
      </c>
      <c r="B29">
        <v>1</v>
      </c>
      <c r="C29" t="s">
        <v>3</v>
      </c>
      <c r="D29" t="s">
        <v>48</v>
      </c>
      <c r="E29" t="s">
        <v>709</v>
      </c>
      <c r="F29" t="s">
        <v>709</v>
      </c>
      <c r="G29" t="s">
        <v>710</v>
      </c>
      <c r="H29" t="s">
        <v>3</v>
      </c>
      <c r="I29" t="s">
        <v>710</v>
      </c>
      <c r="J29" t="s">
        <v>709</v>
      </c>
      <c r="K29" t="s">
        <v>3</v>
      </c>
      <c r="L29" t="s">
        <v>3</v>
      </c>
      <c r="M29" t="s">
        <v>3</v>
      </c>
      <c r="N29" t="s">
        <v>48</v>
      </c>
      <c r="O29" t="s">
        <v>709</v>
      </c>
      <c r="P29" t="s">
        <v>3</v>
      </c>
      <c r="Q29" t="s">
        <v>3</v>
      </c>
      <c r="R29" t="s">
        <v>3</v>
      </c>
      <c r="S29" t="s">
        <v>711</v>
      </c>
      <c r="T29" t="s">
        <v>712</v>
      </c>
      <c r="U29" t="s">
        <v>713</v>
      </c>
    </row>
    <row r="30" spans="1:21" x14ac:dyDescent="0.2">
      <c r="A30">
        <v>52</v>
      </c>
      <c r="B30">
        <v>1</v>
      </c>
      <c r="C30" t="s">
        <v>3</v>
      </c>
      <c r="D30" t="s">
        <v>48</v>
      </c>
      <c r="E30" t="s">
        <v>49</v>
      </c>
      <c r="F30" t="s">
        <v>49</v>
      </c>
      <c r="G30" t="s">
        <v>49</v>
      </c>
      <c r="H30" t="s">
        <v>3</v>
      </c>
      <c r="I30" t="s">
        <v>49</v>
      </c>
      <c r="J30" t="s">
        <v>49</v>
      </c>
      <c r="K30" t="s">
        <v>3</v>
      </c>
      <c r="L30" t="s">
        <v>3</v>
      </c>
      <c r="M30" t="s">
        <v>3</v>
      </c>
      <c r="N30" t="s">
        <v>48</v>
      </c>
      <c r="O30" t="s">
        <v>49</v>
      </c>
      <c r="P30" t="s">
        <v>3</v>
      </c>
      <c r="Q30" t="s">
        <v>3</v>
      </c>
      <c r="R30" t="s">
        <v>3</v>
      </c>
      <c r="S30" t="s">
        <v>706</v>
      </c>
      <c r="T30" t="s">
        <v>707</v>
      </c>
      <c r="U30" t="s">
        <v>708</v>
      </c>
    </row>
    <row r="31" spans="1:21" x14ac:dyDescent="0.2">
      <c r="A31">
        <v>53</v>
      </c>
      <c r="B31">
        <v>1</v>
      </c>
      <c r="C31" t="s">
        <v>3</v>
      </c>
      <c r="D31" t="s">
        <v>48</v>
      </c>
      <c r="E31" t="s">
        <v>709</v>
      </c>
      <c r="F31" t="s">
        <v>709</v>
      </c>
      <c r="G31" t="s">
        <v>710</v>
      </c>
      <c r="H31" t="s">
        <v>3</v>
      </c>
      <c r="I31" t="s">
        <v>710</v>
      </c>
      <c r="J31" t="s">
        <v>709</v>
      </c>
      <c r="K31" t="s">
        <v>3</v>
      </c>
      <c r="L31" t="s">
        <v>3</v>
      </c>
      <c r="M31" t="s">
        <v>3</v>
      </c>
      <c r="N31" t="s">
        <v>48</v>
      </c>
      <c r="O31" t="s">
        <v>709</v>
      </c>
      <c r="P31" t="s">
        <v>3</v>
      </c>
      <c r="Q31" t="s">
        <v>3</v>
      </c>
      <c r="R31" t="s">
        <v>3</v>
      </c>
      <c r="S31" t="s">
        <v>711</v>
      </c>
      <c r="T31" t="s">
        <v>712</v>
      </c>
      <c r="U31" t="s">
        <v>713</v>
      </c>
    </row>
    <row r="32" spans="1:21" x14ac:dyDescent="0.2">
      <c r="A32">
        <v>53</v>
      </c>
      <c r="B32">
        <v>1</v>
      </c>
      <c r="C32" t="s">
        <v>3</v>
      </c>
      <c r="D32" t="s">
        <v>48</v>
      </c>
      <c r="E32" t="s">
        <v>49</v>
      </c>
      <c r="F32" t="s">
        <v>49</v>
      </c>
      <c r="G32" t="s">
        <v>49</v>
      </c>
      <c r="H32" t="s">
        <v>3</v>
      </c>
      <c r="I32" t="s">
        <v>49</v>
      </c>
      <c r="J32" t="s">
        <v>49</v>
      </c>
      <c r="K32" t="s">
        <v>3</v>
      </c>
      <c r="L32" t="s">
        <v>3</v>
      </c>
      <c r="M32" t="s">
        <v>3</v>
      </c>
      <c r="N32" t="s">
        <v>48</v>
      </c>
      <c r="O32" t="s">
        <v>49</v>
      </c>
      <c r="P32" t="s">
        <v>3</v>
      </c>
      <c r="Q32" t="s">
        <v>3</v>
      </c>
      <c r="R32" t="s">
        <v>3</v>
      </c>
      <c r="S32" t="s">
        <v>706</v>
      </c>
      <c r="T32" t="s">
        <v>707</v>
      </c>
      <c r="U32" t="s">
        <v>708</v>
      </c>
    </row>
    <row r="33" spans="1:21" x14ac:dyDescent="0.2">
      <c r="A33">
        <v>56</v>
      </c>
      <c r="B33">
        <v>1</v>
      </c>
      <c r="C33" t="s">
        <v>3</v>
      </c>
      <c r="D33" t="s">
        <v>48</v>
      </c>
      <c r="E33" t="s">
        <v>49</v>
      </c>
      <c r="F33" t="s">
        <v>49</v>
      </c>
      <c r="G33" t="s">
        <v>49</v>
      </c>
      <c r="H33" t="s">
        <v>3</v>
      </c>
      <c r="I33" t="s">
        <v>49</v>
      </c>
      <c r="J33" t="s">
        <v>49</v>
      </c>
      <c r="K33" t="s">
        <v>3</v>
      </c>
      <c r="L33" t="s">
        <v>3</v>
      </c>
      <c r="M33" t="s">
        <v>3</v>
      </c>
      <c r="N33" t="s">
        <v>48</v>
      </c>
      <c r="O33" t="s">
        <v>49</v>
      </c>
      <c r="P33" t="s">
        <v>3</v>
      </c>
      <c r="Q33" t="s">
        <v>3</v>
      </c>
      <c r="R33" t="s">
        <v>3</v>
      </c>
      <c r="S33" t="s">
        <v>706</v>
      </c>
      <c r="T33" t="s">
        <v>707</v>
      </c>
      <c r="U33" t="s">
        <v>708</v>
      </c>
    </row>
    <row r="34" spans="1:21" x14ac:dyDescent="0.2">
      <c r="A34">
        <v>57</v>
      </c>
      <c r="B34">
        <v>1</v>
      </c>
      <c r="C34" t="s">
        <v>3</v>
      </c>
      <c r="D34" t="s">
        <v>48</v>
      </c>
      <c r="E34" t="s">
        <v>49</v>
      </c>
      <c r="F34" t="s">
        <v>49</v>
      </c>
      <c r="G34" t="s">
        <v>49</v>
      </c>
      <c r="H34" t="s">
        <v>3</v>
      </c>
      <c r="I34" t="s">
        <v>49</v>
      </c>
      <c r="J34" t="s">
        <v>49</v>
      </c>
      <c r="K34" t="s">
        <v>3</v>
      </c>
      <c r="L34" t="s">
        <v>3</v>
      </c>
      <c r="M34" t="s">
        <v>3</v>
      </c>
      <c r="N34" t="s">
        <v>48</v>
      </c>
      <c r="O34" t="s">
        <v>49</v>
      </c>
      <c r="P34" t="s">
        <v>3</v>
      </c>
      <c r="Q34" t="s">
        <v>3</v>
      </c>
      <c r="R34" t="s">
        <v>3</v>
      </c>
      <c r="S34" t="s">
        <v>706</v>
      </c>
      <c r="T34" t="s">
        <v>707</v>
      </c>
      <c r="U34" t="s">
        <v>708</v>
      </c>
    </row>
    <row r="35" spans="1:21" x14ac:dyDescent="0.2">
      <c r="A35">
        <v>60</v>
      </c>
      <c r="B35">
        <v>1</v>
      </c>
      <c r="C35" t="s">
        <v>3</v>
      </c>
      <c r="D35" t="s">
        <v>48</v>
      </c>
      <c r="E35" t="s">
        <v>49</v>
      </c>
      <c r="F35" t="s">
        <v>49</v>
      </c>
      <c r="G35" t="s">
        <v>49</v>
      </c>
      <c r="H35" t="s">
        <v>3</v>
      </c>
      <c r="I35" t="s">
        <v>49</v>
      </c>
      <c r="J35" t="s">
        <v>49</v>
      </c>
      <c r="K35" t="s">
        <v>3</v>
      </c>
      <c r="L35" t="s">
        <v>3</v>
      </c>
      <c r="M35" t="s">
        <v>3</v>
      </c>
      <c r="N35" t="s">
        <v>48</v>
      </c>
      <c r="O35" t="s">
        <v>49</v>
      </c>
      <c r="P35" t="s">
        <v>3</v>
      </c>
      <c r="Q35" t="s">
        <v>3</v>
      </c>
      <c r="R35" t="s">
        <v>3</v>
      </c>
      <c r="S35" t="s">
        <v>706</v>
      </c>
      <c r="T35" t="s">
        <v>707</v>
      </c>
      <c r="U35" t="s">
        <v>708</v>
      </c>
    </row>
    <row r="36" spans="1:21" x14ac:dyDescent="0.2">
      <c r="A36">
        <v>61</v>
      </c>
      <c r="B36">
        <v>1</v>
      </c>
      <c r="C36" t="s">
        <v>3</v>
      </c>
      <c r="D36" t="s">
        <v>48</v>
      </c>
      <c r="E36" t="s">
        <v>49</v>
      </c>
      <c r="F36" t="s">
        <v>49</v>
      </c>
      <c r="G36" t="s">
        <v>49</v>
      </c>
      <c r="H36" t="s">
        <v>3</v>
      </c>
      <c r="I36" t="s">
        <v>49</v>
      </c>
      <c r="J36" t="s">
        <v>49</v>
      </c>
      <c r="K36" t="s">
        <v>3</v>
      </c>
      <c r="L36" t="s">
        <v>3</v>
      </c>
      <c r="M36" t="s">
        <v>3</v>
      </c>
      <c r="N36" t="s">
        <v>48</v>
      </c>
      <c r="O36" t="s">
        <v>49</v>
      </c>
      <c r="P36" t="s">
        <v>3</v>
      </c>
      <c r="Q36" t="s">
        <v>3</v>
      </c>
      <c r="R36" t="s">
        <v>3</v>
      </c>
      <c r="S36" t="s">
        <v>706</v>
      </c>
      <c r="T36" t="s">
        <v>707</v>
      </c>
      <c r="U36" t="s">
        <v>708</v>
      </c>
    </row>
    <row r="37" spans="1:21" x14ac:dyDescent="0.2">
      <c r="A37">
        <v>66</v>
      </c>
      <c r="B37">
        <v>1</v>
      </c>
      <c r="C37" t="s">
        <v>3</v>
      </c>
      <c r="D37" t="s">
        <v>48</v>
      </c>
      <c r="E37" t="s">
        <v>49</v>
      </c>
      <c r="F37" t="s">
        <v>49</v>
      </c>
      <c r="G37" t="s">
        <v>49</v>
      </c>
      <c r="H37" t="s">
        <v>3</v>
      </c>
      <c r="I37" t="s">
        <v>49</v>
      </c>
      <c r="J37" t="s">
        <v>49</v>
      </c>
      <c r="K37" t="s">
        <v>3</v>
      </c>
      <c r="L37" t="s">
        <v>3</v>
      </c>
      <c r="M37" t="s">
        <v>3</v>
      </c>
      <c r="N37" t="s">
        <v>48</v>
      </c>
      <c r="O37" t="s">
        <v>49</v>
      </c>
      <c r="P37" t="s">
        <v>3</v>
      </c>
      <c r="Q37" t="s">
        <v>3</v>
      </c>
      <c r="R37" t="s">
        <v>3</v>
      </c>
      <c r="S37" t="s">
        <v>706</v>
      </c>
      <c r="T37" t="s">
        <v>707</v>
      </c>
      <c r="U37" t="s">
        <v>708</v>
      </c>
    </row>
    <row r="38" spans="1:21" x14ac:dyDescent="0.2">
      <c r="A38">
        <v>67</v>
      </c>
      <c r="B38">
        <v>1</v>
      </c>
      <c r="C38" t="s">
        <v>3</v>
      </c>
      <c r="D38" t="s">
        <v>48</v>
      </c>
      <c r="E38" t="s">
        <v>49</v>
      </c>
      <c r="F38" t="s">
        <v>49</v>
      </c>
      <c r="G38" t="s">
        <v>49</v>
      </c>
      <c r="H38" t="s">
        <v>3</v>
      </c>
      <c r="I38" t="s">
        <v>49</v>
      </c>
      <c r="J38" t="s">
        <v>49</v>
      </c>
      <c r="K38" t="s">
        <v>3</v>
      </c>
      <c r="L38" t="s">
        <v>3</v>
      </c>
      <c r="M38" t="s">
        <v>3</v>
      </c>
      <c r="N38" t="s">
        <v>48</v>
      </c>
      <c r="O38" t="s">
        <v>49</v>
      </c>
      <c r="P38" t="s">
        <v>3</v>
      </c>
      <c r="Q38" t="s">
        <v>3</v>
      </c>
      <c r="R38" t="s">
        <v>3</v>
      </c>
      <c r="S38" t="s">
        <v>706</v>
      </c>
      <c r="T38" t="s">
        <v>707</v>
      </c>
      <c r="U38" t="s">
        <v>708</v>
      </c>
    </row>
    <row r="39" spans="1:21" x14ac:dyDescent="0.2">
      <c r="A39">
        <v>74</v>
      </c>
      <c r="B39">
        <v>1</v>
      </c>
      <c r="C39" t="s">
        <v>3</v>
      </c>
      <c r="D39" t="s">
        <v>48</v>
      </c>
      <c r="E39" t="s">
        <v>49</v>
      </c>
      <c r="F39" t="s">
        <v>49</v>
      </c>
      <c r="G39" t="s">
        <v>49</v>
      </c>
      <c r="H39" t="s">
        <v>3</v>
      </c>
      <c r="I39" t="s">
        <v>49</v>
      </c>
      <c r="J39" t="s">
        <v>49</v>
      </c>
      <c r="K39" t="s">
        <v>3</v>
      </c>
      <c r="L39" t="s">
        <v>3</v>
      </c>
      <c r="M39" t="s">
        <v>3</v>
      </c>
      <c r="N39" t="s">
        <v>48</v>
      </c>
      <c r="O39" t="s">
        <v>49</v>
      </c>
      <c r="P39" t="s">
        <v>3</v>
      </c>
      <c r="Q39" t="s">
        <v>3</v>
      </c>
      <c r="R39" t="s">
        <v>3</v>
      </c>
      <c r="S39" t="s">
        <v>706</v>
      </c>
      <c r="T39" t="s">
        <v>707</v>
      </c>
      <c r="U39" t="s">
        <v>708</v>
      </c>
    </row>
    <row r="40" spans="1:21" x14ac:dyDescent="0.2">
      <c r="A40">
        <v>75</v>
      </c>
      <c r="B40">
        <v>1</v>
      </c>
      <c r="C40" t="s">
        <v>3</v>
      </c>
      <c r="D40" t="s">
        <v>48</v>
      </c>
      <c r="E40" t="s">
        <v>49</v>
      </c>
      <c r="F40" t="s">
        <v>49</v>
      </c>
      <c r="G40" t="s">
        <v>49</v>
      </c>
      <c r="H40" t="s">
        <v>3</v>
      </c>
      <c r="I40" t="s">
        <v>49</v>
      </c>
      <c r="J40" t="s">
        <v>49</v>
      </c>
      <c r="K40" t="s">
        <v>3</v>
      </c>
      <c r="L40" t="s">
        <v>3</v>
      </c>
      <c r="M40" t="s">
        <v>3</v>
      </c>
      <c r="N40" t="s">
        <v>48</v>
      </c>
      <c r="O40" t="s">
        <v>49</v>
      </c>
      <c r="P40" t="s">
        <v>3</v>
      </c>
      <c r="Q40" t="s">
        <v>3</v>
      </c>
      <c r="R40" t="s">
        <v>3</v>
      </c>
      <c r="S40" t="s">
        <v>706</v>
      </c>
      <c r="T40" t="s">
        <v>707</v>
      </c>
      <c r="U40" t="s">
        <v>708</v>
      </c>
    </row>
    <row r="41" spans="1:21" x14ac:dyDescent="0.2">
      <c r="A41">
        <v>78</v>
      </c>
      <c r="B41">
        <v>1</v>
      </c>
      <c r="C41" t="s">
        <v>3</v>
      </c>
      <c r="D41" t="s">
        <v>48</v>
      </c>
      <c r="E41" t="s">
        <v>49</v>
      </c>
      <c r="F41" t="s">
        <v>49</v>
      </c>
      <c r="G41" t="s">
        <v>49</v>
      </c>
      <c r="H41" t="s">
        <v>3</v>
      </c>
      <c r="I41" t="s">
        <v>49</v>
      </c>
      <c r="J41" t="s">
        <v>49</v>
      </c>
      <c r="K41" t="s">
        <v>3</v>
      </c>
      <c r="L41" t="s">
        <v>3</v>
      </c>
      <c r="M41" t="s">
        <v>3</v>
      </c>
      <c r="N41" t="s">
        <v>48</v>
      </c>
      <c r="O41" t="s">
        <v>49</v>
      </c>
      <c r="P41" t="s">
        <v>3</v>
      </c>
      <c r="Q41" t="s">
        <v>3</v>
      </c>
      <c r="R41" t="s">
        <v>3</v>
      </c>
      <c r="S41" t="s">
        <v>706</v>
      </c>
      <c r="T41" t="s">
        <v>707</v>
      </c>
      <c r="U41" t="s">
        <v>708</v>
      </c>
    </row>
    <row r="42" spans="1:21" x14ac:dyDescent="0.2">
      <c r="A42">
        <v>79</v>
      </c>
      <c r="B42">
        <v>1</v>
      </c>
      <c r="C42" t="s">
        <v>3</v>
      </c>
      <c r="D42" t="s">
        <v>48</v>
      </c>
      <c r="E42" t="s">
        <v>49</v>
      </c>
      <c r="F42" t="s">
        <v>49</v>
      </c>
      <c r="G42" t="s">
        <v>49</v>
      </c>
      <c r="H42" t="s">
        <v>3</v>
      </c>
      <c r="I42" t="s">
        <v>49</v>
      </c>
      <c r="J42" t="s">
        <v>49</v>
      </c>
      <c r="K42" t="s">
        <v>3</v>
      </c>
      <c r="L42" t="s">
        <v>3</v>
      </c>
      <c r="M42" t="s">
        <v>3</v>
      </c>
      <c r="N42" t="s">
        <v>48</v>
      </c>
      <c r="O42" t="s">
        <v>49</v>
      </c>
      <c r="P42" t="s">
        <v>3</v>
      </c>
      <c r="Q42" t="s">
        <v>3</v>
      </c>
      <c r="R42" t="s">
        <v>3</v>
      </c>
      <c r="S42" t="s">
        <v>706</v>
      </c>
      <c r="T42" t="s">
        <v>707</v>
      </c>
      <c r="U42" t="s">
        <v>708</v>
      </c>
    </row>
    <row r="43" spans="1:21" x14ac:dyDescent="0.2">
      <c r="A43">
        <v>84</v>
      </c>
      <c r="B43">
        <v>1</v>
      </c>
      <c r="C43" t="s">
        <v>3</v>
      </c>
      <c r="D43" t="s">
        <v>48</v>
      </c>
      <c r="E43" t="s">
        <v>49</v>
      </c>
      <c r="F43" t="s">
        <v>49</v>
      </c>
      <c r="G43" t="s">
        <v>49</v>
      </c>
      <c r="H43" t="s">
        <v>3</v>
      </c>
      <c r="I43" t="s">
        <v>49</v>
      </c>
      <c r="J43" t="s">
        <v>49</v>
      </c>
      <c r="K43" t="s">
        <v>3</v>
      </c>
      <c r="L43" t="s">
        <v>3</v>
      </c>
      <c r="M43" t="s">
        <v>3</v>
      </c>
      <c r="N43" t="s">
        <v>48</v>
      </c>
      <c r="O43" t="s">
        <v>49</v>
      </c>
      <c r="P43" t="s">
        <v>3</v>
      </c>
      <c r="Q43" t="s">
        <v>3</v>
      </c>
      <c r="R43" t="s">
        <v>3</v>
      </c>
      <c r="S43" t="s">
        <v>706</v>
      </c>
      <c r="T43" t="s">
        <v>707</v>
      </c>
      <c r="U43" t="s">
        <v>708</v>
      </c>
    </row>
    <row r="44" spans="1:21" x14ac:dyDescent="0.2">
      <c r="A44">
        <v>85</v>
      </c>
      <c r="B44">
        <v>1</v>
      </c>
      <c r="C44" t="s">
        <v>3</v>
      </c>
      <c r="D44" t="s">
        <v>48</v>
      </c>
      <c r="E44" t="s">
        <v>49</v>
      </c>
      <c r="F44" t="s">
        <v>49</v>
      </c>
      <c r="G44" t="s">
        <v>49</v>
      </c>
      <c r="H44" t="s">
        <v>3</v>
      </c>
      <c r="I44" t="s">
        <v>49</v>
      </c>
      <c r="J44" t="s">
        <v>49</v>
      </c>
      <c r="K44" t="s">
        <v>3</v>
      </c>
      <c r="L44" t="s">
        <v>3</v>
      </c>
      <c r="M44" t="s">
        <v>3</v>
      </c>
      <c r="N44" t="s">
        <v>48</v>
      </c>
      <c r="O44" t="s">
        <v>49</v>
      </c>
      <c r="P44" t="s">
        <v>3</v>
      </c>
      <c r="Q44" t="s">
        <v>3</v>
      </c>
      <c r="R44" t="s">
        <v>3</v>
      </c>
      <c r="S44" t="s">
        <v>706</v>
      </c>
      <c r="T44" t="s">
        <v>707</v>
      </c>
      <c r="U44" t="s">
        <v>708</v>
      </c>
    </row>
    <row r="45" spans="1:21" x14ac:dyDescent="0.2">
      <c r="A45">
        <v>88</v>
      </c>
      <c r="B45">
        <v>1</v>
      </c>
      <c r="C45" t="s">
        <v>3</v>
      </c>
      <c r="D45" t="s">
        <v>48</v>
      </c>
      <c r="E45" t="s">
        <v>49</v>
      </c>
      <c r="F45" t="s">
        <v>49</v>
      </c>
      <c r="G45" t="s">
        <v>49</v>
      </c>
      <c r="H45" t="s">
        <v>3</v>
      </c>
      <c r="I45" t="s">
        <v>49</v>
      </c>
      <c r="J45" t="s">
        <v>49</v>
      </c>
      <c r="K45" t="s">
        <v>3</v>
      </c>
      <c r="L45" t="s">
        <v>3</v>
      </c>
      <c r="M45" t="s">
        <v>3</v>
      </c>
      <c r="N45" t="s">
        <v>48</v>
      </c>
      <c r="O45" t="s">
        <v>49</v>
      </c>
      <c r="P45" t="s">
        <v>3</v>
      </c>
      <c r="Q45" t="s">
        <v>3</v>
      </c>
      <c r="R45" t="s">
        <v>3</v>
      </c>
      <c r="S45" t="s">
        <v>706</v>
      </c>
      <c r="T45" t="s">
        <v>707</v>
      </c>
      <c r="U45" t="s">
        <v>708</v>
      </c>
    </row>
    <row r="46" spans="1:21" x14ac:dyDescent="0.2">
      <c r="A46">
        <v>89</v>
      </c>
      <c r="B46">
        <v>1</v>
      </c>
      <c r="C46" t="s">
        <v>3</v>
      </c>
      <c r="D46" t="s">
        <v>48</v>
      </c>
      <c r="E46" t="s">
        <v>49</v>
      </c>
      <c r="F46" t="s">
        <v>49</v>
      </c>
      <c r="G46" t="s">
        <v>49</v>
      </c>
      <c r="H46" t="s">
        <v>3</v>
      </c>
      <c r="I46" t="s">
        <v>49</v>
      </c>
      <c r="J46" t="s">
        <v>49</v>
      </c>
      <c r="K46" t="s">
        <v>3</v>
      </c>
      <c r="L46" t="s">
        <v>3</v>
      </c>
      <c r="M46" t="s">
        <v>3</v>
      </c>
      <c r="N46" t="s">
        <v>48</v>
      </c>
      <c r="O46" t="s">
        <v>49</v>
      </c>
      <c r="P46" t="s">
        <v>3</v>
      </c>
      <c r="Q46" t="s">
        <v>3</v>
      </c>
      <c r="R46" t="s">
        <v>3</v>
      </c>
      <c r="S46" t="s">
        <v>706</v>
      </c>
      <c r="T46" t="s">
        <v>707</v>
      </c>
      <c r="U46" t="s">
        <v>708</v>
      </c>
    </row>
    <row r="47" spans="1:21" x14ac:dyDescent="0.2">
      <c r="A47">
        <v>94</v>
      </c>
      <c r="B47">
        <v>1</v>
      </c>
      <c r="C47" t="s">
        <v>3</v>
      </c>
      <c r="D47" t="s">
        <v>48</v>
      </c>
      <c r="E47" t="s">
        <v>49</v>
      </c>
      <c r="F47" t="s">
        <v>49</v>
      </c>
      <c r="G47" t="s">
        <v>49</v>
      </c>
      <c r="H47" t="s">
        <v>3</v>
      </c>
      <c r="I47" t="s">
        <v>49</v>
      </c>
      <c r="J47" t="s">
        <v>49</v>
      </c>
      <c r="K47" t="s">
        <v>3</v>
      </c>
      <c r="L47" t="s">
        <v>3</v>
      </c>
      <c r="M47" t="s">
        <v>3</v>
      </c>
      <c r="N47" t="s">
        <v>48</v>
      </c>
      <c r="O47" t="s">
        <v>49</v>
      </c>
      <c r="P47" t="s">
        <v>3</v>
      </c>
      <c r="Q47" t="s">
        <v>3</v>
      </c>
      <c r="R47" t="s">
        <v>3</v>
      </c>
      <c r="S47" t="s">
        <v>706</v>
      </c>
      <c r="T47" t="s">
        <v>707</v>
      </c>
      <c r="U47" t="s">
        <v>708</v>
      </c>
    </row>
    <row r="48" spans="1:21" x14ac:dyDescent="0.2">
      <c r="A48">
        <v>95</v>
      </c>
      <c r="B48">
        <v>1</v>
      </c>
      <c r="C48" t="s">
        <v>3</v>
      </c>
      <c r="D48" t="s">
        <v>48</v>
      </c>
      <c r="E48" t="s">
        <v>49</v>
      </c>
      <c r="F48" t="s">
        <v>49</v>
      </c>
      <c r="G48" t="s">
        <v>49</v>
      </c>
      <c r="H48" t="s">
        <v>3</v>
      </c>
      <c r="I48" t="s">
        <v>49</v>
      </c>
      <c r="J48" t="s">
        <v>49</v>
      </c>
      <c r="K48" t="s">
        <v>3</v>
      </c>
      <c r="L48" t="s">
        <v>3</v>
      </c>
      <c r="M48" t="s">
        <v>3</v>
      </c>
      <c r="N48" t="s">
        <v>48</v>
      </c>
      <c r="O48" t="s">
        <v>49</v>
      </c>
      <c r="P48" t="s">
        <v>3</v>
      </c>
      <c r="Q48" t="s">
        <v>3</v>
      </c>
      <c r="R48" t="s">
        <v>3</v>
      </c>
      <c r="S48" t="s">
        <v>706</v>
      </c>
      <c r="T48" t="s">
        <v>707</v>
      </c>
      <c r="U48" t="s">
        <v>708</v>
      </c>
    </row>
    <row r="49" spans="1:21" x14ac:dyDescent="0.2">
      <c r="A49">
        <v>100</v>
      </c>
      <c r="B49">
        <v>1</v>
      </c>
      <c r="C49" t="s">
        <v>3</v>
      </c>
      <c r="D49" t="s">
        <v>48</v>
      </c>
      <c r="E49" t="s">
        <v>49</v>
      </c>
      <c r="F49" t="s">
        <v>49</v>
      </c>
      <c r="G49" t="s">
        <v>49</v>
      </c>
      <c r="H49" t="s">
        <v>3</v>
      </c>
      <c r="I49" t="s">
        <v>49</v>
      </c>
      <c r="J49" t="s">
        <v>49</v>
      </c>
      <c r="K49" t="s">
        <v>3</v>
      </c>
      <c r="L49" t="s">
        <v>3</v>
      </c>
      <c r="M49" t="s">
        <v>3</v>
      </c>
      <c r="N49" t="s">
        <v>48</v>
      </c>
      <c r="O49" t="s">
        <v>49</v>
      </c>
      <c r="P49" t="s">
        <v>3</v>
      </c>
      <c r="Q49" t="s">
        <v>3</v>
      </c>
      <c r="R49" t="s">
        <v>3</v>
      </c>
      <c r="S49" t="s">
        <v>706</v>
      </c>
      <c r="T49" t="s">
        <v>707</v>
      </c>
      <c r="U49" t="s">
        <v>708</v>
      </c>
    </row>
    <row r="50" spans="1:21" x14ac:dyDescent="0.2">
      <c r="A50">
        <v>101</v>
      </c>
      <c r="B50">
        <v>1</v>
      </c>
      <c r="C50" t="s">
        <v>3</v>
      </c>
      <c r="D50" t="s">
        <v>48</v>
      </c>
      <c r="E50" t="s">
        <v>49</v>
      </c>
      <c r="F50" t="s">
        <v>49</v>
      </c>
      <c r="G50" t="s">
        <v>49</v>
      </c>
      <c r="H50" t="s">
        <v>3</v>
      </c>
      <c r="I50" t="s">
        <v>49</v>
      </c>
      <c r="J50" t="s">
        <v>49</v>
      </c>
      <c r="K50" t="s">
        <v>3</v>
      </c>
      <c r="L50" t="s">
        <v>3</v>
      </c>
      <c r="M50" t="s">
        <v>3</v>
      </c>
      <c r="N50" t="s">
        <v>48</v>
      </c>
      <c r="O50" t="s">
        <v>49</v>
      </c>
      <c r="P50" t="s">
        <v>3</v>
      </c>
      <c r="Q50" t="s">
        <v>3</v>
      </c>
      <c r="R50" t="s">
        <v>3</v>
      </c>
      <c r="S50" t="s">
        <v>706</v>
      </c>
      <c r="T50" t="s">
        <v>707</v>
      </c>
      <c r="U50" t="s">
        <v>708</v>
      </c>
    </row>
    <row r="51" spans="1:21" x14ac:dyDescent="0.2">
      <c r="A51">
        <v>106</v>
      </c>
      <c r="B51">
        <v>1</v>
      </c>
      <c r="C51" t="s">
        <v>3</v>
      </c>
      <c r="D51" t="s">
        <v>48</v>
      </c>
      <c r="E51" t="s">
        <v>49</v>
      </c>
      <c r="F51" t="s">
        <v>49</v>
      </c>
      <c r="G51" t="s">
        <v>49</v>
      </c>
      <c r="H51" t="s">
        <v>3</v>
      </c>
      <c r="I51" t="s">
        <v>49</v>
      </c>
      <c r="J51" t="s">
        <v>49</v>
      </c>
      <c r="K51" t="s">
        <v>3</v>
      </c>
      <c r="L51" t="s">
        <v>3</v>
      </c>
      <c r="M51" t="s">
        <v>3</v>
      </c>
      <c r="N51" t="s">
        <v>48</v>
      </c>
      <c r="O51" t="s">
        <v>49</v>
      </c>
      <c r="P51" t="s">
        <v>3</v>
      </c>
      <c r="Q51" t="s">
        <v>3</v>
      </c>
      <c r="R51" t="s">
        <v>3</v>
      </c>
      <c r="S51" t="s">
        <v>706</v>
      </c>
      <c r="T51" t="s">
        <v>707</v>
      </c>
      <c r="U51" t="s">
        <v>708</v>
      </c>
    </row>
    <row r="52" spans="1:21" x14ac:dyDescent="0.2">
      <c r="A52">
        <v>107</v>
      </c>
      <c r="B52">
        <v>1</v>
      </c>
      <c r="C52" t="s">
        <v>3</v>
      </c>
      <c r="D52" t="s">
        <v>48</v>
      </c>
      <c r="E52" t="s">
        <v>49</v>
      </c>
      <c r="F52" t="s">
        <v>49</v>
      </c>
      <c r="G52" t="s">
        <v>49</v>
      </c>
      <c r="H52" t="s">
        <v>3</v>
      </c>
      <c r="I52" t="s">
        <v>49</v>
      </c>
      <c r="J52" t="s">
        <v>49</v>
      </c>
      <c r="K52" t="s">
        <v>3</v>
      </c>
      <c r="L52" t="s">
        <v>3</v>
      </c>
      <c r="M52" t="s">
        <v>3</v>
      </c>
      <c r="N52" t="s">
        <v>48</v>
      </c>
      <c r="O52" t="s">
        <v>49</v>
      </c>
      <c r="P52" t="s">
        <v>3</v>
      </c>
      <c r="Q52" t="s">
        <v>3</v>
      </c>
      <c r="R52" t="s">
        <v>3</v>
      </c>
      <c r="S52" t="s">
        <v>706</v>
      </c>
      <c r="T52" t="s">
        <v>707</v>
      </c>
      <c r="U52" t="s">
        <v>708</v>
      </c>
    </row>
    <row r="53" spans="1:21" x14ac:dyDescent="0.2">
      <c r="A53">
        <v>116</v>
      </c>
      <c r="B53">
        <v>1</v>
      </c>
      <c r="C53" t="s">
        <v>3</v>
      </c>
      <c r="D53" t="s">
        <v>48</v>
      </c>
      <c r="E53" t="s">
        <v>49</v>
      </c>
      <c r="F53" t="s">
        <v>49</v>
      </c>
      <c r="G53" t="s">
        <v>49</v>
      </c>
      <c r="H53" t="s">
        <v>3</v>
      </c>
      <c r="I53" t="s">
        <v>49</v>
      </c>
      <c r="J53" t="s">
        <v>49</v>
      </c>
      <c r="K53" t="s">
        <v>3</v>
      </c>
      <c r="L53" t="s">
        <v>3</v>
      </c>
      <c r="M53" t="s">
        <v>3</v>
      </c>
      <c r="N53" t="s">
        <v>48</v>
      </c>
      <c r="O53" t="s">
        <v>49</v>
      </c>
      <c r="P53" t="s">
        <v>3</v>
      </c>
      <c r="Q53" t="s">
        <v>3</v>
      </c>
      <c r="R53" t="s">
        <v>3</v>
      </c>
      <c r="S53" t="s">
        <v>706</v>
      </c>
      <c r="T53" t="s">
        <v>707</v>
      </c>
      <c r="U53" t="s">
        <v>708</v>
      </c>
    </row>
    <row r="54" spans="1:21" x14ac:dyDescent="0.2">
      <c r="A54">
        <v>117</v>
      </c>
      <c r="B54">
        <v>1</v>
      </c>
      <c r="C54" t="s">
        <v>3</v>
      </c>
      <c r="D54" t="s">
        <v>48</v>
      </c>
      <c r="E54" t="s">
        <v>49</v>
      </c>
      <c r="F54" t="s">
        <v>49</v>
      </c>
      <c r="G54" t="s">
        <v>49</v>
      </c>
      <c r="H54" t="s">
        <v>3</v>
      </c>
      <c r="I54" t="s">
        <v>49</v>
      </c>
      <c r="J54" t="s">
        <v>49</v>
      </c>
      <c r="K54" t="s">
        <v>3</v>
      </c>
      <c r="L54" t="s">
        <v>3</v>
      </c>
      <c r="M54" t="s">
        <v>3</v>
      </c>
      <c r="N54" t="s">
        <v>48</v>
      </c>
      <c r="O54" t="s">
        <v>49</v>
      </c>
      <c r="P54" t="s">
        <v>3</v>
      </c>
      <c r="Q54" t="s">
        <v>3</v>
      </c>
      <c r="R54" t="s">
        <v>3</v>
      </c>
      <c r="S54" t="s">
        <v>706</v>
      </c>
      <c r="T54" t="s">
        <v>707</v>
      </c>
      <c r="U54" t="s">
        <v>708</v>
      </c>
    </row>
    <row r="55" spans="1:21" x14ac:dyDescent="0.2">
      <c r="A55">
        <v>126</v>
      </c>
      <c r="B55">
        <v>1</v>
      </c>
      <c r="C55" t="s">
        <v>3</v>
      </c>
      <c r="D55" t="s">
        <v>48</v>
      </c>
      <c r="E55" t="s">
        <v>49</v>
      </c>
      <c r="F55" t="s">
        <v>49</v>
      </c>
      <c r="G55" t="s">
        <v>49</v>
      </c>
      <c r="H55" t="s">
        <v>3</v>
      </c>
      <c r="I55" t="s">
        <v>49</v>
      </c>
      <c r="J55" t="s">
        <v>49</v>
      </c>
      <c r="K55" t="s">
        <v>3</v>
      </c>
      <c r="L55" t="s">
        <v>3</v>
      </c>
      <c r="M55" t="s">
        <v>3</v>
      </c>
      <c r="N55" t="s">
        <v>48</v>
      </c>
      <c r="O55" t="s">
        <v>49</v>
      </c>
      <c r="P55" t="s">
        <v>3</v>
      </c>
      <c r="Q55" t="s">
        <v>3</v>
      </c>
      <c r="R55" t="s">
        <v>3</v>
      </c>
      <c r="S55" t="s">
        <v>706</v>
      </c>
      <c r="T55" t="s">
        <v>707</v>
      </c>
      <c r="U55" t="s">
        <v>708</v>
      </c>
    </row>
    <row r="56" spans="1:21" x14ac:dyDescent="0.2">
      <c r="A56">
        <v>127</v>
      </c>
      <c r="B56">
        <v>1</v>
      </c>
      <c r="C56" t="s">
        <v>3</v>
      </c>
      <c r="D56" t="s">
        <v>48</v>
      </c>
      <c r="E56" t="s">
        <v>49</v>
      </c>
      <c r="F56" t="s">
        <v>49</v>
      </c>
      <c r="G56" t="s">
        <v>49</v>
      </c>
      <c r="H56" t="s">
        <v>3</v>
      </c>
      <c r="I56" t="s">
        <v>49</v>
      </c>
      <c r="J56" t="s">
        <v>49</v>
      </c>
      <c r="K56" t="s">
        <v>3</v>
      </c>
      <c r="L56" t="s">
        <v>3</v>
      </c>
      <c r="M56" t="s">
        <v>3</v>
      </c>
      <c r="N56" t="s">
        <v>48</v>
      </c>
      <c r="O56" t="s">
        <v>49</v>
      </c>
      <c r="P56" t="s">
        <v>3</v>
      </c>
      <c r="Q56" t="s">
        <v>3</v>
      </c>
      <c r="R56" t="s">
        <v>3</v>
      </c>
      <c r="S56" t="s">
        <v>706</v>
      </c>
      <c r="T56" t="s">
        <v>707</v>
      </c>
      <c r="U56" t="s">
        <v>708</v>
      </c>
    </row>
    <row r="57" spans="1:21" x14ac:dyDescent="0.2">
      <c r="A57">
        <v>140</v>
      </c>
      <c r="B57">
        <v>1</v>
      </c>
      <c r="C57" t="s">
        <v>3</v>
      </c>
      <c r="D57" t="s">
        <v>48</v>
      </c>
      <c r="E57" t="s">
        <v>709</v>
      </c>
      <c r="F57" t="s">
        <v>709</v>
      </c>
      <c r="G57" t="s">
        <v>710</v>
      </c>
      <c r="H57" t="s">
        <v>3</v>
      </c>
      <c r="I57" t="s">
        <v>710</v>
      </c>
      <c r="J57" t="s">
        <v>709</v>
      </c>
      <c r="K57" t="s">
        <v>3</v>
      </c>
      <c r="L57" t="s">
        <v>3</v>
      </c>
      <c r="M57" t="s">
        <v>3</v>
      </c>
      <c r="N57" t="s">
        <v>48</v>
      </c>
      <c r="O57" t="s">
        <v>709</v>
      </c>
      <c r="P57" t="s">
        <v>3</v>
      </c>
      <c r="Q57" t="s">
        <v>3</v>
      </c>
      <c r="R57" t="s">
        <v>3</v>
      </c>
      <c r="S57" t="s">
        <v>711</v>
      </c>
      <c r="T57" t="s">
        <v>712</v>
      </c>
      <c r="U57" t="s">
        <v>713</v>
      </c>
    </row>
    <row r="58" spans="1:21" x14ac:dyDescent="0.2">
      <c r="A58">
        <v>140</v>
      </c>
      <c r="B58">
        <v>1</v>
      </c>
      <c r="C58" t="s">
        <v>3</v>
      </c>
      <c r="D58" t="s">
        <v>48</v>
      </c>
      <c r="E58" t="s">
        <v>49</v>
      </c>
      <c r="F58" t="s">
        <v>49</v>
      </c>
      <c r="G58" t="s">
        <v>49</v>
      </c>
      <c r="H58" t="s">
        <v>3</v>
      </c>
      <c r="I58" t="s">
        <v>49</v>
      </c>
      <c r="J58" t="s">
        <v>49</v>
      </c>
      <c r="K58" t="s">
        <v>3</v>
      </c>
      <c r="L58" t="s">
        <v>3</v>
      </c>
      <c r="M58" t="s">
        <v>3</v>
      </c>
      <c r="N58" t="s">
        <v>48</v>
      </c>
      <c r="O58" t="s">
        <v>49</v>
      </c>
      <c r="P58" t="s">
        <v>3</v>
      </c>
      <c r="Q58" t="s">
        <v>3</v>
      </c>
      <c r="R58" t="s">
        <v>3</v>
      </c>
      <c r="S58" t="s">
        <v>706</v>
      </c>
      <c r="T58" t="s">
        <v>707</v>
      </c>
      <c r="U58" t="s">
        <v>708</v>
      </c>
    </row>
    <row r="59" spans="1:21" x14ac:dyDescent="0.2">
      <c r="A59">
        <v>141</v>
      </c>
      <c r="B59">
        <v>1</v>
      </c>
      <c r="C59" t="s">
        <v>3</v>
      </c>
      <c r="D59" t="s">
        <v>48</v>
      </c>
      <c r="E59" t="s">
        <v>709</v>
      </c>
      <c r="F59" t="s">
        <v>709</v>
      </c>
      <c r="G59" t="s">
        <v>710</v>
      </c>
      <c r="H59" t="s">
        <v>3</v>
      </c>
      <c r="I59" t="s">
        <v>710</v>
      </c>
      <c r="J59" t="s">
        <v>709</v>
      </c>
      <c r="K59" t="s">
        <v>3</v>
      </c>
      <c r="L59" t="s">
        <v>3</v>
      </c>
      <c r="M59" t="s">
        <v>3</v>
      </c>
      <c r="N59" t="s">
        <v>48</v>
      </c>
      <c r="O59" t="s">
        <v>709</v>
      </c>
      <c r="P59" t="s">
        <v>3</v>
      </c>
      <c r="Q59" t="s">
        <v>3</v>
      </c>
      <c r="R59" t="s">
        <v>3</v>
      </c>
      <c r="S59" t="s">
        <v>711</v>
      </c>
      <c r="T59" t="s">
        <v>712</v>
      </c>
      <c r="U59" t="s">
        <v>713</v>
      </c>
    </row>
    <row r="60" spans="1:21" x14ac:dyDescent="0.2">
      <c r="A60">
        <v>141</v>
      </c>
      <c r="B60">
        <v>1</v>
      </c>
      <c r="C60" t="s">
        <v>3</v>
      </c>
      <c r="D60" t="s">
        <v>48</v>
      </c>
      <c r="E60" t="s">
        <v>49</v>
      </c>
      <c r="F60" t="s">
        <v>49</v>
      </c>
      <c r="G60" t="s">
        <v>49</v>
      </c>
      <c r="H60" t="s">
        <v>3</v>
      </c>
      <c r="I60" t="s">
        <v>49</v>
      </c>
      <c r="J60" t="s">
        <v>49</v>
      </c>
      <c r="K60" t="s">
        <v>3</v>
      </c>
      <c r="L60" t="s">
        <v>3</v>
      </c>
      <c r="M60" t="s">
        <v>3</v>
      </c>
      <c r="N60" t="s">
        <v>48</v>
      </c>
      <c r="O60" t="s">
        <v>49</v>
      </c>
      <c r="P60" t="s">
        <v>3</v>
      </c>
      <c r="Q60" t="s">
        <v>3</v>
      </c>
      <c r="R60" t="s">
        <v>3</v>
      </c>
      <c r="S60" t="s">
        <v>706</v>
      </c>
      <c r="T60" t="s">
        <v>707</v>
      </c>
      <c r="U60" t="s">
        <v>708</v>
      </c>
    </row>
    <row r="61" spans="1:21" x14ac:dyDescent="0.2">
      <c r="A61">
        <v>146</v>
      </c>
      <c r="B61">
        <v>1</v>
      </c>
      <c r="C61" t="s">
        <v>3</v>
      </c>
      <c r="D61" t="s">
        <v>48</v>
      </c>
      <c r="E61" t="s">
        <v>49</v>
      </c>
      <c r="F61" t="s">
        <v>49</v>
      </c>
      <c r="G61" t="s">
        <v>49</v>
      </c>
      <c r="H61" t="s">
        <v>3</v>
      </c>
      <c r="I61" t="s">
        <v>49</v>
      </c>
      <c r="J61" t="s">
        <v>49</v>
      </c>
      <c r="K61" t="s">
        <v>3</v>
      </c>
      <c r="L61" t="s">
        <v>3</v>
      </c>
      <c r="M61" t="s">
        <v>3</v>
      </c>
      <c r="N61" t="s">
        <v>48</v>
      </c>
      <c r="O61" t="s">
        <v>49</v>
      </c>
      <c r="P61" t="s">
        <v>3</v>
      </c>
      <c r="Q61" t="s">
        <v>3</v>
      </c>
      <c r="R61" t="s">
        <v>3</v>
      </c>
      <c r="S61" t="s">
        <v>706</v>
      </c>
      <c r="T61" t="s">
        <v>707</v>
      </c>
      <c r="U61" t="s">
        <v>708</v>
      </c>
    </row>
    <row r="62" spans="1:21" x14ac:dyDescent="0.2">
      <c r="A62">
        <v>146</v>
      </c>
      <c r="B62">
        <v>1</v>
      </c>
      <c r="C62" t="s">
        <v>3</v>
      </c>
      <c r="D62" t="s">
        <v>48</v>
      </c>
      <c r="E62" t="s">
        <v>709</v>
      </c>
      <c r="F62" t="s">
        <v>709</v>
      </c>
      <c r="G62" t="s">
        <v>710</v>
      </c>
      <c r="H62" t="s">
        <v>3</v>
      </c>
      <c r="I62" t="s">
        <v>710</v>
      </c>
      <c r="J62" t="s">
        <v>709</v>
      </c>
      <c r="K62" t="s">
        <v>3</v>
      </c>
      <c r="L62" t="s">
        <v>3</v>
      </c>
      <c r="M62" t="s">
        <v>3</v>
      </c>
      <c r="N62" t="s">
        <v>48</v>
      </c>
      <c r="O62" t="s">
        <v>709</v>
      </c>
      <c r="P62" t="s">
        <v>3</v>
      </c>
      <c r="Q62" t="s">
        <v>3</v>
      </c>
      <c r="R62" t="s">
        <v>3</v>
      </c>
      <c r="S62" t="s">
        <v>711</v>
      </c>
      <c r="T62" t="s">
        <v>712</v>
      </c>
      <c r="U62" t="s">
        <v>713</v>
      </c>
    </row>
    <row r="63" spans="1:21" x14ac:dyDescent="0.2">
      <c r="A63">
        <v>147</v>
      </c>
      <c r="B63">
        <v>1</v>
      </c>
      <c r="C63" t="s">
        <v>3</v>
      </c>
      <c r="D63" t="s">
        <v>48</v>
      </c>
      <c r="E63" t="s">
        <v>49</v>
      </c>
      <c r="F63" t="s">
        <v>49</v>
      </c>
      <c r="G63" t="s">
        <v>49</v>
      </c>
      <c r="H63" t="s">
        <v>3</v>
      </c>
      <c r="I63" t="s">
        <v>49</v>
      </c>
      <c r="J63" t="s">
        <v>49</v>
      </c>
      <c r="K63" t="s">
        <v>3</v>
      </c>
      <c r="L63" t="s">
        <v>3</v>
      </c>
      <c r="M63" t="s">
        <v>3</v>
      </c>
      <c r="N63" t="s">
        <v>48</v>
      </c>
      <c r="O63" t="s">
        <v>49</v>
      </c>
      <c r="P63" t="s">
        <v>3</v>
      </c>
      <c r="Q63" t="s">
        <v>3</v>
      </c>
      <c r="R63" t="s">
        <v>3</v>
      </c>
      <c r="S63" t="s">
        <v>706</v>
      </c>
      <c r="T63" t="s">
        <v>707</v>
      </c>
      <c r="U63" t="s">
        <v>708</v>
      </c>
    </row>
    <row r="64" spans="1:21" x14ac:dyDescent="0.2">
      <c r="A64">
        <v>147</v>
      </c>
      <c r="B64">
        <v>1</v>
      </c>
      <c r="C64" t="s">
        <v>3</v>
      </c>
      <c r="D64" t="s">
        <v>48</v>
      </c>
      <c r="E64" t="s">
        <v>709</v>
      </c>
      <c r="F64" t="s">
        <v>709</v>
      </c>
      <c r="G64" t="s">
        <v>710</v>
      </c>
      <c r="H64" t="s">
        <v>3</v>
      </c>
      <c r="I64" t="s">
        <v>710</v>
      </c>
      <c r="J64" t="s">
        <v>709</v>
      </c>
      <c r="K64" t="s">
        <v>3</v>
      </c>
      <c r="L64" t="s">
        <v>3</v>
      </c>
      <c r="M64" t="s">
        <v>3</v>
      </c>
      <c r="N64" t="s">
        <v>48</v>
      </c>
      <c r="O64" t="s">
        <v>709</v>
      </c>
      <c r="P64" t="s">
        <v>3</v>
      </c>
      <c r="Q64" t="s">
        <v>3</v>
      </c>
      <c r="R64" t="s">
        <v>3</v>
      </c>
      <c r="S64" t="s">
        <v>711</v>
      </c>
      <c r="T64" t="s">
        <v>712</v>
      </c>
      <c r="U64" t="s">
        <v>713</v>
      </c>
    </row>
    <row r="65" spans="1:21" x14ac:dyDescent="0.2">
      <c r="A65">
        <v>152</v>
      </c>
      <c r="B65">
        <v>1</v>
      </c>
      <c r="C65" t="s">
        <v>3</v>
      </c>
      <c r="D65" t="s">
        <v>48</v>
      </c>
      <c r="E65" t="s">
        <v>49</v>
      </c>
      <c r="F65" t="s">
        <v>49</v>
      </c>
      <c r="G65" t="s">
        <v>49</v>
      </c>
      <c r="H65" t="s">
        <v>3</v>
      </c>
      <c r="I65" t="s">
        <v>49</v>
      </c>
      <c r="J65" t="s">
        <v>49</v>
      </c>
      <c r="K65" t="s">
        <v>3</v>
      </c>
      <c r="L65" t="s">
        <v>3</v>
      </c>
      <c r="M65" t="s">
        <v>3</v>
      </c>
      <c r="N65" t="s">
        <v>48</v>
      </c>
      <c r="O65" t="s">
        <v>49</v>
      </c>
      <c r="P65" t="s">
        <v>3</v>
      </c>
      <c r="Q65" t="s">
        <v>3</v>
      </c>
      <c r="R65" t="s">
        <v>3</v>
      </c>
      <c r="S65" t="s">
        <v>706</v>
      </c>
      <c r="T65" t="s">
        <v>707</v>
      </c>
      <c r="U65" t="s">
        <v>708</v>
      </c>
    </row>
    <row r="66" spans="1:21" x14ac:dyDescent="0.2">
      <c r="A66">
        <v>152</v>
      </c>
      <c r="B66">
        <v>1</v>
      </c>
      <c r="C66" t="s">
        <v>3</v>
      </c>
      <c r="D66" t="s">
        <v>48</v>
      </c>
      <c r="E66" t="s">
        <v>709</v>
      </c>
      <c r="F66" t="s">
        <v>709</v>
      </c>
      <c r="G66" t="s">
        <v>710</v>
      </c>
      <c r="H66" t="s">
        <v>3</v>
      </c>
      <c r="I66" t="s">
        <v>710</v>
      </c>
      <c r="J66" t="s">
        <v>709</v>
      </c>
      <c r="K66" t="s">
        <v>3</v>
      </c>
      <c r="L66" t="s">
        <v>3</v>
      </c>
      <c r="M66" t="s">
        <v>3</v>
      </c>
      <c r="N66" t="s">
        <v>48</v>
      </c>
      <c r="O66" t="s">
        <v>709</v>
      </c>
      <c r="P66" t="s">
        <v>3</v>
      </c>
      <c r="Q66" t="s">
        <v>3</v>
      </c>
      <c r="R66" t="s">
        <v>3</v>
      </c>
      <c r="S66" t="s">
        <v>711</v>
      </c>
      <c r="T66" t="s">
        <v>712</v>
      </c>
      <c r="U66" t="s">
        <v>713</v>
      </c>
    </row>
    <row r="67" spans="1:21" x14ac:dyDescent="0.2">
      <c r="A67">
        <v>153</v>
      </c>
      <c r="B67">
        <v>1</v>
      </c>
      <c r="C67" t="s">
        <v>3</v>
      </c>
      <c r="D67" t="s">
        <v>48</v>
      </c>
      <c r="E67" t="s">
        <v>49</v>
      </c>
      <c r="F67" t="s">
        <v>49</v>
      </c>
      <c r="G67" t="s">
        <v>49</v>
      </c>
      <c r="H67" t="s">
        <v>3</v>
      </c>
      <c r="I67" t="s">
        <v>49</v>
      </c>
      <c r="J67" t="s">
        <v>49</v>
      </c>
      <c r="K67" t="s">
        <v>3</v>
      </c>
      <c r="L67" t="s">
        <v>3</v>
      </c>
      <c r="M67" t="s">
        <v>3</v>
      </c>
      <c r="N67" t="s">
        <v>48</v>
      </c>
      <c r="O67" t="s">
        <v>49</v>
      </c>
      <c r="P67" t="s">
        <v>3</v>
      </c>
      <c r="Q67" t="s">
        <v>3</v>
      </c>
      <c r="R67" t="s">
        <v>3</v>
      </c>
      <c r="S67" t="s">
        <v>706</v>
      </c>
      <c r="T67" t="s">
        <v>707</v>
      </c>
      <c r="U67" t="s">
        <v>708</v>
      </c>
    </row>
    <row r="68" spans="1:21" x14ac:dyDescent="0.2">
      <c r="A68">
        <v>153</v>
      </c>
      <c r="B68">
        <v>1</v>
      </c>
      <c r="C68" t="s">
        <v>3</v>
      </c>
      <c r="D68" t="s">
        <v>48</v>
      </c>
      <c r="E68" t="s">
        <v>709</v>
      </c>
      <c r="F68" t="s">
        <v>709</v>
      </c>
      <c r="G68" t="s">
        <v>710</v>
      </c>
      <c r="H68" t="s">
        <v>3</v>
      </c>
      <c r="I68" t="s">
        <v>710</v>
      </c>
      <c r="J68" t="s">
        <v>709</v>
      </c>
      <c r="K68" t="s">
        <v>3</v>
      </c>
      <c r="L68" t="s">
        <v>3</v>
      </c>
      <c r="M68" t="s">
        <v>3</v>
      </c>
      <c r="N68" t="s">
        <v>48</v>
      </c>
      <c r="O68" t="s">
        <v>709</v>
      </c>
      <c r="P68" t="s">
        <v>3</v>
      </c>
      <c r="Q68" t="s">
        <v>3</v>
      </c>
      <c r="R68" t="s">
        <v>3</v>
      </c>
      <c r="S68" t="s">
        <v>711</v>
      </c>
      <c r="T68" t="s">
        <v>712</v>
      </c>
      <c r="U68" t="s">
        <v>713</v>
      </c>
    </row>
    <row r="69" spans="1:21" x14ac:dyDescent="0.2">
      <c r="A69">
        <v>156</v>
      </c>
      <c r="B69">
        <v>1</v>
      </c>
      <c r="C69" t="s">
        <v>3</v>
      </c>
      <c r="D69" t="s">
        <v>48</v>
      </c>
      <c r="E69" t="s">
        <v>49</v>
      </c>
      <c r="F69" t="s">
        <v>49</v>
      </c>
      <c r="G69" t="s">
        <v>49</v>
      </c>
      <c r="H69" t="s">
        <v>3</v>
      </c>
      <c r="I69" t="s">
        <v>49</v>
      </c>
      <c r="J69" t="s">
        <v>49</v>
      </c>
      <c r="K69" t="s">
        <v>3</v>
      </c>
      <c r="L69" t="s">
        <v>3</v>
      </c>
      <c r="M69" t="s">
        <v>3</v>
      </c>
      <c r="N69" t="s">
        <v>48</v>
      </c>
      <c r="O69" t="s">
        <v>49</v>
      </c>
      <c r="P69" t="s">
        <v>3</v>
      </c>
      <c r="Q69" t="s">
        <v>3</v>
      </c>
      <c r="R69" t="s">
        <v>3</v>
      </c>
      <c r="S69" t="s">
        <v>706</v>
      </c>
      <c r="T69" t="s">
        <v>707</v>
      </c>
      <c r="U69" t="s">
        <v>708</v>
      </c>
    </row>
    <row r="70" spans="1:21" x14ac:dyDescent="0.2">
      <c r="A70">
        <v>156</v>
      </c>
      <c r="B70">
        <v>1</v>
      </c>
      <c r="C70" t="s">
        <v>3</v>
      </c>
      <c r="D70" t="s">
        <v>48</v>
      </c>
      <c r="E70" t="s">
        <v>709</v>
      </c>
      <c r="F70" t="s">
        <v>709</v>
      </c>
      <c r="G70" t="s">
        <v>710</v>
      </c>
      <c r="H70" t="s">
        <v>3</v>
      </c>
      <c r="I70" t="s">
        <v>710</v>
      </c>
      <c r="J70" t="s">
        <v>709</v>
      </c>
      <c r="K70" t="s">
        <v>3</v>
      </c>
      <c r="L70" t="s">
        <v>3</v>
      </c>
      <c r="M70" t="s">
        <v>3</v>
      </c>
      <c r="N70" t="s">
        <v>48</v>
      </c>
      <c r="O70" t="s">
        <v>709</v>
      </c>
      <c r="P70" t="s">
        <v>3</v>
      </c>
      <c r="Q70" t="s">
        <v>3</v>
      </c>
      <c r="R70" t="s">
        <v>3</v>
      </c>
      <c r="S70" t="s">
        <v>711</v>
      </c>
      <c r="T70" t="s">
        <v>712</v>
      </c>
      <c r="U70" t="s">
        <v>713</v>
      </c>
    </row>
    <row r="71" spans="1:21" x14ac:dyDescent="0.2">
      <c r="A71">
        <v>157</v>
      </c>
      <c r="B71">
        <v>1</v>
      </c>
      <c r="C71" t="s">
        <v>3</v>
      </c>
      <c r="D71" t="s">
        <v>48</v>
      </c>
      <c r="E71" t="s">
        <v>49</v>
      </c>
      <c r="F71" t="s">
        <v>49</v>
      </c>
      <c r="G71" t="s">
        <v>49</v>
      </c>
      <c r="H71" t="s">
        <v>3</v>
      </c>
      <c r="I71" t="s">
        <v>49</v>
      </c>
      <c r="J71" t="s">
        <v>49</v>
      </c>
      <c r="K71" t="s">
        <v>3</v>
      </c>
      <c r="L71" t="s">
        <v>3</v>
      </c>
      <c r="M71" t="s">
        <v>3</v>
      </c>
      <c r="N71" t="s">
        <v>48</v>
      </c>
      <c r="O71" t="s">
        <v>49</v>
      </c>
      <c r="P71" t="s">
        <v>3</v>
      </c>
      <c r="Q71" t="s">
        <v>3</v>
      </c>
      <c r="R71" t="s">
        <v>3</v>
      </c>
      <c r="S71" t="s">
        <v>706</v>
      </c>
      <c r="T71" t="s">
        <v>707</v>
      </c>
      <c r="U71" t="s">
        <v>708</v>
      </c>
    </row>
    <row r="72" spans="1:21" x14ac:dyDescent="0.2">
      <c r="A72">
        <v>157</v>
      </c>
      <c r="B72">
        <v>1</v>
      </c>
      <c r="C72" t="s">
        <v>3</v>
      </c>
      <c r="D72" t="s">
        <v>48</v>
      </c>
      <c r="E72" t="s">
        <v>709</v>
      </c>
      <c r="F72" t="s">
        <v>709</v>
      </c>
      <c r="G72" t="s">
        <v>710</v>
      </c>
      <c r="H72" t="s">
        <v>3</v>
      </c>
      <c r="I72" t="s">
        <v>710</v>
      </c>
      <c r="J72" t="s">
        <v>709</v>
      </c>
      <c r="K72" t="s">
        <v>3</v>
      </c>
      <c r="L72" t="s">
        <v>3</v>
      </c>
      <c r="M72" t="s">
        <v>3</v>
      </c>
      <c r="N72" t="s">
        <v>48</v>
      </c>
      <c r="O72" t="s">
        <v>709</v>
      </c>
      <c r="P72" t="s">
        <v>3</v>
      </c>
      <c r="Q72" t="s">
        <v>3</v>
      </c>
      <c r="R72" t="s">
        <v>3</v>
      </c>
      <c r="S72" t="s">
        <v>711</v>
      </c>
      <c r="T72" t="s">
        <v>712</v>
      </c>
      <c r="U72" t="s">
        <v>713</v>
      </c>
    </row>
    <row r="73" spans="1:21" x14ac:dyDescent="0.2">
      <c r="A73">
        <v>158</v>
      </c>
      <c r="B73">
        <v>1</v>
      </c>
      <c r="C73" t="s">
        <v>3</v>
      </c>
      <c r="D73" t="s">
        <v>48</v>
      </c>
      <c r="E73" t="s">
        <v>49</v>
      </c>
      <c r="F73" t="s">
        <v>49</v>
      </c>
      <c r="G73" t="s">
        <v>49</v>
      </c>
      <c r="H73" t="s">
        <v>3</v>
      </c>
      <c r="I73" t="s">
        <v>49</v>
      </c>
      <c r="J73" t="s">
        <v>49</v>
      </c>
      <c r="K73" t="s">
        <v>3</v>
      </c>
      <c r="L73" t="s">
        <v>3</v>
      </c>
      <c r="M73" t="s">
        <v>3</v>
      </c>
      <c r="N73" t="s">
        <v>48</v>
      </c>
      <c r="O73" t="s">
        <v>49</v>
      </c>
      <c r="P73" t="s">
        <v>3</v>
      </c>
      <c r="Q73" t="s">
        <v>3</v>
      </c>
      <c r="R73" t="s">
        <v>3</v>
      </c>
      <c r="S73" t="s">
        <v>706</v>
      </c>
      <c r="T73" t="s">
        <v>707</v>
      </c>
      <c r="U73" t="s">
        <v>708</v>
      </c>
    </row>
    <row r="74" spans="1:21" x14ac:dyDescent="0.2">
      <c r="A74">
        <v>159</v>
      </c>
      <c r="B74">
        <v>1</v>
      </c>
      <c r="C74" t="s">
        <v>3</v>
      </c>
      <c r="D74" t="s">
        <v>48</v>
      </c>
      <c r="E74" t="s">
        <v>49</v>
      </c>
      <c r="F74" t="s">
        <v>49</v>
      </c>
      <c r="G74" t="s">
        <v>49</v>
      </c>
      <c r="H74" t="s">
        <v>3</v>
      </c>
      <c r="I74" t="s">
        <v>49</v>
      </c>
      <c r="J74" t="s">
        <v>49</v>
      </c>
      <c r="K74" t="s">
        <v>3</v>
      </c>
      <c r="L74" t="s">
        <v>3</v>
      </c>
      <c r="M74" t="s">
        <v>3</v>
      </c>
      <c r="N74" t="s">
        <v>48</v>
      </c>
      <c r="O74" t="s">
        <v>49</v>
      </c>
      <c r="P74" t="s">
        <v>3</v>
      </c>
      <c r="Q74" t="s">
        <v>3</v>
      </c>
      <c r="R74" t="s">
        <v>3</v>
      </c>
      <c r="S74" t="s">
        <v>706</v>
      </c>
      <c r="T74" t="s">
        <v>707</v>
      </c>
      <c r="U74" t="s">
        <v>708</v>
      </c>
    </row>
    <row r="75" spans="1:21" x14ac:dyDescent="0.2">
      <c r="A75">
        <v>162</v>
      </c>
      <c r="B75">
        <v>1</v>
      </c>
      <c r="C75" t="s">
        <v>3</v>
      </c>
      <c r="D75" t="s">
        <v>48</v>
      </c>
      <c r="E75" t="s">
        <v>49</v>
      </c>
      <c r="F75" t="s">
        <v>49</v>
      </c>
      <c r="G75" t="s">
        <v>49</v>
      </c>
      <c r="H75" t="s">
        <v>3</v>
      </c>
      <c r="I75" t="s">
        <v>49</v>
      </c>
      <c r="J75" t="s">
        <v>49</v>
      </c>
      <c r="K75" t="s">
        <v>3</v>
      </c>
      <c r="L75" t="s">
        <v>3</v>
      </c>
      <c r="M75" t="s">
        <v>3</v>
      </c>
      <c r="N75" t="s">
        <v>48</v>
      </c>
      <c r="O75" t="s">
        <v>49</v>
      </c>
      <c r="P75" t="s">
        <v>3</v>
      </c>
      <c r="Q75" t="s">
        <v>3</v>
      </c>
      <c r="R75" t="s">
        <v>3</v>
      </c>
      <c r="S75" t="s">
        <v>706</v>
      </c>
      <c r="T75" t="s">
        <v>707</v>
      </c>
      <c r="U75" t="s">
        <v>708</v>
      </c>
    </row>
    <row r="76" spans="1:21" x14ac:dyDescent="0.2">
      <c r="A76">
        <v>163</v>
      </c>
      <c r="B76">
        <v>1</v>
      </c>
      <c r="C76" t="s">
        <v>3</v>
      </c>
      <c r="D76" t="s">
        <v>48</v>
      </c>
      <c r="E76" t="s">
        <v>49</v>
      </c>
      <c r="F76" t="s">
        <v>49</v>
      </c>
      <c r="G76" t="s">
        <v>49</v>
      </c>
      <c r="H76" t="s">
        <v>3</v>
      </c>
      <c r="I76" t="s">
        <v>49</v>
      </c>
      <c r="J76" t="s">
        <v>49</v>
      </c>
      <c r="K76" t="s">
        <v>3</v>
      </c>
      <c r="L76" t="s">
        <v>3</v>
      </c>
      <c r="M76" t="s">
        <v>3</v>
      </c>
      <c r="N76" t="s">
        <v>48</v>
      </c>
      <c r="O76" t="s">
        <v>49</v>
      </c>
      <c r="P76" t="s">
        <v>3</v>
      </c>
      <c r="Q76" t="s">
        <v>3</v>
      </c>
      <c r="R76" t="s">
        <v>3</v>
      </c>
      <c r="S76" t="s">
        <v>706</v>
      </c>
      <c r="T76" t="s">
        <v>707</v>
      </c>
      <c r="U76" t="s">
        <v>708</v>
      </c>
    </row>
    <row r="77" spans="1:21" x14ac:dyDescent="0.2">
      <c r="A77">
        <v>201</v>
      </c>
      <c r="B77">
        <v>1</v>
      </c>
      <c r="C77" t="s">
        <v>3</v>
      </c>
      <c r="D77" t="s">
        <v>48</v>
      </c>
      <c r="E77" t="s">
        <v>49</v>
      </c>
      <c r="F77" t="s">
        <v>49</v>
      </c>
      <c r="G77" t="s">
        <v>49</v>
      </c>
      <c r="H77" t="s">
        <v>3</v>
      </c>
      <c r="I77" t="s">
        <v>49</v>
      </c>
      <c r="J77" t="s">
        <v>49</v>
      </c>
      <c r="K77" t="s">
        <v>3</v>
      </c>
      <c r="L77" t="s">
        <v>3</v>
      </c>
      <c r="M77" t="s">
        <v>3</v>
      </c>
      <c r="N77" t="s">
        <v>48</v>
      </c>
      <c r="O77" t="s">
        <v>49</v>
      </c>
      <c r="P77" t="s">
        <v>3</v>
      </c>
      <c r="Q77" t="s">
        <v>3</v>
      </c>
      <c r="R77" t="s">
        <v>3</v>
      </c>
      <c r="S77" t="s">
        <v>706</v>
      </c>
      <c r="T77" t="s">
        <v>707</v>
      </c>
      <c r="U77" t="s">
        <v>708</v>
      </c>
    </row>
    <row r="78" spans="1:21" x14ac:dyDescent="0.2">
      <c r="A78">
        <v>202</v>
      </c>
      <c r="B78">
        <v>1</v>
      </c>
      <c r="C78" t="s">
        <v>3</v>
      </c>
      <c r="D78" t="s">
        <v>48</v>
      </c>
      <c r="E78" t="s">
        <v>49</v>
      </c>
      <c r="F78" t="s">
        <v>49</v>
      </c>
      <c r="G78" t="s">
        <v>49</v>
      </c>
      <c r="H78" t="s">
        <v>3</v>
      </c>
      <c r="I78" t="s">
        <v>49</v>
      </c>
      <c r="J78" t="s">
        <v>49</v>
      </c>
      <c r="K78" t="s">
        <v>3</v>
      </c>
      <c r="L78" t="s">
        <v>3</v>
      </c>
      <c r="M78" t="s">
        <v>3</v>
      </c>
      <c r="N78" t="s">
        <v>48</v>
      </c>
      <c r="O78" t="s">
        <v>49</v>
      </c>
      <c r="P78" t="s">
        <v>3</v>
      </c>
      <c r="Q78" t="s">
        <v>3</v>
      </c>
      <c r="R78" t="s">
        <v>3</v>
      </c>
      <c r="S78" t="s">
        <v>706</v>
      </c>
      <c r="T78" t="s">
        <v>707</v>
      </c>
      <c r="U78" t="s">
        <v>708</v>
      </c>
    </row>
    <row r="79" spans="1:21" x14ac:dyDescent="0.2">
      <c r="A79">
        <v>207</v>
      </c>
      <c r="B79">
        <v>1</v>
      </c>
      <c r="C79" t="s">
        <v>3</v>
      </c>
      <c r="D79" t="s">
        <v>48</v>
      </c>
      <c r="E79" t="s">
        <v>49</v>
      </c>
      <c r="F79" t="s">
        <v>49</v>
      </c>
      <c r="G79" t="s">
        <v>49</v>
      </c>
      <c r="H79" t="s">
        <v>3</v>
      </c>
      <c r="I79" t="s">
        <v>49</v>
      </c>
      <c r="J79" t="s">
        <v>49</v>
      </c>
      <c r="K79" t="s">
        <v>3</v>
      </c>
      <c r="L79" t="s">
        <v>3</v>
      </c>
      <c r="M79" t="s">
        <v>3</v>
      </c>
      <c r="N79" t="s">
        <v>48</v>
      </c>
      <c r="O79" t="s">
        <v>49</v>
      </c>
      <c r="P79" t="s">
        <v>3</v>
      </c>
      <c r="Q79" t="s">
        <v>3</v>
      </c>
      <c r="R79" t="s">
        <v>3</v>
      </c>
      <c r="S79" t="s">
        <v>706</v>
      </c>
      <c r="T79" t="s">
        <v>707</v>
      </c>
      <c r="U79" t="s">
        <v>708</v>
      </c>
    </row>
    <row r="80" spans="1:21" x14ac:dyDescent="0.2">
      <c r="A80">
        <v>208</v>
      </c>
      <c r="B80">
        <v>1</v>
      </c>
      <c r="C80" t="s">
        <v>3</v>
      </c>
      <c r="D80" t="s">
        <v>48</v>
      </c>
      <c r="E80" t="s">
        <v>49</v>
      </c>
      <c r="F80" t="s">
        <v>49</v>
      </c>
      <c r="G80" t="s">
        <v>49</v>
      </c>
      <c r="H80" t="s">
        <v>3</v>
      </c>
      <c r="I80" t="s">
        <v>49</v>
      </c>
      <c r="J80" t="s">
        <v>49</v>
      </c>
      <c r="K80" t="s">
        <v>3</v>
      </c>
      <c r="L80" t="s">
        <v>3</v>
      </c>
      <c r="M80" t="s">
        <v>3</v>
      </c>
      <c r="N80" t="s">
        <v>48</v>
      </c>
      <c r="O80" t="s">
        <v>49</v>
      </c>
      <c r="P80" t="s">
        <v>3</v>
      </c>
      <c r="Q80" t="s">
        <v>3</v>
      </c>
      <c r="R80" t="s">
        <v>3</v>
      </c>
      <c r="S80" t="s">
        <v>706</v>
      </c>
      <c r="T80" t="s">
        <v>707</v>
      </c>
      <c r="U80" t="s">
        <v>708</v>
      </c>
    </row>
    <row r="81" spans="1:21" x14ac:dyDescent="0.2">
      <c r="A81">
        <v>213</v>
      </c>
      <c r="B81">
        <v>1</v>
      </c>
      <c r="C81" t="s">
        <v>3</v>
      </c>
      <c r="D81" t="s">
        <v>48</v>
      </c>
      <c r="E81" t="s">
        <v>49</v>
      </c>
      <c r="F81" t="s">
        <v>49</v>
      </c>
      <c r="G81" t="s">
        <v>49</v>
      </c>
      <c r="H81" t="s">
        <v>3</v>
      </c>
      <c r="I81" t="s">
        <v>49</v>
      </c>
      <c r="J81" t="s">
        <v>49</v>
      </c>
      <c r="K81" t="s">
        <v>3</v>
      </c>
      <c r="L81" t="s">
        <v>3</v>
      </c>
      <c r="M81" t="s">
        <v>3</v>
      </c>
      <c r="N81" t="s">
        <v>48</v>
      </c>
      <c r="O81" t="s">
        <v>49</v>
      </c>
      <c r="P81" t="s">
        <v>3</v>
      </c>
      <c r="Q81" t="s">
        <v>3</v>
      </c>
      <c r="R81" t="s">
        <v>3</v>
      </c>
      <c r="S81" t="s">
        <v>706</v>
      </c>
      <c r="T81" t="s">
        <v>707</v>
      </c>
      <c r="U81" t="s">
        <v>708</v>
      </c>
    </row>
    <row r="82" spans="1:21" x14ac:dyDescent="0.2">
      <c r="A82">
        <v>214</v>
      </c>
      <c r="B82">
        <v>1</v>
      </c>
      <c r="C82" t="s">
        <v>3</v>
      </c>
      <c r="D82" t="s">
        <v>48</v>
      </c>
      <c r="E82" t="s">
        <v>49</v>
      </c>
      <c r="F82" t="s">
        <v>49</v>
      </c>
      <c r="G82" t="s">
        <v>49</v>
      </c>
      <c r="H82" t="s">
        <v>3</v>
      </c>
      <c r="I82" t="s">
        <v>49</v>
      </c>
      <c r="J82" t="s">
        <v>49</v>
      </c>
      <c r="K82" t="s">
        <v>3</v>
      </c>
      <c r="L82" t="s">
        <v>3</v>
      </c>
      <c r="M82" t="s">
        <v>3</v>
      </c>
      <c r="N82" t="s">
        <v>48</v>
      </c>
      <c r="O82" t="s">
        <v>49</v>
      </c>
      <c r="P82" t="s">
        <v>3</v>
      </c>
      <c r="Q82" t="s">
        <v>3</v>
      </c>
      <c r="R82" t="s">
        <v>3</v>
      </c>
      <c r="S82" t="s">
        <v>706</v>
      </c>
      <c r="T82" t="s">
        <v>707</v>
      </c>
      <c r="U82" t="s">
        <v>708</v>
      </c>
    </row>
    <row r="83" spans="1:21" x14ac:dyDescent="0.2">
      <c r="A83">
        <v>217</v>
      </c>
      <c r="B83">
        <v>1</v>
      </c>
      <c r="C83" t="s">
        <v>3</v>
      </c>
      <c r="D83" t="s">
        <v>48</v>
      </c>
      <c r="E83" t="s">
        <v>709</v>
      </c>
      <c r="F83" t="s">
        <v>709</v>
      </c>
      <c r="G83" t="s">
        <v>710</v>
      </c>
      <c r="H83" t="s">
        <v>3</v>
      </c>
      <c r="I83" t="s">
        <v>710</v>
      </c>
      <c r="J83" t="s">
        <v>709</v>
      </c>
      <c r="K83" t="s">
        <v>3</v>
      </c>
      <c r="L83" t="s">
        <v>3</v>
      </c>
      <c r="M83" t="s">
        <v>3</v>
      </c>
      <c r="N83" t="s">
        <v>48</v>
      </c>
      <c r="O83" t="s">
        <v>709</v>
      </c>
      <c r="P83" t="s">
        <v>3</v>
      </c>
      <c r="Q83" t="s">
        <v>3</v>
      </c>
      <c r="R83" t="s">
        <v>3</v>
      </c>
      <c r="S83" t="s">
        <v>711</v>
      </c>
      <c r="T83" t="s">
        <v>712</v>
      </c>
      <c r="U83" t="s">
        <v>713</v>
      </c>
    </row>
    <row r="84" spans="1:21" x14ac:dyDescent="0.2">
      <c r="A84">
        <v>217</v>
      </c>
      <c r="B84">
        <v>1</v>
      </c>
      <c r="C84" t="s">
        <v>3</v>
      </c>
      <c r="D84" t="s">
        <v>48</v>
      </c>
      <c r="E84" t="s">
        <v>49</v>
      </c>
      <c r="F84" t="s">
        <v>49</v>
      </c>
      <c r="G84" t="s">
        <v>49</v>
      </c>
      <c r="H84" t="s">
        <v>3</v>
      </c>
      <c r="I84" t="s">
        <v>49</v>
      </c>
      <c r="J84" t="s">
        <v>49</v>
      </c>
      <c r="K84" t="s">
        <v>3</v>
      </c>
      <c r="L84" t="s">
        <v>3</v>
      </c>
      <c r="M84" t="s">
        <v>3</v>
      </c>
      <c r="N84" t="s">
        <v>48</v>
      </c>
      <c r="O84" t="s">
        <v>49</v>
      </c>
      <c r="P84" t="s">
        <v>3</v>
      </c>
      <c r="Q84" t="s">
        <v>3</v>
      </c>
      <c r="R84" t="s">
        <v>3</v>
      </c>
      <c r="S84" t="s">
        <v>706</v>
      </c>
      <c r="T84" t="s">
        <v>707</v>
      </c>
      <c r="U84" t="s">
        <v>708</v>
      </c>
    </row>
    <row r="85" spans="1:21" x14ac:dyDescent="0.2">
      <c r="A85">
        <v>218</v>
      </c>
      <c r="B85">
        <v>1</v>
      </c>
      <c r="C85" t="s">
        <v>3</v>
      </c>
      <c r="D85" t="s">
        <v>48</v>
      </c>
      <c r="E85" t="s">
        <v>709</v>
      </c>
      <c r="F85" t="s">
        <v>709</v>
      </c>
      <c r="G85" t="s">
        <v>710</v>
      </c>
      <c r="H85" t="s">
        <v>3</v>
      </c>
      <c r="I85" t="s">
        <v>710</v>
      </c>
      <c r="J85" t="s">
        <v>709</v>
      </c>
      <c r="K85" t="s">
        <v>3</v>
      </c>
      <c r="L85" t="s">
        <v>3</v>
      </c>
      <c r="M85" t="s">
        <v>3</v>
      </c>
      <c r="N85" t="s">
        <v>48</v>
      </c>
      <c r="O85" t="s">
        <v>709</v>
      </c>
      <c r="P85" t="s">
        <v>3</v>
      </c>
      <c r="Q85" t="s">
        <v>3</v>
      </c>
      <c r="R85" t="s">
        <v>3</v>
      </c>
      <c r="S85" t="s">
        <v>711</v>
      </c>
      <c r="T85" t="s">
        <v>712</v>
      </c>
      <c r="U85" t="s">
        <v>713</v>
      </c>
    </row>
    <row r="86" spans="1:21" x14ac:dyDescent="0.2">
      <c r="A86">
        <v>218</v>
      </c>
      <c r="B86">
        <v>1</v>
      </c>
      <c r="C86" t="s">
        <v>3</v>
      </c>
      <c r="D86" t="s">
        <v>48</v>
      </c>
      <c r="E86" t="s">
        <v>49</v>
      </c>
      <c r="F86" t="s">
        <v>49</v>
      </c>
      <c r="G86" t="s">
        <v>49</v>
      </c>
      <c r="H86" t="s">
        <v>3</v>
      </c>
      <c r="I86" t="s">
        <v>49</v>
      </c>
      <c r="J86" t="s">
        <v>49</v>
      </c>
      <c r="K86" t="s">
        <v>3</v>
      </c>
      <c r="L86" t="s">
        <v>3</v>
      </c>
      <c r="M86" t="s">
        <v>3</v>
      </c>
      <c r="N86" t="s">
        <v>48</v>
      </c>
      <c r="O86" t="s">
        <v>49</v>
      </c>
      <c r="P86" t="s">
        <v>3</v>
      </c>
      <c r="Q86" t="s">
        <v>3</v>
      </c>
      <c r="R86" t="s">
        <v>3</v>
      </c>
      <c r="S86" t="s">
        <v>706</v>
      </c>
      <c r="T86" t="s">
        <v>707</v>
      </c>
      <c r="U86" t="s">
        <v>708</v>
      </c>
    </row>
    <row r="87" spans="1:21" x14ac:dyDescent="0.2">
      <c r="A87">
        <v>221</v>
      </c>
      <c r="B87">
        <v>1</v>
      </c>
      <c r="C87" t="s">
        <v>3</v>
      </c>
      <c r="D87" t="s">
        <v>48</v>
      </c>
      <c r="E87" t="s">
        <v>709</v>
      </c>
      <c r="F87" t="s">
        <v>709</v>
      </c>
      <c r="G87" t="s">
        <v>710</v>
      </c>
      <c r="H87" t="s">
        <v>3</v>
      </c>
      <c r="I87" t="s">
        <v>710</v>
      </c>
      <c r="J87" t="s">
        <v>709</v>
      </c>
      <c r="K87" t="s">
        <v>3</v>
      </c>
      <c r="L87" t="s">
        <v>3</v>
      </c>
      <c r="M87" t="s">
        <v>3</v>
      </c>
      <c r="N87" t="s">
        <v>48</v>
      </c>
      <c r="O87" t="s">
        <v>709</v>
      </c>
      <c r="P87" t="s">
        <v>3</v>
      </c>
      <c r="Q87" t="s">
        <v>3</v>
      </c>
      <c r="R87" t="s">
        <v>3</v>
      </c>
      <c r="S87" t="s">
        <v>711</v>
      </c>
      <c r="T87" t="s">
        <v>712</v>
      </c>
      <c r="U87" t="s">
        <v>713</v>
      </c>
    </row>
    <row r="88" spans="1:21" x14ac:dyDescent="0.2">
      <c r="A88">
        <v>221</v>
      </c>
      <c r="B88">
        <v>1</v>
      </c>
      <c r="C88" t="s">
        <v>3</v>
      </c>
      <c r="D88" t="s">
        <v>48</v>
      </c>
      <c r="E88" t="s">
        <v>49</v>
      </c>
      <c r="F88" t="s">
        <v>49</v>
      </c>
      <c r="G88" t="s">
        <v>49</v>
      </c>
      <c r="H88" t="s">
        <v>3</v>
      </c>
      <c r="I88" t="s">
        <v>49</v>
      </c>
      <c r="J88" t="s">
        <v>49</v>
      </c>
      <c r="K88" t="s">
        <v>3</v>
      </c>
      <c r="L88" t="s">
        <v>3</v>
      </c>
      <c r="M88" t="s">
        <v>3</v>
      </c>
      <c r="N88" t="s">
        <v>48</v>
      </c>
      <c r="O88" t="s">
        <v>49</v>
      </c>
      <c r="P88" t="s">
        <v>3</v>
      </c>
      <c r="Q88" t="s">
        <v>3</v>
      </c>
      <c r="R88" t="s">
        <v>3</v>
      </c>
      <c r="S88" t="s">
        <v>706</v>
      </c>
      <c r="T88" t="s">
        <v>707</v>
      </c>
      <c r="U88" t="s">
        <v>708</v>
      </c>
    </row>
    <row r="89" spans="1:21" x14ac:dyDescent="0.2">
      <c r="A89">
        <v>222</v>
      </c>
      <c r="B89">
        <v>1</v>
      </c>
      <c r="C89" t="s">
        <v>3</v>
      </c>
      <c r="D89" t="s">
        <v>48</v>
      </c>
      <c r="E89" t="s">
        <v>709</v>
      </c>
      <c r="F89" t="s">
        <v>709</v>
      </c>
      <c r="G89" t="s">
        <v>710</v>
      </c>
      <c r="H89" t="s">
        <v>3</v>
      </c>
      <c r="I89" t="s">
        <v>710</v>
      </c>
      <c r="J89" t="s">
        <v>709</v>
      </c>
      <c r="K89" t="s">
        <v>3</v>
      </c>
      <c r="L89" t="s">
        <v>3</v>
      </c>
      <c r="M89" t="s">
        <v>3</v>
      </c>
      <c r="N89" t="s">
        <v>48</v>
      </c>
      <c r="O89" t="s">
        <v>709</v>
      </c>
      <c r="P89" t="s">
        <v>3</v>
      </c>
      <c r="Q89" t="s">
        <v>3</v>
      </c>
      <c r="R89" t="s">
        <v>3</v>
      </c>
      <c r="S89" t="s">
        <v>711</v>
      </c>
      <c r="T89" t="s">
        <v>712</v>
      </c>
      <c r="U89" t="s">
        <v>713</v>
      </c>
    </row>
    <row r="90" spans="1:21" x14ac:dyDescent="0.2">
      <c r="A90">
        <v>222</v>
      </c>
      <c r="B90">
        <v>1</v>
      </c>
      <c r="C90" t="s">
        <v>3</v>
      </c>
      <c r="D90" t="s">
        <v>48</v>
      </c>
      <c r="E90" t="s">
        <v>49</v>
      </c>
      <c r="F90" t="s">
        <v>49</v>
      </c>
      <c r="G90" t="s">
        <v>49</v>
      </c>
      <c r="H90" t="s">
        <v>3</v>
      </c>
      <c r="I90" t="s">
        <v>49</v>
      </c>
      <c r="J90" t="s">
        <v>49</v>
      </c>
      <c r="K90" t="s">
        <v>3</v>
      </c>
      <c r="L90" t="s">
        <v>3</v>
      </c>
      <c r="M90" t="s">
        <v>3</v>
      </c>
      <c r="N90" t="s">
        <v>48</v>
      </c>
      <c r="O90" t="s">
        <v>49</v>
      </c>
      <c r="P90" t="s">
        <v>3</v>
      </c>
      <c r="Q90" t="s">
        <v>3</v>
      </c>
      <c r="R90" t="s">
        <v>3</v>
      </c>
      <c r="S90" t="s">
        <v>706</v>
      </c>
      <c r="T90" t="s">
        <v>707</v>
      </c>
      <c r="U90" t="s">
        <v>708</v>
      </c>
    </row>
    <row r="91" spans="1:21" x14ac:dyDescent="0.2">
      <c r="A91">
        <v>225</v>
      </c>
      <c r="B91">
        <v>1</v>
      </c>
      <c r="C91" t="s">
        <v>3</v>
      </c>
      <c r="D91" t="s">
        <v>48</v>
      </c>
      <c r="E91" t="s">
        <v>49</v>
      </c>
      <c r="F91" t="s">
        <v>49</v>
      </c>
      <c r="G91" t="s">
        <v>49</v>
      </c>
      <c r="H91" t="s">
        <v>3</v>
      </c>
      <c r="I91" t="s">
        <v>49</v>
      </c>
      <c r="J91" t="s">
        <v>49</v>
      </c>
      <c r="K91" t="s">
        <v>3</v>
      </c>
      <c r="L91" t="s">
        <v>3</v>
      </c>
      <c r="M91" t="s">
        <v>3</v>
      </c>
      <c r="N91" t="s">
        <v>48</v>
      </c>
      <c r="O91" t="s">
        <v>49</v>
      </c>
      <c r="P91" t="s">
        <v>3</v>
      </c>
      <c r="Q91" t="s">
        <v>3</v>
      </c>
      <c r="R91" t="s">
        <v>3</v>
      </c>
      <c r="S91" t="s">
        <v>706</v>
      </c>
      <c r="T91" t="s">
        <v>707</v>
      </c>
      <c r="U91" t="s">
        <v>708</v>
      </c>
    </row>
    <row r="92" spans="1:21" x14ac:dyDescent="0.2">
      <c r="A92">
        <v>226</v>
      </c>
      <c r="B92">
        <v>1</v>
      </c>
      <c r="C92" t="s">
        <v>3</v>
      </c>
      <c r="D92" t="s">
        <v>48</v>
      </c>
      <c r="E92" t="s">
        <v>49</v>
      </c>
      <c r="F92" t="s">
        <v>49</v>
      </c>
      <c r="G92" t="s">
        <v>49</v>
      </c>
      <c r="H92" t="s">
        <v>3</v>
      </c>
      <c r="I92" t="s">
        <v>49</v>
      </c>
      <c r="J92" t="s">
        <v>49</v>
      </c>
      <c r="K92" t="s">
        <v>3</v>
      </c>
      <c r="L92" t="s">
        <v>3</v>
      </c>
      <c r="M92" t="s">
        <v>3</v>
      </c>
      <c r="N92" t="s">
        <v>48</v>
      </c>
      <c r="O92" t="s">
        <v>49</v>
      </c>
      <c r="P92" t="s">
        <v>3</v>
      </c>
      <c r="Q92" t="s">
        <v>3</v>
      </c>
      <c r="R92" t="s">
        <v>3</v>
      </c>
      <c r="S92" t="s">
        <v>706</v>
      </c>
      <c r="T92" t="s">
        <v>707</v>
      </c>
      <c r="U92" t="s">
        <v>708</v>
      </c>
    </row>
    <row r="93" spans="1:21" x14ac:dyDescent="0.2">
      <c r="A93">
        <v>229</v>
      </c>
      <c r="B93">
        <v>1</v>
      </c>
      <c r="C93" t="s">
        <v>3</v>
      </c>
      <c r="D93" t="s">
        <v>48</v>
      </c>
      <c r="E93" t="s">
        <v>49</v>
      </c>
      <c r="F93" t="s">
        <v>49</v>
      </c>
      <c r="G93" t="s">
        <v>49</v>
      </c>
      <c r="H93" t="s">
        <v>3</v>
      </c>
      <c r="I93" t="s">
        <v>49</v>
      </c>
      <c r="J93" t="s">
        <v>49</v>
      </c>
      <c r="K93" t="s">
        <v>3</v>
      </c>
      <c r="L93" t="s">
        <v>3</v>
      </c>
      <c r="M93" t="s">
        <v>3</v>
      </c>
      <c r="N93" t="s">
        <v>48</v>
      </c>
      <c r="O93" t="s">
        <v>49</v>
      </c>
      <c r="P93" t="s">
        <v>3</v>
      </c>
      <c r="Q93" t="s">
        <v>3</v>
      </c>
      <c r="R93" t="s">
        <v>3</v>
      </c>
      <c r="S93" t="s">
        <v>706</v>
      </c>
      <c r="T93" t="s">
        <v>707</v>
      </c>
      <c r="U93" t="s">
        <v>708</v>
      </c>
    </row>
    <row r="94" spans="1:21" x14ac:dyDescent="0.2">
      <c r="A94">
        <v>230</v>
      </c>
      <c r="B94">
        <v>1</v>
      </c>
      <c r="C94" t="s">
        <v>3</v>
      </c>
      <c r="D94" t="s">
        <v>48</v>
      </c>
      <c r="E94" t="s">
        <v>49</v>
      </c>
      <c r="F94" t="s">
        <v>49</v>
      </c>
      <c r="G94" t="s">
        <v>49</v>
      </c>
      <c r="H94" t="s">
        <v>3</v>
      </c>
      <c r="I94" t="s">
        <v>49</v>
      </c>
      <c r="J94" t="s">
        <v>49</v>
      </c>
      <c r="K94" t="s">
        <v>3</v>
      </c>
      <c r="L94" t="s">
        <v>3</v>
      </c>
      <c r="M94" t="s">
        <v>3</v>
      </c>
      <c r="N94" t="s">
        <v>48</v>
      </c>
      <c r="O94" t="s">
        <v>49</v>
      </c>
      <c r="P94" t="s">
        <v>3</v>
      </c>
      <c r="Q94" t="s">
        <v>3</v>
      </c>
      <c r="R94" t="s">
        <v>3</v>
      </c>
      <c r="S94" t="s">
        <v>706</v>
      </c>
      <c r="T94" t="s">
        <v>707</v>
      </c>
      <c r="U94" t="s">
        <v>708</v>
      </c>
    </row>
    <row r="95" spans="1:21" x14ac:dyDescent="0.2">
      <c r="A95">
        <v>233</v>
      </c>
      <c r="B95">
        <v>1</v>
      </c>
      <c r="C95" t="s">
        <v>3</v>
      </c>
      <c r="D95" t="s">
        <v>48</v>
      </c>
      <c r="E95" t="s">
        <v>49</v>
      </c>
      <c r="F95" t="s">
        <v>49</v>
      </c>
      <c r="G95" t="s">
        <v>49</v>
      </c>
      <c r="H95" t="s">
        <v>3</v>
      </c>
      <c r="I95" t="s">
        <v>49</v>
      </c>
      <c r="J95" t="s">
        <v>49</v>
      </c>
      <c r="K95" t="s">
        <v>3</v>
      </c>
      <c r="L95" t="s">
        <v>3</v>
      </c>
      <c r="M95" t="s">
        <v>3</v>
      </c>
      <c r="N95" t="s">
        <v>48</v>
      </c>
      <c r="O95" t="s">
        <v>49</v>
      </c>
      <c r="P95" t="s">
        <v>3</v>
      </c>
      <c r="Q95" t="s">
        <v>3</v>
      </c>
      <c r="R95" t="s">
        <v>3</v>
      </c>
      <c r="S95" t="s">
        <v>706</v>
      </c>
      <c r="T95" t="s">
        <v>707</v>
      </c>
      <c r="U95" t="s">
        <v>708</v>
      </c>
    </row>
    <row r="96" spans="1:21" x14ac:dyDescent="0.2">
      <c r="A96">
        <v>234</v>
      </c>
      <c r="B96">
        <v>1</v>
      </c>
      <c r="C96" t="s">
        <v>3</v>
      </c>
      <c r="D96" t="s">
        <v>48</v>
      </c>
      <c r="E96" t="s">
        <v>49</v>
      </c>
      <c r="F96" t="s">
        <v>49</v>
      </c>
      <c r="G96" t="s">
        <v>49</v>
      </c>
      <c r="H96" t="s">
        <v>3</v>
      </c>
      <c r="I96" t="s">
        <v>49</v>
      </c>
      <c r="J96" t="s">
        <v>49</v>
      </c>
      <c r="K96" t="s">
        <v>3</v>
      </c>
      <c r="L96" t="s">
        <v>3</v>
      </c>
      <c r="M96" t="s">
        <v>3</v>
      </c>
      <c r="N96" t="s">
        <v>48</v>
      </c>
      <c r="O96" t="s">
        <v>49</v>
      </c>
      <c r="P96" t="s">
        <v>3</v>
      </c>
      <c r="Q96" t="s">
        <v>3</v>
      </c>
      <c r="R96" t="s">
        <v>3</v>
      </c>
      <c r="S96" t="s">
        <v>706</v>
      </c>
      <c r="T96" t="s">
        <v>707</v>
      </c>
      <c r="U96" t="s">
        <v>708</v>
      </c>
    </row>
    <row r="97" spans="1:21" x14ac:dyDescent="0.2">
      <c r="A97">
        <v>241</v>
      </c>
      <c r="B97">
        <v>1</v>
      </c>
      <c r="C97" t="s">
        <v>3</v>
      </c>
      <c r="D97" t="s">
        <v>48</v>
      </c>
      <c r="E97" t="s">
        <v>49</v>
      </c>
      <c r="F97" t="s">
        <v>49</v>
      </c>
      <c r="G97" t="s">
        <v>49</v>
      </c>
      <c r="H97" t="s">
        <v>3</v>
      </c>
      <c r="I97" t="s">
        <v>49</v>
      </c>
      <c r="J97" t="s">
        <v>49</v>
      </c>
      <c r="K97" t="s">
        <v>3</v>
      </c>
      <c r="L97" t="s">
        <v>3</v>
      </c>
      <c r="M97" t="s">
        <v>3</v>
      </c>
      <c r="N97" t="s">
        <v>48</v>
      </c>
      <c r="O97" t="s">
        <v>49</v>
      </c>
      <c r="P97" t="s">
        <v>3</v>
      </c>
      <c r="Q97" t="s">
        <v>3</v>
      </c>
      <c r="R97" t="s">
        <v>3</v>
      </c>
      <c r="S97" t="s">
        <v>706</v>
      </c>
      <c r="T97" t="s">
        <v>707</v>
      </c>
      <c r="U97" t="s">
        <v>708</v>
      </c>
    </row>
    <row r="98" spans="1:21" x14ac:dyDescent="0.2">
      <c r="A98">
        <v>242</v>
      </c>
      <c r="B98">
        <v>1</v>
      </c>
      <c r="C98" t="s">
        <v>3</v>
      </c>
      <c r="D98" t="s">
        <v>48</v>
      </c>
      <c r="E98" t="s">
        <v>49</v>
      </c>
      <c r="F98" t="s">
        <v>49</v>
      </c>
      <c r="G98" t="s">
        <v>49</v>
      </c>
      <c r="H98" t="s">
        <v>3</v>
      </c>
      <c r="I98" t="s">
        <v>49</v>
      </c>
      <c r="J98" t="s">
        <v>49</v>
      </c>
      <c r="K98" t="s">
        <v>3</v>
      </c>
      <c r="L98" t="s">
        <v>3</v>
      </c>
      <c r="M98" t="s">
        <v>3</v>
      </c>
      <c r="N98" t="s">
        <v>48</v>
      </c>
      <c r="O98" t="s">
        <v>49</v>
      </c>
      <c r="P98" t="s">
        <v>3</v>
      </c>
      <c r="Q98" t="s">
        <v>3</v>
      </c>
      <c r="R98" t="s">
        <v>3</v>
      </c>
      <c r="S98" t="s">
        <v>706</v>
      </c>
      <c r="T98" t="s">
        <v>707</v>
      </c>
      <c r="U98" t="s">
        <v>708</v>
      </c>
    </row>
    <row r="99" spans="1:21" x14ac:dyDescent="0.2">
      <c r="A99">
        <v>255</v>
      </c>
      <c r="B99">
        <v>1</v>
      </c>
      <c r="C99" t="s">
        <v>3</v>
      </c>
      <c r="D99" t="s">
        <v>48</v>
      </c>
      <c r="E99" t="s">
        <v>49</v>
      </c>
      <c r="F99" t="s">
        <v>49</v>
      </c>
      <c r="G99" t="s">
        <v>49</v>
      </c>
      <c r="H99" t="s">
        <v>3</v>
      </c>
      <c r="I99" t="s">
        <v>49</v>
      </c>
      <c r="J99" t="s">
        <v>49</v>
      </c>
      <c r="K99" t="s">
        <v>3</v>
      </c>
      <c r="L99" t="s">
        <v>3</v>
      </c>
      <c r="M99" t="s">
        <v>3</v>
      </c>
      <c r="N99" t="s">
        <v>48</v>
      </c>
      <c r="O99" t="s">
        <v>49</v>
      </c>
      <c r="P99" t="s">
        <v>3</v>
      </c>
      <c r="Q99" t="s">
        <v>3</v>
      </c>
      <c r="R99" t="s">
        <v>3</v>
      </c>
      <c r="S99" t="s">
        <v>706</v>
      </c>
      <c r="T99" t="s">
        <v>707</v>
      </c>
      <c r="U99" t="s">
        <v>708</v>
      </c>
    </row>
    <row r="100" spans="1:21" x14ac:dyDescent="0.2">
      <c r="A100">
        <v>256</v>
      </c>
      <c r="B100">
        <v>1</v>
      </c>
      <c r="C100" t="s">
        <v>3</v>
      </c>
      <c r="D100" t="s">
        <v>48</v>
      </c>
      <c r="E100" t="s">
        <v>49</v>
      </c>
      <c r="F100" t="s">
        <v>49</v>
      </c>
      <c r="G100" t="s">
        <v>49</v>
      </c>
      <c r="H100" t="s">
        <v>3</v>
      </c>
      <c r="I100" t="s">
        <v>49</v>
      </c>
      <c r="J100" t="s">
        <v>49</v>
      </c>
      <c r="K100" t="s">
        <v>3</v>
      </c>
      <c r="L100" t="s">
        <v>3</v>
      </c>
      <c r="M100" t="s">
        <v>3</v>
      </c>
      <c r="N100" t="s">
        <v>48</v>
      </c>
      <c r="O100" t="s">
        <v>49</v>
      </c>
      <c r="P100" t="s">
        <v>3</v>
      </c>
      <c r="Q100" t="s">
        <v>3</v>
      </c>
      <c r="R100" t="s">
        <v>3</v>
      </c>
      <c r="S100" t="s">
        <v>706</v>
      </c>
      <c r="T100" t="s">
        <v>707</v>
      </c>
      <c r="U100" t="s">
        <v>708</v>
      </c>
    </row>
    <row r="101" spans="1:21" x14ac:dyDescent="0.2">
      <c r="A101">
        <v>263</v>
      </c>
      <c r="B101">
        <v>1</v>
      </c>
      <c r="C101" t="s">
        <v>3</v>
      </c>
      <c r="D101" t="s">
        <v>48</v>
      </c>
      <c r="E101" t="s">
        <v>49</v>
      </c>
      <c r="F101" t="s">
        <v>49</v>
      </c>
      <c r="G101" t="s">
        <v>49</v>
      </c>
      <c r="H101" t="s">
        <v>3</v>
      </c>
      <c r="I101" t="s">
        <v>49</v>
      </c>
      <c r="J101" t="s">
        <v>49</v>
      </c>
      <c r="K101" t="s">
        <v>3</v>
      </c>
      <c r="L101" t="s">
        <v>3</v>
      </c>
      <c r="M101" t="s">
        <v>3</v>
      </c>
      <c r="N101" t="s">
        <v>48</v>
      </c>
      <c r="O101" t="s">
        <v>49</v>
      </c>
      <c r="P101" t="s">
        <v>3</v>
      </c>
      <c r="Q101" t="s">
        <v>3</v>
      </c>
      <c r="R101" t="s">
        <v>3</v>
      </c>
      <c r="S101" t="s">
        <v>706</v>
      </c>
      <c r="T101" t="s">
        <v>707</v>
      </c>
      <c r="U101" t="s">
        <v>708</v>
      </c>
    </row>
    <row r="102" spans="1:21" x14ac:dyDescent="0.2">
      <c r="A102">
        <v>264</v>
      </c>
      <c r="B102">
        <v>1</v>
      </c>
      <c r="C102" t="s">
        <v>3</v>
      </c>
      <c r="D102" t="s">
        <v>48</v>
      </c>
      <c r="E102" t="s">
        <v>49</v>
      </c>
      <c r="F102" t="s">
        <v>49</v>
      </c>
      <c r="G102" t="s">
        <v>49</v>
      </c>
      <c r="H102" t="s">
        <v>3</v>
      </c>
      <c r="I102" t="s">
        <v>49</v>
      </c>
      <c r="J102" t="s">
        <v>49</v>
      </c>
      <c r="K102" t="s">
        <v>3</v>
      </c>
      <c r="L102" t="s">
        <v>3</v>
      </c>
      <c r="M102" t="s">
        <v>3</v>
      </c>
      <c r="N102" t="s">
        <v>48</v>
      </c>
      <c r="O102" t="s">
        <v>49</v>
      </c>
      <c r="P102" t="s">
        <v>3</v>
      </c>
      <c r="Q102" t="s">
        <v>3</v>
      </c>
      <c r="R102" t="s">
        <v>3</v>
      </c>
      <c r="S102" t="s">
        <v>706</v>
      </c>
      <c r="T102" t="s">
        <v>707</v>
      </c>
      <c r="U102" t="s">
        <v>708</v>
      </c>
    </row>
    <row r="103" spans="1:21" x14ac:dyDescent="0.2">
      <c r="A103">
        <v>265</v>
      </c>
      <c r="B103">
        <v>1</v>
      </c>
      <c r="C103" t="s">
        <v>3</v>
      </c>
      <c r="D103" t="s">
        <v>48</v>
      </c>
      <c r="E103" t="s">
        <v>49</v>
      </c>
      <c r="F103" t="s">
        <v>49</v>
      </c>
      <c r="G103" t="s">
        <v>49</v>
      </c>
      <c r="H103" t="s">
        <v>3</v>
      </c>
      <c r="I103" t="s">
        <v>49</v>
      </c>
      <c r="J103" t="s">
        <v>49</v>
      </c>
      <c r="K103" t="s">
        <v>3</v>
      </c>
      <c r="L103" t="s">
        <v>3</v>
      </c>
      <c r="M103" t="s">
        <v>3</v>
      </c>
      <c r="N103" t="s">
        <v>48</v>
      </c>
      <c r="O103" t="s">
        <v>49</v>
      </c>
      <c r="P103" t="s">
        <v>3</v>
      </c>
      <c r="Q103" t="s">
        <v>3</v>
      </c>
      <c r="R103" t="s">
        <v>3</v>
      </c>
      <c r="S103" t="s">
        <v>706</v>
      </c>
      <c r="T103" t="s">
        <v>707</v>
      </c>
      <c r="U103" t="s">
        <v>708</v>
      </c>
    </row>
    <row r="104" spans="1:21" x14ac:dyDescent="0.2">
      <c r="A104">
        <v>266</v>
      </c>
      <c r="B104">
        <v>1</v>
      </c>
      <c r="C104" t="s">
        <v>3</v>
      </c>
      <c r="D104" t="s">
        <v>48</v>
      </c>
      <c r="E104" t="s">
        <v>49</v>
      </c>
      <c r="F104" t="s">
        <v>49</v>
      </c>
      <c r="G104" t="s">
        <v>49</v>
      </c>
      <c r="H104" t="s">
        <v>3</v>
      </c>
      <c r="I104" t="s">
        <v>49</v>
      </c>
      <c r="J104" t="s">
        <v>49</v>
      </c>
      <c r="K104" t="s">
        <v>3</v>
      </c>
      <c r="L104" t="s">
        <v>3</v>
      </c>
      <c r="M104" t="s">
        <v>3</v>
      </c>
      <c r="N104" t="s">
        <v>48</v>
      </c>
      <c r="O104" t="s">
        <v>49</v>
      </c>
      <c r="P104" t="s">
        <v>3</v>
      </c>
      <c r="Q104" t="s">
        <v>3</v>
      </c>
      <c r="R104" t="s">
        <v>3</v>
      </c>
      <c r="S104" t="s">
        <v>706</v>
      </c>
      <c r="T104" t="s">
        <v>707</v>
      </c>
      <c r="U104" t="s">
        <v>708</v>
      </c>
    </row>
    <row r="105" spans="1:21" x14ac:dyDescent="0.2">
      <c r="A105">
        <v>271</v>
      </c>
      <c r="B105">
        <v>1</v>
      </c>
      <c r="C105" t="s">
        <v>3</v>
      </c>
      <c r="D105" t="s">
        <v>48</v>
      </c>
      <c r="E105" t="s">
        <v>49</v>
      </c>
      <c r="F105" t="s">
        <v>49</v>
      </c>
      <c r="G105" t="s">
        <v>49</v>
      </c>
      <c r="H105" t="s">
        <v>3</v>
      </c>
      <c r="I105" t="s">
        <v>49</v>
      </c>
      <c r="J105" t="s">
        <v>49</v>
      </c>
      <c r="K105" t="s">
        <v>3</v>
      </c>
      <c r="L105" t="s">
        <v>3</v>
      </c>
      <c r="M105" t="s">
        <v>3</v>
      </c>
      <c r="N105" t="s">
        <v>48</v>
      </c>
      <c r="O105" t="s">
        <v>49</v>
      </c>
      <c r="P105" t="s">
        <v>3</v>
      </c>
      <c r="Q105" t="s">
        <v>3</v>
      </c>
      <c r="R105" t="s">
        <v>3</v>
      </c>
      <c r="S105" t="s">
        <v>706</v>
      </c>
      <c r="T105" t="s">
        <v>707</v>
      </c>
      <c r="U105" t="s">
        <v>708</v>
      </c>
    </row>
    <row r="106" spans="1:21" x14ac:dyDescent="0.2">
      <c r="A106">
        <v>272</v>
      </c>
      <c r="B106">
        <v>1</v>
      </c>
      <c r="C106" t="s">
        <v>3</v>
      </c>
      <c r="D106" t="s">
        <v>48</v>
      </c>
      <c r="E106" t="s">
        <v>49</v>
      </c>
      <c r="F106" t="s">
        <v>49</v>
      </c>
      <c r="G106" t="s">
        <v>49</v>
      </c>
      <c r="H106" t="s">
        <v>3</v>
      </c>
      <c r="I106" t="s">
        <v>49</v>
      </c>
      <c r="J106" t="s">
        <v>49</v>
      </c>
      <c r="K106" t="s">
        <v>3</v>
      </c>
      <c r="L106" t="s">
        <v>3</v>
      </c>
      <c r="M106" t="s">
        <v>3</v>
      </c>
      <c r="N106" t="s">
        <v>48</v>
      </c>
      <c r="O106" t="s">
        <v>49</v>
      </c>
      <c r="P106" t="s">
        <v>3</v>
      </c>
      <c r="Q106" t="s">
        <v>3</v>
      </c>
      <c r="R106" t="s">
        <v>3</v>
      </c>
      <c r="S106" t="s">
        <v>706</v>
      </c>
      <c r="T106" t="s">
        <v>707</v>
      </c>
      <c r="U106" t="s">
        <v>708</v>
      </c>
    </row>
    <row r="107" spans="1:21" x14ac:dyDescent="0.2">
      <c r="A107">
        <v>273</v>
      </c>
      <c r="B107">
        <v>1</v>
      </c>
      <c r="C107" t="s">
        <v>3</v>
      </c>
      <c r="D107" t="s">
        <v>48</v>
      </c>
      <c r="E107" t="s">
        <v>49</v>
      </c>
      <c r="F107" t="s">
        <v>49</v>
      </c>
      <c r="G107" t="s">
        <v>49</v>
      </c>
      <c r="H107" t="s">
        <v>3</v>
      </c>
      <c r="I107" t="s">
        <v>49</v>
      </c>
      <c r="J107" t="s">
        <v>49</v>
      </c>
      <c r="K107" t="s">
        <v>3</v>
      </c>
      <c r="L107" t="s">
        <v>3</v>
      </c>
      <c r="M107" t="s">
        <v>3</v>
      </c>
      <c r="N107" t="s">
        <v>48</v>
      </c>
      <c r="O107" t="s">
        <v>49</v>
      </c>
      <c r="P107" t="s">
        <v>3</v>
      </c>
      <c r="Q107" t="s">
        <v>3</v>
      </c>
      <c r="R107" t="s">
        <v>3</v>
      </c>
      <c r="S107" t="s">
        <v>706</v>
      </c>
      <c r="T107" t="s">
        <v>707</v>
      </c>
      <c r="U107" t="s">
        <v>708</v>
      </c>
    </row>
    <row r="108" spans="1:21" x14ac:dyDescent="0.2">
      <c r="A108">
        <v>274</v>
      </c>
      <c r="B108">
        <v>1</v>
      </c>
      <c r="C108" t="s">
        <v>3</v>
      </c>
      <c r="D108" t="s">
        <v>48</v>
      </c>
      <c r="E108" t="s">
        <v>49</v>
      </c>
      <c r="F108" t="s">
        <v>49</v>
      </c>
      <c r="G108" t="s">
        <v>49</v>
      </c>
      <c r="H108" t="s">
        <v>3</v>
      </c>
      <c r="I108" t="s">
        <v>49</v>
      </c>
      <c r="J108" t="s">
        <v>49</v>
      </c>
      <c r="K108" t="s">
        <v>3</v>
      </c>
      <c r="L108" t="s">
        <v>3</v>
      </c>
      <c r="M108" t="s">
        <v>3</v>
      </c>
      <c r="N108" t="s">
        <v>48</v>
      </c>
      <c r="O108" t="s">
        <v>49</v>
      </c>
      <c r="P108" t="s">
        <v>3</v>
      </c>
      <c r="Q108" t="s">
        <v>3</v>
      </c>
      <c r="R108" t="s">
        <v>3</v>
      </c>
      <c r="S108" t="s">
        <v>706</v>
      </c>
      <c r="T108" t="s">
        <v>707</v>
      </c>
      <c r="U108" t="s">
        <v>708</v>
      </c>
    </row>
    <row r="109" spans="1:21" x14ac:dyDescent="0.2">
      <c r="A109">
        <v>281</v>
      </c>
      <c r="B109">
        <v>1</v>
      </c>
      <c r="C109" t="s">
        <v>3</v>
      </c>
      <c r="D109" t="s">
        <v>48</v>
      </c>
      <c r="E109" t="s">
        <v>49</v>
      </c>
      <c r="F109" t="s">
        <v>49</v>
      </c>
      <c r="G109" t="s">
        <v>49</v>
      </c>
      <c r="H109" t="s">
        <v>3</v>
      </c>
      <c r="I109" t="s">
        <v>49</v>
      </c>
      <c r="J109" t="s">
        <v>49</v>
      </c>
      <c r="K109" t="s">
        <v>3</v>
      </c>
      <c r="L109" t="s">
        <v>3</v>
      </c>
      <c r="M109" t="s">
        <v>3</v>
      </c>
      <c r="N109" t="s">
        <v>48</v>
      </c>
      <c r="O109" t="s">
        <v>49</v>
      </c>
      <c r="P109" t="s">
        <v>3</v>
      </c>
      <c r="Q109" t="s">
        <v>3</v>
      </c>
      <c r="R109" t="s">
        <v>3</v>
      </c>
      <c r="S109" t="s">
        <v>706</v>
      </c>
      <c r="T109" t="s">
        <v>707</v>
      </c>
      <c r="U109" t="s">
        <v>708</v>
      </c>
    </row>
    <row r="110" spans="1:21" x14ac:dyDescent="0.2">
      <c r="A110">
        <v>281</v>
      </c>
      <c r="B110">
        <v>1</v>
      </c>
      <c r="C110" t="s">
        <v>3</v>
      </c>
      <c r="D110" t="s">
        <v>48</v>
      </c>
      <c r="E110" t="s">
        <v>709</v>
      </c>
      <c r="F110" t="s">
        <v>709</v>
      </c>
      <c r="G110" t="s">
        <v>710</v>
      </c>
      <c r="H110" t="s">
        <v>3</v>
      </c>
      <c r="I110" t="s">
        <v>710</v>
      </c>
      <c r="J110" t="s">
        <v>709</v>
      </c>
      <c r="K110" t="s">
        <v>3</v>
      </c>
      <c r="L110" t="s">
        <v>3</v>
      </c>
      <c r="M110" t="s">
        <v>3</v>
      </c>
      <c r="N110" t="s">
        <v>48</v>
      </c>
      <c r="O110" t="s">
        <v>709</v>
      </c>
      <c r="P110" t="s">
        <v>3</v>
      </c>
      <c r="Q110" t="s">
        <v>3</v>
      </c>
      <c r="R110" t="s">
        <v>3</v>
      </c>
      <c r="S110" t="s">
        <v>711</v>
      </c>
      <c r="T110" t="s">
        <v>712</v>
      </c>
      <c r="U110" t="s">
        <v>713</v>
      </c>
    </row>
    <row r="111" spans="1:21" x14ac:dyDescent="0.2">
      <c r="A111">
        <v>282</v>
      </c>
      <c r="B111">
        <v>1</v>
      </c>
      <c r="C111" t="s">
        <v>3</v>
      </c>
      <c r="D111" t="s">
        <v>48</v>
      </c>
      <c r="E111" t="s">
        <v>49</v>
      </c>
      <c r="F111" t="s">
        <v>49</v>
      </c>
      <c r="G111" t="s">
        <v>49</v>
      </c>
      <c r="H111" t="s">
        <v>3</v>
      </c>
      <c r="I111" t="s">
        <v>49</v>
      </c>
      <c r="J111" t="s">
        <v>49</v>
      </c>
      <c r="K111" t="s">
        <v>3</v>
      </c>
      <c r="L111" t="s">
        <v>3</v>
      </c>
      <c r="M111" t="s">
        <v>3</v>
      </c>
      <c r="N111" t="s">
        <v>48</v>
      </c>
      <c r="O111" t="s">
        <v>49</v>
      </c>
      <c r="P111" t="s">
        <v>3</v>
      </c>
      <c r="Q111" t="s">
        <v>3</v>
      </c>
      <c r="R111" t="s">
        <v>3</v>
      </c>
      <c r="S111" t="s">
        <v>706</v>
      </c>
      <c r="T111" t="s">
        <v>707</v>
      </c>
      <c r="U111" t="s">
        <v>708</v>
      </c>
    </row>
    <row r="112" spans="1:21" x14ac:dyDescent="0.2">
      <c r="A112">
        <v>282</v>
      </c>
      <c r="B112">
        <v>1</v>
      </c>
      <c r="C112" t="s">
        <v>3</v>
      </c>
      <c r="D112" t="s">
        <v>48</v>
      </c>
      <c r="E112" t="s">
        <v>709</v>
      </c>
      <c r="F112" t="s">
        <v>709</v>
      </c>
      <c r="G112" t="s">
        <v>710</v>
      </c>
      <c r="H112" t="s">
        <v>3</v>
      </c>
      <c r="I112" t="s">
        <v>710</v>
      </c>
      <c r="J112" t="s">
        <v>709</v>
      </c>
      <c r="K112" t="s">
        <v>3</v>
      </c>
      <c r="L112" t="s">
        <v>3</v>
      </c>
      <c r="M112" t="s">
        <v>3</v>
      </c>
      <c r="N112" t="s">
        <v>48</v>
      </c>
      <c r="O112" t="s">
        <v>709</v>
      </c>
      <c r="P112" t="s">
        <v>3</v>
      </c>
      <c r="Q112" t="s">
        <v>3</v>
      </c>
      <c r="R112" t="s">
        <v>3</v>
      </c>
      <c r="S112" t="s">
        <v>711</v>
      </c>
      <c r="T112" t="s">
        <v>712</v>
      </c>
      <c r="U112" t="s">
        <v>713</v>
      </c>
    </row>
    <row r="113" spans="1:21" x14ac:dyDescent="0.2">
      <c r="A113">
        <v>285</v>
      </c>
      <c r="B113">
        <v>1</v>
      </c>
      <c r="C113" t="s">
        <v>3</v>
      </c>
      <c r="D113" t="s">
        <v>48</v>
      </c>
      <c r="E113" t="s">
        <v>49</v>
      </c>
      <c r="F113" t="s">
        <v>49</v>
      </c>
      <c r="G113" t="s">
        <v>49</v>
      </c>
      <c r="H113" t="s">
        <v>3</v>
      </c>
      <c r="I113" t="s">
        <v>49</v>
      </c>
      <c r="J113" t="s">
        <v>49</v>
      </c>
      <c r="K113" t="s">
        <v>3</v>
      </c>
      <c r="L113" t="s">
        <v>3</v>
      </c>
      <c r="M113" t="s">
        <v>3</v>
      </c>
      <c r="N113" t="s">
        <v>48</v>
      </c>
      <c r="O113" t="s">
        <v>49</v>
      </c>
      <c r="P113" t="s">
        <v>3</v>
      </c>
      <c r="Q113" t="s">
        <v>3</v>
      </c>
      <c r="R113" t="s">
        <v>3</v>
      </c>
      <c r="S113" t="s">
        <v>706</v>
      </c>
      <c r="T113" t="s">
        <v>707</v>
      </c>
      <c r="U113" t="s">
        <v>708</v>
      </c>
    </row>
    <row r="114" spans="1:21" x14ac:dyDescent="0.2">
      <c r="A114">
        <v>285</v>
      </c>
      <c r="B114">
        <v>1</v>
      </c>
      <c r="C114" t="s">
        <v>3</v>
      </c>
      <c r="D114" t="s">
        <v>48</v>
      </c>
      <c r="E114" t="s">
        <v>709</v>
      </c>
      <c r="F114" t="s">
        <v>709</v>
      </c>
      <c r="G114" t="s">
        <v>710</v>
      </c>
      <c r="H114" t="s">
        <v>3</v>
      </c>
      <c r="I114" t="s">
        <v>710</v>
      </c>
      <c r="J114" t="s">
        <v>709</v>
      </c>
      <c r="K114" t="s">
        <v>3</v>
      </c>
      <c r="L114" t="s">
        <v>3</v>
      </c>
      <c r="M114" t="s">
        <v>3</v>
      </c>
      <c r="N114" t="s">
        <v>48</v>
      </c>
      <c r="O114" t="s">
        <v>709</v>
      </c>
      <c r="P114" t="s">
        <v>3</v>
      </c>
      <c r="Q114" t="s">
        <v>3</v>
      </c>
      <c r="R114" t="s">
        <v>3</v>
      </c>
      <c r="S114" t="s">
        <v>711</v>
      </c>
      <c r="T114" t="s">
        <v>712</v>
      </c>
      <c r="U114" t="s">
        <v>713</v>
      </c>
    </row>
    <row r="115" spans="1:21" x14ac:dyDescent="0.2">
      <c r="A115">
        <v>286</v>
      </c>
      <c r="B115">
        <v>1</v>
      </c>
      <c r="C115" t="s">
        <v>3</v>
      </c>
      <c r="D115" t="s">
        <v>48</v>
      </c>
      <c r="E115" t="s">
        <v>49</v>
      </c>
      <c r="F115" t="s">
        <v>49</v>
      </c>
      <c r="G115" t="s">
        <v>49</v>
      </c>
      <c r="H115" t="s">
        <v>3</v>
      </c>
      <c r="I115" t="s">
        <v>49</v>
      </c>
      <c r="J115" t="s">
        <v>49</v>
      </c>
      <c r="K115" t="s">
        <v>3</v>
      </c>
      <c r="L115" t="s">
        <v>3</v>
      </c>
      <c r="M115" t="s">
        <v>3</v>
      </c>
      <c r="N115" t="s">
        <v>48</v>
      </c>
      <c r="O115" t="s">
        <v>49</v>
      </c>
      <c r="P115" t="s">
        <v>3</v>
      </c>
      <c r="Q115" t="s">
        <v>3</v>
      </c>
      <c r="R115" t="s">
        <v>3</v>
      </c>
      <c r="S115" t="s">
        <v>706</v>
      </c>
      <c r="T115" t="s">
        <v>707</v>
      </c>
      <c r="U115" t="s">
        <v>708</v>
      </c>
    </row>
    <row r="116" spans="1:21" x14ac:dyDescent="0.2">
      <c r="A116">
        <v>286</v>
      </c>
      <c r="B116">
        <v>1</v>
      </c>
      <c r="C116" t="s">
        <v>3</v>
      </c>
      <c r="D116" t="s">
        <v>48</v>
      </c>
      <c r="E116" t="s">
        <v>709</v>
      </c>
      <c r="F116" t="s">
        <v>709</v>
      </c>
      <c r="G116" t="s">
        <v>710</v>
      </c>
      <c r="H116" t="s">
        <v>3</v>
      </c>
      <c r="I116" t="s">
        <v>710</v>
      </c>
      <c r="J116" t="s">
        <v>709</v>
      </c>
      <c r="K116" t="s">
        <v>3</v>
      </c>
      <c r="L116" t="s">
        <v>3</v>
      </c>
      <c r="M116" t="s">
        <v>3</v>
      </c>
      <c r="N116" t="s">
        <v>48</v>
      </c>
      <c r="O116" t="s">
        <v>709</v>
      </c>
      <c r="P116" t="s">
        <v>3</v>
      </c>
      <c r="Q116" t="s">
        <v>3</v>
      </c>
      <c r="R116" t="s">
        <v>3</v>
      </c>
      <c r="S116" t="s">
        <v>711</v>
      </c>
      <c r="T116" t="s">
        <v>712</v>
      </c>
      <c r="U116" t="s">
        <v>713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">
      <c r="F12" t="str">
        <f>Source!F12</f>
        <v>02-01-21</v>
      </c>
      <c r="G12" t="str">
        <f>Source!G12</f>
        <v>02-01-21 Спринклерное пожаротушение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Воробьева Анна Валерьевна</cp:lastModifiedBy>
  <dcterms:created xsi:type="dcterms:W3CDTF">2026-07-27T14:44:25Z</dcterms:created>
  <dcterms:modified xsi:type="dcterms:W3CDTF">2026-07-27T14:45:09Z</dcterms:modified>
</cp:coreProperties>
</file>